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1.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workbookPr showInkAnnotation="0" codeName="ThisWorkbook" autoCompressPictures="0"/>
  <mc:AlternateContent xmlns:mc="http://schemas.openxmlformats.org/markup-compatibility/2006">
    <mc:Choice Requires="x15">
      <x15ac:absPath xmlns:x15ac="http://schemas.microsoft.com/office/spreadsheetml/2010/11/ac" url="C:\Users\varah.a\Desktop\Documents\Black Grass Resistance Initiative\Sophie\"/>
    </mc:Choice>
  </mc:AlternateContent>
  <xr:revisionPtr revIDLastSave="0" documentId="13_ncr:1_{1842D253-CA4E-46E5-8AF4-0ABB46FF1A0B}" xr6:coauthVersionLast="45" xr6:coauthVersionMax="45" xr10:uidLastSave="{00000000-0000-0000-0000-000000000000}"/>
  <bookViews>
    <workbookView xWindow="-104" yWindow="-104" windowWidth="22326" windowHeight="12050" tabRatio="881" activeTab="3" xr2:uid="{00000000-000D-0000-FFFF-FFFF00000000}"/>
  </bookViews>
  <sheets>
    <sheet name="0.Usage,Licence,Disclaimer" sheetId="1" r:id="rId1"/>
    <sheet name="1.GeneralInfo" sheetId="22" r:id="rId2"/>
    <sheet name="2.CropManagement" sheetId="2" r:id="rId3"/>
    <sheet name="3.Sequestration" sheetId="15" r:id="rId4"/>
    <sheet name="4.Livestock" sheetId="19" r:id="rId5"/>
    <sheet name="5.FieldEnergyUse" sheetId="4" r:id="rId6"/>
    <sheet name="6.PrimaryProcessing" sheetId="5" r:id="rId7"/>
    <sheet name="7.Transport" sheetId="16" r:id="rId8"/>
    <sheet name="8.ResultsGraphs" sheetId="6" r:id="rId9"/>
    <sheet name="8a.CoProductResults" sheetId="26" r:id="rId10"/>
    <sheet name="9.DefaultFactors" sheetId="13" r:id="rId11"/>
    <sheet name="A1. Submodels &amp; data" sheetId="10" r:id="rId12"/>
    <sheet name="A2. Livestockdata" sheetId="11" r:id="rId13"/>
    <sheet name="A3. UnitConversions" sheetId="12" r:id="rId14"/>
    <sheet name="A4. Default crop lookup" sheetId="17" r:id="rId15"/>
    <sheet name="A5. User-defined fertilisers" sheetId="20" r:id="rId16"/>
    <sheet name="Export" sheetId="24" r:id="rId17"/>
    <sheet name="Import" sheetId="25" r:id="rId18"/>
  </sheets>
  <definedNames>
    <definedName name="_xlnm.Print_Area" localSheetId="5">'5.FieldEnergyUse'!$B$2:$H$19</definedName>
    <definedName name="_xlnm.Print_Area" localSheetId="6">'6.PrimaryProcessing'!$B$2:$I$33</definedName>
    <definedName name="Z_BD1481C3_A8C6_46E4_9B09_3BB5EA0E455E_.wvu.PrintArea" localSheetId="5" hidden="1">'5.FieldEnergyUse'!$B$2:$H$19</definedName>
    <definedName name="Z_BD1481C3_A8C6_46E4_9B09_3BB5EA0E455E_.wvu.PrintArea" localSheetId="6" hidden="1">'6.PrimaryProcessing'!$B$2:$I$33</definedName>
  </definedNames>
  <calcPr calcId="191029"/>
  <customWorkbookViews>
    <customWorkbookView name="Christof.Walter - Personal View" guid="{BD1481C3-A8C6-46E4-9B09-3BB5EA0E455E}" mergeInterval="0" personalView="1" maximized="1" windowWidth="1020" windowHeight="592" tabRatio="861"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E28" i="22" l="1"/>
  <c r="F20" i="15" s="1"/>
  <c r="AF28" i="22"/>
  <c r="AE29" i="22"/>
  <c r="AE30" i="22"/>
  <c r="AG29" i="22"/>
  <c r="X152" i="2"/>
  <c r="X153" i="2"/>
  <c r="AF29" i="22"/>
  <c r="AF30" i="22"/>
  <c r="A19" i="10"/>
  <c r="AR156" i="2" s="1"/>
  <c r="A20" i="10"/>
  <c r="AR157" i="2" s="1"/>
  <c r="A21" i="10"/>
  <c r="AR158" i="2" s="1"/>
  <c r="AR159" i="2"/>
  <c r="A23" i="10"/>
  <c r="AR160" i="2" s="1"/>
  <c r="A24" i="10"/>
  <c r="AR161" i="2"/>
  <c r="A25" i="10"/>
  <c r="AR162" i="2" s="1"/>
  <c r="A26" i="10"/>
  <c r="AR163" i="2" s="1"/>
  <c r="AR164" i="2"/>
  <c r="A28" i="10"/>
  <c r="AR165" i="2" s="1"/>
  <c r="A29" i="10"/>
  <c r="AR166" i="2" s="1"/>
  <c r="A30" i="10"/>
  <c r="AR167" i="2"/>
  <c r="A31" i="10"/>
  <c r="AR168" i="2" s="1"/>
  <c r="A32" i="10"/>
  <c r="AR169" i="2" s="1"/>
  <c r="A33" i="10"/>
  <c r="AR170" i="2" s="1"/>
  <c r="A34" i="10"/>
  <c r="AR171" i="2"/>
  <c r="A35" i="10"/>
  <c r="AR172" i="2"/>
  <c r="A36" i="10"/>
  <c r="AR173" i="2" s="1"/>
  <c r="A37" i="10"/>
  <c r="AR174" i="2" s="1"/>
  <c r="A38" i="10"/>
  <c r="AR175" i="2" s="1"/>
  <c r="A39" i="10"/>
  <c r="AR176" i="2"/>
  <c r="A40" i="10"/>
  <c r="AR177" i="2" s="1"/>
  <c r="C41" i="10"/>
  <c r="A41" i="10" s="1"/>
  <c r="AR178" i="2" s="1"/>
  <c r="C42" i="10"/>
  <c r="A42" i="10" s="1"/>
  <c r="AR179" i="2" s="1"/>
  <c r="C43" i="10"/>
  <c r="A43" i="10" s="1"/>
  <c r="AR180" i="2" s="1"/>
  <c r="A44" i="10"/>
  <c r="AR181" i="2" s="1"/>
  <c r="A45" i="10"/>
  <c r="AR182" i="2" s="1"/>
  <c r="A46" i="10"/>
  <c r="AR183" i="2" s="1"/>
  <c r="A47" i="10"/>
  <c r="AR184" i="2"/>
  <c r="A48" i="10"/>
  <c r="AR185" i="2" s="1"/>
  <c r="A49" i="10"/>
  <c r="AR186" i="2" s="1"/>
  <c r="A50" i="10"/>
  <c r="AR187" i="2" s="1"/>
  <c r="A51" i="10"/>
  <c r="AR188" i="2"/>
  <c r="A52" i="10"/>
  <c r="AR189" i="2"/>
  <c r="A53" i="10"/>
  <c r="AR190" i="2" s="1"/>
  <c r="A4" i="20"/>
  <c r="B54" i="10" s="1"/>
  <c r="A54" i="10" s="1"/>
  <c r="AR191" i="2" s="1"/>
  <c r="B4" i="20"/>
  <c r="AA4" i="20"/>
  <c r="AC54" i="10" s="1"/>
  <c r="AV191" i="2" s="1"/>
  <c r="A5" i="20"/>
  <c r="B55" i="10" s="1"/>
  <c r="A55" i="10" s="1"/>
  <c r="AR192" i="2" s="1"/>
  <c r="B5" i="20"/>
  <c r="AA5" i="20" s="1"/>
  <c r="AC55" i="10" s="1"/>
  <c r="AV192" i="2" s="1"/>
  <c r="A6" i="20"/>
  <c r="B6" i="20"/>
  <c r="AA6" i="20" s="1"/>
  <c r="AC56" i="10" s="1"/>
  <c r="AV193" i="2" s="1"/>
  <c r="A7" i="20"/>
  <c r="B57" i="10" s="1"/>
  <c r="A57" i="10" s="1"/>
  <c r="AR194" i="2" s="1"/>
  <c r="B7" i="20"/>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A7" i="20"/>
  <c r="AC57" i="10" s="1"/>
  <c r="AV194" i="2" s="1"/>
  <c r="E20" i="2"/>
  <c r="W20" i="2" s="1"/>
  <c r="E21" i="2"/>
  <c r="E22" i="2"/>
  <c r="E23" i="2"/>
  <c r="E24" i="2"/>
  <c r="H6" i="2"/>
  <c r="T77" i="2" s="1"/>
  <c r="W77" i="2" s="1"/>
  <c r="H7" i="2"/>
  <c r="T78" i="2" s="1"/>
  <c r="W78" i="2" s="1"/>
  <c r="H5" i="2"/>
  <c r="T76" i="2" s="1"/>
  <c r="J27" i="15"/>
  <c r="H27" i="15"/>
  <c r="AG131" i="15"/>
  <c r="J28" i="15"/>
  <c r="I83" i="24" s="1"/>
  <c r="H28" i="15"/>
  <c r="I28" i="15" s="1"/>
  <c r="J29" i="15"/>
  <c r="I84" i="24" s="1"/>
  <c r="H29" i="15"/>
  <c r="J30" i="15"/>
  <c r="H30" i="15"/>
  <c r="I27" i="15"/>
  <c r="I29" i="15"/>
  <c r="I30" i="15"/>
  <c r="J21" i="15"/>
  <c r="H21" i="15"/>
  <c r="I21" i="15" s="1"/>
  <c r="J22" i="15"/>
  <c r="I77" i="24" s="1"/>
  <c r="H22" i="15"/>
  <c r="I22" i="15"/>
  <c r="J23" i="15"/>
  <c r="H23" i="15"/>
  <c r="I23" i="15" s="1"/>
  <c r="J24" i="15"/>
  <c r="I79" i="24" s="1"/>
  <c r="H24" i="15"/>
  <c r="I24" i="15" s="1"/>
  <c r="J25" i="15"/>
  <c r="V27" i="15" s="1"/>
  <c r="AQ159" i="15" s="1"/>
  <c r="H25" i="15"/>
  <c r="I25" i="15"/>
  <c r="J26" i="15"/>
  <c r="H26" i="15"/>
  <c r="I26" i="15" s="1"/>
  <c r="E7" i="19"/>
  <c r="J12" i="22"/>
  <c r="AE21" i="2"/>
  <c r="AE23" i="2"/>
  <c r="X158" i="2"/>
  <c r="X156" i="2"/>
  <c r="BL7" i="26"/>
  <c r="BL8" i="26"/>
  <c r="X159" i="2"/>
  <c r="BL10" i="26" s="1"/>
  <c r="X160" i="2"/>
  <c r="BL11" i="26"/>
  <c r="BL12" i="26"/>
  <c r="BL13" i="26"/>
  <c r="BL14" i="26"/>
  <c r="BL15" i="26"/>
  <c r="Y156" i="2"/>
  <c r="BM7" i="26" s="1"/>
  <c r="Y157" i="2"/>
  <c r="BM8" i="26"/>
  <c r="Y158" i="2"/>
  <c r="BM9" i="26"/>
  <c r="Y159" i="2"/>
  <c r="BM10" i="26" s="1"/>
  <c r="BM11" i="26"/>
  <c r="BM12" i="26"/>
  <c r="BM13" i="26"/>
  <c r="Y163" i="2"/>
  <c r="BM14" i="26" s="1"/>
  <c r="Y164" i="2"/>
  <c r="BM15" i="26" s="1"/>
  <c r="K12" i="22"/>
  <c r="BG12" i="26"/>
  <c r="K13" i="22"/>
  <c r="BG13" i="26" s="1"/>
  <c r="K14" i="22"/>
  <c r="BG14" i="26" s="1"/>
  <c r="K15" i="22"/>
  <c r="BG15" i="26"/>
  <c r="T10" i="2"/>
  <c r="Y10" i="2" s="1"/>
  <c r="AA10" i="2" s="1"/>
  <c r="AR200" i="2"/>
  <c r="AS231" i="2"/>
  <c r="AS230" i="2"/>
  <c r="AS229" i="2"/>
  <c r="AS228" i="2"/>
  <c r="AS227" i="2"/>
  <c r="AS226" i="2"/>
  <c r="AS225" i="2"/>
  <c r="AS224" i="2"/>
  <c r="AS223" i="2"/>
  <c r="AS222" i="2"/>
  <c r="AS221" i="2"/>
  <c r="AS220" i="2"/>
  <c r="AS219" i="2"/>
  <c r="AS218" i="2"/>
  <c r="AS217" i="2"/>
  <c r="AS216" i="2"/>
  <c r="AS215" i="2"/>
  <c r="AS214" i="2"/>
  <c r="AS213" i="2"/>
  <c r="AS212" i="2"/>
  <c r="AS211" i="2"/>
  <c r="AS210" i="2"/>
  <c r="AS209" i="2"/>
  <c r="AS208" i="2"/>
  <c r="AS207" i="2"/>
  <c r="AS206" i="2"/>
  <c r="AS205" i="2"/>
  <c r="AS204" i="2"/>
  <c r="AS203" i="2"/>
  <c r="AS202" i="2"/>
  <c r="AS201" i="2"/>
  <c r="AU200" i="2"/>
  <c r="Y12" i="2"/>
  <c r="Z12" i="2" s="1"/>
  <c r="BH166" i="2"/>
  <c r="Y13" i="2" s="1"/>
  <c r="AB13" i="2" s="1"/>
  <c r="S5" i="15"/>
  <c r="S6" i="15"/>
  <c r="U19" i="2"/>
  <c r="F20" i="2"/>
  <c r="U20" i="2" s="1"/>
  <c r="V20" i="2" s="1"/>
  <c r="L20" i="2" s="1"/>
  <c r="W21" i="2"/>
  <c r="F21" i="2"/>
  <c r="U21" i="2"/>
  <c r="V21" i="2" s="1"/>
  <c r="L21" i="2" s="1"/>
  <c r="F22" i="2"/>
  <c r="U22" i="2" s="1"/>
  <c r="V22" i="2" s="1"/>
  <c r="L22" i="2" s="1"/>
  <c r="W23" i="2"/>
  <c r="F23" i="2"/>
  <c r="U23" i="2"/>
  <c r="V23" i="2" s="1"/>
  <c r="L23" i="2" s="1"/>
  <c r="F24" i="2"/>
  <c r="U24" i="2" s="1"/>
  <c r="V24" i="2" s="1"/>
  <c r="L24" i="2" s="1"/>
  <c r="K22" i="15"/>
  <c r="K23" i="15"/>
  <c r="K24" i="15"/>
  <c r="K25" i="15"/>
  <c r="K26" i="15"/>
  <c r="K27" i="15"/>
  <c r="K28" i="15"/>
  <c r="K29" i="15"/>
  <c r="K30" i="15"/>
  <c r="K21" i="15"/>
  <c r="F21" i="15"/>
  <c r="E21" i="15"/>
  <c r="U23" i="15" s="1"/>
  <c r="X23" i="15" s="1"/>
  <c r="E22" i="15"/>
  <c r="AB24" i="15" s="1"/>
  <c r="E23" i="15"/>
  <c r="AB25" i="15" s="1"/>
  <c r="U25" i="15"/>
  <c r="X25" i="15" s="1"/>
  <c r="E24" i="15"/>
  <c r="U26" i="15"/>
  <c r="Y26" i="15" s="1"/>
  <c r="E25" i="15"/>
  <c r="U27" i="15"/>
  <c r="Y27" i="15" s="1"/>
  <c r="E26" i="15"/>
  <c r="Z28" i="15" s="1"/>
  <c r="AA28" i="15" s="1"/>
  <c r="U28" i="15"/>
  <c r="E27" i="15"/>
  <c r="Z29" i="15" s="1"/>
  <c r="AA29" i="15" s="1"/>
  <c r="E28" i="15"/>
  <c r="U30" i="15"/>
  <c r="Y30" i="15" s="1"/>
  <c r="E29" i="15"/>
  <c r="AH31" i="15" s="1"/>
  <c r="AI31" i="15" s="1"/>
  <c r="U31" i="15"/>
  <c r="E30" i="15"/>
  <c r="AA94" i="2"/>
  <c r="AA93" i="2"/>
  <c r="I30" i="2"/>
  <c r="U84" i="2" s="1"/>
  <c r="W84" i="2" s="1"/>
  <c r="C10" i="20"/>
  <c r="J32" i="24"/>
  <c r="F22" i="15"/>
  <c r="F23" i="15"/>
  <c r="F24" i="15"/>
  <c r="F25" i="15"/>
  <c r="F26" i="15"/>
  <c r="F27" i="15"/>
  <c r="F28" i="15"/>
  <c r="F29" i="15"/>
  <c r="F30" i="15"/>
  <c r="Z30" i="15"/>
  <c r="AA30" i="15" s="1"/>
  <c r="AB30" i="15"/>
  <c r="Z27" i="15"/>
  <c r="AA27" i="15" s="1"/>
  <c r="AB27" i="15"/>
  <c r="Z26" i="15"/>
  <c r="AA26" i="15" s="1"/>
  <c r="AB26" i="15"/>
  <c r="Z25" i="15"/>
  <c r="AA25" i="15" s="1"/>
  <c r="Z24" i="15"/>
  <c r="AA24" i="15" s="1"/>
  <c r="AH24" i="15"/>
  <c r="AI24" i="15" s="1"/>
  <c r="AH25" i="15"/>
  <c r="AI25" i="15" s="1"/>
  <c r="AH26" i="15"/>
  <c r="AI26" i="15" s="1"/>
  <c r="AH27" i="15"/>
  <c r="AI27" i="15" s="1"/>
  <c r="AH30" i="15"/>
  <c r="AI30" i="15" s="1"/>
  <c r="AP148" i="15"/>
  <c r="AJ150" i="15"/>
  <c r="AG132" i="15"/>
  <c r="AG130" i="15"/>
  <c r="AN141" i="15"/>
  <c r="AM141" i="15"/>
  <c r="AL141" i="15"/>
  <c r="AN140" i="15"/>
  <c r="AM140" i="15"/>
  <c r="AL140" i="15"/>
  <c r="AN139" i="15"/>
  <c r="AM139" i="15"/>
  <c r="AL139" i="15"/>
  <c r="AN138" i="15"/>
  <c r="AM138" i="15"/>
  <c r="AL138" i="15"/>
  <c r="AN137" i="15"/>
  <c r="AM137" i="15"/>
  <c r="AL137" i="15"/>
  <c r="AN136" i="15"/>
  <c r="AM136" i="15"/>
  <c r="AL136" i="15"/>
  <c r="AO131" i="15"/>
  <c r="AO130" i="15"/>
  <c r="E4" i="15"/>
  <c r="F4" i="15"/>
  <c r="D405" i="10"/>
  <c r="D403" i="10"/>
  <c r="C405" i="10"/>
  <c r="D404" i="10"/>
  <c r="C404" i="10"/>
  <c r="Z42" i="2" s="1"/>
  <c r="Z16" i="15"/>
  <c r="Y16" i="15"/>
  <c r="D386" i="10"/>
  <c r="D384" i="10" s="1"/>
  <c r="C384" i="10" s="1"/>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X169" i="2"/>
  <c r="X170" i="2"/>
  <c r="X171" i="2"/>
  <c r="X172" i="2"/>
  <c r="W172" i="2" s="1"/>
  <c r="X173" i="2"/>
  <c r="X174" i="2"/>
  <c r="X175" i="2"/>
  <c r="X176" i="2"/>
  <c r="X177" i="2"/>
  <c r="X178" i="2"/>
  <c r="Y169" i="2"/>
  <c r="Y170" i="2"/>
  <c r="Y171" i="2"/>
  <c r="B20" i="12"/>
  <c r="Y172" i="2" s="1"/>
  <c r="B21" i="12"/>
  <c r="Y173" i="2" s="1"/>
  <c r="B22" i="12"/>
  <c r="Y174" i="2" s="1"/>
  <c r="Y175" i="2"/>
  <c r="B24" i="12"/>
  <c r="Y176" i="2" s="1"/>
  <c r="B25" i="12"/>
  <c r="Y177" i="2" s="1"/>
  <c r="Y179" i="2"/>
  <c r="F23" i="4"/>
  <c r="F22" i="4"/>
  <c r="B380" i="10"/>
  <c r="AR195" i="2"/>
  <c r="H92" i="10"/>
  <c r="F10" i="19"/>
  <c r="F11" i="19"/>
  <c r="E48" i="24"/>
  <c r="P122" i="4"/>
  <c r="S81" i="4" s="1"/>
  <c r="T81" i="4" s="1"/>
  <c r="E81" i="4"/>
  <c r="D271" i="26"/>
  <c r="H271" i="26" s="1"/>
  <c r="E271" i="26"/>
  <c r="I271" i="26" s="1"/>
  <c r="J271" i="26"/>
  <c r="D272" i="26"/>
  <c r="H272" i="26" s="1"/>
  <c r="E272" i="26"/>
  <c r="I272" i="26" s="1"/>
  <c r="J272" i="26"/>
  <c r="D273" i="26"/>
  <c r="H273" i="26"/>
  <c r="E273" i="26"/>
  <c r="I273" i="26" s="1"/>
  <c r="J273" i="26"/>
  <c r="D274" i="26"/>
  <c r="H274" i="26" s="1"/>
  <c r="E274" i="26"/>
  <c r="I274" i="26" s="1"/>
  <c r="J274" i="26"/>
  <c r="D275" i="26"/>
  <c r="H275" i="26" s="1"/>
  <c r="E275" i="26"/>
  <c r="I275" i="26" s="1"/>
  <c r="J275" i="26"/>
  <c r="D276" i="26"/>
  <c r="H276" i="26"/>
  <c r="E276" i="26"/>
  <c r="I276" i="26" s="1"/>
  <c r="J276" i="26"/>
  <c r="D277" i="26"/>
  <c r="H277" i="26" s="1"/>
  <c r="E277" i="26"/>
  <c r="I277" i="26" s="1"/>
  <c r="J277" i="26"/>
  <c r="D278" i="26"/>
  <c r="H278" i="26" s="1"/>
  <c r="E278" i="26"/>
  <c r="I278" i="26" s="1"/>
  <c r="J278" i="26"/>
  <c r="D279" i="26"/>
  <c r="H279" i="26" s="1"/>
  <c r="E279" i="26"/>
  <c r="I279" i="26" s="1"/>
  <c r="J279" i="26"/>
  <c r="D280" i="26"/>
  <c r="H280" i="26" s="1"/>
  <c r="E280" i="26"/>
  <c r="I280" i="26" s="1"/>
  <c r="J280" i="26"/>
  <c r="D281" i="26"/>
  <c r="H281" i="26"/>
  <c r="E281" i="26"/>
  <c r="I281" i="26" s="1"/>
  <c r="J281" i="26"/>
  <c r="D282" i="26"/>
  <c r="H282" i="26" s="1"/>
  <c r="E282" i="26"/>
  <c r="I282" i="26" s="1"/>
  <c r="J282" i="26"/>
  <c r="D283" i="26"/>
  <c r="H283" i="26" s="1"/>
  <c r="E283" i="26"/>
  <c r="I283" i="26" s="1"/>
  <c r="J283" i="26"/>
  <c r="D284" i="26"/>
  <c r="H284" i="26"/>
  <c r="E284" i="26"/>
  <c r="I284" i="26" s="1"/>
  <c r="J284" i="26"/>
  <c r="D285" i="26"/>
  <c r="H285" i="26" s="1"/>
  <c r="E285" i="26"/>
  <c r="I285" i="26" s="1"/>
  <c r="J285" i="26"/>
  <c r="D286" i="26"/>
  <c r="H286" i="26" s="1"/>
  <c r="E286" i="26"/>
  <c r="I286" i="26" s="1"/>
  <c r="J286" i="26"/>
  <c r="D287" i="26"/>
  <c r="H287" i="26" s="1"/>
  <c r="E287" i="26"/>
  <c r="I287" i="26" s="1"/>
  <c r="J287" i="26"/>
  <c r="D288" i="26"/>
  <c r="H288" i="26" s="1"/>
  <c r="E288" i="26"/>
  <c r="I288" i="26" s="1"/>
  <c r="J288" i="26"/>
  <c r="D289" i="26"/>
  <c r="H289" i="26"/>
  <c r="E289" i="26"/>
  <c r="I289" i="26" s="1"/>
  <c r="J289" i="26"/>
  <c r="D270" i="26"/>
  <c r="H270" i="26" s="1"/>
  <c r="E270" i="26"/>
  <c r="I270" i="26" s="1"/>
  <c r="J270" i="26"/>
  <c r="E269" i="26"/>
  <c r="I269" i="26" s="1"/>
  <c r="J269" i="26"/>
  <c r="D269" i="26"/>
  <c r="H269" i="26" s="1"/>
  <c r="D253" i="6"/>
  <c r="H253" i="6" s="1"/>
  <c r="E253" i="6"/>
  <c r="I253" i="6" s="1"/>
  <c r="J253" i="6"/>
  <c r="D254" i="6"/>
  <c r="H254" i="6" s="1"/>
  <c r="E254" i="6"/>
  <c r="I254" i="6" s="1"/>
  <c r="J254" i="6"/>
  <c r="D255" i="6"/>
  <c r="H255" i="6" s="1"/>
  <c r="E255" i="6"/>
  <c r="I255" i="6" s="1"/>
  <c r="J255" i="6"/>
  <c r="D256" i="6"/>
  <c r="H256" i="6" s="1"/>
  <c r="E256" i="6"/>
  <c r="I256" i="6" s="1"/>
  <c r="J256" i="6"/>
  <c r="D257" i="6"/>
  <c r="H257" i="6" s="1"/>
  <c r="E257" i="6"/>
  <c r="I257" i="6"/>
  <c r="J257" i="6"/>
  <c r="D258" i="6"/>
  <c r="H258" i="6" s="1"/>
  <c r="E258" i="6"/>
  <c r="I258" i="6" s="1"/>
  <c r="J258" i="6"/>
  <c r="D259" i="6"/>
  <c r="H259" i="6"/>
  <c r="E259" i="6"/>
  <c r="I259" i="6"/>
  <c r="J259" i="6"/>
  <c r="D260" i="6"/>
  <c r="H260" i="6" s="1"/>
  <c r="E260" i="6"/>
  <c r="I260" i="6" s="1"/>
  <c r="J260" i="6"/>
  <c r="D261" i="6"/>
  <c r="H261" i="6"/>
  <c r="E261" i="6"/>
  <c r="I261" i="6" s="1"/>
  <c r="J261" i="6"/>
  <c r="D262" i="6"/>
  <c r="H262" i="6"/>
  <c r="E262" i="6"/>
  <c r="I262" i="6" s="1"/>
  <c r="J262" i="6"/>
  <c r="D263" i="6"/>
  <c r="H263" i="6" s="1"/>
  <c r="E263" i="6"/>
  <c r="I263" i="6" s="1"/>
  <c r="J263" i="6"/>
  <c r="D264" i="6"/>
  <c r="H264" i="6" s="1"/>
  <c r="E264" i="6"/>
  <c r="I264" i="6"/>
  <c r="J264" i="6"/>
  <c r="D265" i="6"/>
  <c r="H265" i="6" s="1"/>
  <c r="E265" i="6"/>
  <c r="I265" i="6"/>
  <c r="J265" i="6"/>
  <c r="D266" i="6"/>
  <c r="H266" i="6" s="1"/>
  <c r="E266" i="6"/>
  <c r="I266" i="6" s="1"/>
  <c r="J266" i="6"/>
  <c r="D267" i="6"/>
  <c r="H267" i="6"/>
  <c r="E267" i="6"/>
  <c r="I267" i="6" s="1"/>
  <c r="J267" i="6"/>
  <c r="D268" i="6"/>
  <c r="H268" i="6" s="1"/>
  <c r="E268" i="6"/>
  <c r="I268" i="6" s="1"/>
  <c r="J268" i="6"/>
  <c r="D269" i="6"/>
  <c r="H269" i="6" s="1"/>
  <c r="E269" i="6"/>
  <c r="I269" i="6" s="1"/>
  <c r="J269" i="6"/>
  <c r="D270" i="6"/>
  <c r="H270" i="6"/>
  <c r="E270" i="6"/>
  <c r="I270" i="6" s="1"/>
  <c r="J270" i="6"/>
  <c r="D271" i="6"/>
  <c r="H271" i="6" s="1"/>
  <c r="E271" i="6"/>
  <c r="I271" i="6" s="1"/>
  <c r="J271" i="6"/>
  <c r="D272" i="6"/>
  <c r="H272" i="6" s="1"/>
  <c r="E272" i="6"/>
  <c r="I272" i="6"/>
  <c r="J272" i="6"/>
  <c r="E252" i="6"/>
  <c r="I252" i="6" s="1"/>
  <c r="J252" i="6"/>
  <c r="D252" i="6"/>
  <c r="H252" i="6" s="1"/>
  <c r="O346" i="2"/>
  <c r="O345" i="2"/>
  <c r="O344" i="2"/>
  <c r="R219" i="22" s="1"/>
  <c r="O343" i="2"/>
  <c r="O342" i="2"/>
  <c r="R217" i="22" s="1"/>
  <c r="O341" i="2"/>
  <c r="O340" i="2"/>
  <c r="O339" i="2"/>
  <c r="O338" i="2"/>
  <c r="R213" i="22" s="1"/>
  <c r="O337" i="2"/>
  <c r="O336" i="2"/>
  <c r="R211" i="22" s="1"/>
  <c r="O335" i="2"/>
  <c r="O334" i="2"/>
  <c r="R209" i="22" s="1"/>
  <c r="O333" i="2"/>
  <c r="O332" i="2"/>
  <c r="O331" i="2"/>
  <c r="O330" i="2"/>
  <c r="R205" i="22" s="1"/>
  <c r="O278" i="2"/>
  <c r="R153" i="22" s="1"/>
  <c r="O277" i="2"/>
  <c r="O276" i="2"/>
  <c r="O275" i="2"/>
  <c r="R150" i="22" s="1"/>
  <c r="O274" i="2"/>
  <c r="O273" i="2"/>
  <c r="O272" i="2"/>
  <c r="R147" i="22" s="1"/>
  <c r="O271" i="2"/>
  <c r="O270" i="2"/>
  <c r="R145" i="22" s="1"/>
  <c r="O269" i="2"/>
  <c r="R144" i="22" s="1"/>
  <c r="O268" i="2"/>
  <c r="O267" i="2"/>
  <c r="R142" i="22" s="1"/>
  <c r="O266" i="2"/>
  <c r="O265" i="2"/>
  <c r="O264" i="2"/>
  <c r="R139" i="22" s="1"/>
  <c r="O263" i="2"/>
  <c r="O262" i="2"/>
  <c r="R137" i="22" s="1"/>
  <c r="O261" i="2"/>
  <c r="O260" i="2"/>
  <c r="O259" i="2"/>
  <c r="R134" i="22" s="1"/>
  <c r="O258" i="2"/>
  <c r="O257" i="2"/>
  <c r="O256" i="2"/>
  <c r="R131" i="22" s="1"/>
  <c r="O255" i="2"/>
  <c r="O254" i="2"/>
  <c r="R129" i="22" s="1"/>
  <c r="O253" i="2"/>
  <c r="O252" i="2"/>
  <c r="O251" i="2"/>
  <c r="R126" i="22" s="1"/>
  <c r="O250" i="2"/>
  <c r="O249" i="2"/>
  <c r="R124" i="22" s="1"/>
  <c r="O248" i="2"/>
  <c r="R123" i="22" s="1"/>
  <c r="O247" i="2"/>
  <c r="R122" i="22" s="1"/>
  <c r="O246" i="2"/>
  <c r="R121" i="22" s="1"/>
  <c r="O245" i="2"/>
  <c r="O244" i="2"/>
  <c r="O243" i="2"/>
  <c r="R118" i="22" s="1"/>
  <c r="O242" i="2"/>
  <c r="R117" i="22" s="1"/>
  <c r="O241" i="2"/>
  <c r="O240" i="2"/>
  <c r="R115" i="22" s="1"/>
  <c r="O239" i="2"/>
  <c r="O238" i="2"/>
  <c r="R113" i="22" s="1"/>
  <c r="O237" i="2"/>
  <c r="R112" i="22" s="1"/>
  <c r="O236" i="2"/>
  <c r="O235" i="2"/>
  <c r="R110" i="22" s="1"/>
  <c r="O234" i="2"/>
  <c r="O233" i="2"/>
  <c r="O232" i="2"/>
  <c r="R107" i="22" s="1"/>
  <c r="O231" i="2"/>
  <c r="R106" i="22" s="1"/>
  <c r="O230" i="2"/>
  <c r="R105" i="22" s="1"/>
  <c r="O229" i="2"/>
  <c r="O228" i="2"/>
  <c r="O227" i="2"/>
  <c r="R102" i="22" s="1"/>
  <c r="O226" i="2"/>
  <c r="R101" i="22" s="1"/>
  <c r="O225" i="2"/>
  <c r="O224" i="2"/>
  <c r="R99" i="22" s="1"/>
  <c r="O223" i="2"/>
  <c r="O222" i="2"/>
  <c r="R97" i="22" s="1"/>
  <c r="O221" i="2"/>
  <c r="O220" i="2"/>
  <c r="O219" i="2"/>
  <c r="R94" i="22" s="1"/>
  <c r="O218" i="2"/>
  <c r="O217" i="2"/>
  <c r="R92" i="22" s="1"/>
  <c r="O216" i="2"/>
  <c r="R91" i="22" s="1"/>
  <c r="O215" i="2"/>
  <c r="R90" i="22" s="1"/>
  <c r="O214" i="2"/>
  <c r="R89" i="22" s="1"/>
  <c r="O213" i="2"/>
  <c r="O212" i="2"/>
  <c r="O211" i="2"/>
  <c r="R86" i="22" s="1"/>
  <c r="O210" i="2"/>
  <c r="R85" i="22" s="1"/>
  <c r="O209" i="2"/>
  <c r="O208" i="2"/>
  <c r="R83" i="22" s="1"/>
  <c r="O207" i="2"/>
  <c r="O206" i="2"/>
  <c r="R81" i="22" s="1"/>
  <c r="O205" i="2"/>
  <c r="R80" i="22" s="1"/>
  <c r="O204" i="2"/>
  <c r="O203" i="2"/>
  <c r="R78" i="22" s="1"/>
  <c r="O202" i="2"/>
  <c r="O201" i="2"/>
  <c r="O200" i="2"/>
  <c r="R75" i="22" s="1"/>
  <c r="O199" i="2"/>
  <c r="R74" i="22" s="1"/>
  <c r="O198" i="2"/>
  <c r="R73" i="22" s="1"/>
  <c r="O197" i="2"/>
  <c r="O196" i="2"/>
  <c r="O195" i="2"/>
  <c r="R70" i="22" s="1"/>
  <c r="O194" i="2"/>
  <c r="R69" i="22" s="1"/>
  <c r="O193" i="2"/>
  <c r="O192" i="2"/>
  <c r="R67" i="22" s="1"/>
  <c r="O191" i="2"/>
  <c r="O190" i="2"/>
  <c r="R65" i="22" s="1"/>
  <c r="O189" i="2"/>
  <c r="O188" i="2"/>
  <c r="O187" i="2"/>
  <c r="R62" i="22" s="1"/>
  <c r="O186" i="2"/>
  <c r="O185" i="2"/>
  <c r="R60" i="22" s="1"/>
  <c r="O184" i="2"/>
  <c r="R59" i="22" s="1"/>
  <c r="O183" i="2"/>
  <c r="R58" i="22" s="1"/>
  <c r="O182" i="2"/>
  <c r="R57" i="22" s="1"/>
  <c r="O181" i="2"/>
  <c r="R56" i="22" s="1"/>
  <c r="O180" i="2"/>
  <c r="O179" i="2"/>
  <c r="R54" i="22" s="1"/>
  <c r="O178" i="2"/>
  <c r="R53" i="22" s="1"/>
  <c r="O177" i="2"/>
  <c r="O176" i="2"/>
  <c r="R51" i="22" s="1"/>
  <c r="O175" i="2"/>
  <c r="O174" i="2"/>
  <c r="R49" i="22" s="1"/>
  <c r="O173" i="2"/>
  <c r="R48" i="22" s="1"/>
  <c r="O172" i="2"/>
  <c r="O171" i="2"/>
  <c r="R46" i="22" s="1"/>
  <c r="O170" i="2"/>
  <c r="O169" i="2"/>
  <c r="O168" i="2"/>
  <c r="R43" i="22" s="1"/>
  <c r="O167" i="2"/>
  <c r="R42" i="22" s="1"/>
  <c r="O166" i="2"/>
  <c r="R41" i="22" s="1"/>
  <c r="O165" i="2"/>
  <c r="O164" i="2"/>
  <c r="O163" i="2"/>
  <c r="R38" i="22" s="1"/>
  <c r="O162" i="2"/>
  <c r="R37" i="22" s="1"/>
  <c r="O161" i="2"/>
  <c r="R36" i="22" s="1"/>
  <c r="O160" i="2"/>
  <c r="O159" i="2"/>
  <c r="O158" i="2"/>
  <c r="R33" i="22" s="1"/>
  <c r="O157" i="2"/>
  <c r="O156" i="2"/>
  <c r="O155" i="2"/>
  <c r="R30" i="22" s="1"/>
  <c r="O153" i="2"/>
  <c r="R28" i="22" s="1"/>
  <c r="O154" i="2"/>
  <c r="E7" i="15"/>
  <c r="F7" i="15"/>
  <c r="AT7" i="15"/>
  <c r="G4" i="15"/>
  <c r="AZ4" i="15"/>
  <c r="E9" i="15"/>
  <c r="AR9" i="15" s="1"/>
  <c r="F9" i="15"/>
  <c r="AT9" i="15" s="1"/>
  <c r="F13" i="15"/>
  <c r="G13" i="15"/>
  <c r="F14" i="15"/>
  <c r="Z14" i="15"/>
  <c r="Y14" i="15"/>
  <c r="G14" i="15"/>
  <c r="G15" i="15"/>
  <c r="F15" i="15"/>
  <c r="BG7" i="15"/>
  <c r="BF7" i="15"/>
  <c r="BC7" i="15"/>
  <c r="BB7" i="15"/>
  <c r="H456" i="10"/>
  <c r="C403" i="10"/>
  <c r="V8" i="13"/>
  <c r="W8" i="13" s="1"/>
  <c r="G8" i="13" s="1"/>
  <c r="F8" i="13" s="1"/>
  <c r="R8" i="13" s="1"/>
  <c r="D429" i="10"/>
  <c r="I19" i="2"/>
  <c r="H32" i="24" s="1"/>
  <c r="K20" i="2"/>
  <c r="J33" i="24" s="1"/>
  <c r="K21" i="2"/>
  <c r="J34" i="24" s="1"/>
  <c r="K22" i="2"/>
  <c r="K23" i="2"/>
  <c r="J36" i="24" s="1"/>
  <c r="K24" i="2"/>
  <c r="J35" i="24"/>
  <c r="S11" i="13"/>
  <c r="S12" i="13"/>
  <c r="V12" i="13"/>
  <c r="O148" i="4"/>
  <c r="O149" i="4"/>
  <c r="O150" i="4"/>
  <c r="F16" i="4"/>
  <c r="E118" i="24" s="1"/>
  <c r="E16" i="4"/>
  <c r="AA26" i="10"/>
  <c r="AA27" i="10" s="1"/>
  <c r="AA22" i="10"/>
  <c r="I20" i="2"/>
  <c r="T20" i="2" s="1"/>
  <c r="I21" i="2"/>
  <c r="I22" i="2"/>
  <c r="T22" i="2" s="1"/>
  <c r="I23" i="2"/>
  <c r="T23" i="2" s="1"/>
  <c r="I24" i="2"/>
  <c r="T24" i="2" s="1"/>
  <c r="J21" i="10"/>
  <c r="J22" i="10"/>
  <c r="K26" i="10"/>
  <c r="AI122" i="19"/>
  <c r="AI123" i="19"/>
  <c r="AI124" i="19"/>
  <c r="O152" i="2"/>
  <c r="R27" i="22" s="1"/>
  <c r="V27" i="22"/>
  <c r="R29" i="22"/>
  <c r="R31" i="22"/>
  <c r="R32" i="22"/>
  <c r="R34" i="22"/>
  <c r="R39" i="22"/>
  <c r="R40" i="22"/>
  <c r="R44" i="22"/>
  <c r="R45" i="22"/>
  <c r="R47" i="22"/>
  <c r="R50" i="22"/>
  <c r="R52" i="22"/>
  <c r="R55" i="22"/>
  <c r="R61" i="22"/>
  <c r="R63" i="22"/>
  <c r="R64" i="22"/>
  <c r="R66" i="22"/>
  <c r="R68" i="22"/>
  <c r="R71" i="22"/>
  <c r="R72" i="22"/>
  <c r="R76" i="22"/>
  <c r="R77" i="22"/>
  <c r="R79" i="22"/>
  <c r="R82" i="22"/>
  <c r="R84" i="22"/>
  <c r="R87" i="22"/>
  <c r="R88" i="22"/>
  <c r="R93" i="22"/>
  <c r="R95" i="22"/>
  <c r="R96" i="22"/>
  <c r="R98" i="22"/>
  <c r="R100" i="22"/>
  <c r="R103" i="22"/>
  <c r="R104" i="22"/>
  <c r="R108" i="22"/>
  <c r="R109" i="22"/>
  <c r="R111" i="22"/>
  <c r="R114" i="22"/>
  <c r="R116" i="22"/>
  <c r="R119" i="22"/>
  <c r="R120" i="22"/>
  <c r="R125" i="22"/>
  <c r="R127" i="22"/>
  <c r="R128" i="22"/>
  <c r="R130" i="22"/>
  <c r="R132" i="22"/>
  <c r="R133" i="22"/>
  <c r="R135" i="22"/>
  <c r="R136" i="22"/>
  <c r="R138" i="22"/>
  <c r="R140" i="22"/>
  <c r="R141" i="22"/>
  <c r="R143" i="22"/>
  <c r="R146" i="22"/>
  <c r="R148" i="22"/>
  <c r="R149" i="22"/>
  <c r="R151" i="22"/>
  <c r="R152" i="22"/>
  <c r="R154" i="22"/>
  <c r="R155" i="22"/>
  <c r="R156" i="22"/>
  <c r="R157" i="22"/>
  <c r="R158" i="22"/>
  <c r="R159" i="22"/>
  <c r="R160" i="22"/>
  <c r="R161" i="22"/>
  <c r="R162" i="22"/>
  <c r="R163" i="22"/>
  <c r="R164" i="22"/>
  <c r="R165" i="22"/>
  <c r="R166" i="22"/>
  <c r="R167" i="22"/>
  <c r="R168" i="22"/>
  <c r="R169" i="22"/>
  <c r="R170" i="22"/>
  <c r="R171" i="22"/>
  <c r="R172" i="22"/>
  <c r="R173" i="22"/>
  <c r="R174" i="22"/>
  <c r="R175" i="22"/>
  <c r="R176" i="22"/>
  <c r="R177" i="22"/>
  <c r="R178" i="22"/>
  <c r="R179" i="22"/>
  <c r="R180" i="22"/>
  <c r="R181" i="22"/>
  <c r="R182" i="22"/>
  <c r="R183" i="22"/>
  <c r="R184" i="22"/>
  <c r="R185" i="22"/>
  <c r="R186" i="22"/>
  <c r="R187" i="22"/>
  <c r="R188" i="22"/>
  <c r="R189" i="22"/>
  <c r="R190" i="22"/>
  <c r="R191" i="22"/>
  <c r="R192" i="22"/>
  <c r="R193" i="22"/>
  <c r="R194" i="22"/>
  <c r="R195" i="22"/>
  <c r="R196" i="22"/>
  <c r="R197" i="22"/>
  <c r="R198" i="22"/>
  <c r="R199" i="22"/>
  <c r="R200" i="22"/>
  <c r="R201" i="22"/>
  <c r="R202" i="22"/>
  <c r="R203" i="22"/>
  <c r="R204" i="22"/>
  <c r="R206" i="22"/>
  <c r="R207" i="22"/>
  <c r="R208" i="22"/>
  <c r="R210" i="22"/>
  <c r="R212" i="22"/>
  <c r="R214" i="22"/>
  <c r="R215" i="22"/>
  <c r="R216" i="22"/>
  <c r="R218" i="22"/>
  <c r="R220" i="22"/>
  <c r="R221" i="22"/>
  <c r="F18" i="22"/>
  <c r="Y17" i="22" s="1"/>
  <c r="AB131" i="19" s="1"/>
  <c r="AD131" i="19" s="1"/>
  <c r="E32" i="19"/>
  <c r="AO185" i="19"/>
  <c r="AO186" i="19"/>
  <c r="AO187" i="19"/>
  <c r="AO188" i="19"/>
  <c r="AO189" i="19"/>
  <c r="AO190" i="19"/>
  <c r="AO191" i="19"/>
  <c r="AO192" i="19"/>
  <c r="AO193" i="19"/>
  <c r="AO194" i="19"/>
  <c r="AO195" i="19"/>
  <c r="AO196" i="19"/>
  <c r="AO197" i="19"/>
  <c r="AO198" i="19"/>
  <c r="AO199" i="19"/>
  <c r="AO200" i="19"/>
  <c r="G32" i="19"/>
  <c r="F32" i="19"/>
  <c r="E73" i="19"/>
  <c r="AW73" i="19" s="1"/>
  <c r="G73" i="19"/>
  <c r="F73" i="19"/>
  <c r="E72" i="19"/>
  <c r="G72" i="19"/>
  <c r="F72" i="19"/>
  <c r="AW72" i="19" s="1"/>
  <c r="E51" i="19"/>
  <c r="AW51" i="19" s="1"/>
  <c r="G51" i="19"/>
  <c r="F51" i="19"/>
  <c r="E52" i="19"/>
  <c r="G52" i="19"/>
  <c r="F52" i="19"/>
  <c r="U37" i="10"/>
  <c r="AD20" i="2"/>
  <c r="AD21" i="2"/>
  <c r="AD22" i="2"/>
  <c r="AD23" i="2"/>
  <c r="AD19" i="2"/>
  <c r="AH14" i="2"/>
  <c r="AI14" i="2"/>
  <c r="AF14" i="2"/>
  <c r="AG14" i="2"/>
  <c r="T26" i="10"/>
  <c r="V27" i="10"/>
  <c r="W19" i="10"/>
  <c r="W27" i="10"/>
  <c r="W21" i="10"/>
  <c r="W22" i="10" s="1"/>
  <c r="W35" i="10"/>
  <c r="W32" i="10"/>
  <c r="W31" i="10"/>
  <c r="W30" i="10"/>
  <c r="W26" i="10"/>
  <c r="U21" i="10"/>
  <c r="U22" i="10" s="1"/>
  <c r="T21" i="10"/>
  <c r="T22" i="10"/>
  <c r="AB22" i="10" s="1"/>
  <c r="V22" i="10"/>
  <c r="T36" i="10"/>
  <c r="T35" i="10"/>
  <c r="T33" i="10"/>
  <c r="T32" i="10"/>
  <c r="U28" i="10"/>
  <c r="AB17" i="10"/>
  <c r="T41" i="10" s="1"/>
  <c r="AB41" i="10" s="1"/>
  <c r="W41" i="10"/>
  <c r="BG161" i="2"/>
  <c r="BG166" i="2"/>
  <c r="BG171" i="2"/>
  <c r="T307" i="2"/>
  <c r="AJ24" i="19"/>
  <c r="AM27" i="19"/>
  <c r="E20" i="19"/>
  <c r="F23" i="19"/>
  <c r="G299" i="24" s="1"/>
  <c r="AT130" i="19"/>
  <c r="AT129" i="19"/>
  <c r="AT128" i="19"/>
  <c r="AT127" i="19"/>
  <c r="AT126" i="19"/>
  <c r="AT125" i="19"/>
  <c r="AT124" i="19"/>
  <c r="AT123" i="19"/>
  <c r="AT122" i="19"/>
  <c r="AG26" i="19"/>
  <c r="E71" i="19"/>
  <c r="F71" i="19"/>
  <c r="I12" i="19"/>
  <c r="AE65" i="19"/>
  <c r="G71" i="19"/>
  <c r="E50" i="19"/>
  <c r="H300" i="24" s="1"/>
  <c r="F50" i="19"/>
  <c r="G50" i="19"/>
  <c r="E33" i="19"/>
  <c r="F33" i="19"/>
  <c r="G33" i="19"/>
  <c r="E31" i="19"/>
  <c r="F31" i="19"/>
  <c r="AW31" i="19"/>
  <c r="G31" i="19"/>
  <c r="S14" i="13"/>
  <c r="E47" i="12"/>
  <c r="J19" i="2"/>
  <c r="AT237" i="2"/>
  <c r="J20" i="2"/>
  <c r="J21" i="2"/>
  <c r="J22" i="2"/>
  <c r="I35" i="24" s="1"/>
  <c r="J23" i="2"/>
  <c r="J24" i="2"/>
  <c r="N12" i="22"/>
  <c r="N13" i="22"/>
  <c r="E505" i="25" s="1"/>
  <c r="M13" i="22" s="1"/>
  <c r="BC13" i="26" s="1"/>
  <c r="N14" i="22"/>
  <c r="N15" i="22"/>
  <c r="E507" i="24" s="1"/>
  <c r="AP10" i="26"/>
  <c r="J27" i="26" s="1"/>
  <c r="C501" i="24" s="1"/>
  <c r="G26" i="5"/>
  <c r="E216" i="24" s="1"/>
  <c r="F26" i="5"/>
  <c r="P91" i="5"/>
  <c r="Q91" i="5"/>
  <c r="P92" i="5"/>
  <c r="P93" i="5"/>
  <c r="P94" i="5"/>
  <c r="Q92" i="5"/>
  <c r="Q93" i="5"/>
  <c r="Q94" i="5"/>
  <c r="F34" i="5"/>
  <c r="E10" i="19"/>
  <c r="B370" i="24" s="1"/>
  <c r="E11" i="19"/>
  <c r="Z8" i="19" s="1"/>
  <c r="F12" i="19"/>
  <c r="E12" i="19"/>
  <c r="AJ20" i="2"/>
  <c r="AL20" i="2" s="1"/>
  <c r="AJ21" i="2"/>
  <c r="AL21" i="2" s="1"/>
  <c r="AJ22" i="2"/>
  <c r="AL22" i="2" s="1"/>
  <c r="AJ24" i="2"/>
  <c r="AL24" i="2" s="1"/>
  <c r="V9" i="13"/>
  <c r="F14" i="4"/>
  <c r="E112" i="24" s="1"/>
  <c r="E14" i="4"/>
  <c r="E32" i="4"/>
  <c r="E7" i="4"/>
  <c r="F7" i="4"/>
  <c r="O140" i="4"/>
  <c r="O139" i="4"/>
  <c r="N8" i="4" s="1"/>
  <c r="K8" i="4" s="1"/>
  <c r="P139" i="4"/>
  <c r="G25" i="13"/>
  <c r="F25" i="13" s="1"/>
  <c r="E8" i="4"/>
  <c r="F8" i="4"/>
  <c r="L8" i="4"/>
  <c r="W8" i="4" s="1"/>
  <c r="E9" i="4"/>
  <c r="D107" i="24" s="1"/>
  <c r="F9" i="4"/>
  <c r="N9" i="4" s="1"/>
  <c r="K9" i="4" s="1"/>
  <c r="M9" i="4" s="1"/>
  <c r="L9" i="4"/>
  <c r="W9" i="4" s="1"/>
  <c r="X9" i="4" s="1"/>
  <c r="E10" i="4"/>
  <c r="F10" i="4"/>
  <c r="L10" i="4"/>
  <c r="W10" i="4"/>
  <c r="C46" i="26"/>
  <c r="C494" i="24" s="1"/>
  <c r="E4" i="16"/>
  <c r="H4" i="16"/>
  <c r="F233" i="24" s="1"/>
  <c r="G4" i="16"/>
  <c r="I4" i="16"/>
  <c r="AB4" i="16"/>
  <c r="J4" i="16"/>
  <c r="E5" i="16"/>
  <c r="C234" i="24" s="1"/>
  <c r="H5" i="16"/>
  <c r="F234" i="24" s="1"/>
  <c r="G5" i="16"/>
  <c r="I5" i="16"/>
  <c r="AB5" i="16" s="1"/>
  <c r="J5" i="16"/>
  <c r="H234" i="24" s="1"/>
  <c r="E6" i="16"/>
  <c r="H6" i="16"/>
  <c r="F235" i="24" s="1"/>
  <c r="G6" i="16"/>
  <c r="E235" i="24" s="1"/>
  <c r="I6" i="16"/>
  <c r="AB6" i="16" s="1"/>
  <c r="J6" i="16"/>
  <c r="E7" i="16"/>
  <c r="C236" i="24" s="1"/>
  <c r="H7" i="16"/>
  <c r="F236" i="24" s="1"/>
  <c r="G7" i="16"/>
  <c r="I7" i="16"/>
  <c r="AB7" i="16" s="1"/>
  <c r="J7" i="16"/>
  <c r="E8" i="16"/>
  <c r="H8" i="16"/>
  <c r="F237" i="24" s="1"/>
  <c r="G8" i="16"/>
  <c r="I8" i="16"/>
  <c r="AB8" i="16" s="1"/>
  <c r="J8" i="16"/>
  <c r="E9" i="16"/>
  <c r="H9" i="16"/>
  <c r="F238" i="24" s="1"/>
  <c r="G9" i="16"/>
  <c r="E238" i="24" s="1"/>
  <c r="I9" i="16"/>
  <c r="AB9" i="16" s="1"/>
  <c r="J9" i="16"/>
  <c r="E10" i="16"/>
  <c r="H10" i="16"/>
  <c r="F239" i="24" s="1"/>
  <c r="G10" i="16"/>
  <c r="I10" i="16"/>
  <c r="AB10" i="16" s="1"/>
  <c r="J10" i="16"/>
  <c r="H239" i="24" s="1"/>
  <c r="E11" i="16"/>
  <c r="H11" i="16"/>
  <c r="F240" i="24" s="1"/>
  <c r="G11" i="16"/>
  <c r="I11" i="16"/>
  <c r="AB11" i="16" s="1"/>
  <c r="J11" i="16"/>
  <c r="F57" i="16"/>
  <c r="C407" i="24" s="1"/>
  <c r="E57" i="16"/>
  <c r="B407" i="24" s="1"/>
  <c r="H57" i="16"/>
  <c r="E407" i="24" s="1"/>
  <c r="G57" i="16"/>
  <c r="I57" i="16"/>
  <c r="AB57" i="16" s="1"/>
  <c r="J57" i="16"/>
  <c r="F58" i="16"/>
  <c r="E58" i="16"/>
  <c r="H58" i="16"/>
  <c r="E408" i="24" s="1"/>
  <c r="G58" i="16"/>
  <c r="D408" i="24" s="1"/>
  <c r="I58" i="16"/>
  <c r="AB58" i="16" s="1"/>
  <c r="J58" i="16"/>
  <c r="F59" i="16"/>
  <c r="C409" i="24" s="1"/>
  <c r="E59" i="16"/>
  <c r="H59" i="16"/>
  <c r="E409" i="24" s="1"/>
  <c r="G59" i="16"/>
  <c r="I59" i="16"/>
  <c r="AB59" i="16"/>
  <c r="J59" i="16"/>
  <c r="F60" i="16"/>
  <c r="C410" i="24" s="1"/>
  <c r="E60" i="16"/>
  <c r="H60" i="16"/>
  <c r="AD60" i="16" s="1"/>
  <c r="G60" i="16"/>
  <c r="I60" i="16"/>
  <c r="AB60" i="16"/>
  <c r="J60" i="16"/>
  <c r="G410" i="24" s="1"/>
  <c r="F61" i="16"/>
  <c r="C411" i="24" s="1"/>
  <c r="E61" i="16"/>
  <c r="H61" i="16"/>
  <c r="E411" i="24" s="1"/>
  <c r="G61" i="16"/>
  <c r="I61" i="16"/>
  <c r="AB61" i="16"/>
  <c r="J61" i="16"/>
  <c r="G411" i="24" s="1"/>
  <c r="F62" i="16"/>
  <c r="AC62" i="16" s="1"/>
  <c r="E62" i="16"/>
  <c r="H62" i="16"/>
  <c r="G62" i="16"/>
  <c r="I62" i="16"/>
  <c r="AB62" i="16" s="1"/>
  <c r="J62" i="16"/>
  <c r="F63" i="16"/>
  <c r="C413" i="24" s="1"/>
  <c r="E63" i="16"/>
  <c r="H63" i="16"/>
  <c r="AD63" i="16" s="1"/>
  <c r="G63" i="16"/>
  <c r="I63" i="16"/>
  <c r="J63" i="16"/>
  <c r="G413" i="24" s="1"/>
  <c r="F64" i="16"/>
  <c r="AC64" i="16" s="1"/>
  <c r="E64" i="16"/>
  <c r="H64" i="16"/>
  <c r="E414" i="24" s="1"/>
  <c r="G64" i="16"/>
  <c r="I64" i="16"/>
  <c r="J64" i="16"/>
  <c r="F65" i="16"/>
  <c r="C415" i="24" s="1"/>
  <c r="E65" i="16"/>
  <c r="B415" i="24" s="1"/>
  <c r="H65" i="16"/>
  <c r="E415" i="24" s="1"/>
  <c r="G65" i="16"/>
  <c r="I65" i="16"/>
  <c r="AB65" i="16"/>
  <c r="J65" i="16"/>
  <c r="F66" i="16"/>
  <c r="C416" i="24" s="1"/>
  <c r="E66" i="16"/>
  <c r="H66" i="16"/>
  <c r="E416" i="24" s="1"/>
  <c r="G66" i="16"/>
  <c r="I66" i="16"/>
  <c r="AB66" i="16" s="1"/>
  <c r="J66" i="16"/>
  <c r="G416" i="24" s="1"/>
  <c r="F67" i="16"/>
  <c r="C417" i="24" s="1"/>
  <c r="E67" i="16"/>
  <c r="H67" i="16"/>
  <c r="G67" i="16"/>
  <c r="I67" i="16"/>
  <c r="J67" i="16"/>
  <c r="F68" i="16"/>
  <c r="E68" i="16"/>
  <c r="B418" i="24" s="1"/>
  <c r="H68" i="16"/>
  <c r="E418" i="24" s="1"/>
  <c r="G68" i="16"/>
  <c r="D418" i="24" s="1"/>
  <c r="I68" i="16"/>
  <c r="AB68" i="16"/>
  <c r="J68" i="16"/>
  <c r="F69" i="16"/>
  <c r="AC69" i="16" s="1"/>
  <c r="E69" i="16"/>
  <c r="H69" i="16"/>
  <c r="E419" i="24" s="1"/>
  <c r="G69" i="16"/>
  <c r="I69" i="16"/>
  <c r="AB69" i="16" s="1"/>
  <c r="J69" i="16"/>
  <c r="F70" i="16"/>
  <c r="AC70" i="16" s="1"/>
  <c r="E70" i="16"/>
  <c r="H70" i="16"/>
  <c r="AD70" i="16" s="1"/>
  <c r="G70" i="16"/>
  <c r="I70" i="16"/>
  <c r="J70" i="16"/>
  <c r="F71" i="16"/>
  <c r="C421" i="24" s="1"/>
  <c r="E71" i="16"/>
  <c r="H71" i="16"/>
  <c r="E421" i="24" s="1"/>
  <c r="G71" i="16"/>
  <c r="I71" i="16"/>
  <c r="AB71" i="16" s="1"/>
  <c r="J71" i="16"/>
  <c r="F72" i="16"/>
  <c r="AC72" i="16" s="1"/>
  <c r="E72" i="16"/>
  <c r="H72" i="16"/>
  <c r="E422" i="24" s="1"/>
  <c r="G72" i="16"/>
  <c r="I72" i="16"/>
  <c r="AB72" i="16" s="1"/>
  <c r="J72" i="16"/>
  <c r="F73" i="16"/>
  <c r="E73" i="16"/>
  <c r="B423" i="24" s="1"/>
  <c r="H73" i="16"/>
  <c r="AD73" i="16" s="1"/>
  <c r="G73" i="16"/>
  <c r="I73" i="16"/>
  <c r="J73" i="16"/>
  <c r="F74" i="16"/>
  <c r="E74" i="16"/>
  <c r="H74" i="16"/>
  <c r="G74" i="16"/>
  <c r="D424" i="24" s="1"/>
  <c r="I74" i="16"/>
  <c r="AB74" i="16" s="1"/>
  <c r="J74" i="16"/>
  <c r="F75" i="16"/>
  <c r="E75" i="16"/>
  <c r="H75" i="16"/>
  <c r="G75" i="16"/>
  <c r="D425" i="24" s="1"/>
  <c r="I75" i="16"/>
  <c r="AB75" i="16"/>
  <c r="J75" i="16"/>
  <c r="F76" i="16"/>
  <c r="E76" i="16"/>
  <c r="H76" i="16"/>
  <c r="AD76" i="16" s="1"/>
  <c r="G76" i="16"/>
  <c r="I76" i="16"/>
  <c r="AB76" i="16" s="1"/>
  <c r="J76" i="16"/>
  <c r="G426" i="24" s="1"/>
  <c r="E14" i="16"/>
  <c r="H14" i="16"/>
  <c r="F243" i="24" s="1"/>
  <c r="G14" i="16"/>
  <c r="AB14" i="16"/>
  <c r="E15" i="16"/>
  <c r="H15" i="16"/>
  <c r="F244" i="24" s="1"/>
  <c r="G15" i="16"/>
  <c r="AB15" i="16"/>
  <c r="E16" i="16"/>
  <c r="H16" i="16"/>
  <c r="F245" i="24" s="1"/>
  <c r="G16" i="16"/>
  <c r="AB16" i="16"/>
  <c r="E17" i="16"/>
  <c r="C246" i="24" s="1"/>
  <c r="H17" i="16"/>
  <c r="F246" i="24" s="1"/>
  <c r="G17" i="16"/>
  <c r="AB17" i="16"/>
  <c r="E18" i="16"/>
  <c r="H18" i="16"/>
  <c r="G18" i="16"/>
  <c r="AB18" i="16"/>
  <c r="E19" i="16"/>
  <c r="H19" i="16"/>
  <c r="AD19" i="16" s="1"/>
  <c r="G19" i="16"/>
  <c r="AB19" i="16"/>
  <c r="E20" i="16"/>
  <c r="H20" i="16"/>
  <c r="F249" i="24" s="1"/>
  <c r="G20" i="16"/>
  <c r="AB20" i="16"/>
  <c r="E21" i="16"/>
  <c r="H21" i="16"/>
  <c r="F250" i="24" s="1"/>
  <c r="G21" i="16"/>
  <c r="AB21" i="16"/>
  <c r="F79" i="16"/>
  <c r="C429" i="24" s="1"/>
  <c r="E79" i="16"/>
  <c r="H79" i="16"/>
  <c r="E429" i="24" s="1"/>
  <c r="G79" i="16"/>
  <c r="AB79" i="16"/>
  <c r="F80" i="16"/>
  <c r="C430" i="24" s="1"/>
  <c r="E80" i="16"/>
  <c r="H80" i="16"/>
  <c r="E430" i="24" s="1"/>
  <c r="G80" i="16"/>
  <c r="AB80" i="16"/>
  <c r="F81" i="16"/>
  <c r="E81" i="16"/>
  <c r="H81" i="16"/>
  <c r="E431" i="24" s="1"/>
  <c r="G81" i="16"/>
  <c r="D431" i="24" s="1"/>
  <c r="AB81" i="16"/>
  <c r="F82" i="16"/>
  <c r="AC82" i="16" s="1"/>
  <c r="E82" i="16"/>
  <c r="H82" i="16"/>
  <c r="G82" i="16"/>
  <c r="AB82" i="16"/>
  <c r="F83" i="16"/>
  <c r="E83" i="16"/>
  <c r="H83" i="16"/>
  <c r="E433" i="24" s="1"/>
  <c r="G83" i="16"/>
  <c r="AB83" i="16"/>
  <c r="F84" i="16"/>
  <c r="C434" i="24" s="1"/>
  <c r="E84" i="16"/>
  <c r="B434" i="24" s="1"/>
  <c r="H84" i="16"/>
  <c r="AD84" i="16" s="1"/>
  <c r="G84" i="16"/>
  <c r="AB84" i="16"/>
  <c r="F85" i="16"/>
  <c r="E85" i="16"/>
  <c r="H85" i="16"/>
  <c r="AD85" i="16" s="1"/>
  <c r="G85" i="16"/>
  <c r="AB85" i="16"/>
  <c r="F86" i="16"/>
  <c r="AC86" i="16" s="1"/>
  <c r="E86" i="16"/>
  <c r="H86" i="16"/>
  <c r="E436" i="24" s="1"/>
  <c r="G86" i="16"/>
  <c r="AB86" i="16"/>
  <c r="F87" i="16"/>
  <c r="AC87" i="16" s="1"/>
  <c r="E87" i="16"/>
  <c r="H87" i="16"/>
  <c r="E437" i="24" s="1"/>
  <c r="G87" i="16"/>
  <c r="AB87" i="16"/>
  <c r="F88" i="16"/>
  <c r="AC88" i="16" s="1"/>
  <c r="E88" i="16"/>
  <c r="B438" i="24" s="1"/>
  <c r="H88" i="16"/>
  <c r="E438" i="24" s="1"/>
  <c r="G88" i="16"/>
  <c r="AB88" i="16"/>
  <c r="F89" i="16"/>
  <c r="E89" i="16"/>
  <c r="H89" i="16"/>
  <c r="G89" i="16"/>
  <c r="AB89" i="16"/>
  <c r="F90" i="16"/>
  <c r="C440" i="24" s="1"/>
  <c r="E90" i="16"/>
  <c r="H90" i="16"/>
  <c r="E440" i="24" s="1"/>
  <c r="G90" i="16"/>
  <c r="D440" i="24" s="1"/>
  <c r="AB90" i="16"/>
  <c r="F91" i="16"/>
  <c r="E91" i="16"/>
  <c r="H91" i="16"/>
  <c r="E441" i="24" s="1"/>
  <c r="G91" i="16"/>
  <c r="D441" i="24" s="1"/>
  <c r="AB91" i="16"/>
  <c r="F92" i="16"/>
  <c r="E92" i="16"/>
  <c r="H92" i="16"/>
  <c r="E442" i="24" s="1"/>
  <c r="G92" i="16"/>
  <c r="AB92" i="16"/>
  <c r="F93" i="16"/>
  <c r="E93" i="16"/>
  <c r="B443" i="24" s="1"/>
  <c r="H93" i="16"/>
  <c r="E443" i="24" s="1"/>
  <c r="G93" i="16"/>
  <c r="AB93" i="16"/>
  <c r="F94" i="16"/>
  <c r="AC94" i="16" s="1"/>
  <c r="E94" i="16"/>
  <c r="H94" i="16"/>
  <c r="E444" i="24" s="1"/>
  <c r="G94" i="16"/>
  <c r="D444" i="24" s="1"/>
  <c r="AB94" i="16"/>
  <c r="F95" i="16"/>
  <c r="C445" i="24" s="1"/>
  <c r="E95" i="16"/>
  <c r="H95" i="16"/>
  <c r="G95" i="16"/>
  <c r="AB95" i="16"/>
  <c r="F96" i="16"/>
  <c r="C446" i="24" s="1"/>
  <c r="E96" i="16"/>
  <c r="H96" i="16"/>
  <c r="AD96" i="16" s="1"/>
  <c r="G96" i="16"/>
  <c r="AB96" i="16"/>
  <c r="F97" i="16"/>
  <c r="E97" i="16"/>
  <c r="H97" i="16"/>
  <c r="E447" i="24" s="1"/>
  <c r="G97" i="16"/>
  <c r="AB97" i="16"/>
  <c r="F98" i="16"/>
  <c r="AC98" i="16" s="1"/>
  <c r="E98" i="16"/>
  <c r="H98" i="16"/>
  <c r="E448" i="24" s="1"/>
  <c r="G98" i="16"/>
  <c r="AB98" i="16"/>
  <c r="E24" i="16"/>
  <c r="H24" i="16"/>
  <c r="AD24" i="16" s="1"/>
  <c r="G24" i="16"/>
  <c r="I24" i="16"/>
  <c r="E25" i="16"/>
  <c r="H25" i="16"/>
  <c r="F254" i="24" s="1"/>
  <c r="G25" i="16"/>
  <c r="I25" i="16"/>
  <c r="AB25" i="16"/>
  <c r="E26" i="16"/>
  <c r="H26" i="16"/>
  <c r="AD26" i="16" s="1"/>
  <c r="G26" i="16"/>
  <c r="I26" i="16"/>
  <c r="AB26" i="16"/>
  <c r="E27" i="16"/>
  <c r="H27" i="16"/>
  <c r="F256" i="24" s="1"/>
  <c r="G27" i="16"/>
  <c r="I27" i="16"/>
  <c r="AB27" i="16" s="1"/>
  <c r="E28" i="16"/>
  <c r="H28" i="16"/>
  <c r="F257" i="24" s="1"/>
  <c r="G28" i="16"/>
  <c r="I28" i="16"/>
  <c r="AB28" i="16" s="1"/>
  <c r="E29" i="16"/>
  <c r="H29" i="16"/>
  <c r="F258" i="24" s="1"/>
  <c r="G29" i="16"/>
  <c r="I29" i="16"/>
  <c r="AB29" i="16"/>
  <c r="E30" i="16"/>
  <c r="H30" i="16"/>
  <c r="G30" i="16"/>
  <c r="I30" i="16"/>
  <c r="AB30" i="16" s="1"/>
  <c r="E31" i="16"/>
  <c r="H31" i="16"/>
  <c r="AD31" i="16" s="1"/>
  <c r="G31" i="16"/>
  <c r="I31" i="16"/>
  <c r="H101" i="16"/>
  <c r="E451" i="24" s="1"/>
  <c r="G101" i="16"/>
  <c r="AF28" i="16"/>
  <c r="F101" i="16"/>
  <c r="E101" i="16"/>
  <c r="H102" i="16"/>
  <c r="E452" i="24" s="1"/>
  <c r="G102" i="16"/>
  <c r="D452" i="24" s="1"/>
  <c r="F102" i="16"/>
  <c r="C452" i="24" s="1"/>
  <c r="E102" i="16"/>
  <c r="B452" i="24" s="1"/>
  <c r="H103" i="16"/>
  <c r="E453" i="24" s="1"/>
  <c r="G103" i="16"/>
  <c r="F103" i="16"/>
  <c r="C453" i="24" s="1"/>
  <c r="E103" i="16"/>
  <c r="H104" i="16"/>
  <c r="G104" i="16"/>
  <c r="D454" i="24" s="1"/>
  <c r="F104" i="16"/>
  <c r="E104" i="16"/>
  <c r="H105" i="16"/>
  <c r="E455" i="24" s="1"/>
  <c r="G105" i="16"/>
  <c r="F105" i="16"/>
  <c r="C455" i="24" s="1"/>
  <c r="E105" i="16"/>
  <c r="H106" i="16"/>
  <c r="E456" i="24" s="1"/>
  <c r="G106" i="16"/>
  <c r="D456" i="24" s="1"/>
  <c r="F106" i="16"/>
  <c r="C456" i="24" s="1"/>
  <c r="E106" i="16"/>
  <c r="H107" i="16"/>
  <c r="E457" i="24" s="1"/>
  <c r="G107" i="16"/>
  <c r="F107" i="16"/>
  <c r="C457" i="24" s="1"/>
  <c r="E107" i="16"/>
  <c r="H108" i="16"/>
  <c r="E458" i="24" s="1"/>
  <c r="G108" i="16"/>
  <c r="D458" i="24" s="1"/>
  <c r="F108" i="16"/>
  <c r="C458" i="24" s="1"/>
  <c r="E108" i="16"/>
  <c r="H109" i="16"/>
  <c r="G109" i="16"/>
  <c r="F109" i="16"/>
  <c r="C459" i="24" s="1"/>
  <c r="E109" i="16"/>
  <c r="H110" i="16"/>
  <c r="E460" i="24" s="1"/>
  <c r="G110" i="16"/>
  <c r="F110" i="16"/>
  <c r="AC110" i="16" s="1"/>
  <c r="E110" i="16"/>
  <c r="B460" i="24"/>
  <c r="H111" i="16"/>
  <c r="E461" i="24" s="1"/>
  <c r="G111" i="16"/>
  <c r="F111" i="16"/>
  <c r="AC111" i="16" s="1"/>
  <c r="E111" i="16"/>
  <c r="H112" i="16"/>
  <c r="E462" i="24" s="1"/>
  <c r="G112" i="16"/>
  <c r="F112" i="16"/>
  <c r="C462" i="24" s="1"/>
  <c r="E112" i="16"/>
  <c r="H113" i="16"/>
  <c r="E463" i="24" s="1"/>
  <c r="G113" i="16"/>
  <c r="F113" i="16"/>
  <c r="C463" i="24" s="1"/>
  <c r="E113" i="16"/>
  <c r="H114" i="16"/>
  <c r="E464" i="24" s="1"/>
  <c r="G114" i="16"/>
  <c r="F114" i="16"/>
  <c r="C464" i="24" s="1"/>
  <c r="E114" i="16"/>
  <c r="H115" i="16"/>
  <c r="E465" i="24" s="1"/>
  <c r="G115" i="16"/>
  <c r="F115" i="16"/>
  <c r="C465" i="24" s="1"/>
  <c r="E115" i="16"/>
  <c r="H116" i="16"/>
  <c r="E466" i="24" s="1"/>
  <c r="G116" i="16"/>
  <c r="F116" i="16"/>
  <c r="C466" i="24" s="1"/>
  <c r="E116" i="16"/>
  <c r="H117" i="16"/>
  <c r="E467" i="24" s="1"/>
  <c r="G117" i="16"/>
  <c r="F117" i="16"/>
  <c r="C467" i="24" s="1"/>
  <c r="E117" i="16"/>
  <c r="H118" i="16"/>
  <c r="E468" i="24" s="1"/>
  <c r="G118" i="16"/>
  <c r="F118" i="16"/>
  <c r="E118" i="16"/>
  <c r="H119" i="16"/>
  <c r="E469" i="24" s="1"/>
  <c r="G119" i="16"/>
  <c r="F119" i="16"/>
  <c r="C469" i="24" s="1"/>
  <c r="E119" i="16"/>
  <c r="B469" i="24"/>
  <c r="H120" i="16"/>
  <c r="E470" i="24" s="1"/>
  <c r="G120" i="16"/>
  <c r="F120" i="16"/>
  <c r="C470" i="24" s="1"/>
  <c r="E120" i="16"/>
  <c r="B470" i="24" s="1"/>
  <c r="E34" i="16"/>
  <c r="H34" i="16"/>
  <c r="F263" i="24" s="1"/>
  <c r="G34" i="16"/>
  <c r="I34" i="16"/>
  <c r="E35" i="16"/>
  <c r="H35" i="16"/>
  <c r="G35" i="16"/>
  <c r="I35" i="16"/>
  <c r="AB35" i="16"/>
  <c r="E36" i="16"/>
  <c r="H36" i="16"/>
  <c r="F265" i="24" s="1"/>
  <c r="G36" i="16"/>
  <c r="I36" i="16"/>
  <c r="E37" i="16"/>
  <c r="H37" i="16"/>
  <c r="AD37" i="16" s="1"/>
  <c r="G37" i="16"/>
  <c r="I37" i="16"/>
  <c r="E38" i="16"/>
  <c r="H38" i="16"/>
  <c r="F267" i="24" s="1"/>
  <c r="G38" i="16"/>
  <c r="I38" i="16"/>
  <c r="E39" i="16"/>
  <c r="H39" i="16"/>
  <c r="AD39" i="16" s="1"/>
  <c r="G39" i="16"/>
  <c r="I39" i="16"/>
  <c r="AB39" i="16" s="1"/>
  <c r="E40" i="16"/>
  <c r="C269" i="24" s="1"/>
  <c r="H40" i="16"/>
  <c r="AD40" i="16" s="1"/>
  <c r="G40" i="16"/>
  <c r="I40" i="16"/>
  <c r="AB40" i="16" s="1"/>
  <c r="E41" i="16"/>
  <c r="H41" i="16"/>
  <c r="G41" i="16"/>
  <c r="I41" i="16"/>
  <c r="AB41" i="16"/>
  <c r="F123" i="16"/>
  <c r="C473" i="24" s="1"/>
  <c r="E123" i="16"/>
  <c r="B473" i="24" s="1"/>
  <c r="H123" i="16"/>
  <c r="E473" i="24" s="1"/>
  <c r="G123" i="16"/>
  <c r="I123" i="16"/>
  <c r="F124" i="16"/>
  <c r="C474" i="24" s="1"/>
  <c r="E124" i="16"/>
  <c r="H124" i="16"/>
  <c r="E474" i="24" s="1"/>
  <c r="G124" i="16"/>
  <c r="I124" i="16"/>
  <c r="F125" i="16"/>
  <c r="E125" i="16"/>
  <c r="B475" i="24" s="1"/>
  <c r="H125" i="16"/>
  <c r="E475" i="24" s="1"/>
  <c r="G125" i="16"/>
  <c r="I125" i="16"/>
  <c r="F475" i="24" s="1"/>
  <c r="F126" i="16"/>
  <c r="AC126" i="16" s="1"/>
  <c r="E126" i="16"/>
  <c r="H126" i="16"/>
  <c r="E476" i="24" s="1"/>
  <c r="G126" i="16"/>
  <c r="I126" i="16"/>
  <c r="AB126" i="16" s="1"/>
  <c r="F127" i="16"/>
  <c r="C477" i="24" s="1"/>
  <c r="E127" i="16"/>
  <c r="H127" i="16"/>
  <c r="E477" i="24" s="1"/>
  <c r="G127" i="16"/>
  <c r="I127" i="16"/>
  <c r="AB127" i="16" s="1"/>
  <c r="F128" i="16"/>
  <c r="C478" i="24" s="1"/>
  <c r="E128" i="16"/>
  <c r="B478" i="24"/>
  <c r="H128" i="16"/>
  <c r="E478" i="24" s="1"/>
  <c r="G128" i="16"/>
  <c r="I128" i="16"/>
  <c r="F478" i="24" s="1"/>
  <c r="F129" i="16"/>
  <c r="C479" i="24" s="1"/>
  <c r="E129" i="16"/>
  <c r="B479" i="24" s="1"/>
  <c r="H129" i="16"/>
  <c r="E479" i="24" s="1"/>
  <c r="G129" i="16"/>
  <c r="I129" i="16"/>
  <c r="AB129" i="16" s="1"/>
  <c r="F130" i="16"/>
  <c r="AC130" i="16" s="1"/>
  <c r="E130" i="16"/>
  <c r="H130" i="16"/>
  <c r="E480" i="24" s="1"/>
  <c r="G130" i="16"/>
  <c r="I130" i="16"/>
  <c r="AB130" i="16" s="1"/>
  <c r="F131" i="16"/>
  <c r="E131" i="16"/>
  <c r="B481" i="24" s="1"/>
  <c r="H131" i="16"/>
  <c r="E481" i="24" s="1"/>
  <c r="G131" i="16"/>
  <c r="I131" i="16"/>
  <c r="AB131" i="16" s="1"/>
  <c r="F132" i="16"/>
  <c r="C482" i="24" s="1"/>
  <c r="E132" i="16"/>
  <c r="B482" i="24" s="1"/>
  <c r="H132" i="16"/>
  <c r="E482" i="24" s="1"/>
  <c r="G132" i="16"/>
  <c r="I132" i="16"/>
  <c r="F133" i="16"/>
  <c r="C483" i="24" s="1"/>
  <c r="E133" i="16"/>
  <c r="H133" i="16"/>
  <c r="AD133" i="16" s="1"/>
  <c r="G133" i="16"/>
  <c r="D483" i="24" s="1"/>
  <c r="I133" i="16"/>
  <c r="AB133" i="16"/>
  <c r="F134" i="16"/>
  <c r="AC134" i="16" s="1"/>
  <c r="E134" i="16"/>
  <c r="H134" i="16"/>
  <c r="AD134" i="16" s="1"/>
  <c r="G134" i="16"/>
  <c r="I134" i="16"/>
  <c r="F135" i="16"/>
  <c r="E135" i="16"/>
  <c r="H135" i="16"/>
  <c r="E485" i="24" s="1"/>
  <c r="G135" i="16"/>
  <c r="I135" i="16"/>
  <c r="F485" i="24" s="1"/>
  <c r="F136" i="16"/>
  <c r="E136" i="16"/>
  <c r="B486" i="24" s="1"/>
  <c r="H136" i="16"/>
  <c r="E486" i="24" s="1"/>
  <c r="G136" i="16"/>
  <c r="D486" i="24" s="1"/>
  <c r="I136" i="16"/>
  <c r="F486" i="24"/>
  <c r="F137" i="16"/>
  <c r="C487" i="24" s="1"/>
  <c r="E137" i="16"/>
  <c r="H137" i="16"/>
  <c r="E487" i="24" s="1"/>
  <c r="G137" i="16"/>
  <c r="I137" i="16"/>
  <c r="AB137" i="16" s="1"/>
  <c r="F138" i="16"/>
  <c r="E138" i="16"/>
  <c r="H138" i="16"/>
  <c r="E488" i="24" s="1"/>
  <c r="G138" i="16"/>
  <c r="I138" i="16"/>
  <c r="AB138" i="16" s="1"/>
  <c r="F139" i="16"/>
  <c r="C489" i="24" s="1"/>
  <c r="E139" i="16"/>
  <c r="B489" i="24" s="1"/>
  <c r="H139" i="16"/>
  <c r="E489" i="24" s="1"/>
  <c r="G139" i="16"/>
  <c r="D489" i="24" s="1"/>
  <c r="I139" i="16"/>
  <c r="F489" i="24" s="1"/>
  <c r="F140" i="16"/>
  <c r="AC140" i="16" s="1"/>
  <c r="E140" i="16"/>
  <c r="H140" i="16"/>
  <c r="AD140" i="16" s="1"/>
  <c r="G140" i="16"/>
  <c r="D490" i="24"/>
  <c r="I140" i="16"/>
  <c r="AB140" i="16" s="1"/>
  <c r="F141" i="16"/>
  <c r="C491" i="24" s="1"/>
  <c r="E141" i="16"/>
  <c r="H141" i="16"/>
  <c r="E491" i="24" s="1"/>
  <c r="G141" i="16"/>
  <c r="I141" i="16"/>
  <c r="F142" i="16"/>
  <c r="C492" i="24" s="1"/>
  <c r="E142" i="16"/>
  <c r="B492" i="24" s="1"/>
  <c r="H142" i="16"/>
  <c r="E492" i="24" s="1"/>
  <c r="G142" i="16"/>
  <c r="I142" i="16"/>
  <c r="AB142" i="16" s="1"/>
  <c r="AI46" i="19"/>
  <c r="AI47" i="19" s="1"/>
  <c r="E62" i="19"/>
  <c r="F65" i="19"/>
  <c r="E65" i="19"/>
  <c r="E44" i="19"/>
  <c r="AM45" i="19" s="1"/>
  <c r="E23" i="19"/>
  <c r="AM24" i="19"/>
  <c r="AH258" i="19"/>
  <c r="AG27" i="19"/>
  <c r="AE50" i="19"/>
  <c r="AM48" i="19" s="1"/>
  <c r="AI45" i="19"/>
  <c r="E41" i="19"/>
  <c r="AM46" i="19" s="1"/>
  <c r="AM47" i="19" s="1"/>
  <c r="F44" i="19"/>
  <c r="AT66" i="19"/>
  <c r="AO157" i="19"/>
  <c r="AN157" i="19"/>
  <c r="AB172" i="19"/>
  <c r="AB171" i="19"/>
  <c r="AB170" i="19"/>
  <c r="AB169" i="19"/>
  <c r="AB168" i="19"/>
  <c r="AB167" i="19"/>
  <c r="AB166" i="19"/>
  <c r="AB165" i="19"/>
  <c r="AB164" i="19"/>
  <c r="AB163" i="19"/>
  <c r="AB162" i="19"/>
  <c r="AB161" i="19"/>
  <c r="AB160" i="19"/>
  <c r="AB159" i="19"/>
  <c r="AB158" i="19"/>
  <c r="AT157" i="19"/>
  <c r="L19" i="19"/>
  <c r="I10" i="19"/>
  <c r="K23" i="19"/>
  <c r="CS11" i="19" s="1"/>
  <c r="CU11" i="19" s="1"/>
  <c r="CV11" i="19" s="1"/>
  <c r="L23" i="19"/>
  <c r="CT11" i="19" s="1"/>
  <c r="K24" i="19"/>
  <c r="CS12" i="19" s="1"/>
  <c r="L24" i="19"/>
  <c r="CT12" i="19"/>
  <c r="K25" i="19"/>
  <c r="CS13" i="19" s="1"/>
  <c r="L25" i="19"/>
  <c r="K26" i="19"/>
  <c r="CS14" i="19" s="1"/>
  <c r="L26" i="19"/>
  <c r="CT14" i="19" s="1"/>
  <c r="K27" i="19"/>
  <c r="CS15" i="19" s="1"/>
  <c r="L27" i="19"/>
  <c r="CT15" i="19" s="1"/>
  <c r="K28" i="19"/>
  <c r="CS16" i="19" s="1"/>
  <c r="L28" i="19"/>
  <c r="CT16" i="19" s="1"/>
  <c r="K29" i="19"/>
  <c r="L29" i="19"/>
  <c r="CT17" i="19" s="1"/>
  <c r="K30" i="19"/>
  <c r="CS18" i="19" s="1"/>
  <c r="L30" i="19"/>
  <c r="CT18" i="19" s="1"/>
  <c r="K31" i="19"/>
  <c r="CS19" i="19" s="1"/>
  <c r="L31" i="19"/>
  <c r="CT19" i="19" s="1"/>
  <c r="K32" i="19"/>
  <c r="L32" i="19"/>
  <c r="CT20" i="19" s="1"/>
  <c r="D22" i="17"/>
  <c r="D23" i="17"/>
  <c r="D24" i="17"/>
  <c r="E56" i="17"/>
  <c r="H22" i="17"/>
  <c r="I21" i="17" s="1"/>
  <c r="AE64" i="19"/>
  <c r="K66" i="19"/>
  <c r="CS52" i="19" s="1"/>
  <c r="L66" i="19"/>
  <c r="K67" i="19"/>
  <c r="CS53" i="19"/>
  <c r="CU53" i="19" s="1"/>
  <c r="CV53" i="19" s="1"/>
  <c r="L67" i="19"/>
  <c r="CT53" i="19" s="1"/>
  <c r="K68" i="19"/>
  <c r="L68" i="19"/>
  <c r="CT54" i="19" s="1"/>
  <c r="K69" i="19"/>
  <c r="L69" i="19"/>
  <c r="CT55" i="19" s="1"/>
  <c r="K70" i="19"/>
  <c r="CS56" i="19" s="1"/>
  <c r="L70" i="19"/>
  <c r="CT56" i="19" s="1"/>
  <c r="K71" i="19"/>
  <c r="CS57" i="19" s="1"/>
  <c r="CU57" i="19" s="1"/>
  <c r="CV57" i="19" s="1"/>
  <c r="L71" i="19"/>
  <c r="CT57" i="19" s="1"/>
  <c r="K72" i="19"/>
  <c r="CS58" i="19" s="1"/>
  <c r="CU58" i="19" s="1"/>
  <c r="CV58" i="19" s="1"/>
  <c r="L72" i="19"/>
  <c r="CT58" i="19" s="1"/>
  <c r="K73" i="19"/>
  <c r="L73" i="19"/>
  <c r="CT59" i="19" s="1"/>
  <c r="K75" i="19"/>
  <c r="CS61" i="19"/>
  <c r="L75" i="19"/>
  <c r="CT61" i="19"/>
  <c r="AE46" i="19"/>
  <c r="I11" i="19"/>
  <c r="K45" i="19"/>
  <c r="CS31" i="19" s="1"/>
  <c r="CU31" i="19" s="1"/>
  <c r="CV31" i="19" s="1"/>
  <c r="L45" i="19"/>
  <c r="CT31" i="19" s="1"/>
  <c r="K46" i="19"/>
  <c r="CS32" i="19" s="1"/>
  <c r="L46" i="19"/>
  <c r="CT32" i="19"/>
  <c r="K47" i="19"/>
  <c r="L47" i="19"/>
  <c r="K48" i="19"/>
  <c r="CS34" i="19" s="1"/>
  <c r="L48" i="19"/>
  <c r="CT34" i="19" s="1"/>
  <c r="K49" i="19"/>
  <c r="CS35" i="19" s="1"/>
  <c r="L49" i="19"/>
  <c r="CT35" i="19" s="1"/>
  <c r="K50" i="19"/>
  <c r="CS36" i="19" s="1"/>
  <c r="L50" i="19"/>
  <c r="K51" i="19"/>
  <c r="CS37" i="19"/>
  <c r="CU37" i="19" s="1"/>
  <c r="CV37" i="19" s="1"/>
  <c r="L51" i="19"/>
  <c r="CT37" i="19" s="1"/>
  <c r="K52" i="19"/>
  <c r="CS38" i="19" s="1"/>
  <c r="L52" i="19"/>
  <c r="CT38" i="19" s="1"/>
  <c r="K53" i="19"/>
  <c r="CS39" i="19" s="1"/>
  <c r="L53" i="19"/>
  <c r="CT39" i="19"/>
  <c r="K54" i="19"/>
  <c r="CS40" i="19"/>
  <c r="L54" i="19"/>
  <c r="CT40" i="19" s="1"/>
  <c r="A65" i="17"/>
  <c r="A64" i="17"/>
  <c r="A63" i="17"/>
  <c r="AB347" i="19"/>
  <c r="A62" i="17"/>
  <c r="A387" i="24" s="1"/>
  <c r="AB346" i="19"/>
  <c r="A61" i="17"/>
  <c r="AB345" i="19"/>
  <c r="A60" i="17"/>
  <c r="AB344" i="19" s="1"/>
  <c r="AB343" i="19"/>
  <c r="AB342" i="19"/>
  <c r="AB341" i="19"/>
  <c r="AB340" i="19"/>
  <c r="AB339" i="19"/>
  <c r="AB338" i="19"/>
  <c r="AB337" i="19"/>
  <c r="AB336" i="19"/>
  <c r="AB335" i="19"/>
  <c r="AB334" i="19"/>
  <c r="AB333" i="19"/>
  <c r="AB332" i="19"/>
  <c r="AB331" i="19"/>
  <c r="AB330" i="19"/>
  <c r="AB329" i="19"/>
  <c r="AB328" i="19"/>
  <c r="AB327" i="19"/>
  <c r="AB326" i="19"/>
  <c r="AB325" i="19"/>
  <c r="AB324" i="19"/>
  <c r="AB323" i="19"/>
  <c r="AB322" i="19"/>
  <c r="AB321" i="19"/>
  <c r="AB320" i="19"/>
  <c r="AB319" i="19"/>
  <c r="AB318" i="19"/>
  <c r="AB317" i="19"/>
  <c r="AB316" i="19"/>
  <c r="AB315" i="19"/>
  <c r="AU122" i="19"/>
  <c r="AV122" i="19"/>
  <c r="AW122" i="19"/>
  <c r="AU123" i="19"/>
  <c r="AV123" i="19"/>
  <c r="AW123" i="19"/>
  <c r="AU124" i="19"/>
  <c r="AV124" i="19"/>
  <c r="AW124" i="19"/>
  <c r="AU125" i="19"/>
  <c r="AV125" i="19"/>
  <c r="AW125" i="19"/>
  <c r="AU126" i="19"/>
  <c r="AV126" i="19"/>
  <c r="AW126" i="19"/>
  <c r="AU127" i="19"/>
  <c r="AV127" i="19"/>
  <c r="AW127" i="19"/>
  <c r="AU128" i="19"/>
  <c r="AV128" i="19"/>
  <c r="AW128" i="19"/>
  <c r="AU129" i="19"/>
  <c r="AV129" i="19"/>
  <c r="AW129" i="19"/>
  <c r="AU130" i="19"/>
  <c r="AV130" i="19"/>
  <c r="AW130" i="19"/>
  <c r="AU121" i="19"/>
  <c r="AV121" i="19"/>
  <c r="AW121" i="19"/>
  <c r="BB31" i="19"/>
  <c r="AB279" i="19"/>
  <c r="AB278" i="19"/>
  <c r="AB277" i="19"/>
  <c r="AS66" i="19" s="1"/>
  <c r="T15" i="15"/>
  <c r="T16" i="15"/>
  <c r="T17" i="15"/>
  <c r="Z12" i="15"/>
  <c r="Y12" i="15"/>
  <c r="Z13" i="15"/>
  <c r="Y13" i="15"/>
  <c r="S4" i="15"/>
  <c r="F472" i="24"/>
  <c r="D472" i="24"/>
  <c r="C472" i="24"/>
  <c r="B472" i="24"/>
  <c r="F450" i="24"/>
  <c r="E450" i="24"/>
  <c r="D450" i="24"/>
  <c r="C450" i="24"/>
  <c r="B450" i="24"/>
  <c r="E472" i="24"/>
  <c r="E10" i="20"/>
  <c r="D10" i="20"/>
  <c r="J4" i="20" s="1"/>
  <c r="H4" i="20" s="1"/>
  <c r="K54" i="10" s="1"/>
  <c r="D11" i="20"/>
  <c r="D474" i="24"/>
  <c r="D476" i="24"/>
  <c r="F476" i="24"/>
  <c r="F477" i="24"/>
  <c r="F479" i="24"/>
  <c r="F481" i="24"/>
  <c r="F483" i="24"/>
  <c r="D484" i="24"/>
  <c r="D487" i="24"/>
  <c r="F487" i="24"/>
  <c r="F488" i="24"/>
  <c r="D492" i="24"/>
  <c r="F492" i="24"/>
  <c r="B480" i="24"/>
  <c r="B483" i="24"/>
  <c r="B484" i="24"/>
  <c r="B485" i="24"/>
  <c r="B487" i="24"/>
  <c r="B488" i="24"/>
  <c r="B491" i="24"/>
  <c r="D453" i="24"/>
  <c r="D455" i="24"/>
  <c r="D457" i="24"/>
  <c r="D459" i="24"/>
  <c r="D461" i="24"/>
  <c r="D464" i="24"/>
  <c r="D467" i="24"/>
  <c r="D469" i="24"/>
  <c r="D470" i="24"/>
  <c r="B453" i="24"/>
  <c r="B454" i="24"/>
  <c r="B455" i="24"/>
  <c r="B456" i="24"/>
  <c r="B457" i="24"/>
  <c r="B461" i="24"/>
  <c r="B463" i="24"/>
  <c r="B466" i="24"/>
  <c r="B468" i="24"/>
  <c r="B451" i="24"/>
  <c r="D432" i="24"/>
  <c r="D433" i="24"/>
  <c r="D434" i="24"/>
  <c r="D435" i="24"/>
  <c r="D437" i="24"/>
  <c r="D439" i="24"/>
  <c r="D443" i="24"/>
  <c r="D445" i="24"/>
  <c r="D446" i="24"/>
  <c r="D447" i="24"/>
  <c r="D448" i="24"/>
  <c r="D429" i="24"/>
  <c r="B430" i="24"/>
  <c r="B431" i="24"/>
  <c r="B432" i="24"/>
  <c r="B433" i="24"/>
  <c r="B435" i="24"/>
  <c r="B436" i="24"/>
  <c r="B439" i="24"/>
  <c r="B440" i="24"/>
  <c r="B441" i="24"/>
  <c r="B442" i="24"/>
  <c r="B444" i="24"/>
  <c r="B445" i="24"/>
  <c r="B446" i="24"/>
  <c r="B447" i="24"/>
  <c r="B448" i="24"/>
  <c r="B429" i="24"/>
  <c r="F408" i="24"/>
  <c r="G408" i="24"/>
  <c r="D409" i="24"/>
  <c r="F409" i="24"/>
  <c r="G409" i="24"/>
  <c r="D410" i="24"/>
  <c r="F410" i="24"/>
  <c r="D411" i="24"/>
  <c r="F411" i="24"/>
  <c r="D412" i="24"/>
  <c r="F412" i="24"/>
  <c r="G412" i="24"/>
  <c r="D413" i="24"/>
  <c r="D414" i="24"/>
  <c r="G414" i="24"/>
  <c r="D415" i="24"/>
  <c r="F415" i="24"/>
  <c r="G415" i="24"/>
  <c r="D416" i="24"/>
  <c r="F416" i="24"/>
  <c r="D417" i="24"/>
  <c r="G417" i="24"/>
  <c r="F418" i="24"/>
  <c r="G418" i="24"/>
  <c r="D419" i="24"/>
  <c r="F419" i="24"/>
  <c r="G419" i="24"/>
  <c r="D420" i="24"/>
  <c r="G420" i="24"/>
  <c r="F421" i="24"/>
  <c r="G421" i="24"/>
  <c r="F422" i="24"/>
  <c r="G422" i="24"/>
  <c r="G423" i="24"/>
  <c r="F424" i="24"/>
  <c r="G424" i="24"/>
  <c r="F425" i="24"/>
  <c r="G425" i="24"/>
  <c r="D426" i="24"/>
  <c r="F426" i="24"/>
  <c r="F407" i="24"/>
  <c r="G407" i="24"/>
  <c r="B408" i="24"/>
  <c r="B409" i="24"/>
  <c r="B410" i="24"/>
  <c r="B411" i="24"/>
  <c r="B412" i="24"/>
  <c r="B413" i="24"/>
  <c r="B414" i="24"/>
  <c r="B416" i="24"/>
  <c r="B417" i="24"/>
  <c r="B419" i="24"/>
  <c r="B420" i="24"/>
  <c r="B421" i="24"/>
  <c r="B422" i="24"/>
  <c r="B424" i="24"/>
  <c r="B425" i="24"/>
  <c r="B426" i="24"/>
  <c r="H27" i="5"/>
  <c r="F217" i="24" s="1"/>
  <c r="G21" i="5"/>
  <c r="E213" i="24" s="1"/>
  <c r="G20" i="5"/>
  <c r="F21" i="5"/>
  <c r="F20" i="5"/>
  <c r="D211" i="24" s="1"/>
  <c r="F16" i="5"/>
  <c r="D207" i="24" s="1"/>
  <c r="G16" i="5"/>
  <c r="E207" i="24" s="1"/>
  <c r="F17" i="5"/>
  <c r="D208" i="24" s="1"/>
  <c r="G17" i="5"/>
  <c r="E208" i="24" s="1"/>
  <c r="F18" i="5"/>
  <c r="D209" i="24" s="1"/>
  <c r="G18" i="5"/>
  <c r="F19" i="5"/>
  <c r="D210" i="24" s="1"/>
  <c r="G19" i="5"/>
  <c r="E210" i="24" s="1"/>
  <c r="F22" i="5"/>
  <c r="D212" i="24" s="1"/>
  <c r="G22" i="5"/>
  <c r="E212" i="24"/>
  <c r="E18" i="4"/>
  <c r="C378" i="24" s="1"/>
  <c r="F18" i="4"/>
  <c r="E19" i="4"/>
  <c r="C379" i="24" s="1"/>
  <c r="F19" i="4"/>
  <c r="D379" i="24" s="1"/>
  <c r="E20" i="4"/>
  <c r="C380" i="24" s="1"/>
  <c r="F20" i="4"/>
  <c r="D380" i="24" s="1"/>
  <c r="E21" i="4"/>
  <c r="C381" i="24" s="1"/>
  <c r="F21" i="4"/>
  <c r="E22" i="4"/>
  <c r="C382" i="24"/>
  <c r="E23" i="4"/>
  <c r="F17" i="4"/>
  <c r="E121" i="24" s="1"/>
  <c r="E17" i="4"/>
  <c r="BC185" i="2"/>
  <c r="G13" i="5"/>
  <c r="E204" i="24" s="1"/>
  <c r="F13" i="5"/>
  <c r="P100" i="5"/>
  <c r="P99" i="5"/>
  <c r="P98" i="5"/>
  <c r="P97" i="5"/>
  <c r="P96" i="5"/>
  <c r="Q96" i="5"/>
  <c r="S13" i="13"/>
  <c r="G13" i="13"/>
  <c r="F13" i="13" s="1"/>
  <c r="R13" i="13" s="1"/>
  <c r="P18" i="5"/>
  <c r="V15" i="13"/>
  <c r="S15" i="13"/>
  <c r="P20" i="5"/>
  <c r="V14" i="13"/>
  <c r="B48" i="12"/>
  <c r="A51" i="12"/>
  <c r="P118" i="5"/>
  <c r="A49" i="12"/>
  <c r="P117" i="5" s="1"/>
  <c r="A48" i="12"/>
  <c r="P116" i="5"/>
  <c r="A47" i="12"/>
  <c r="A46" i="12"/>
  <c r="P114" i="5"/>
  <c r="P113" i="5"/>
  <c r="P112" i="5"/>
  <c r="P111" i="5"/>
  <c r="P19" i="5"/>
  <c r="P21" i="5"/>
  <c r="Q111" i="5"/>
  <c r="G16" i="13"/>
  <c r="F16" i="13"/>
  <c r="R16" i="13" s="1"/>
  <c r="N22" i="5"/>
  <c r="P22" i="5"/>
  <c r="F6" i="5"/>
  <c r="G6" i="5"/>
  <c r="E197" i="24" s="1"/>
  <c r="P80" i="5"/>
  <c r="P79" i="5"/>
  <c r="Q79" i="5"/>
  <c r="F28" i="5"/>
  <c r="G27" i="5"/>
  <c r="E217" i="24" s="1"/>
  <c r="F27" i="5"/>
  <c r="P7" i="5"/>
  <c r="F7" i="5"/>
  <c r="G7" i="5"/>
  <c r="M7" i="5" s="1"/>
  <c r="P8" i="5"/>
  <c r="F8" i="5"/>
  <c r="D199" i="24" s="1"/>
  <c r="G8" i="5"/>
  <c r="E199" i="24"/>
  <c r="P9" i="5"/>
  <c r="F9" i="5"/>
  <c r="O9" i="5" s="1"/>
  <c r="G9" i="5"/>
  <c r="M9" i="5"/>
  <c r="T33" i="4"/>
  <c r="X50" i="4" s="1"/>
  <c r="Q62" i="4"/>
  <c r="O9" i="4"/>
  <c r="R72" i="2"/>
  <c r="G6" i="2" s="1"/>
  <c r="Z40" i="2"/>
  <c r="T40" i="2"/>
  <c r="P20" i="2"/>
  <c r="BI34" i="2"/>
  <c r="BO34" i="2" s="1"/>
  <c r="BJ34" i="2"/>
  <c r="BK34" i="2"/>
  <c r="W17" i="22"/>
  <c r="T17" i="22" s="1"/>
  <c r="T18" i="22" s="1"/>
  <c r="G20" i="2"/>
  <c r="G21" i="2"/>
  <c r="F34" i="24"/>
  <c r="G22" i="2"/>
  <c r="G23" i="2"/>
  <c r="F36" i="24" s="1"/>
  <c r="G24" i="2"/>
  <c r="D49" i="24"/>
  <c r="Y43" i="2"/>
  <c r="BE43" i="2" s="1"/>
  <c r="BE33" i="2"/>
  <c r="C13" i="6"/>
  <c r="C13" i="26"/>
  <c r="G13" i="26"/>
  <c r="G76" i="26" s="1"/>
  <c r="BE13" i="26"/>
  <c r="V10" i="13"/>
  <c r="F15" i="4"/>
  <c r="E115" i="24" s="1"/>
  <c r="E15" i="4"/>
  <c r="V11" i="13"/>
  <c r="F95" i="4"/>
  <c r="E185" i="24" s="1"/>
  <c r="O131" i="4"/>
  <c r="O130" i="4"/>
  <c r="O129" i="4"/>
  <c r="O128" i="4"/>
  <c r="S17" i="13"/>
  <c r="G17" i="13" s="1"/>
  <c r="F17" i="13" s="1"/>
  <c r="R17" i="13" s="1"/>
  <c r="N18" i="4"/>
  <c r="H145" i="10"/>
  <c r="S18" i="13"/>
  <c r="G18" i="13" s="1"/>
  <c r="F18" i="13" s="1"/>
  <c r="R18" i="13" s="1"/>
  <c r="N17" i="5" s="1"/>
  <c r="L19" i="4"/>
  <c r="N19" i="4"/>
  <c r="N20" i="4"/>
  <c r="O118" i="4"/>
  <c r="A50" i="12"/>
  <c r="O117" i="4" s="1"/>
  <c r="O115" i="4"/>
  <c r="O113" i="4"/>
  <c r="N21" i="4"/>
  <c r="W21" i="4" s="1"/>
  <c r="O122" i="4"/>
  <c r="O121" i="4"/>
  <c r="O119" i="4"/>
  <c r="N22" i="4"/>
  <c r="N23" i="4"/>
  <c r="P16" i="5"/>
  <c r="P17" i="5"/>
  <c r="E35" i="26"/>
  <c r="BE14" i="26"/>
  <c r="F35" i="26"/>
  <c r="BE15" i="26"/>
  <c r="G35" i="26"/>
  <c r="D35" i="26"/>
  <c r="X8" i="26"/>
  <c r="H5" i="26"/>
  <c r="AP29" i="26"/>
  <c r="T207" i="2"/>
  <c r="T331" i="2"/>
  <c r="T333" i="2" s="1"/>
  <c r="T252" i="2"/>
  <c r="T232" i="2"/>
  <c r="T266" i="2"/>
  <c r="T268" i="2" s="1"/>
  <c r="T274" i="2" s="1"/>
  <c r="T220" i="2"/>
  <c r="T218" i="2"/>
  <c r="T217" i="2"/>
  <c r="T215" i="2"/>
  <c r="T213" i="2"/>
  <c r="T346" i="2"/>
  <c r="T344" i="2"/>
  <c r="T343" i="2"/>
  <c r="T342" i="2"/>
  <c r="T339" i="2"/>
  <c r="T337" i="2"/>
  <c r="T336" i="2"/>
  <c r="T335" i="2"/>
  <c r="T334" i="2"/>
  <c r="T332" i="2"/>
  <c r="T330" i="2"/>
  <c r="T329" i="2"/>
  <c r="T328" i="2"/>
  <c r="T327" i="2"/>
  <c r="T326" i="2"/>
  <c r="T325" i="2"/>
  <c r="T324" i="2"/>
  <c r="T323" i="2"/>
  <c r="T322" i="2"/>
  <c r="T321" i="2"/>
  <c r="T320" i="2"/>
  <c r="T319" i="2"/>
  <c r="T318" i="2"/>
  <c r="T317" i="2"/>
  <c r="T316" i="2"/>
  <c r="T315" i="2"/>
  <c r="T314" i="2"/>
  <c r="T313" i="2"/>
  <c r="T312" i="2"/>
  <c r="T311" i="2"/>
  <c r="T310" i="2"/>
  <c r="T309" i="2"/>
  <c r="T308"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3" i="2"/>
  <c r="T272" i="2"/>
  <c r="T271" i="2"/>
  <c r="T270" i="2"/>
  <c r="T269" i="2"/>
  <c r="T267" i="2"/>
  <c r="T265" i="2"/>
  <c r="T264" i="2"/>
  <c r="T263" i="2"/>
  <c r="T262" i="2"/>
  <c r="T261" i="2"/>
  <c r="T260" i="2"/>
  <c r="T259" i="2"/>
  <c r="T258" i="2"/>
  <c r="T257" i="2"/>
  <c r="T255" i="2"/>
  <c r="T254" i="2"/>
  <c r="T253" i="2"/>
  <c r="T251" i="2"/>
  <c r="T250" i="2"/>
  <c r="T249" i="2"/>
  <c r="T248" i="2"/>
  <c r="T247" i="2"/>
  <c r="T246" i="2"/>
  <c r="T245" i="2"/>
  <c r="T244" i="2"/>
  <c r="T243" i="2"/>
  <c r="T242" i="2"/>
  <c r="T241" i="2"/>
  <c r="T240" i="2"/>
  <c r="T239" i="2"/>
  <c r="T238" i="2"/>
  <c r="T237" i="2"/>
  <c r="T236" i="2"/>
  <c r="T235" i="2"/>
  <c r="T234" i="2"/>
  <c r="T233" i="2"/>
  <c r="T231" i="2"/>
  <c r="T230" i="2"/>
  <c r="T229" i="2"/>
  <c r="T228" i="2"/>
  <c r="T227" i="2"/>
  <c r="T225" i="2"/>
  <c r="T224" i="2"/>
  <c r="T223" i="2"/>
  <c r="T222" i="2"/>
  <c r="T221" i="2"/>
  <c r="T219" i="2"/>
  <c r="T216" i="2"/>
  <c r="T214" i="2"/>
  <c r="T212" i="2"/>
  <c r="T211" i="2"/>
  <c r="T210" i="2"/>
  <c r="T209" i="2"/>
  <c r="T208" i="2"/>
  <c r="T205" i="2"/>
  <c r="T204" i="2"/>
  <c r="T203" i="2"/>
  <c r="T201" i="2"/>
  <c r="T200" i="2"/>
  <c r="T199" i="2"/>
  <c r="T198" i="2"/>
  <c r="T197" i="2"/>
  <c r="T196" i="2"/>
  <c r="T194" i="2"/>
  <c r="T193" i="2"/>
  <c r="T192" i="2"/>
  <c r="T191" i="2"/>
  <c r="T190" i="2"/>
  <c r="T189" i="2"/>
  <c r="T188" i="2"/>
  <c r="T187" i="2"/>
  <c r="T186" i="2"/>
  <c r="T185" i="2"/>
  <c r="T184" i="2"/>
  <c r="T183" i="2"/>
  <c r="T182" i="2"/>
  <c r="T181" i="2"/>
  <c r="T180" i="2"/>
  <c r="T179" i="2"/>
  <c r="T178" i="2"/>
  <c r="T177" i="2"/>
  <c r="T176" i="2"/>
  <c r="T173" i="2"/>
  <c r="T172" i="2"/>
  <c r="T171" i="2"/>
  <c r="T170" i="2"/>
  <c r="T168" i="2"/>
  <c r="T167" i="2"/>
  <c r="T166" i="2"/>
  <c r="T165" i="2"/>
  <c r="T164" i="2"/>
  <c r="T163" i="2"/>
  <c r="T162" i="2"/>
  <c r="T161" i="2"/>
  <c r="T159" i="2"/>
  <c r="T158" i="2"/>
  <c r="T156" i="2"/>
  <c r="T155" i="2"/>
  <c r="T154" i="2"/>
  <c r="T153" i="2"/>
  <c r="AL17" i="26"/>
  <c r="BB15" i="26"/>
  <c r="BL6" i="26"/>
  <c r="BB14" i="26"/>
  <c r="BB13" i="26"/>
  <c r="BB12" i="26"/>
  <c r="BE11" i="26"/>
  <c r="D98" i="26"/>
  <c r="E98" i="26"/>
  <c r="C99" i="26"/>
  <c r="C100" i="26"/>
  <c r="C101" i="26"/>
  <c r="C103" i="26"/>
  <c r="AJ4" i="26"/>
  <c r="AJ5" i="26"/>
  <c r="U6" i="26"/>
  <c r="AJ6" i="26"/>
  <c r="AJ7" i="26"/>
  <c r="AL7" i="26"/>
  <c r="AB8" i="26"/>
  <c r="G21" i="26"/>
  <c r="AR11" i="26"/>
  <c r="AC14" i="26"/>
  <c r="AD14" i="26"/>
  <c r="J16" i="26"/>
  <c r="J17" i="26"/>
  <c r="D18" i="26"/>
  <c r="D81" i="26" s="1"/>
  <c r="J21" i="26"/>
  <c r="J23" i="26"/>
  <c r="J25" i="26"/>
  <c r="D56" i="26"/>
  <c r="E56" i="26"/>
  <c r="D57" i="26"/>
  <c r="E58" i="26"/>
  <c r="F58" i="26"/>
  <c r="AB73" i="26"/>
  <c r="E77" i="26"/>
  <c r="F77" i="26"/>
  <c r="F78" i="26"/>
  <c r="D79" i="26"/>
  <c r="E79" i="26"/>
  <c r="E80" i="26"/>
  <c r="F80" i="26"/>
  <c r="BE126" i="26"/>
  <c r="BE127" i="26"/>
  <c r="BE128" i="26"/>
  <c r="BE129" i="26"/>
  <c r="BE130" i="26"/>
  <c r="BE131" i="26"/>
  <c r="BE132" i="26"/>
  <c r="BE133" i="26"/>
  <c r="BE134" i="26"/>
  <c r="BE135" i="26"/>
  <c r="BE136" i="26"/>
  <c r="BE137" i="26"/>
  <c r="BE138" i="26"/>
  <c r="BE139" i="26"/>
  <c r="BE140" i="26"/>
  <c r="BE141" i="26"/>
  <c r="BE142" i="26"/>
  <c r="BE143" i="26"/>
  <c r="BE144" i="26"/>
  <c r="BE145" i="26"/>
  <c r="BE146" i="26"/>
  <c r="BE147" i="26"/>
  <c r="BE148" i="26"/>
  <c r="BE149" i="26"/>
  <c r="BE150" i="26"/>
  <c r="BE151" i="26"/>
  <c r="BE152" i="26"/>
  <c r="BE153" i="26"/>
  <c r="BE154" i="26"/>
  <c r="BE155" i="26"/>
  <c r="BE156" i="26"/>
  <c r="BE157" i="26"/>
  <c r="E158" i="26"/>
  <c r="BE158" i="26"/>
  <c r="AK200" i="26"/>
  <c r="C162" i="26" s="1"/>
  <c r="AK201" i="26"/>
  <c r="C163" i="26"/>
  <c r="AK203" i="26"/>
  <c r="C165" i="26"/>
  <c r="BE167" i="26"/>
  <c r="BE168" i="26"/>
  <c r="BE169" i="26"/>
  <c r="BE170" i="26"/>
  <c r="BE171" i="26"/>
  <c r="BE172" i="26"/>
  <c r="BE173" i="26"/>
  <c r="D181" i="26"/>
  <c r="C182" i="26"/>
  <c r="C183" i="26"/>
  <c r="C184" i="26"/>
  <c r="C185" i="26"/>
  <c r="AK188" i="26"/>
  <c r="AQ186" i="26" s="1"/>
  <c r="AY185" i="26"/>
  <c r="AK189" i="26"/>
  <c r="AZ185" i="26"/>
  <c r="AK190" i="26"/>
  <c r="AQ188" i="26" s="1"/>
  <c r="AK191" i="26"/>
  <c r="AK192" i="26"/>
  <c r="AK193" i="26"/>
  <c r="AK197" i="26"/>
  <c r="AK198" i="26"/>
  <c r="AK202" i="26"/>
  <c r="AK204" i="26"/>
  <c r="AK205" i="26"/>
  <c r="C269" i="26"/>
  <c r="G269" i="26" s="1"/>
  <c r="C270" i="26"/>
  <c r="G270" i="26" s="1"/>
  <c r="C271" i="26"/>
  <c r="G271" i="26" s="1"/>
  <c r="C272" i="26"/>
  <c r="G272" i="26" s="1"/>
  <c r="C273" i="26"/>
  <c r="G273" i="26"/>
  <c r="C274" i="26"/>
  <c r="G274" i="26" s="1"/>
  <c r="C275" i="26"/>
  <c r="G275" i="26"/>
  <c r="C276" i="26"/>
  <c r="G276" i="26" s="1"/>
  <c r="C277" i="26"/>
  <c r="G277" i="26"/>
  <c r="C278" i="26"/>
  <c r="G278" i="26" s="1"/>
  <c r="C279" i="26"/>
  <c r="G279" i="26" s="1"/>
  <c r="C280" i="26"/>
  <c r="G280" i="26" s="1"/>
  <c r="C281" i="26"/>
  <c r="G281" i="26"/>
  <c r="C282" i="26"/>
  <c r="G282" i="26" s="1"/>
  <c r="C283" i="26"/>
  <c r="G283" i="26" s="1"/>
  <c r="C284" i="26"/>
  <c r="G284" i="26" s="1"/>
  <c r="C285" i="26"/>
  <c r="G285" i="26" s="1"/>
  <c r="C286" i="26"/>
  <c r="G286" i="26" s="1"/>
  <c r="C287" i="26"/>
  <c r="G287" i="26" s="1"/>
  <c r="C288" i="26"/>
  <c r="G288" i="26" s="1"/>
  <c r="C289" i="26"/>
  <c r="G289" i="26"/>
  <c r="E5" i="22"/>
  <c r="D3" i="24" s="1"/>
  <c r="D4" i="24"/>
  <c r="D5" i="24"/>
  <c r="D6" i="24"/>
  <c r="D7" i="24"/>
  <c r="D8" i="24"/>
  <c r="D9" i="24"/>
  <c r="D10" i="24"/>
  <c r="D18" i="24"/>
  <c r="D19" i="24"/>
  <c r="D23" i="24"/>
  <c r="D24" i="24"/>
  <c r="D25" i="24"/>
  <c r="D26" i="24"/>
  <c r="D27" i="24"/>
  <c r="D28" i="24"/>
  <c r="D32" i="24"/>
  <c r="E32" i="24"/>
  <c r="F32" i="24"/>
  <c r="I32" i="24"/>
  <c r="D33" i="24"/>
  <c r="E33" i="24"/>
  <c r="H33" i="24"/>
  <c r="I33" i="24"/>
  <c r="D34" i="24"/>
  <c r="E34" i="24"/>
  <c r="I34" i="24"/>
  <c r="D35" i="24"/>
  <c r="E35" i="24"/>
  <c r="F35" i="24"/>
  <c r="H35" i="24"/>
  <c r="D36" i="24"/>
  <c r="E36" i="24"/>
  <c r="H36" i="24"/>
  <c r="I36" i="24"/>
  <c r="D37" i="24"/>
  <c r="E37" i="24"/>
  <c r="F37" i="24"/>
  <c r="H37" i="24"/>
  <c r="I37" i="24"/>
  <c r="D44" i="24"/>
  <c r="D50" i="24"/>
  <c r="G53" i="24"/>
  <c r="E54" i="24"/>
  <c r="G54" i="24"/>
  <c r="E55" i="24"/>
  <c r="G55" i="24"/>
  <c r="E37" i="15"/>
  <c r="D57" i="24"/>
  <c r="D61" i="24"/>
  <c r="D62" i="24"/>
  <c r="D63" i="24"/>
  <c r="D65" i="24"/>
  <c r="D66" i="24"/>
  <c r="D67" i="24"/>
  <c r="D71" i="24"/>
  <c r="E71" i="24"/>
  <c r="F71" i="24"/>
  <c r="D76" i="24"/>
  <c r="E76" i="24"/>
  <c r="G21" i="15"/>
  <c r="F76" i="24" s="1"/>
  <c r="G76" i="24"/>
  <c r="H76" i="24"/>
  <c r="J76" i="24"/>
  <c r="D77" i="24"/>
  <c r="E77" i="24"/>
  <c r="G22" i="15"/>
  <c r="F77" i="24" s="1"/>
  <c r="G77" i="24"/>
  <c r="H77" i="24"/>
  <c r="J77" i="24"/>
  <c r="D78" i="24"/>
  <c r="E78" i="24"/>
  <c r="G23" i="15"/>
  <c r="F78" i="24" s="1"/>
  <c r="G78" i="24"/>
  <c r="H78" i="24"/>
  <c r="J78" i="24"/>
  <c r="D79" i="24"/>
  <c r="E79" i="24"/>
  <c r="G24" i="15"/>
  <c r="F79" i="24" s="1"/>
  <c r="G79" i="24"/>
  <c r="H79" i="24"/>
  <c r="J79" i="24"/>
  <c r="D80" i="24"/>
  <c r="E80" i="24"/>
  <c r="G25" i="15"/>
  <c r="F80" i="24" s="1"/>
  <c r="G80" i="24"/>
  <c r="H80" i="24"/>
  <c r="J80" i="24"/>
  <c r="D81" i="24"/>
  <c r="E81" i="24"/>
  <c r="G26" i="15"/>
  <c r="F81" i="24" s="1"/>
  <c r="G81" i="24"/>
  <c r="H81" i="24"/>
  <c r="J81" i="24"/>
  <c r="D82" i="24"/>
  <c r="E82" i="24"/>
  <c r="G27" i="15"/>
  <c r="F82" i="24" s="1"/>
  <c r="G82" i="24"/>
  <c r="H82" i="24"/>
  <c r="J82" i="24"/>
  <c r="D83" i="24"/>
  <c r="E83" i="24"/>
  <c r="G28" i="15"/>
  <c r="F83" i="24" s="1"/>
  <c r="G83" i="24"/>
  <c r="H83" i="24"/>
  <c r="J83" i="24"/>
  <c r="D84" i="24"/>
  <c r="E84" i="24"/>
  <c r="G29" i="15"/>
  <c r="F84" i="24" s="1"/>
  <c r="G84" i="24"/>
  <c r="H84" i="24"/>
  <c r="J84" i="24"/>
  <c r="D85" i="24"/>
  <c r="E85" i="24"/>
  <c r="G30" i="15"/>
  <c r="F85" i="24" s="1"/>
  <c r="G85" i="24"/>
  <c r="H85" i="24"/>
  <c r="J85" i="24"/>
  <c r="D105" i="24"/>
  <c r="E105" i="24"/>
  <c r="D106" i="24"/>
  <c r="E106" i="24"/>
  <c r="E107" i="24"/>
  <c r="D108" i="24"/>
  <c r="E108" i="24"/>
  <c r="D112" i="24"/>
  <c r="D115" i="24"/>
  <c r="D118" i="24"/>
  <c r="D121" i="24"/>
  <c r="D125" i="24"/>
  <c r="E37" i="4"/>
  <c r="D131" i="24"/>
  <c r="D132" i="24"/>
  <c r="E40" i="4"/>
  <c r="D133" i="24" s="1"/>
  <c r="D134" i="24"/>
  <c r="D135" i="24"/>
  <c r="D136" i="24"/>
  <c r="E44" i="4"/>
  <c r="E45" i="4"/>
  <c r="D138" i="24"/>
  <c r="D139" i="24"/>
  <c r="E48" i="4"/>
  <c r="D141" i="24" s="1"/>
  <c r="D142" i="24"/>
  <c r="D143" i="24"/>
  <c r="D144" i="24"/>
  <c r="E52" i="4"/>
  <c r="E53" i="4"/>
  <c r="D146" i="24" s="1"/>
  <c r="D147" i="24"/>
  <c r="E55" i="4"/>
  <c r="D148" i="24"/>
  <c r="D149" i="24"/>
  <c r="E57" i="4"/>
  <c r="D150" i="24" s="1"/>
  <c r="D153" i="24"/>
  <c r="D154" i="24"/>
  <c r="E62" i="4"/>
  <c r="E67" i="4"/>
  <c r="D160" i="24"/>
  <c r="E68" i="4"/>
  <c r="D161" i="24"/>
  <c r="E69" i="4"/>
  <c r="E70" i="4"/>
  <c r="D163" i="24" s="1"/>
  <c r="E71" i="4"/>
  <c r="D164" i="24"/>
  <c r="E72" i="4"/>
  <c r="D165" i="24" s="1"/>
  <c r="E73" i="4"/>
  <c r="D166" i="24" s="1"/>
  <c r="E74" i="4"/>
  <c r="E75" i="4"/>
  <c r="D168" i="24" s="1"/>
  <c r="E76" i="4"/>
  <c r="D169" i="24"/>
  <c r="E77" i="4"/>
  <c r="D170" i="24" s="1"/>
  <c r="E78" i="4"/>
  <c r="E79" i="4"/>
  <c r="D172" i="24" s="1"/>
  <c r="E80" i="4"/>
  <c r="E82" i="4"/>
  <c r="D174" i="24"/>
  <c r="D175" i="24"/>
  <c r="D197" i="24"/>
  <c r="D198" i="24"/>
  <c r="E198" i="24"/>
  <c r="D200" i="24"/>
  <c r="E200" i="24"/>
  <c r="D204" i="24"/>
  <c r="D216" i="24"/>
  <c r="H28" i="5"/>
  <c r="F218" i="24"/>
  <c r="E220" i="24"/>
  <c r="D226" i="24"/>
  <c r="C233" i="24"/>
  <c r="E233" i="24"/>
  <c r="G233" i="24"/>
  <c r="H233" i="24"/>
  <c r="E234" i="24"/>
  <c r="G234" i="24"/>
  <c r="C235" i="24"/>
  <c r="G235" i="24"/>
  <c r="H235" i="24"/>
  <c r="E236" i="24"/>
  <c r="G236" i="24"/>
  <c r="H236" i="24"/>
  <c r="C237" i="24"/>
  <c r="E237" i="24"/>
  <c r="G237" i="24"/>
  <c r="H237" i="24"/>
  <c r="C238" i="24"/>
  <c r="G238" i="24"/>
  <c r="H238" i="24"/>
  <c r="C239" i="24"/>
  <c r="G239" i="24"/>
  <c r="C240" i="24"/>
  <c r="E240" i="24"/>
  <c r="G240" i="24"/>
  <c r="H240" i="24"/>
  <c r="C243" i="24"/>
  <c r="E243" i="24"/>
  <c r="C244" i="24"/>
  <c r="E244" i="24"/>
  <c r="C245" i="24"/>
  <c r="E245" i="24"/>
  <c r="E246" i="24"/>
  <c r="C247" i="24"/>
  <c r="E247" i="24"/>
  <c r="C248" i="24"/>
  <c r="E248" i="24"/>
  <c r="C249" i="24"/>
  <c r="C250" i="24"/>
  <c r="E250" i="24"/>
  <c r="C253" i="24"/>
  <c r="C254" i="24"/>
  <c r="G254" i="24"/>
  <c r="C255" i="24"/>
  <c r="E255" i="24"/>
  <c r="G255" i="24"/>
  <c r="C256" i="24"/>
  <c r="E256" i="24"/>
  <c r="G256" i="24"/>
  <c r="C257" i="24"/>
  <c r="G257" i="24"/>
  <c r="C258" i="24"/>
  <c r="E258" i="24"/>
  <c r="G258" i="24"/>
  <c r="C259" i="24"/>
  <c r="E259" i="24"/>
  <c r="G259" i="24"/>
  <c r="C260" i="24"/>
  <c r="E260" i="24"/>
  <c r="C263" i="24"/>
  <c r="E263" i="24"/>
  <c r="C264" i="24"/>
  <c r="E264" i="24"/>
  <c r="G264" i="24"/>
  <c r="C265" i="24"/>
  <c r="E265" i="24"/>
  <c r="C266" i="24"/>
  <c r="E266" i="24"/>
  <c r="C267" i="24"/>
  <c r="E267" i="24"/>
  <c r="C268" i="24"/>
  <c r="E268" i="24"/>
  <c r="G268" i="24"/>
  <c r="G269" i="24"/>
  <c r="C270" i="24"/>
  <c r="E270" i="24"/>
  <c r="G270" i="24"/>
  <c r="D46" i="16"/>
  <c r="E275" i="24"/>
  <c r="D289" i="24"/>
  <c r="E289" i="24"/>
  <c r="F289" i="24"/>
  <c r="D290" i="24"/>
  <c r="E290" i="24"/>
  <c r="F290" i="24"/>
  <c r="D291" i="24"/>
  <c r="E291" i="24"/>
  <c r="F291" i="24"/>
  <c r="D292" i="24"/>
  <c r="E292" i="24"/>
  <c r="F292" i="24"/>
  <c r="D295" i="24"/>
  <c r="D296" i="24"/>
  <c r="E299" i="24"/>
  <c r="F299" i="24"/>
  <c r="H299" i="24"/>
  <c r="I299" i="24"/>
  <c r="J299" i="24"/>
  <c r="L299" i="24"/>
  <c r="M299" i="24"/>
  <c r="N299" i="24"/>
  <c r="O299" i="24"/>
  <c r="P299" i="24"/>
  <c r="E300" i="24"/>
  <c r="F300" i="24"/>
  <c r="G300" i="24"/>
  <c r="I300" i="24"/>
  <c r="J300" i="24"/>
  <c r="K300" i="24"/>
  <c r="L300" i="24"/>
  <c r="M300" i="24"/>
  <c r="N300" i="24"/>
  <c r="P300" i="24"/>
  <c r="D301" i="24"/>
  <c r="G301" i="24"/>
  <c r="H301" i="24"/>
  <c r="I301" i="24"/>
  <c r="J301" i="24"/>
  <c r="K301" i="24"/>
  <c r="L301" i="24"/>
  <c r="N301" i="24"/>
  <c r="O301" i="24"/>
  <c r="P301" i="24"/>
  <c r="E304" i="24"/>
  <c r="G304" i="24"/>
  <c r="E305" i="24"/>
  <c r="G305" i="24"/>
  <c r="E306" i="24"/>
  <c r="E307" i="24"/>
  <c r="G307" i="24"/>
  <c r="E308" i="24"/>
  <c r="G308" i="24"/>
  <c r="E309" i="24"/>
  <c r="G309" i="24"/>
  <c r="G310" i="24"/>
  <c r="E311" i="24"/>
  <c r="G311" i="24"/>
  <c r="E312" i="24"/>
  <c r="G312" i="24"/>
  <c r="G313" i="24"/>
  <c r="E316" i="24"/>
  <c r="G316" i="24"/>
  <c r="E317" i="24"/>
  <c r="G317" i="24"/>
  <c r="E319" i="24"/>
  <c r="G319" i="24"/>
  <c r="E320" i="24"/>
  <c r="G320" i="24"/>
  <c r="E321" i="24"/>
  <c r="E322" i="24"/>
  <c r="G322" i="24"/>
  <c r="E323" i="24"/>
  <c r="G323" i="24"/>
  <c r="E324" i="24"/>
  <c r="G324" i="24"/>
  <c r="E325" i="24"/>
  <c r="G325" i="24"/>
  <c r="F326" i="24"/>
  <c r="H326" i="24"/>
  <c r="E327" i="24"/>
  <c r="E328" i="24"/>
  <c r="E329" i="24"/>
  <c r="Q43" i="19"/>
  <c r="G329" i="24" s="1"/>
  <c r="E332" i="24"/>
  <c r="E333" i="24"/>
  <c r="G333" i="24"/>
  <c r="G334" i="24"/>
  <c r="G335" i="24"/>
  <c r="E336" i="24"/>
  <c r="G336" i="24"/>
  <c r="E337" i="24"/>
  <c r="G337" i="24"/>
  <c r="E338" i="24"/>
  <c r="G338" i="24"/>
  <c r="G339" i="24"/>
  <c r="K74" i="19"/>
  <c r="L74" i="19"/>
  <c r="G340" i="24"/>
  <c r="E341" i="24"/>
  <c r="G341" i="24"/>
  <c r="I94" i="19"/>
  <c r="C350" i="24"/>
  <c r="C351" i="24"/>
  <c r="C352" i="24"/>
  <c r="AP10" i="6"/>
  <c r="J27" i="6"/>
  <c r="H354" i="24" s="1"/>
  <c r="J5" i="6"/>
  <c r="C361" i="24"/>
  <c r="I12" i="16"/>
  <c r="D361" i="24" s="1"/>
  <c r="C362" i="24"/>
  <c r="I22" i="16"/>
  <c r="D362" i="24"/>
  <c r="C363" i="24"/>
  <c r="I32" i="16"/>
  <c r="D363" i="24" s="1"/>
  <c r="C364" i="24"/>
  <c r="I42" i="16"/>
  <c r="D364" i="24" s="1"/>
  <c r="E34" i="19"/>
  <c r="C366" i="24" s="1"/>
  <c r="E53" i="19"/>
  <c r="C367" i="24" s="1"/>
  <c r="E74" i="19"/>
  <c r="C368" i="24" s="1"/>
  <c r="C370" i="24"/>
  <c r="B371" i="24"/>
  <c r="C371" i="24"/>
  <c r="B372" i="24"/>
  <c r="C372" i="24"/>
  <c r="B384" i="24"/>
  <c r="C384" i="24"/>
  <c r="D384" i="24"/>
  <c r="E384" i="24"/>
  <c r="A385" i="24"/>
  <c r="B60" i="17"/>
  <c r="B385" i="24" s="1"/>
  <c r="C60" i="17"/>
  <c r="C385" i="24"/>
  <c r="D60" i="17"/>
  <c r="D385" i="24" s="1"/>
  <c r="E60" i="17"/>
  <c r="A386" i="24"/>
  <c r="B61" i="17"/>
  <c r="B386" i="24"/>
  <c r="C61" i="17"/>
  <c r="C386" i="24" s="1"/>
  <c r="D61" i="17"/>
  <c r="D386" i="24" s="1"/>
  <c r="E61" i="17"/>
  <c r="E386" i="24"/>
  <c r="B62" i="17"/>
  <c r="B387" i="24"/>
  <c r="C62" i="17"/>
  <c r="C387" i="24" s="1"/>
  <c r="D62" i="17"/>
  <c r="D387" i="24" s="1"/>
  <c r="E62" i="17"/>
  <c r="A388" i="24"/>
  <c r="B63" i="17"/>
  <c r="B388" i="24" s="1"/>
  <c r="C63" i="17"/>
  <c r="C388" i="24" s="1"/>
  <c r="D63" i="17"/>
  <c r="D388" i="24" s="1"/>
  <c r="E63" i="17"/>
  <c r="E388" i="24" s="1"/>
  <c r="B64" i="17"/>
  <c r="B389" i="24" s="1"/>
  <c r="C64" i="17"/>
  <c r="C389" i="24" s="1"/>
  <c r="D64" i="17"/>
  <c r="D389" i="24"/>
  <c r="E64" i="17"/>
  <c r="E389" i="24"/>
  <c r="B65" i="17"/>
  <c r="B390" i="24" s="1"/>
  <c r="C65" i="17"/>
  <c r="C390" i="24"/>
  <c r="D65" i="17"/>
  <c r="D390" i="24" s="1"/>
  <c r="E65" i="17"/>
  <c r="E390" i="24" s="1"/>
  <c r="A395" i="24"/>
  <c r="B395" i="24"/>
  <c r="C395" i="24"/>
  <c r="D395" i="24"/>
  <c r="E395" i="24"/>
  <c r="A396" i="24"/>
  <c r="B396" i="24"/>
  <c r="C396" i="24"/>
  <c r="D396" i="24"/>
  <c r="A397" i="24"/>
  <c r="B397" i="24"/>
  <c r="C11" i="20"/>
  <c r="C397" i="24" s="1"/>
  <c r="D397" i="24"/>
  <c r="E11" i="20"/>
  <c r="K5" i="20" s="1"/>
  <c r="I5" i="20" s="1"/>
  <c r="J55" i="10" s="1"/>
  <c r="E397" i="24"/>
  <c r="A398" i="24"/>
  <c r="B398" i="24"/>
  <c r="C12" i="20"/>
  <c r="G6" i="20" s="1"/>
  <c r="I56" i="10" s="1"/>
  <c r="C398" i="24"/>
  <c r="D12" i="20"/>
  <c r="D398" i="24"/>
  <c r="E12" i="20"/>
  <c r="E398" i="24"/>
  <c r="A399" i="24"/>
  <c r="B399" i="24"/>
  <c r="C13" i="20"/>
  <c r="C399" i="24"/>
  <c r="D13" i="20"/>
  <c r="D399" i="24" s="1"/>
  <c r="J7" i="20"/>
  <c r="H7" i="20" s="1"/>
  <c r="K57" i="10" s="1"/>
  <c r="E13" i="20"/>
  <c r="E399" i="24" s="1"/>
  <c r="B401" i="24"/>
  <c r="AA3" i="20"/>
  <c r="C4" i="20"/>
  <c r="E54" i="10" s="1"/>
  <c r="D4" i="20"/>
  <c r="F54" i="10" s="1"/>
  <c r="E4" i="20"/>
  <c r="G54" i="10" s="1"/>
  <c r="F4" i="20"/>
  <c r="H54" i="10" s="1"/>
  <c r="G4" i="20"/>
  <c r="I54" i="10" s="1"/>
  <c r="L4" i="20"/>
  <c r="N54" i="10" s="1"/>
  <c r="M4" i="20"/>
  <c r="O54" i="10" s="1"/>
  <c r="N4" i="20"/>
  <c r="P54" i="10" s="1"/>
  <c r="O4" i="20"/>
  <c r="Q54" i="10" s="1"/>
  <c r="P4" i="20"/>
  <c r="R54" i="10" s="1"/>
  <c r="Q4" i="20"/>
  <c r="S54" i="10" s="1"/>
  <c r="R4" i="20"/>
  <c r="T54" i="10" s="1"/>
  <c r="S4" i="20"/>
  <c r="U54" i="10" s="1"/>
  <c r="T4" i="20"/>
  <c r="V54" i="10" s="1"/>
  <c r="U4" i="20"/>
  <c r="W54" i="10" s="1"/>
  <c r="V4" i="20"/>
  <c r="X54" i="10" s="1"/>
  <c r="W4" i="20"/>
  <c r="Y54" i="10" s="1"/>
  <c r="X4" i="20"/>
  <c r="Z54" i="10" s="1"/>
  <c r="Y4" i="20"/>
  <c r="AA54" i="10" s="1"/>
  <c r="Z4" i="20"/>
  <c r="AB54" i="10" s="1"/>
  <c r="C5" i="20"/>
  <c r="E55" i="10" s="1"/>
  <c r="D5" i="20"/>
  <c r="F55" i="10" s="1"/>
  <c r="E5" i="20"/>
  <c r="G55" i="10" s="1"/>
  <c r="F5" i="20"/>
  <c r="H55" i="10" s="1"/>
  <c r="J5" i="20"/>
  <c r="L55" i="10" s="1"/>
  <c r="L5" i="20"/>
  <c r="N55" i="10" s="1"/>
  <c r="M5" i="20"/>
  <c r="O55" i="10" s="1"/>
  <c r="N5" i="20"/>
  <c r="P55" i="10" s="1"/>
  <c r="O5" i="20"/>
  <c r="Q55" i="10" s="1"/>
  <c r="P5" i="20"/>
  <c r="R55" i="10" s="1"/>
  <c r="Q5" i="20"/>
  <c r="S55" i="10" s="1"/>
  <c r="R5" i="20"/>
  <c r="T55" i="10" s="1"/>
  <c r="S5" i="20"/>
  <c r="U55" i="10" s="1"/>
  <c r="T5" i="20"/>
  <c r="V55" i="10" s="1"/>
  <c r="U5" i="20"/>
  <c r="W55" i="10" s="1"/>
  <c r="V5" i="20"/>
  <c r="X55" i="10" s="1"/>
  <c r="W5" i="20"/>
  <c r="Y55" i="10" s="1"/>
  <c r="X5" i="20"/>
  <c r="Z55" i="10" s="1"/>
  <c r="Y5" i="20"/>
  <c r="AA55" i="10" s="1"/>
  <c r="Z5" i="20"/>
  <c r="AB55" i="10" s="1"/>
  <c r="C6" i="20"/>
  <c r="E56" i="10" s="1"/>
  <c r="D6" i="20"/>
  <c r="F56" i="10" s="1"/>
  <c r="E6" i="20"/>
  <c r="G56" i="10" s="1"/>
  <c r="F6" i="20"/>
  <c r="H56" i="10" s="1"/>
  <c r="L6" i="20"/>
  <c r="N56" i="10" s="1"/>
  <c r="M6" i="20"/>
  <c r="O56" i="10" s="1"/>
  <c r="N6" i="20"/>
  <c r="P56" i="10" s="1"/>
  <c r="O6" i="20"/>
  <c r="Q56" i="10" s="1"/>
  <c r="P6" i="20"/>
  <c r="R56" i="10" s="1"/>
  <c r="Q6" i="20"/>
  <c r="S56" i="10" s="1"/>
  <c r="R6" i="20"/>
  <c r="T56" i="10" s="1"/>
  <c r="S6" i="20"/>
  <c r="U56" i="10" s="1"/>
  <c r="T6" i="20"/>
  <c r="V56" i="10" s="1"/>
  <c r="U6" i="20"/>
  <c r="W56" i="10" s="1"/>
  <c r="V6" i="20"/>
  <c r="X56" i="10" s="1"/>
  <c r="W6" i="20"/>
  <c r="Y56" i="10" s="1"/>
  <c r="X6" i="20"/>
  <c r="Z56" i="10" s="1"/>
  <c r="Y6" i="20"/>
  <c r="AA56" i="10" s="1"/>
  <c r="Z6" i="20"/>
  <c r="AB56" i="10" s="1"/>
  <c r="C7" i="20"/>
  <c r="E57" i="10" s="1"/>
  <c r="D7" i="20"/>
  <c r="F57" i="10" s="1"/>
  <c r="E7" i="20"/>
  <c r="G57" i="10" s="1"/>
  <c r="F7" i="20"/>
  <c r="H57" i="10" s="1"/>
  <c r="L7" i="20"/>
  <c r="N57" i="10" s="1"/>
  <c r="M7" i="20"/>
  <c r="O57" i="10" s="1"/>
  <c r="N7" i="20"/>
  <c r="P57" i="10" s="1"/>
  <c r="O7" i="20"/>
  <c r="Q57" i="10" s="1"/>
  <c r="P7" i="20"/>
  <c r="R57" i="10" s="1"/>
  <c r="Q7" i="20"/>
  <c r="S57" i="10" s="1"/>
  <c r="R7" i="20"/>
  <c r="T57" i="10" s="1"/>
  <c r="S7" i="20"/>
  <c r="U57" i="10" s="1"/>
  <c r="T7" i="20"/>
  <c r="V57" i="10" s="1"/>
  <c r="U7" i="20"/>
  <c r="W57" i="10" s="1"/>
  <c r="V7" i="20"/>
  <c r="X57" i="10" s="1"/>
  <c r="W7" i="20"/>
  <c r="Y57" i="10" s="1"/>
  <c r="X7" i="20"/>
  <c r="Z57" i="10" s="1"/>
  <c r="Y7" i="20"/>
  <c r="AA57" i="10" s="1"/>
  <c r="Z7" i="20"/>
  <c r="AB57" i="10" s="1"/>
  <c r="A10" i="20"/>
  <c r="L10" i="20"/>
  <c r="M10" i="20"/>
  <c r="N10" i="20"/>
  <c r="A11" i="20"/>
  <c r="L11" i="20"/>
  <c r="M11" i="20"/>
  <c r="N11" i="20"/>
  <c r="A12" i="20"/>
  <c r="L12" i="20"/>
  <c r="M12" i="20"/>
  <c r="N12" i="20"/>
  <c r="A13" i="20"/>
  <c r="L13" i="20"/>
  <c r="M13" i="20"/>
  <c r="N13"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E3" i="17"/>
  <c r="F3" i="17"/>
  <c r="E4" i="17"/>
  <c r="F4" i="17"/>
  <c r="E5" i="17"/>
  <c r="F5" i="17"/>
  <c r="E6" i="17"/>
  <c r="F6" i="17"/>
  <c r="E7" i="17"/>
  <c r="F7" i="17"/>
  <c r="D8" i="17"/>
  <c r="E8" i="17"/>
  <c r="D9" i="17"/>
  <c r="E9" i="17" s="1"/>
  <c r="E10" i="17"/>
  <c r="F10" i="17"/>
  <c r="F22" i="17"/>
  <c r="E30" i="17"/>
  <c r="E31" i="17"/>
  <c r="E32" i="17"/>
  <c r="E33" i="17"/>
  <c r="E34" i="17"/>
  <c r="E35" i="17"/>
  <c r="E36" i="17"/>
  <c r="E37" i="17"/>
  <c r="E38" i="17"/>
  <c r="E39" i="17"/>
  <c r="E40" i="17"/>
  <c r="E41" i="17"/>
  <c r="E42" i="17"/>
  <c r="E43" i="17"/>
  <c r="E44" i="17"/>
  <c r="G44" i="17"/>
  <c r="H44" i="17" s="1"/>
  <c r="I44" i="17" s="1"/>
  <c r="AC329" i="19" s="1"/>
  <c r="E45" i="17"/>
  <c r="E46" i="17"/>
  <c r="E47" i="17"/>
  <c r="E48" i="17"/>
  <c r="E49" i="17"/>
  <c r="E50" i="17"/>
  <c r="E51" i="17"/>
  <c r="E52" i="17"/>
  <c r="E53" i="17"/>
  <c r="E54" i="17"/>
  <c r="E55" i="17"/>
  <c r="E57" i="17"/>
  <c r="E58" i="17"/>
  <c r="B27" i="12"/>
  <c r="Z6" i="11"/>
  <c r="B17" i="11"/>
  <c r="AP195" i="19" s="1"/>
  <c r="O29" i="11"/>
  <c r="O30" i="11"/>
  <c r="O31" i="11"/>
  <c r="O32" i="11"/>
  <c r="O33" i="11"/>
  <c r="O34" i="11"/>
  <c r="O35" i="11"/>
  <c r="O36" i="11"/>
  <c r="O37" i="11"/>
  <c r="O38" i="11"/>
  <c r="O39" i="11"/>
  <c r="O40" i="11"/>
  <c r="O41" i="11"/>
  <c r="O42" i="11"/>
  <c r="O43" i="11"/>
  <c r="O44" i="11"/>
  <c r="O45" i="11"/>
  <c r="O46" i="11"/>
  <c r="O47" i="11"/>
  <c r="F19" i="10"/>
  <c r="J19" i="10"/>
  <c r="K19" i="10"/>
  <c r="T19" i="10"/>
  <c r="AB19" i="10" s="1"/>
  <c r="U19" i="10"/>
  <c r="F20" i="10"/>
  <c r="J20" i="10"/>
  <c r="K20" i="10"/>
  <c r="AB20" i="10"/>
  <c r="F21" i="10"/>
  <c r="K21" i="10"/>
  <c r="S22" i="10"/>
  <c r="S21" i="10" s="1"/>
  <c r="AB21" i="10"/>
  <c r="F22" i="10"/>
  <c r="Y22" i="10"/>
  <c r="Z22" i="10"/>
  <c r="F23" i="10"/>
  <c r="J23" i="10"/>
  <c r="K23" i="10"/>
  <c r="T23" i="10"/>
  <c r="AB23" i="10"/>
  <c r="U23" i="10"/>
  <c r="F24" i="10"/>
  <c r="J24" i="10"/>
  <c r="K24" i="10"/>
  <c r="AB24" i="10"/>
  <c r="F25" i="10"/>
  <c r="J25" i="10"/>
  <c r="K25" i="10"/>
  <c r="AB25" i="10"/>
  <c r="F26" i="10"/>
  <c r="J26" i="10"/>
  <c r="AB26" i="10"/>
  <c r="U26" i="10"/>
  <c r="F27" i="10"/>
  <c r="J27" i="10"/>
  <c r="K27" i="10"/>
  <c r="AB27" i="10"/>
  <c r="F28" i="10"/>
  <c r="J28" i="10"/>
  <c r="K28" i="10"/>
  <c r="AB28" i="10"/>
  <c r="F29" i="10"/>
  <c r="J29" i="10"/>
  <c r="K29" i="10"/>
  <c r="T29" i="10"/>
  <c r="AB29" i="10" s="1"/>
  <c r="U29" i="10"/>
  <c r="F30" i="10"/>
  <c r="J30" i="10"/>
  <c r="K30" i="10"/>
  <c r="T30" i="10"/>
  <c r="AB30" i="10"/>
  <c r="U30" i="10"/>
  <c r="F31" i="10"/>
  <c r="J31" i="10"/>
  <c r="K31" i="10"/>
  <c r="T31" i="10"/>
  <c r="AB31" i="10" s="1"/>
  <c r="U31" i="10"/>
  <c r="F32" i="10"/>
  <c r="J32" i="10"/>
  <c r="K32" i="10"/>
  <c r="U32" i="10"/>
  <c r="AB32" i="10"/>
  <c r="F33" i="10"/>
  <c r="J33" i="10"/>
  <c r="K33" i="10"/>
  <c r="U33" i="10"/>
  <c r="AB33" i="10"/>
  <c r="F34" i="10"/>
  <c r="J34" i="10"/>
  <c r="K34" i="10"/>
  <c r="AB34" i="10"/>
  <c r="F35" i="10"/>
  <c r="J35" i="10"/>
  <c r="K35" i="10"/>
  <c r="U35" i="10"/>
  <c r="AB35" i="10"/>
  <c r="F36" i="10"/>
  <c r="J36" i="10"/>
  <c r="K36" i="10"/>
  <c r="U36" i="10"/>
  <c r="AB36" i="10"/>
  <c r="F37" i="10"/>
  <c r="J37" i="10"/>
  <c r="K37" i="10"/>
  <c r="AB37" i="10"/>
  <c r="F38" i="10"/>
  <c r="J38" i="10"/>
  <c r="K38" i="10"/>
  <c r="AB38" i="10"/>
  <c r="F39" i="10"/>
  <c r="J39" i="10"/>
  <c r="K39" i="10"/>
  <c r="AB39" i="10"/>
  <c r="F40" i="10"/>
  <c r="J40" i="10"/>
  <c r="K40" i="10"/>
  <c r="AB40" i="10"/>
  <c r="H41" i="10"/>
  <c r="J41" i="10"/>
  <c r="K41" i="10"/>
  <c r="H42" i="10"/>
  <c r="J42" i="10"/>
  <c r="K42" i="10"/>
  <c r="H43" i="10"/>
  <c r="J43" i="10"/>
  <c r="K43" i="10"/>
  <c r="H44" i="10"/>
  <c r="J44" i="10"/>
  <c r="K44" i="10"/>
  <c r="AB44" i="10"/>
  <c r="H45" i="10"/>
  <c r="H46" i="10"/>
  <c r="H47" i="10"/>
  <c r="J45" i="10"/>
  <c r="K45" i="10"/>
  <c r="AB45" i="10"/>
  <c r="J46" i="10"/>
  <c r="K46" i="10"/>
  <c r="AB46" i="10"/>
  <c r="J47" i="10"/>
  <c r="K47" i="10"/>
  <c r="AB47" i="10"/>
  <c r="H48" i="10"/>
  <c r="J48" i="10"/>
  <c r="K48" i="10"/>
  <c r="AB48" i="10"/>
  <c r="H49" i="10"/>
  <c r="J49" i="10"/>
  <c r="K49" i="10"/>
  <c r="AB49" i="10"/>
  <c r="H50" i="10"/>
  <c r="J50" i="10"/>
  <c r="K50" i="10"/>
  <c r="AB50" i="10"/>
  <c r="H51" i="10"/>
  <c r="J51" i="10"/>
  <c r="K51" i="10"/>
  <c r="AB51" i="10"/>
  <c r="H52" i="10"/>
  <c r="J52" i="10"/>
  <c r="K52" i="10"/>
  <c r="AB52" i="10"/>
  <c r="H53" i="10"/>
  <c r="J53" i="10"/>
  <c r="K53" i="10"/>
  <c r="AB53" i="10"/>
  <c r="C54" i="10"/>
  <c r="C55" i="10"/>
  <c r="C56" i="10"/>
  <c r="C57" i="10"/>
  <c r="H58" i="10"/>
  <c r="B107" i="10"/>
  <c r="D107" i="10"/>
  <c r="G107" i="10"/>
  <c r="I107" i="10"/>
  <c r="H108" i="10" s="1"/>
  <c r="M106" i="10" s="1"/>
  <c r="B108" i="10"/>
  <c r="C108" i="10"/>
  <c r="G108" i="10"/>
  <c r="L108" i="10"/>
  <c r="Q108" i="10"/>
  <c r="D112" i="10"/>
  <c r="I112" i="10"/>
  <c r="N112" i="10"/>
  <c r="S112" i="10"/>
  <c r="B113" i="10"/>
  <c r="C112" i="10" s="1"/>
  <c r="D113" i="10"/>
  <c r="G113" i="10"/>
  <c r="H112" i="10" s="1"/>
  <c r="I113" i="10"/>
  <c r="L113" i="10"/>
  <c r="M112" i="10" s="1"/>
  <c r="N113" i="10"/>
  <c r="Q113" i="10"/>
  <c r="R112" i="10"/>
  <c r="S113" i="10"/>
  <c r="C119" i="10"/>
  <c r="D119" i="10"/>
  <c r="B121" i="10"/>
  <c r="E119" i="10"/>
  <c r="B122" i="10" s="1"/>
  <c r="H119" i="10"/>
  <c r="I119" i="10"/>
  <c r="G121" i="10" s="1"/>
  <c r="J119" i="10"/>
  <c r="G122" i="10" s="1"/>
  <c r="M119" i="10"/>
  <c r="N119" i="10"/>
  <c r="L121" i="10" s="1"/>
  <c r="O119" i="10"/>
  <c r="L122" i="10" s="1"/>
  <c r="R119" i="10"/>
  <c r="S119" i="10"/>
  <c r="T119" i="10"/>
  <c r="Q122" i="10" s="1"/>
  <c r="C121" i="10"/>
  <c r="E121" i="10"/>
  <c r="D122" i="10"/>
  <c r="H121" i="10"/>
  <c r="J121" i="10"/>
  <c r="I122" i="10" s="1"/>
  <c r="M121" i="10"/>
  <c r="O121" i="10"/>
  <c r="Q121" i="10"/>
  <c r="R121" i="10"/>
  <c r="T121" i="10"/>
  <c r="S122" i="10" s="1"/>
  <c r="C122" i="10"/>
  <c r="H122" i="10"/>
  <c r="M122" i="10"/>
  <c r="N122" i="10"/>
  <c r="R122" i="10"/>
  <c r="H156" i="10"/>
  <c r="I169" i="10"/>
  <c r="I170" i="10"/>
  <c r="I171" i="10"/>
  <c r="I172" i="10"/>
  <c r="I173" i="10"/>
  <c r="I178" i="10" s="1"/>
  <c r="I174" i="10"/>
  <c r="I175" i="10"/>
  <c r="I176" i="10"/>
  <c r="I177" i="10"/>
  <c r="D385" i="10"/>
  <c r="G385" i="10"/>
  <c r="F385" i="10" s="1"/>
  <c r="D406" i="10"/>
  <c r="AA44" i="2" s="1"/>
  <c r="I427" i="10"/>
  <c r="E429" i="10"/>
  <c r="F429" i="10"/>
  <c r="G429" i="10"/>
  <c r="H429" i="10"/>
  <c r="I429" i="10"/>
  <c r="J429" i="10"/>
  <c r="E430" i="10"/>
  <c r="F430" i="10"/>
  <c r="G430" i="10"/>
  <c r="I432" i="10"/>
  <c r="I441" i="10"/>
  <c r="F447" i="10"/>
  <c r="F445" i="10" s="1"/>
  <c r="I445" i="10"/>
  <c r="I456" i="10"/>
  <c r="E447" i="10"/>
  <c r="E445" i="10" s="1"/>
  <c r="G447" i="10"/>
  <c r="G445" i="10"/>
  <c r="E448" i="10"/>
  <c r="G448" i="10" s="1"/>
  <c r="H448" i="10"/>
  <c r="J448" i="10" s="1"/>
  <c r="E456" i="10"/>
  <c r="E431" i="10"/>
  <c r="F456" i="10"/>
  <c r="F431" i="10" s="1"/>
  <c r="G456" i="10"/>
  <c r="G431" i="10" s="1"/>
  <c r="H446" i="10"/>
  <c r="J456" i="10"/>
  <c r="Y8" i="13"/>
  <c r="Y9" i="13"/>
  <c r="E9" i="13" s="1"/>
  <c r="Y10" i="13"/>
  <c r="E10" i="13" s="1"/>
  <c r="Y11" i="13"/>
  <c r="E11" i="13" s="1"/>
  <c r="Y12" i="13"/>
  <c r="E12" i="13" s="1"/>
  <c r="Y14" i="13"/>
  <c r="Y15" i="13"/>
  <c r="E15" i="13" s="1"/>
  <c r="H16" i="13"/>
  <c r="G21" i="13"/>
  <c r="H22" i="13"/>
  <c r="AJ4" i="6"/>
  <c r="X8" i="6"/>
  <c r="H5" i="6" s="1"/>
  <c r="AJ5" i="6"/>
  <c r="U6" i="6"/>
  <c r="AJ6" i="6"/>
  <c r="C83" i="6"/>
  <c r="U7" i="6"/>
  <c r="AJ7" i="6"/>
  <c r="AL7" i="6"/>
  <c r="U8" i="6"/>
  <c r="AB8" i="6"/>
  <c r="U9" i="6"/>
  <c r="AR11" i="6"/>
  <c r="G13" i="6"/>
  <c r="G59" i="6" s="1"/>
  <c r="J14" i="6"/>
  <c r="AC14" i="6"/>
  <c r="AD14" i="6"/>
  <c r="J15" i="6"/>
  <c r="J16" i="6"/>
  <c r="J17" i="6"/>
  <c r="D18" i="6"/>
  <c r="J18" i="6"/>
  <c r="J19" i="6"/>
  <c r="J20" i="6"/>
  <c r="J21" i="6"/>
  <c r="J22" i="6"/>
  <c r="J23" i="6"/>
  <c r="J24" i="6"/>
  <c r="J25" i="6"/>
  <c r="J26" i="6"/>
  <c r="D39" i="6"/>
  <c r="E39" i="6"/>
  <c r="D40" i="6"/>
  <c r="E41" i="6"/>
  <c r="F41" i="6"/>
  <c r="AB56" i="6"/>
  <c r="E60" i="6"/>
  <c r="F60" i="6"/>
  <c r="F61" i="6"/>
  <c r="D62" i="6"/>
  <c r="E62" i="6"/>
  <c r="E63" i="6"/>
  <c r="F63" i="6"/>
  <c r="D64" i="6"/>
  <c r="D81" i="6"/>
  <c r="E81" i="6"/>
  <c r="C82" i="6"/>
  <c r="C84" i="6"/>
  <c r="C86" i="6"/>
  <c r="BE109" i="6"/>
  <c r="BE110" i="6"/>
  <c r="BE111" i="6"/>
  <c r="BE112" i="6"/>
  <c r="BE113" i="6"/>
  <c r="BE114" i="6"/>
  <c r="BE115" i="6"/>
  <c r="BE116" i="6"/>
  <c r="BE117" i="6"/>
  <c r="BE118" i="6"/>
  <c r="BE119" i="6"/>
  <c r="BE120" i="6"/>
  <c r="BE121" i="6"/>
  <c r="BE122" i="6"/>
  <c r="BE123" i="6"/>
  <c r="BE124" i="6"/>
  <c r="BE125" i="6"/>
  <c r="BE126" i="6"/>
  <c r="BE127" i="6"/>
  <c r="BE128" i="6"/>
  <c r="BE129" i="6"/>
  <c r="BE130" i="6"/>
  <c r="BE131" i="6"/>
  <c r="BE132" i="6"/>
  <c r="BE133" i="6"/>
  <c r="BE134" i="6"/>
  <c r="BE135" i="6"/>
  <c r="BE136" i="6"/>
  <c r="BE137" i="6"/>
  <c r="BE138" i="6"/>
  <c r="BE139" i="6"/>
  <c r="BE140" i="6"/>
  <c r="E141" i="6"/>
  <c r="BE141" i="6"/>
  <c r="AK183" i="6"/>
  <c r="C145" i="6" s="1"/>
  <c r="AK184" i="6"/>
  <c r="C146" i="6" s="1"/>
  <c r="AK186" i="6"/>
  <c r="C148" i="6" s="1"/>
  <c r="BE150" i="6"/>
  <c r="BE151" i="6"/>
  <c r="BE152" i="6"/>
  <c r="BE153" i="6"/>
  <c r="BE154" i="6"/>
  <c r="BE155" i="6"/>
  <c r="BE156" i="6"/>
  <c r="D164" i="6"/>
  <c r="C165" i="6"/>
  <c r="C166" i="6"/>
  <c r="C167" i="6"/>
  <c r="C168" i="6"/>
  <c r="AK171" i="6"/>
  <c r="AY168" i="6" s="1"/>
  <c r="AK172" i="6"/>
  <c r="AZ168" i="6" s="1"/>
  <c r="AK173" i="6"/>
  <c r="AQ171" i="6" s="1"/>
  <c r="AK174" i="6"/>
  <c r="AK175" i="6"/>
  <c r="AK176" i="6"/>
  <c r="AK180" i="6"/>
  <c r="AK181" i="6"/>
  <c r="AK185" i="6"/>
  <c r="AK187" i="6"/>
  <c r="AK188" i="6"/>
  <c r="C252" i="6"/>
  <c r="G252" i="6" s="1"/>
  <c r="C253" i="6"/>
  <c r="G253" i="6" s="1"/>
  <c r="C254" i="6"/>
  <c r="G254" i="6" s="1"/>
  <c r="C255" i="6"/>
  <c r="G255" i="6" s="1"/>
  <c r="C256" i="6"/>
  <c r="G256" i="6" s="1"/>
  <c r="C257" i="6"/>
  <c r="G257" i="6" s="1"/>
  <c r="C258" i="6"/>
  <c r="G258" i="6" s="1"/>
  <c r="C259" i="6"/>
  <c r="G259" i="6" s="1"/>
  <c r="C260" i="6"/>
  <c r="G260" i="6" s="1"/>
  <c r="C261" i="6"/>
  <c r="G261" i="6" s="1"/>
  <c r="C262" i="6"/>
  <c r="G262" i="6" s="1"/>
  <c r="C263" i="6"/>
  <c r="G263" i="6" s="1"/>
  <c r="C264" i="6"/>
  <c r="G264" i="6" s="1"/>
  <c r="C265" i="6"/>
  <c r="G265" i="6" s="1"/>
  <c r="C266" i="6"/>
  <c r="G266" i="6" s="1"/>
  <c r="C267" i="6"/>
  <c r="G267" i="6" s="1"/>
  <c r="C268" i="6"/>
  <c r="G268" i="6" s="1"/>
  <c r="C269" i="6"/>
  <c r="G269" i="6" s="1"/>
  <c r="C270" i="6"/>
  <c r="G270" i="6" s="1"/>
  <c r="C271" i="6"/>
  <c r="G271" i="6" s="1"/>
  <c r="C272" i="6"/>
  <c r="G272" i="6" s="1"/>
  <c r="AF29" i="16"/>
  <c r="AH31" i="16"/>
  <c r="AI31" i="16"/>
  <c r="AH32" i="16"/>
  <c r="AI32" i="16"/>
  <c r="AH33" i="16"/>
  <c r="AI33" i="16"/>
  <c r="AH34" i="16"/>
  <c r="AI34" i="16"/>
  <c r="AB50" i="16"/>
  <c r="P66" i="5"/>
  <c r="Q66" i="5"/>
  <c r="P67" i="5"/>
  <c r="Q67" i="5"/>
  <c r="P68" i="5"/>
  <c r="Q68" i="5"/>
  <c r="P69" i="5"/>
  <c r="Q69" i="5"/>
  <c r="P70" i="5"/>
  <c r="Q70" i="5"/>
  <c r="P78" i="5"/>
  <c r="Q78" i="5"/>
  <c r="Q80" i="5"/>
  <c r="P81" i="5"/>
  <c r="Q81" i="5"/>
  <c r="P82" i="5"/>
  <c r="Q82" i="5"/>
  <c r="P85" i="5"/>
  <c r="Q85" i="5"/>
  <c r="P86" i="5"/>
  <c r="Q86" i="5"/>
  <c r="P87" i="5"/>
  <c r="Q87" i="5"/>
  <c r="Q97" i="5"/>
  <c r="Q135" i="5"/>
  <c r="Q98" i="5"/>
  <c r="Q99" i="5"/>
  <c r="Q100" i="5"/>
  <c r="P103" i="5"/>
  <c r="Q103" i="5"/>
  <c r="P104" i="5"/>
  <c r="P105" i="5"/>
  <c r="P106" i="5"/>
  <c r="P107" i="5"/>
  <c r="Q112" i="5"/>
  <c r="Q113" i="5"/>
  <c r="Q118" i="5"/>
  <c r="O112" i="4"/>
  <c r="P112" i="4"/>
  <c r="P117" i="4"/>
  <c r="P118" i="4"/>
  <c r="P119" i="4"/>
  <c r="P120" i="4"/>
  <c r="P121" i="4"/>
  <c r="Q121" i="4" s="1"/>
  <c r="R121" i="4"/>
  <c r="Q122" i="4"/>
  <c r="R122" i="4"/>
  <c r="W18" i="4"/>
  <c r="W19" i="4"/>
  <c r="W20" i="4"/>
  <c r="W22" i="4"/>
  <c r="W23" i="4"/>
  <c r="O127" i="4"/>
  <c r="P127" i="4"/>
  <c r="P128" i="4"/>
  <c r="P129" i="4"/>
  <c r="P130" i="4"/>
  <c r="P131" i="4"/>
  <c r="L32" i="4"/>
  <c r="G40" i="4"/>
  <c r="O137" i="4"/>
  <c r="P137" i="4"/>
  <c r="P140" i="4"/>
  <c r="O141" i="4"/>
  <c r="P141" i="4"/>
  <c r="G45" i="4"/>
  <c r="O142" i="4"/>
  <c r="P142" i="4"/>
  <c r="G48" i="4"/>
  <c r="O147" i="4"/>
  <c r="P147" i="4"/>
  <c r="P148" i="4"/>
  <c r="P149" i="4"/>
  <c r="G53" i="4"/>
  <c r="P150" i="4"/>
  <c r="G55" i="4"/>
  <c r="G57" i="4"/>
  <c r="O60" i="4"/>
  <c r="P60" i="4"/>
  <c r="Q60" i="4"/>
  <c r="O61" i="4"/>
  <c r="P61" i="4"/>
  <c r="Q61" i="4"/>
  <c r="O62" i="4"/>
  <c r="P62" i="4"/>
  <c r="G67" i="4"/>
  <c r="G68" i="4"/>
  <c r="G70" i="4"/>
  <c r="G71" i="4"/>
  <c r="G72" i="4"/>
  <c r="G73" i="4"/>
  <c r="G75" i="4"/>
  <c r="G76" i="4"/>
  <c r="G77" i="4"/>
  <c r="G79" i="4"/>
  <c r="G81" i="4"/>
  <c r="K81" i="4"/>
  <c r="G82" i="4"/>
  <c r="P159" i="4"/>
  <c r="D4" i="19"/>
  <c r="G5" i="19"/>
  <c r="G7" i="19"/>
  <c r="I7" i="19" s="1"/>
  <c r="CB10" i="19"/>
  <c r="BB32" i="19"/>
  <c r="BB33" i="19"/>
  <c r="G34" i="19"/>
  <c r="AH45" i="19"/>
  <c r="AB314" i="19"/>
  <c r="AC314" i="19"/>
  <c r="L41" i="19"/>
  <c r="AH46" i="19"/>
  <c r="AG186" i="19"/>
  <c r="AG187" i="19"/>
  <c r="AG188" i="19"/>
  <c r="AG189" i="19"/>
  <c r="AG190" i="19"/>
  <c r="AG191" i="19"/>
  <c r="AG192" i="19"/>
  <c r="AG193" i="19"/>
  <c r="AG194" i="19"/>
  <c r="BB50" i="19"/>
  <c r="AG195" i="19"/>
  <c r="BB51" i="19"/>
  <c r="AG196" i="19"/>
  <c r="BB52" i="19"/>
  <c r="AG197" i="19"/>
  <c r="G53" i="19"/>
  <c r="AG198" i="19"/>
  <c r="AG199" i="19"/>
  <c r="AG200" i="19"/>
  <c r="AT71" i="19"/>
  <c r="AC205" i="19"/>
  <c r="CT60" i="19"/>
  <c r="AC206" i="19"/>
  <c r="L62" i="19"/>
  <c r="AH64" i="19"/>
  <c r="AC207" i="19"/>
  <c r="AC208" i="19"/>
  <c r="AC209" i="19"/>
  <c r="AC210" i="19"/>
  <c r="AC211" i="19"/>
  <c r="AC212" i="19"/>
  <c r="AC213" i="19"/>
  <c r="AC214" i="19"/>
  <c r="AC215" i="19"/>
  <c r="BB71" i="19"/>
  <c r="AC216" i="19"/>
  <c r="AC345" i="19"/>
  <c r="BD72" i="19"/>
  <c r="AC217" i="19"/>
  <c r="BB73" i="19"/>
  <c r="AC218" i="19"/>
  <c r="AC347" i="19"/>
  <c r="AC219" i="19"/>
  <c r="AC348" i="19"/>
  <c r="AC220" i="19"/>
  <c r="AC349" i="19"/>
  <c r="AC221" i="19"/>
  <c r="AC222" i="19"/>
  <c r="AC223" i="19"/>
  <c r="AC224" i="19"/>
  <c r="AB241" i="19"/>
  <c r="AC241" i="19"/>
  <c r="AF244" i="19"/>
  <c r="AB242" i="19"/>
  <c r="AC242" i="19"/>
  <c r="AB243" i="19"/>
  <c r="AC243" i="19"/>
  <c r="AB244" i="19"/>
  <c r="AC244" i="19"/>
  <c r="D105" i="19"/>
  <c r="E105" i="19"/>
  <c r="F105" i="19"/>
  <c r="G105" i="19"/>
  <c r="H105" i="19"/>
  <c r="I105" i="19"/>
  <c r="AH105" i="19"/>
  <c r="B106" i="19"/>
  <c r="B107" i="19"/>
  <c r="B108" i="19"/>
  <c r="AP185" i="19"/>
  <c r="AQ185" i="19"/>
  <c r="B109" i="19"/>
  <c r="AC254" i="19"/>
  <c r="AP186" i="19"/>
  <c r="AQ186" i="19"/>
  <c r="AC255" i="19"/>
  <c r="AP187" i="19"/>
  <c r="AQ187" i="19"/>
  <c r="AC256" i="19"/>
  <c r="AP188" i="19"/>
  <c r="AQ188" i="19"/>
  <c r="AC257" i="19"/>
  <c r="AP189" i="19"/>
  <c r="AQ189" i="19"/>
  <c r="AG258" i="19"/>
  <c r="AP190" i="19"/>
  <c r="AQ190" i="19"/>
  <c r="AG259" i="19"/>
  <c r="AH259" i="19"/>
  <c r="AP191" i="19"/>
  <c r="AQ191" i="19"/>
  <c r="AC260" i="19"/>
  <c r="AG260" i="19"/>
  <c r="AH260" i="19"/>
  <c r="AP192" i="19"/>
  <c r="AQ192" i="19"/>
  <c r="AC261" i="19"/>
  <c r="AG261" i="19"/>
  <c r="AH261" i="19"/>
  <c r="AP193" i="19"/>
  <c r="AQ193" i="19"/>
  <c r="AP194" i="19"/>
  <c r="AQ194" i="19"/>
  <c r="AQ195" i="19"/>
  <c r="AP196" i="19"/>
  <c r="AQ196" i="19"/>
  <c r="AP197" i="19"/>
  <c r="AQ197" i="19"/>
  <c r="AP198" i="19"/>
  <c r="AQ198" i="19"/>
  <c r="AP199" i="19"/>
  <c r="AQ199" i="19"/>
  <c r="AP200" i="19"/>
  <c r="AQ200" i="19"/>
  <c r="AP201" i="19"/>
  <c r="AQ201" i="19"/>
  <c r="AJ122" i="19"/>
  <c r="AK122" i="19"/>
  <c r="AL122" i="19"/>
  <c r="AM122" i="19"/>
  <c r="AN122" i="19"/>
  <c r="AO122" i="19"/>
  <c r="AJ123" i="19"/>
  <c r="AK123" i="19"/>
  <c r="AL123" i="19"/>
  <c r="AM123" i="19"/>
  <c r="AN123" i="19"/>
  <c r="AO123" i="19"/>
  <c r="AO300" i="19"/>
  <c r="AJ124" i="19"/>
  <c r="AK124" i="19"/>
  <c r="AL124" i="19"/>
  <c r="AM124" i="19"/>
  <c r="AN124" i="19"/>
  <c r="AO124" i="19"/>
  <c r="AO125" i="19"/>
  <c r="AO126" i="19"/>
  <c r="AO127" i="19"/>
  <c r="AO128" i="19"/>
  <c r="AO129" i="19"/>
  <c r="AO130" i="19"/>
  <c r="AO131" i="19"/>
  <c r="AO132" i="19"/>
  <c r="AO133" i="19"/>
  <c r="AB141" i="19"/>
  <c r="AP271" i="19"/>
  <c r="AP272" i="19" s="1"/>
  <c r="Y4" i="15"/>
  <c r="Z4" i="15"/>
  <c r="I14" i="15"/>
  <c r="I15" i="15"/>
  <c r="I16" i="15"/>
  <c r="AL110" i="15"/>
  <c r="W59" i="15"/>
  <c r="Y59" i="15"/>
  <c r="AA59" i="15"/>
  <c r="W60" i="15"/>
  <c r="Y60" i="15"/>
  <c r="AA60" i="15"/>
  <c r="W61" i="15"/>
  <c r="Y61" i="15"/>
  <c r="AA61" i="15"/>
  <c r="W62" i="15"/>
  <c r="Y62" i="15"/>
  <c r="AA62" i="15"/>
  <c r="W63" i="15"/>
  <c r="Y63" i="15"/>
  <c r="AA63" i="15"/>
  <c r="W64" i="15"/>
  <c r="Y64" i="15"/>
  <c r="AA64" i="15"/>
  <c r="W75" i="15"/>
  <c r="Y75" i="15"/>
  <c r="AA75" i="15"/>
  <c r="W76" i="15"/>
  <c r="Y76" i="15"/>
  <c r="AA76" i="15"/>
  <c r="W77" i="15"/>
  <c r="Y77" i="15"/>
  <c r="AA77" i="15"/>
  <c r="W78" i="15"/>
  <c r="Y78" i="15"/>
  <c r="AA78" i="15"/>
  <c r="W79" i="15"/>
  <c r="Y79" i="15"/>
  <c r="AA79" i="15"/>
  <c r="W80" i="15"/>
  <c r="Y80" i="15"/>
  <c r="AA80" i="15"/>
  <c r="W91" i="15"/>
  <c r="Y91" i="15"/>
  <c r="AA91" i="15"/>
  <c r="W92" i="15"/>
  <c r="Y92" i="15"/>
  <c r="AA92" i="15"/>
  <c r="W93" i="15"/>
  <c r="Y93" i="15"/>
  <c r="AA93" i="15"/>
  <c r="W94" i="15"/>
  <c r="Y94" i="15"/>
  <c r="AA94" i="15"/>
  <c r="W95" i="15"/>
  <c r="Y95" i="15"/>
  <c r="AA95" i="15"/>
  <c r="W96" i="15"/>
  <c r="Y96" i="15"/>
  <c r="AA96" i="15"/>
  <c r="AL98" i="15"/>
  <c r="W107" i="15"/>
  <c r="Y107" i="15"/>
  <c r="AA107" i="15"/>
  <c r="W108" i="15"/>
  <c r="Y108" i="15"/>
  <c r="AA108" i="15"/>
  <c r="W109" i="15"/>
  <c r="Y109" i="15"/>
  <c r="AA109" i="15"/>
  <c r="W110" i="15"/>
  <c r="Y110" i="15"/>
  <c r="AA110" i="15"/>
  <c r="W111" i="15"/>
  <c r="Y111" i="15"/>
  <c r="AA111" i="15"/>
  <c r="W112" i="15"/>
  <c r="Y112" i="15"/>
  <c r="AA112" i="15"/>
  <c r="W123" i="15"/>
  <c r="Y123" i="15"/>
  <c r="AA123" i="15"/>
  <c r="W124" i="15"/>
  <c r="Y124" i="15"/>
  <c r="AA124" i="15"/>
  <c r="W125" i="15"/>
  <c r="Y125" i="15"/>
  <c r="AA125" i="15"/>
  <c r="W126" i="15"/>
  <c r="Y126" i="15"/>
  <c r="AA126" i="15"/>
  <c r="W127" i="15"/>
  <c r="Y127" i="15"/>
  <c r="AA127" i="15"/>
  <c r="W128" i="15"/>
  <c r="Y128" i="15"/>
  <c r="AA128" i="15"/>
  <c r="W129" i="15"/>
  <c r="Y129" i="15"/>
  <c r="AA129" i="15"/>
  <c r="W130" i="15"/>
  <c r="Y130" i="15"/>
  <c r="AA130" i="15"/>
  <c r="W139" i="15"/>
  <c r="Y139" i="15"/>
  <c r="AA139" i="15"/>
  <c r="W140" i="15"/>
  <c r="Y140" i="15"/>
  <c r="AA140" i="15"/>
  <c r="W141" i="15"/>
  <c r="Y141" i="15"/>
  <c r="AA141" i="15"/>
  <c r="W142" i="15"/>
  <c r="Y142" i="15"/>
  <c r="AA142" i="15"/>
  <c r="W143" i="15"/>
  <c r="Y143" i="15"/>
  <c r="AA143" i="15"/>
  <c r="W144" i="15"/>
  <c r="Y144" i="15"/>
  <c r="AA144" i="15"/>
  <c r="W155" i="15"/>
  <c r="Y155" i="15"/>
  <c r="AA155" i="15"/>
  <c r="W156" i="15"/>
  <c r="Y156" i="15"/>
  <c r="AA156" i="15"/>
  <c r="W157" i="15"/>
  <c r="Y157" i="15"/>
  <c r="AA157" i="15"/>
  <c r="W158" i="15"/>
  <c r="Y158" i="15"/>
  <c r="AA158" i="15"/>
  <c r="W159" i="15"/>
  <c r="Y159" i="15"/>
  <c r="AA159" i="15"/>
  <c r="W160" i="15"/>
  <c r="Y160" i="15"/>
  <c r="AA160" i="15"/>
  <c r="W161" i="15"/>
  <c r="Y161" i="15"/>
  <c r="AA161" i="15"/>
  <c r="W162" i="15"/>
  <c r="Y162" i="15"/>
  <c r="AA162" i="15"/>
  <c r="W171" i="15"/>
  <c r="Y171" i="15"/>
  <c r="AA171" i="15"/>
  <c r="W172" i="15"/>
  <c r="Y172" i="15"/>
  <c r="AA172" i="15"/>
  <c r="W173" i="15"/>
  <c r="Y173" i="15"/>
  <c r="AA173" i="15"/>
  <c r="W174" i="15"/>
  <c r="Y174" i="15"/>
  <c r="AA174" i="15"/>
  <c r="W175" i="15"/>
  <c r="Y175" i="15"/>
  <c r="AA175" i="15"/>
  <c r="W176" i="15"/>
  <c r="Y176" i="15"/>
  <c r="AA176" i="15"/>
  <c r="W187" i="15"/>
  <c r="Y187" i="15"/>
  <c r="AA187" i="15"/>
  <c r="W188" i="15"/>
  <c r="Y188" i="15"/>
  <c r="AA188" i="15"/>
  <c r="W189" i="15"/>
  <c r="Y189" i="15"/>
  <c r="AA189" i="15"/>
  <c r="W190" i="15"/>
  <c r="Y190" i="15"/>
  <c r="AA190" i="15"/>
  <c r="W191" i="15"/>
  <c r="Y191" i="15"/>
  <c r="AA191" i="15"/>
  <c r="W192" i="15"/>
  <c r="Y192" i="15"/>
  <c r="AA192" i="15"/>
  <c r="W193" i="15"/>
  <c r="Y193" i="15"/>
  <c r="AA193" i="15"/>
  <c r="W194" i="15"/>
  <c r="Y194" i="15"/>
  <c r="AA194" i="15"/>
  <c r="AA195" i="15"/>
  <c r="AA196" i="15"/>
  <c r="W197" i="15"/>
  <c r="Y197" i="15"/>
  <c r="AA197" i="15"/>
  <c r="W198" i="15"/>
  <c r="Y198" i="15"/>
  <c r="AA198" i="15"/>
  <c r="W199" i="15"/>
  <c r="Y199" i="15"/>
  <c r="AA199" i="15"/>
  <c r="W200" i="15"/>
  <c r="Y200" i="15"/>
  <c r="AA200" i="15"/>
  <c r="W201" i="15"/>
  <c r="Y201" i="15"/>
  <c r="AA201" i="15"/>
  <c r="W202" i="15"/>
  <c r="Y202" i="15"/>
  <c r="AA202" i="15"/>
  <c r="AA203" i="15"/>
  <c r="AA204" i="15"/>
  <c r="AA205" i="15"/>
  <c r="AA206" i="15"/>
  <c r="AA207" i="15"/>
  <c r="AA208" i="15"/>
  <c r="W209" i="15"/>
  <c r="Y209" i="15"/>
  <c r="AA209" i="15"/>
  <c r="W210" i="15"/>
  <c r="Y210" i="15"/>
  <c r="AA210" i="15"/>
  <c r="AA211" i="15"/>
  <c r="AA212" i="15"/>
  <c r="W213" i="15"/>
  <c r="Y213" i="15"/>
  <c r="AA213" i="15"/>
  <c r="W214" i="15"/>
  <c r="Y214" i="15"/>
  <c r="AA214" i="15"/>
  <c r="AA215" i="15"/>
  <c r="AA216" i="15"/>
  <c r="W217" i="15"/>
  <c r="Y217" i="15"/>
  <c r="AA217" i="15"/>
  <c r="W218" i="15"/>
  <c r="Y218" i="15"/>
  <c r="AA218" i="15"/>
  <c r="AA219" i="15"/>
  <c r="AA220" i="15"/>
  <c r="W221" i="15"/>
  <c r="Y221" i="15"/>
  <c r="AA221" i="15"/>
  <c r="W222" i="15"/>
  <c r="Y222" i="15"/>
  <c r="AA222" i="15"/>
  <c r="W223" i="15"/>
  <c r="Y223" i="15"/>
  <c r="AA223" i="15"/>
  <c r="W224" i="15"/>
  <c r="Y224" i="15"/>
  <c r="AA224" i="15"/>
  <c r="W225" i="15"/>
  <c r="Y225" i="15"/>
  <c r="AA225" i="15"/>
  <c r="W226" i="15"/>
  <c r="Y226" i="15"/>
  <c r="AA226" i="15"/>
  <c r="AA227" i="15"/>
  <c r="AA228" i="15"/>
  <c r="W229" i="15"/>
  <c r="Y229" i="15"/>
  <c r="AA229" i="15"/>
  <c r="W230" i="15"/>
  <c r="Y230" i="15"/>
  <c r="AA230" i="15"/>
  <c r="AA231" i="15"/>
  <c r="AA232" i="15"/>
  <c r="W233" i="15"/>
  <c r="Y233" i="15"/>
  <c r="AA233" i="15"/>
  <c r="W234" i="15"/>
  <c r="Y234" i="15"/>
  <c r="AA234" i="15"/>
  <c r="AA235" i="15"/>
  <c r="AA236" i="15"/>
  <c r="W237" i="15"/>
  <c r="Y237" i="15"/>
  <c r="AA237" i="15"/>
  <c r="W238" i="15"/>
  <c r="Y238" i="15"/>
  <c r="AA238" i="15"/>
  <c r="W239" i="15"/>
  <c r="Y239" i="15"/>
  <c r="AA239" i="15"/>
  <c r="W240" i="15"/>
  <c r="Y240" i="15"/>
  <c r="AA240" i="15"/>
  <c r="W241" i="15"/>
  <c r="Y241" i="15"/>
  <c r="AA241" i="15"/>
  <c r="W242" i="15"/>
  <c r="Y242" i="15"/>
  <c r="AA242" i="15"/>
  <c r="W245" i="15"/>
  <c r="Y245" i="15"/>
  <c r="AA245" i="15"/>
  <c r="W246" i="15"/>
  <c r="Y246" i="15"/>
  <c r="AA246" i="15"/>
  <c r="W249" i="15"/>
  <c r="Y249" i="15"/>
  <c r="AA249" i="15"/>
  <c r="W250" i="15"/>
  <c r="Y250" i="15"/>
  <c r="AA250" i="15"/>
  <c r="W253" i="15"/>
  <c r="Y253" i="15"/>
  <c r="AA253" i="15"/>
  <c r="W254" i="15"/>
  <c r="Y254" i="15"/>
  <c r="AA254" i="15"/>
  <c r="W255" i="15"/>
  <c r="Y255" i="15"/>
  <c r="AA255" i="15"/>
  <c r="W256" i="15"/>
  <c r="Y256" i="15"/>
  <c r="AA256" i="15"/>
  <c r="W257" i="15"/>
  <c r="Y257" i="15"/>
  <c r="AA257" i="15"/>
  <c r="W258" i="15"/>
  <c r="Y258" i="15"/>
  <c r="AA258" i="15"/>
  <c r="W261" i="15"/>
  <c r="Y261" i="15"/>
  <c r="AA261" i="15"/>
  <c r="W262" i="15"/>
  <c r="Y262" i="15"/>
  <c r="AA262" i="15"/>
  <c r="W265" i="15"/>
  <c r="Y265" i="15"/>
  <c r="AA265" i="15"/>
  <c r="W266" i="15"/>
  <c r="Y266" i="15"/>
  <c r="AA266" i="15"/>
  <c r="W269" i="15"/>
  <c r="Y269" i="15"/>
  <c r="AA269" i="15"/>
  <c r="W270" i="15"/>
  <c r="Y270" i="15"/>
  <c r="AA270" i="15"/>
  <c r="W271" i="15"/>
  <c r="Y271" i="15"/>
  <c r="AA271" i="15"/>
  <c r="W272" i="15"/>
  <c r="Y272" i="15"/>
  <c r="AA272" i="15"/>
  <c r="W273" i="15"/>
  <c r="Y273" i="15"/>
  <c r="AA273" i="15"/>
  <c r="W274" i="15"/>
  <c r="Y274" i="15"/>
  <c r="AA274" i="15"/>
  <c r="W277" i="15"/>
  <c r="Y277" i="15"/>
  <c r="AA277" i="15"/>
  <c r="W278" i="15"/>
  <c r="Y278" i="15"/>
  <c r="AA278" i="15"/>
  <c r="W281" i="15"/>
  <c r="Y281" i="15"/>
  <c r="AA281" i="15"/>
  <c r="W282" i="15"/>
  <c r="Y282" i="15"/>
  <c r="AA282" i="15"/>
  <c r="W285" i="15"/>
  <c r="Y285" i="15"/>
  <c r="AA285" i="15"/>
  <c r="W286" i="15"/>
  <c r="Y286" i="15"/>
  <c r="AA286" i="15"/>
  <c r="W287" i="15"/>
  <c r="Y287" i="15"/>
  <c r="AA287" i="15"/>
  <c r="W288" i="15"/>
  <c r="Y288" i="15"/>
  <c r="AA288" i="15"/>
  <c r="S153" i="2"/>
  <c r="S154" i="2"/>
  <c r="V29" i="22" s="1"/>
  <c r="S155" i="2"/>
  <c r="BP7" i="2"/>
  <c r="S156" i="2"/>
  <c r="V31" i="22" s="1"/>
  <c r="S157" i="2"/>
  <c r="BI9" i="2"/>
  <c r="BI35" i="2"/>
  <c r="BO35" i="2" s="1"/>
  <c r="BN35" i="2"/>
  <c r="BP35" i="2" s="1"/>
  <c r="O20" i="2" s="1"/>
  <c r="BJ35" i="2"/>
  <c r="BI10" i="2"/>
  <c r="BI36" i="2"/>
  <c r="BJ36" i="2"/>
  <c r="BI11" i="2"/>
  <c r="BI37" i="2"/>
  <c r="BN37" i="2" s="1"/>
  <c r="BJ37" i="2"/>
  <c r="S160" i="2"/>
  <c r="BI38" i="2"/>
  <c r="BJ38" i="2"/>
  <c r="BI39" i="2"/>
  <c r="BN39" i="2" s="1"/>
  <c r="BJ39" i="2"/>
  <c r="S162" i="2"/>
  <c r="V37" i="22" s="1"/>
  <c r="S163" i="2"/>
  <c r="S165" i="2"/>
  <c r="S166" i="2"/>
  <c r="Z54" i="2"/>
  <c r="M29" i="2" s="1"/>
  <c r="S167" i="2"/>
  <c r="S168" i="2"/>
  <c r="BP20" i="2"/>
  <c r="S169" i="2"/>
  <c r="BP21" i="2"/>
  <c r="S170" i="2"/>
  <c r="BP22" i="2"/>
  <c r="X167" i="2"/>
  <c r="Y167" i="2"/>
  <c r="S171" i="2"/>
  <c r="X168" i="2"/>
  <c r="Y168" i="2"/>
  <c r="BP24" i="2"/>
  <c r="W169" i="2"/>
  <c r="S173" i="2"/>
  <c r="V48" i="22" s="1"/>
  <c r="BP25" i="2"/>
  <c r="S36" i="2"/>
  <c r="T36" i="2"/>
  <c r="U36" i="2"/>
  <c r="V36" i="2"/>
  <c r="W36" i="2"/>
  <c r="X36" i="2"/>
  <c r="W170" i="2"/>
  <c r="S174" i="2"/>
  <c r="V49" i="22" s="1"/>
  <c r="W171" i="2"/>
  <c r="S176" i="2"/>
  <c r="V51" i="22" s="1"/>
  <c r="W173" i="2"/>
  <c r="S177" i="2"/>
  <c r="V52" i="22" s="1"/>
  <c r="S178" i="2"/>
  <c r="BE34" i="2"/>
  <c r="BE35" i="2"/>
  <c r="BE36" i="2"/>
  <c r="BE37" i="2"/>
  <c r="BE38" i="2"/>
  <c r="Y41" i="2"/>
  <c r="Z41" i="2"/>
  <c r="Y46" i="2"/>
  <c r="Y45" i="2"/>
  <c r="Y44" i="2"/>
  <c r="Y42" i="2"/>
  <c r="AA41" i="2"/>
  <c r="S179" i="2"/>
  <c r="V54" i="22" s="1"/>
  <c r="AA42" i="2"/>
  <c r="S180" i="2"/>
  <c r="Z43" i="2"/>
  <c r="AA43" i="2"/>
  <c r="S181" i="2"/>
  <c r="V56" i="22" s="1"/>
  <c r="Z44" i="2"/>
  <c r="Z45" i="2"/>
  <c r="AA45" i="2"/>
  <c r="BM35" i="2"/>
  <c r="S185" i="2"/>
  <c r="BK37" i="2"/>
  <c r="BM37" i="2"/>
  <c r="S186" i="2"/>
  <c r="BK38" i="2"/>
  <c r="BM38" i="2"/>
  <c r="Z183" i="2"/>
  <c r="H22" i="2" s="1"/>
  <c r="AA183" i="2"/>
  <c r="Q23" i="19" s="1"/>
  <c r="S187" i="2"/>
  <c r="V62" i="22" s="1"/>
  <c r="BK39" i="2"/>
  <c r="BM39" i="2"/>
  <c r="Z184" i="2"/>
  <c r="AH30" i="22"/>
  <c r="AB184" i="2"/>
  <c r="AE184" i="2"/>
  <c r="AM30" i="22" s="1"/>
  <c r="S188" i="2"/>
  <c r="V63" i="22" s="1"/>
  <c r="S189" i="2"/>
  <c r="S190" i="2"/>
  <c r="V65" i="22" s="1"/>
  <c r="S191" i="2"/>
  <c r="V66" i="22" s="1"/>
  <c r="AS155" i="2"/>
  <c r="AT155" i="2"/>
  <c r="AV155" i="2"/>
  <c r="AT156" i="2"/>
  <c r="S194" i="2"/>
  <c r="V69" i="22" s="1"/>
  <c r="AT157" i="2"/>
  <c r="S195" i="2"/>
  <c r="V70" i="22" s="1"/>
  <c r="AT158" i="2"/>
  <c r="AT159" i="2"/>
  <c r="S197" i="2"/>
  <c r="V72" i="22" s="1"/>
  <c r="AT160" i="2"/>
  <c r="AT161" i="2"/>
  <c r="S199" i="2"/>
  <c r="V74" i="22" s="1"/>
  <c r="BE42" i="2"/>
  <c r="AT162" i="2"/>
  <c r="S200" i="2"/>
  <c r="V75" i="22" s="1"/>
  <c r="AT163" i="2"/>
  <c r="S201" i="2"/>
  <c r="V76" i="22" s="1"/>
  <c r="AT164" i="2"/>
  <c r="AT165" i="2"/>
  <c r="S203" i="2"/>
  <c r="V78" i="22" s="1"/>
  <c r="AT166" i="2"/>
  <c r="AT167" i="2"/>
  <c r="S205" i="2"/>
  <c r="V80" i="22" s="1"/>
  <c r="AT168" i="2"/>
  <c r="S206" i="2"/>
  <c r="V81" i="22" s="1"/>
  <c r="AT169" i="2"/>
  <c r="S207" i="2"/>
  <c r="AT170" i="2"/>
  <c r="S208" i="2"/>
  <c r="AT171" i="2"/>
  <c r="AT172" i="2"/>
  <c r="AT173" i="2"/>
  <c r="AT174" i="2"/>
  <c r="S212" i="2"/>
  <c r="AT175" i="2"/>
  <c r="Y197" i="2"/>
  <c r="AT176" i="2"/>
  <c r="S214" i="2"/>
  <c r="V89" i="22" s="1"/>
  <c r="AT177" i="2"/>
  <c r="S215" i="2"/>
  <c r="AT178" i="2"/>
  <c r="S216" i="2"/>
  <c r="AT179" i="2"/>
  <c r="S217" i="2"/>
  <c r="V92" i="22" s="1"/>
  <c r="AT180" i="2"/>
  <c r="AT181" i="2"/>
  <c r="AT182" i="2"/>
  <c r="S220" i="2"/>
  <c r="AT183" i="2"/>
  <c r="S221" i="2"/>
  <c r="AT184" i="2"/>
  <c r="S222" i="2"/>
  <c r="V97" i="22" s="1"/>
  <c r="AT185" i="2"/>
  <c r="S223" i="2"/>
  <c r="V98" i="22" s="1"/>
  <c r="AT186" i="2"/>
  <c r="S224" i="2"/>
  <c r="AT187" i="2"/>
  <c r="AT188" i="2"/>
  <c r="S226" i="2"/>
  <c r="AT189" i="2"/>
  <c r="AT190" i="2"/>
  <c r="S228" i="2"/>
  <c r="V103" i="22" s="1"/>
  <c r="AW191" i="2"/>
  <c r="AX191" i="2"/>
  <c r="AT191" i="2"/>
  <c r="S229" i="2"/>
  <c r="V104" i="22" s="1"/>
  <c r="AW192" i="2"/>
  <c r="AX192" i="2"/>
  <c r="AT192" i="2"/>
  <c r="S230" i="2"/>
  <c r="AT193" i="2"/>
  <c r="S231" i="2"/>
  <c r="V106" i="22" s="1"/>
  <c r="AT194" i="2"/>
  <c r="S232" i="2"/>
  <c r="V107" i="22" s="1"/>
  <c r="AT195" i="2"/>
  <c r="S233" i="2"/>
  <c r="V108" i="22" s="1"/>
  <c r="S234" i="2"/>
  <c r="V109" i="22" s="1"/>
  <c r="S236" i="2"/>
  <c r="V111" i="22" s="1"/>
  <c r="S238" i="2"/>
  <c r="V113" i="22" s="1"/>
  <c r="S239" i="2"/>
  <c r="V114" i="22" s="1"/>
  <c r="S241" i="2"/>
  <c r="V116" i="22" s="1"/>
  <c r="S242" i="2"/>
  <c r="S243" i="2"/>
  <c r="V118" i="22" s="1"/>
  <c r="S244" i="2"/>
  <c r="V119" i="22" s="1"/>
  <c r="S245" i="2"/>
  <c r="V120" i="22"/>
  <c r="S246" i="2"/>
  <c r="V121" i="22" s="1"/>
  <c r="S247" i="2"/>
  <c r="V122" i="22"/>
  <c r="S248" i="2"/>
  <c r="V123" i="22" s="1"/>
  <c r="S250" i="2"/>
  <c r="V125" i="22" s="1"/>
  <c r="S251" i="2"/>
  <c r="V126" i="22" s="1"/>
  <c r="S252" i="2"/>
  <c r="V127" i="22"/>
  <c r="S253" i="2"/>
  <c r="V128" i="22" s="1"/>
  <c r="S254" i="2"/>
  <c r="V129" i="22" s="1"/>
  <c r="S255" i="2"/>
  <c r="V130" i="22" s="1"/>
  <c r="BC154" i="2"/>
  <c r="BI154" i="2"/>
  <c r="Y16" i="2"/>
  <c r="Z16" i="2" s="1"/>
  <c r="S259" i="2"/>
  <c r="V134" i="22" s="1"/>
  <c r="S261" i="2"/>
  <c r="V136" i="22" s="1"/>
  <c r="S262" i="2"/>
  <c r="V137" i="22" s="1"/>
  <c r="BC160" i="2"/>
  <c r="S265" i="2"/>
  <c r="V140" i="22" s="1"/>
  <c r="S266" i="2"/>
  <c r="S267" i="2"/>
  <c r="V142" i="22" s="1"/>
  <c r="S268" i="2"/>
  <c r="V143" i="22" s="1"/>
  <c r="S269" i="2"/>
  <c r="V144" i="22" s="1"/>
  <c r="BC166" i="2"/>
  <c r="S270" i="2"/>
  <c r="S271" i="2"/>
  <c r="V146" i="22" s="1"/>
  <c r="S272" i="2"/>
  <c r="S273" i="2"/>
  <c r="V148" i="22" s="1"/>
  <c r="S274" i="2"/>
  <c r="S275" i="2"/>
  <c r="V150" i="22" s="1"/>
  <c r="BC173" i="2"/>
  <c r="Y15" i="2"/>
  <c r="Z15" i="2" s="1"/>
  <c r="BC177" i="2"/>
  <c r="AT200" i="2"/>
  <c r="AT201" i="2"/>
  <c r="AU201" i="2"/>
  <c r="AT202" i="2"/>
  <c r="AU202" i="2"/>
  <c r="AT203" i="2"/>
  <c r="AU203" i="2"/>
  <c r="AT204" i="2"/>
  <c r="AU204" i="2"/>
  <c r="AT205" i="2"/>
  <c r="AU205" i="2"/>
  <c r="AT206" i="2"/>
  <c r="AU206" i="2"/>
  <c r="AT207" i="2"/>
  <c r="AU207" i="2"/>
  <c r="AT208" i="2"/>
  <c r="AU208" i="2"/>
  <c r="AT209" i="2"/>
  <c r="AU209" i="2"/>
  <c r="AT210" i="2"/>
  <c r="AU210" i="2"/>
  <c r="AT211" i="2"/>
  <c r="AU211" i="2"/>
  <c r="AT212" i="2"/>
  <c r="AU212" i="2"/>
  <c r="AT213" i="2"/>
  <c r="AU213" i="2"/>
  <c r="AT214" i="2"/>
  <c r="AU214" i="2"/>
  <c r="AT215" i="2"/>
  <c r="AT216" i="2"/>
  <c r="AU216" i="2"/>
  <c r="AT217" i="2"/>
  <c r="AU217" i="2"/>
  <c r="AT218" i="2"/>
  <c r="AU218" i="2"/>
  <c r="AT219" i="2"/>
  <c r="AU219" i="2"/>
  <c r="AT220" i="2"/>
  <c r="AU220" i="2"/>
  <c r="AT221" i="2"/>
  <c r="AU221" i="2"/>
  <c r="AT222" i="2"/>
  <c r="AU222" i="2"/>
  <c r="S330" i="2"/>
  <c r="V205" i="22" s="1"/>
  <c r="AT223" i="2"/>
  <c r="AU223" i="2"/>
  <c r="S331" i="2"/>
  <c r="V206" i="22" s="1"/>
  <c r="AT224" i="2"/>
  <c r="AU224" i="2"/>
  <c r="P19" i="2" s="1"/>
  <c r="S332" i="2"/>
  <c r="V207" i="22" s="1"/>
  <c r="AT225" i="2"/>
  <c r="AU225" i="2"/>
  <c r="S333" i="2"/>
  <c r="V208" i="22" s="1"/>
  <c r="AT226" i="2"/>
  <c r="AU226" i="2"/>
  <c r="S334" i="2"/>
  <c r="V209" i="22" s="1"/>
  <c r="AT227" i="2"/>
  <c r="AU227" i="2"/>
  <c r="S335" i="2"/>
  <c r="V210" i="22" s="1"/>
  <c r="AT228" i="2"/>
  <c r="AU228" i="2"/>
  <c r="S336" i="2"/>
  <c r="AT229" i="2"/>
  <c r="AU229" i="2"/>
  <c r="S337" i="2"/>
  <c r="V212" i="22" s="1"/>
  <c r="AT230" i="2"/>
  <c r="AU230" i="2"/>
  <c r="S338" i="2"/>
  <c r="V213" i="22" s="1"/>
  <c r="AT231" i="2"/>
  <c r="AU231" i="2"/>
  <c r="R339" i="2"/>
  <c r="S339" i="2"/>
  <c r="V214" i="22" s="1"/>
  <c r="S340" i="2"/>
  <c r="V215" i="22" s="1"/>
  <c r="S341" i="2"/>
  <c r="S342" i="2"/>
  <c r="S343" i="2"/>
  <c r="V218" i="22" s="1"/>
  <c r="S344" i="2"/>
  <c r="S345" i="2"/>
  <c r="V220" i="22" s="1"/>
  <c r="S346" i="2"/>
  <c r="V221" i="22" s="1"/>
  <c r="AE27" i="22"/>
  <c r="AG28" i="22"/>
  <c r="AH28" i="22"/>
  <c r="AI28" i="22"/>
  <c r="AJ28" i="22"/>
  <c r="AK28" i="22"/>
  <c r="AL28" i="22"/>
  <c r="AM28" i="22"/>
  <c r="AN28" i="22"/>
  <c r="AO28" i="22"/>
  <c r="AP28" i="22"/>
  <c r="AQ28" i="22"/>
  <c r="AR28" i="22"/>
  <c r="AH29" i="22"/>
  <c r="AK29" i="22"/>
  <c r="AL29" i="22"/>
  <c r="AM29" i="22"/>
  <c r="AN29" i="22"/>
  <c r="AO29" i="22"/>
  <c r="AP29" i="22"/>
  <c r="AQ29" i="22"/>
  <c r="AR29" i="22"/>
  <c r="AG30" i="22"/>
  <c r="AI30" i="22"/>
  <c r="AJ30" i="22"/>
  <c r="AK30" i="22"/>
  <c r="AL30" i="22"/>
  <c r="AN30" i="22"/>
  <c r="AO30" i="22"/>
  <c r="AP30" i="22"/>
  <c r="AQ30" i="22"/>
  <c r="AR30" i="22"/>
  <c r="R26" i="22"/>
  <c r="V26" i="22"/>
  <c r="T26" i="22"/>
  <c r="U26" i="22"/>
  <c r="S27" i="22"/>
  <c r="T27" i="22"/>
  <c r="U27" i="22"/>
  <c r="S28" i="22"/>
  <c r="T28" i="22"/>
  <c r="S29" i="22"/>
  <c r="T29" i="22"/>
  <c r="U29" i="22"/>
  <c r="S30" i="22"/>
  <c r="T30" i="22"/>
  <c r="U30" i="22"/>
  <c r="V30" i="22"/>
  <c r="S31" i="22"/>
  <c r="T31" i="22"/>
  <c r="U31" i="22"/>
  <c r="S32" i="22"/>
  <c r="T32" i="22"/>
  <c r="U32" i="22"/>
  <c r="V32" i="22"/>
  <c r="S33" i="22"/>
  <c r="T33" i="22"/>
  <c r="U33" i="22"/>
  <c r="V33" i="22"/>
  <c r="S34" i="22"/>
  <c r="T34" i="22"/>
  <c r="U34" i="22"/>
  <c r="V34" i="22"/>
  <c r="S35" i="22"/>
  <c r="T35" i="22"/>
  <c r="U35" i="22"/>
  <c r="V35" i="22"/>
  <c r="S36" i="22"/>
  <c r="T36" i="22"/>
  <c r="U36" i="22"/>
  <c r="V36" i="22"/>
  <c r="S37" i="22"/>
  <c r="T37" i="22"/>
  <c r="U37" i="22"/>
  <c r="S38" i="22"/>
  <c r="T38" i="22"/>
  <c r="U38" i="22"/>
  <c r="V38" i="22"/>
  <c r="S39" i="22"/>
  <c r="T39" i="22"/>
  <c r="U39" i="22"/>
  <c r="V39" i="22"/>
  <c r="S40" i="22"/>
  <c r="T40" i="22"/>
  <c r="U40" i="22"/>
  <c r="V40" i="22"/>
  <c r="S41" i="22"/>
  <c r="T41" i="22"/>
  <c r="U41" i="22"/>
  <c r="V41" i="22"/>
  <c r="S42" i="22"/>
  <c r="T42" i="22"/>
  <c r="U42" i="22"/>
  <c r="V42" i="22"/>
  <c r="S43" i="22"/>
  <c r="T43" i="22"/>
  <c r="U43" i="22"/>
  <c r="V43" i="22"/>
  <c r="S44" i="22"/>
  <c r="T44" i="22"/>
  <c r="U44" i="22"/>
  <c r="V44" i="22"/>
  <c r="S45" i="22"/>
  <c r="T45" i="22"/>
  <c r="U45" i="22"/>
  <c r="V45" i="22"/>
  <c r="S46" i="22"/>
  <c r="T46" i="22"/>
  <c r="U46" i="22"/>
  <c r="V46" i="22"/>
  <c r="S47" i="22"/>
  <c r="T47" i="22"/>
  <c r="U47" i="22"/>
  <c r="V47" i="22"/>
  <c r="S48" i="22"/>
  <c r="T48" i="22"/>
  <c r="U48" i="22"/>
  <c r="S49" i="22"/>
  <c r="T49" i="22"/>
  <c r="U49" i="22"/>
  <c r="S50" i="22"/>
  <c r="T50" i="22"/>
  <c r="U50" i="22"/>
  <c r="V50" i="22"/>
  <c r="S51" i="22"/>
  <c r="T51" i="22"/>
  <c r="U51" i="22"/>
  <c r="S52" i="22"/>
  <c r="T52" i="22"/>
  <c r="U52" i="22"/>
  <c r="S53" i="22"/>
  <c r="T53" i="22"/>
  <c r="U53" i="22"/>
  <c r="V53" i="22"/>
  <c r="S54" i="22"/>
  <c r="T54" i="22"/>
  <c r="U54" i="22"/>
  <c r="S55" i="22"/>
  <c r="T55" i="22"/>
  <c r="U55" i="22"/>
  <c r="V55" i="22"/>
  <c r="S56" i="22"/>
  <c r="T56" i="22"/>
  <c r="U56" i="22"/>
  <c r="S57" i="22"/>
  <c r="T57" i="22"/>
  <c r="U57" i="22"/>
  <c r="V57" i="22"/>
  <c r="S58" i="22"/>
  <c r="T58" i="22"/>
  <c r="U58" i="22"/>
  <c r="V58" i="22"/>
  <c r="S59" i="22"/>
  <c r="T59" i="22"/>
  <c r="U59" i="22"/>
  <c r="V59" i="22"/>
  <c r="S60" i="22"/>
  <c r="T60" i="22"/>
  <c r="U60" i="22"/>
  <c r="V60" i="22"/>
  <c r="S61" i="22"/>
  <c r="T61" i="22"/>
  <c r="U61" i="22"/>
  <c r="V61" i="22"/>
  <c r="S62" i="22"/>
  <c r="T62" i="22"/>
  <c r="U62" i="22"/>
  <c r="S63" i="22"/>
  <c r="T63" i="22"/>
  <c r="U63" i="22"/>
  <c r="S64" i="22"/>
  <c r="T64" i="22"/>
  <c r="U64" i="22"/>
  <c r="V64" i="22"/>
  <c r="S65" i="22"/>
  <c r="T65" i="22"/>
  <c r="U65" i="22"/>
  <c r="S66" i="22"/>
  <c r="T66" i="22"/>
  <c r="U66" i="22"/>
  <c r="S67" i="22"/>
  <c r="T67" i="22"/>
  <c r="U67" i="22"/>
  <c r="V67" i="22"/>
  <c r="S68" i="22"/>
  <c r="T68" i="22"/>
  <c r="U68" i="22"/>
  <c r="V68" i="22"/>
  <c r="S69" i="22"/>
  <c r="T69" i="22"/>
  <c r="U69" i="22"/>
  <c r="S70" i="22"/>
  <c r="T70" i="22"/>
  <c r="U70" i="22"/>
  <c r="S71" i="22"/>
  <c r="T71" i="22"/>
  <c r="U71" i="22"/>
  <c r="V71" i="22"/>
  <c r="S72" i="22"/>
  <c r="T72" i="22"/>
  <c r="U72" i="22"/>
  <c r="S73" i="22"/>
  <c r="T73" i="22"/>
  <c r="U73" i="22"/>
  <c r="V73" i="22"/>
  <c r="S74" i="22"/>
  <c r="T74" i="22"/>
  <c r="U74" i="22"/>
  <c r="S75" i="22"/>
  <c r="T75" i="22"/>
  <c r="U75" i="22"/>
  <c r="S76" i="22"/>
  <c r="T76" i="22"/>
  <c r="U76" i="22"/>
  <c r="S77" i="22"/>
  <c r="T77" i="22"/>
  <c r="U77" i="22"/>
  <c r="V77" i="22"/>
  <c r="S78" i="22"/>
  <c r="T78" i="22"/>
  <c r="U78" i="22"/>
  <c r="S79" i="22"/>
  <c r="T79" i="22"/>
  <c r="U79" i="22"/>
  <c r="V79" i="22"/>
  <c r="S80" i="22"/>
  <c r="T80" i="22"/>
  <c r="U80" i="22"/>
  <c r="S81" i="22"/>
  <c r="T81" i="22"/>
  <c r="U81" i="22"/>
  <c r="S82" i="22"/>
  <c r="T82" i="22"/>
  <c r="U82" i="22"/>
  <c r="V82" i="22"/>
  <c r="S83" i="22"/>
  <c r="T83" i="22"/>
  <c r="U83" i="22"/>
  <c r="V83" i="22"/>
  <c r="S84" i="22"/>
  <c r="T84" i="22"/>
  <c r="U84" i="22"/>
  <c r="V84" i="22"/>
  <c r="S85" i="22"/>
  <c r="T85" i="22"/>
  <c r="U85" i="22"/>
  <c r="V85" i="22"/>
  <c r="S86" i="22"/>
  <c r="T86" i="22"/>
  <c r="U86" i="22"/>
  <c r="V86" i="22"/>
  <c r="S87" i="22"/>
  <c r="T87" i="22"/>
  <c r="U87" i="22"/>
  <c r="V87" i="22"/>
  <c r="S88" i="22"/>
  <c r="T88" i="22"/>
  <c r="U88" i="22"/>
  <c r="V88" i="22"/>
  <c r="S89" i="22"/>
  <c r="T89" i="22"/>
  <c r="U89" i="22"/>
  <c r="S90" i="22"/>
  <c r="T90" i="22"/>
  <c r="U90" i="22"/>
  <c r="V90" i="22"/>
  <c r="S91" i="22"/>
  <c r="T91" i="22"/>
  <c r="U91" i="22"/>
  <c r="V91" i="22"/>
  <c r="S92" i="22"/>
  <c r="T92" i="22"/>
  <c r="U92" i="22"/>
  <c r="S93" i="22"/>
  <c r="T93" i="22"/>
  <c r="U93" i="22"/>
  <c r="V93" i="22"/>
  <c r="S94" i="22"/>
  <c r="T94" i="22"/>
  <c r="U94" i="22"/>
  <c r="V94" i="22"/>
  <c r="S95" i="22"/>
  <c r="T95" i="22"/>
  <c r="U95" i="22"/>
  <c r="V95" i="22"/>
  <c r="S96" i="22"/>
  <c r="T96" i="22"/>
  <c r="U96" i="22"/>
  <c r="V96" i="22"/>
  <c r="S97" i="22"/>
  <c r="T97" i="22"/>
  <c r="U97" i="22"/>
  <c r="S98" i="22"/>
  <c r="T98" i="22"/>
  <c r="U98" i="22"/>
  <c r="S99" i="22"/>
  <c r="T99" i="22"/>
  <c r="U99" i="22"/>
  <c r="V99" i="22"/>
  <c r="S100" i="22"/>
  <c r="T100" i="22"/>
  <c r="U100" i="22"/>
  <c r="V100" i="22"/>
  <c r="S101" i="22"/>
  <c r="T101" i="22"/>
  <c r="U101" i="22"/>
  <c r="V101" i="22"/>
  <c r="S102" i="22"/>
  <c r="T102" i="22"/>
  <c r="U102" i="22"/>
  <c r="V102" i="22"/>
  <c r="S103" i="22"/>
  <c r="T103" i="22"/>
  <c r="U103" i="22"/>
  <c r="S104" i="22"/>
  <c r="T104" i="22"/>
  <c r="U104" i="22"/>
  <c r="S105" i="22"/>
  <c r="T105" i="22"/>
  <c r="U105" i="22"/>
  <c r="V105" i="22"/>
  <c r="S106" i="22"/>
  <c r="T106" i="22"/>
  <c r="U106" i="22"/>
  <c r="S107" i="22"/>
  <c r="T107" i="22"/>
  <c r="U107" i="22"/>
  <c r="S108" i="22"/>
  <c r="T108" i="22"/>
  <c r="U108" i="22"/>
  <c r="S109" i="22"/>
  <c r="T109" i="22"/>
  <c r="U109" i="22"/>
  <c r="S110" i="22"/>
  <c r="T110" i="22"/>
  <c r="U110" i="22"/>
  <c r="V110" i="22"/>
  <c r="S111" i="22"/>
  <c r="T111" i="22"/>
  <c r="U111" i="22"/>
  <c r="S112" i="22"/>
  <c r="T112" i="22"/>
  <c r="U112" i="22"/>
  <c r="V112" i="22"/>
  <c r="S113" i="22"/>
  <c r="T113" i="22"/>
  <c r="U113" i="22"/>
  <c r="S114" i="22"/>
  <c r="T114" i="22"/>
  <c r="U114" i="22"/>
  <c r="S115" i="22"/>
  <c r="T115" i="22"/>
  <c r="U115" i="22"/>
  <c r="V115" i="22"/>
  <c r="S116" i="22"/>
  <c r="T116" i="22"/>
  <c r="U116" i="22"/>
  <c r="S117" i="22"/>
  <c r="T117" i="22"/>
  <c r="U117" i="22"/>
  <c r="V117" i="22"/>
  <c r="S118" i="22"/>
  <c r="T118" i="22"/>
  <c r="U118" i="22"/>
  <c r="S119" i="22"/>
  <c r="T119" i="22"/>
  <c r="U119" i="22"/>
  <c r="S120" i="22"/>
  <c r="T120" i="22"/>
  <c r="U120" i="22"/>
  <c r="S121" i="22"/>
  <c r="T121" i="22"/>
  <c r="U121" i="22"/>
  <c r="S122" i="22"/>
  <c r="T122" i="22"/>
  <c r="U122" i="22"/>
  <c r="S123" i="22"/>
  <c r="T123" i="22"/>
  <c r="U123" i="22"/>
  <c r="S124" i="22"/>
  <c r="T124" i="22"/>
  <c r="U124" i="22"/>
  <c r="V124" i="22"/>
  <c r="S125" i="22"/>
  <c r="T125" i="22"/>
  <c r="U125" i="22"/>
  <c r="S126" i="22"/>
  <c r="T126" i="22"/>
  <c r="U126" i="22"/>
  <c r="S127" i="22"/>
  <c r="T127" i="22"/>
  <c r="U127" i="22"/>
  <c r="S128" i="22"/>
  <c r="T128" i="22"/>
  <c r="U128" i="22"/>
  <c r="S129" i="22"/>
  <c r="T129" i="22"/>
  <c r="U129" i="22"/>
  <c r="S130" i="22"/>
  <c r="T130" i="22"/>
  <c r="U130" i="22"/>
  <c r="S131" i="22"/>
  <c r="T131" i="22"/>
  <c r="U131" i="22"/>
  <c r="V131" i="22"/>
  <c r="S132" i="22"/>
  <c r="T132" i="22"/>
  <c r="U132" i="22"/>
  <c r="V132" i="22"/>
  <c r="S133" i="22"/>
  <c r="T133" i="22"/>
  <c r="U133" i="22"/>
  <c r="V133" i="22"/>
  <c r="S134" i="22"/>
  <c r="T134" i="22"/>
  <c r="U134" i="22"/>
  <c r="S135" i="22"/>
  <c r="T135" i="22"/>
  <c r="U135" i="22"/>
  <c r="V135" i="22"/>
  <c r="S136" i="22"/>
  <c r="T136" i="22"/>
  <c r="U136" i="22"/>
  <c r="S137" i="22"/>
  <c r="T137" i="22"/>
  <c r="U137" i="22"/>
  <c r="S138" i="22"/>
  <c r="T138" i="22"/>
  <c r="U138" i="22"/>
  <c r="V138" i="22"/>
  <c r="S139" i="22"/>
  <c r="T139" i="22"/>
  <c r="U139" i="22"/>
  <c r="V139" i="22"/>
  <c r="S140" i="22"/>
  <c r="T140" i="22"/>
  <c r="U140" i="22"/>
  <c r="S141" i="22"/>
  <c r="T141" i="22"/>
  <c r="U141" i="22"/>
  <c r="V141" i="22"/>
  <c r="S142" i="22"/>
  <c r="T142" i="22"/>
  <c r="U142" i="22"/>
  <c r="S143" i="22"/>
  <c r="T143" i="22"/>
  <c r="U143" i="22"/>
  <c r="S144" i="22"/>
  <c r="T144" i="22"/>
  <c r="U144" i="22"/>
  <c r="S145" i="22"/>
  <c r="T145" i="22"/>
  <c r="U145" i="22"/>
  <c r="V145" i="22"/>
  <c r="S146" i="22"/>
  <c r="T146" i="22"/>
  <c r="U146" i="22"/>
  <c r="S147" i="22"/>
  <c r="T147" i="22"/>
  <c r="U147" i="22"/>
  <c r="V147" i="22"/>
  <c r="S148" i="22"/>
  <c r="T148" i="22"/>
  <c r="U148" i="22"/>
  <c r="S149" i="22"/>
  <c r="T149" i="22"/>
  <c r="U149" i="22"/>
  <c r="V149" i="22"/>
  <c r="S150" i="22"/>
  <c r="T150" i="22"/>
  <c r="U150" i="22"/>
  <c r="S151" i="22"/>
  <c r="T151" i="22"/>
  <c r="U151" i="22"/>
  <c r="V151" i="22"/>
  <c r="S152" i="22"/>
  <c r="T152" i="22"/>
  <c r="U152" i="22"/>
  <c r="V152" i="22"/>
  <c r="S153" i="22"/>
  <c r="T153" i="22"/>
  <c r="U153" i="22"/>
  <c r="V153" i="22"/>
  <c r="S154" i="22"/>
  <c r="T154" i="22"/>
  <c r="U154" i="22"/>
  <c r="V154" i="22"/>
  <c r="S155" i="22"/>
  <c r="T155" i="22"/>
  <c r="U155" i="22"/>
  <c r="V155" i="22"/>
  <c r="S156" i="22"/>
  <c r="T156" i="22"/>
  <c r="U156" i="22"/>
  <c r="V156" i="22"/>
  <c r="S157" i="22"/>
  <c r="T157" i="22"/>
  <c r="U157" i="22"/>
  <c r="V157" i="22"/>
  <c r="S158" i="22"/>
  <c r="T158" i="22"/>
  <c r="U158" i="22"/>
  <c r="V158" i="22"/>
  <c r="S159" i="22"/>
  <c r="T159" i="22"/>
  <c r="U159" i="22"/>
  <c r="V159" i="22"/>
  <c r="S160" i="22"/>
  <c r="T160" i="22"/>
  <c r="U160" i="22"/>
  <c r="V160" i="22"/>
  <c r="S161" i="22"/>
  <c r="T161" i="22"/>
  <c r="U161" i="22"/>
  <c r="V161" i="22"/>
  <c r="S162" i="22"/>
  <c r="T162" i="22"/>
  <c r="U162" i="22"/>
  <c r="V162" i="22"/>
  <c r="S163" i="22"/>
  <c r="T163" i="22"/>
  <c r="U163" i="22"/>
  <c r="V163" i="22"/>
  <c r="S164" i="22"/>
  <c r="T164" i="22"/>
  <c r="U164" i="22"/>
  <c r="V164" i="22"/>
  <c r="S165" i="22"/>
  <c r="T165" i="22"/>
  <c r="U165" i="22"/>
  <c r="V165" i="22"/>
  <c r="S166" i="22"/>
  <c r="T166" i="22"/>
  <c r="U166" i="22"/>
  <c r="V166" i="22"/>
  <c r="S167" i="22"/>
  <c r="T167" i="22"/>
  <c r="U167" i="22"/>
  <c r="V167" i="22"/>
  <c r="S168" i="22"/>
  <c r="T168" i="22"/>
  <c r="U168" i="22"/>
  <c r="V168" i="22"/>
  <c r="S169" i="22"/>
  <c r="T169" i="22"/>
  <c r="U169" i="22"/>
  <c r="V169" i="22"/>
  <c r="S170" i="22"/>
  <c r="T170" i="22"/>
  <c r="U170" i="22"/>
  <c r="V170" i="22"/>
  <c r="S171" i="22"/>
  <c r="T171" i="22"/>
  <c r="U171" i="22"/>
  <c r="V171" i="22"/>
  <c r="S172" i="22"/>
  <c r="T172" i="22"/>
  <c r="U172" i="22"/>
  <c r="V172" i="22"/>
  <c r="S173" i="22"/>
  <c r="T173" i="22"/>
  <c r="U173" i="22"/>
  <c r="V173" i="22"/>
  <c r="S174" i="22"/>
  <c r="T174" i="22"/>
  <c r="U174" i="22"/>
  <c r="V174" i="22"/>
  <c r="S175" i="22"/>
  <c r="T175" i="22"/>
  <c r="U175" i="22"/>
  <c r="V175" i="22"/>
  <c r="S176" i="22"/>
  <c r="T176" i="22"/>
  <c r="U176" i="22"/>
  <c r="V176" i="22"/>
  <c r="S177" i="22"/>
  <c r="T177" i="22"/>
  <c r="U177" i="22"/>
  <c r="V177" i="22"/>
  <c r="S178" i="22"/>
  <c r="T178" i="22"/>
  <c r="U178" i="22"/>
  <c r="V178" i="22"/>
  <c r="S179" i="22"/>
  <c r="T179" i="22"/>
  <c r="U179" i="22"/>
  <c r="V179" i="22"/>
  <c r="S180" i="22"/>
  <c r="T180" i="22"/>
  <c r="U180" i="22"/>
  <c r="V180" i="22"/>
  <c r="S181" i="22"/>
  <c r="T181" i="22"/>
  <c r="U181" i="22"/>
  <c r="V181" i="22"/>
  <c r="S182" i="22"/>
  <c r="T182" i="22"/>
  <c r="U182" i="22"/>
  <c r="V182" i="22"/>
  <c r="S183" i="22"/>
  <c r="T183" i="22"/>
  <c r="U183" i="22"/>
  <c r="V183" i="22"/>
  <c r="S184" i="22"/>
  <c r="T184" i="22"/>
  <c r="U184" i="22"/>
  <c r="V184" i="22"/>
  <c r="S185" i="22"/>
  <c r="T185" i="22"/>
  <c r="U185" i="22"/>
  <c r="V185" i="22"/>
  <c r="S186" i="22"/>
  <c r="T186" i="22"/>
  <c r="U186" i="22"/>
  <c r="V186" i="22"/>
  <c r="S187" i="22"/>
  <c r="T187" i="22"/>
  <c r="U187" i="22"/>
  <c r="V187" i="22"/>
  <c r="S188" i="22"/>
  <c r="T188" i="22"/>
  <c r="U188" i="22"/>
  <c r="V188" i="22"/>
  <c r="S189" i="22"/>
  <c r="T189" i="22"/>
  <c r="U189" i="22"/>
  <c r="V189" i="22"/>
  <c r="S190" i="22"/>
  <c r="T190" i="22"/>
  <c r="U190" i="22"/>
  <c r="V190" i="22"/>
  <c r="S191" i="22"/>
  <c r="T191" i="22"/>
  <c r="U191" i="22"/>
  <c r="V191" i="22"/>
  <c r="S192" i="22"/>
  <c r="T192" i="22"/>
  <c r="U192" i="22"/>
  <c r="V192" i="22"/>
  <c r="S193" i="22"/>
  <c r="T193" i="22"/>
  <c r="U193" i="22"/>
  <c r="V193" i="22"/>
  <c r="S194" i="22"/>
  <c r="T194" i="22"/>
  <c r="U194" i="22"/>
  <c r="V194" i="22"/>
  <c r="S195" i="22"/>
  <c r="T195" i="22"/>
  <c r="U195" i="22"/>
  <c r="V195" i="22"/>
  <c r="S196" i="22"/>
  <c r="T196" i="22"/>
  <c r="U196" i="22"/>
  <c r="V196" i="22"/>
  <c r="S197" i="22"/>
  <c r="T197" i="22"/>
  <c r="U197" i="22"/>
  <c r="V197" i="22"/>
  <c r="S198" i="22"/>
  <c r="T198" i="22"/>
  <c r="U198" i="22"/>
  <c r="V198" i="22"/>
  <c r="S199" i="22"/>
  <c r="T199" i="22"/>
  <c r="U199" i="22"/>
  <c r="V199" i="22"/>
  <c r="S200" i="22"/>
  <c r="T200" i="22"/>
  <c r="U200" i="22"/>
  <c r="V200" i="22"/>
  <c r="S201" i="22"/>
  <c r="T201" i="22"/>
  <c r="U201" i="22"/>
  <c r="V201" i="22"/>
  <c r="S202" i="22"/>
  <c r="T202" i="22"/>
  <c r="U202" i="22"/>
  <c r="V202" i="22"/>
  <c r="S203" i="22"/>
  <c r="T203" i="22"/>
  <c r="U203" i="22"/>
  <c r="V203" i="22"/>
  <c r="S204" i="22"/>
  <c r="T204" i="22"/>
  <c r="U204" i="22"/>
  <c r="V204" i="22"/>
  <c r="S205" i="22"/>
  <c r="T205" i="22"/>
  <c r="U205" i="22"/>
  <c r="S206" i="22"/>
  <c r="T206" i="22"/>
  <c r="U206" i="22"/>
  <c r="S207" i="22"/>
  <c r="T207" i="22"/>
  <c r="U207" i="22"/>
  <c r="S208" i="22"/>
  <c r="T208" i="22"/>
  <c r="U208" i="22"/>
  <c r="S209" i="22"/>
  <c r="T209" i="22"/>
  <c r="U209" i="22"/>
  <c r="S210" i="22"/>
  <c r="T210" i="22"/>
  <c r="U210" i="22"/>
  <c r="S211" i="22"/>
  <c r="T211" i="22"/>
  <c r="U211" i="22"/>
  <c r="V211" i="22"/>
  <c r="S212" i="22"/>
  <c r="T212" i="22"/>
  <c r="U212" i="22"/>
  <c r="S213" i="22"/>
  <c r="T213" i="22"/>
  <c r="U213" i="22"/>
  <c r="S214" i="22"/>
  <c r="T214" i="22"/>
  <c r="U214" i="22"/>
  <c r="S215" i="22"/>
  <c r="T215" i="22"/>
  <c r="U215" i="22"/>
  <c r="S216" i="22"/>
  <c r="T216" i="22"/>
  <c r="U216" i="22"/>
  <c r="V216" i="22"/>
  <c r="S217" i="22"/>
  <c r="T217" i="22"/>
  <c r="U217" i="22"/>
  <c r="V217" i="22"/>
  <c r="S218" i="22"/>
  <c r="T218" i="22"/>
  <c r="U218" i="22"/>
  <c r="S219" i="22"/>
  <c r="T219" i="22"/>
  <c r="U219" i="22"/>
  <c r="V219" i="22"/>
  <c r="S220" i="22"/>
  <c r="T220" i="22"/>
  <c r="U220" i="22"/>
  <c r="S221" i="22"/>
  <c r="T221" i="22"/>
  <c r="U221" i="22"/>
  <c r="AW194" i="2"/>
  <c r="AX194" i="2"/>
  <c r="G5" i="2"/>
  <c r="G7" i="2"/>
  <c r="AQ187" i="26"/>
  <c r="BD50" i="19"/>
  <c r="AS48" i="19"/>
  <c r="H431" i="10"/>
  <c r="G427" i="10"/>
  <c r="E427" i="10"/>
  <c r="F21" i="17"/>
  <c r="H447" i="10"/>
  <c r="H427" i="10" s="1"/>
  <c r="H430" i="10" s="1"/>
  <c r="G7" i="20"/>
  <c r="I57" i="10" s="1"/>
  <c r="K6" i="20"/>
  <c r="M56" i="10" s="1"/>
  <c r="J6" i="20"/>
  <c r="H6" i="20" s="1"/>
  <c r="K56" i="10" s="1"/>
  <c r="C359" i="24"/>
  <c r="J26" i="26"/>
  <c r="J24" i="26"/>
  <c r="J22" i="26"/>
  <c r="J20" i="26"/>
  <c r="J18" i="26"/>
  <c r="J15" i="26"/>
  <c r="J14" i="26"/>
  <c r="U9" i="26"/>
  <c r="U8" i="26"/>
  <c r="U7" i="26"/>
  <c r="D14" i="24"/>
  <c r="BJ10" i="2"/>
  <c r="B49" i="12"/>
  <c r="B46" i="12"/>
  <c r="Q104" i="5" s="1"/>
  <c r="B47" i="12"/>
  <c r="Q106" i="5"/>
  <c r="B504" i="24"/>
  <c r="AJ29" i="26"/>
  <c r="AJ30" i="26" s="1"/>
  <c r="D29" i="26" s="1"/>
  <c r="J13" i="22"/>
  <c r="B505" i="24" s="1"/>
  <c r="J14" i="22"/>
  <c r="AL29" i="26" s="1"/>
  <c r="AL30" i="26" s="1"/>
  <c r="F29" i="26" s="1"/>
  <c r="J15" i="22"/>
  <c r="AM29" i="26" s="1"/>
  <c r="AM30" i="26" s="1"/>
  <c r="G29" i="26" s="1"/>
  <c r="AK29" i="26"/>
  <c r="AK30" i="26"/>
  <c r="E29" i="26" s="1"/>
  <c r="C504" i="24"/>
  <c r="C505" i="24"/>
  <c r="C506" i="24"/>
  <c r="C507" i="24"/>
  <c r="B506" i="24"/>
  <c r="I37" i="15"/>
  <c r="C95" i="24"/>
  <c r="C89" i="24"/>
  <c r="E253" i="24"/>
  <c r="D162" i="24"/>
  <c r="G69" i="4"/>
  <c r="D155" i="24"/>
  <c r="G62" i="4"/>
  <c r="D140" i="24"/>
  <c r="D137" i="24"/>
  <c r="G44" i="4"/>
  <c r="CT52" i="19"/>
  <c r="L76" i="19"/>
  <c r="Z70" i="19" s="1"/>
  <c r="G332" i="24"/>
  <c r="D465" i="24"/>
  <c r="D462" i="24"/>
  <c r="D460" i="24"/>
  <c r="J446" i="10"/>
  <c r="J430" i="10" s="1"/>
  <c r="J431" i="10"/>
  <c r="J447" i="10"/>
  <c r="BN36" i="2"/>
  <c r="BO36" i="2"/>
  <c r="AE122" i="19"/>
  <c r="AF122" i="19" s="1"/>
  <c r="V28" i="22"/>
  <c r="AA15" i="2"/>
  <c r="BK36" i="2"/>
  <c r="H445" i="10"/>
  <c r="BO39" i="2"/>
  <c r="BP39" i="2" s="1"/>
  <c r="O24" i="2" s="1"/>
  <c r="I446" i="10"/>
  <c r="I431" i="10"/>
  <c r="I448" i="10" s="1"/>
  <c r="AB38" i="16"/>
  <c r="G267" i="24"/>
  <c r="AB36" i="16"/>
  <c r="G265" i="24"/>
  <c r="D167" i="24"/>
  <c r="G74" i="4"/>
  <c r="D145" i="24"/>
  <c r="G52" i="4"/>
  <c r="D129" i="24"/>
  <c r="T340" i="2"/>
  <c r="T341" i="2"/>
  <c r="T338" i="2"/>
  <c r="N16" i="5"/>
  <c r="L18" i="4"/>
  <c r="CU12" i="19"/>
  <c r="CV12" i="19" s="1"/>
  <c r="CU14" i="19"/>
  <c r="CV14" i="19" s="1"/>
  <c r="CU18" i="19"/>
  <c r="CV18" i="19" s="1"/>
  <c r="AB348" i="19"/>
  <c r="A389" i="24"/>
  <c r="E301" i="24"/>
  <c r="N28" i="5"/>
  <c r="D218" i="24"/>
  <c r="D482" i="24"/>
  <c r="D480" i="24"/>
  <c r="B477" i="24"/>
  <c r="E269" i="24"/>
  <c r="AB37" i="16"/>
  <c r="G266" i="24"/>
  <c r="B465" i="24"/>
  <c r="B464" i="24"/>
  <c r="D442" i="24"/>
  <c r="B437" i="24"/>
  <c r="D430" i="24"/>
  <c r="D423" i="24"/>
  <c r="AR7" i="15"/>
  <c r="D64" i="24"/>
  <c r="AD4" i="15"/>
  <c r="AB4" i="15" s="1"/>
  <c r="AE4" i="15" s="1"/>
  <c r="AV4" i="15"/>
  <c r="R106" i="10"/>
  <c r="G5" i="20"/>
  <c r="I55" i="10" s="1"/>
  <c r="M6" i="5"/>
  <c r="O6" i="5" s="1"/>
  <c r="E35" i="5" s="1"/>
  <c r="M8" i="5"/>
  <c r="O8" i="5" s="1"/>
  <c r="CS59" i="19"/>
  <c r="CU59" i="19" s="1"/>
  <c r="CV59" i="19" s="1"/>
  <c r="E339" i="24"/>
  <c r="D477" i="24"/>
  <c r="B474" i="24"/>
  <c r="D468" i="24"/>
  <c r="B459" i="24"/>
  <c r="F448" i="10"/>
  <c r="B462" i="24"/>
  <c r="AM25" i="19"/>
  <c r="AM26" i="19" s="1"/>
  <c r="D481" i="24"/>
  <c r="D478" i="24"/>
  <c r="B476" i="24"/>
  <c r="D475" i="24"/>
  <c r="AB123" i="16"/>
  <c r="F473" i="24"/>
  <c r="B467" i="24"/>
  <c r="D436" i="24"/>
  <c r="D422" i="24"/>
  <c r="B490" i="24"/>
  <c r="F480" i="24"/>
  <c r="CU38" i="19"/>
  <c r="CV38" i="19" s="1"/>
  <c r="CU61" i="19"/>
  <c r="CV61" i="19" s="1"/>
  <c r="CU52" i="19"/>
  <c r="CV52" i="19" s="1"/>
  <c r="CU56" i="19"/>
  <c r="CV56" i="19" s="1"/>
  <c r="AB139" i="16"/>
  <c r="AB136" i="16"/>
  <c r="D473" i="24"/>
  <c r="D505" i="25"/>
  <c r="D505" i="24"/>
  <c r="E504" i="24"/>
  <c r="BE12" i="26"/>
  <c r="E504" i="25"/>
  <c r="M12" i="22"/>
  <c r="D504" i="24" s="1"/>
  <c r="BD31" i="19"/>
  <c r="CU40" i="19"/>
  <c r="CV40" i="19" s="1"/>
  <c r="CU32" i="19"/>
  <c r="CV32" i="19"/>
  <c r="CU34" i="19"/>
  <c r="CV34" i="19" s="1"/>
  <c r="AS28" i="19"/>
  <c r="AB132" i="16"/>
  <c r="F482" i="24"/>
  <c r="X8" i="4"/>
  <c r="D491" i="24"/>
  <c r="AA13" i="15"/>
  <c r="AB124" i="16"/>
  <c r="F474" i="24"/>
  <c r="Q20" i="2"/>
  <c r="AW71" i="19"/>
  <c r="V41" i="10"/>
  <c r="U41" i="10"/>
  <c r="AW50" i="19"/>
  <c r="AE17" i="19"/>
  <c r="BA33" i="19" s="1"/>
  <c r="AE38" i="19"/>
  <c r="BA52" i="19" s="1"/>
  <c r="AE59" i="19"/>
  <c r="BA72" i="19" s="1"/>
  <c r="BE72" i="19" s="1"/>
  <c r="Z15" i="15"/>
  <c r="Y15" i="15"/>
  <c r="Y28" i="15"/>
  <c r="X28" i="15"/>
  <c r="AW4" i="15"/>
  <c r="AJ23" i="15"/>
  <c r="S23" i="15" s="1"/>
  <c r="X26" i="15"/>
  <c r="X30" i="15"/>
  <c r="Y11" i="2"/>
  <c r="Z11" i="2" s="1"/>
  <c r="Y23" i="15"/>
  <c r="AE24" i="2"/>
  <c r="AE20" i="2"/>
  <c r="J445" i="10"/>
  <c r="J427" i="10"/>
  <c r="AM29" i="19"/>
  <c r="Q107" i="10"/>
  <c r="S107" i="10"/>
  <c r="R108" i="10" s="1"/>
  <c r="D504" i="25"/>
  <c r="AA15" i="15" l="1"/>
  <c r="V16" i="15" s="1"/>
  <c r="AD15" i="15" s="1"/>
  <c r="AG15" i="15" s="1"/>
  <c r="AA14" i="15"/>
  <c r="V15" i="15" s="1"/>
  <c r="AD14" i="15" s="1"/>
  <c r="AC14" i="15" s="1"/>
  <c r="AF14" i="15" s="1"/>
  <c r="AD13" i="15"/>
  <c r="AB13" i="15" s="1"/>
  <c r="AE13" i="15" s="1"/>
  <c r="BE44" i="2"/>
  <c r="D285" i="24"/>
  <c r="S7" i="15"/>
  <c r="U14" i="2" s="1"/>
  <c r="Y14" i="2" s="1"/>
  <c r="Z14" i="2" s="1"/>
  <c r="D284" i="24"/>
  <c r="I80" i="24"/>
  <c r="AB15" i="2"/>
  <c r="AA12" i="2"/>
  <c r="AB12" i="2"/>
  <c r="D286" i="24"/>
  <c r="F266" i="24"/>
  <c r="AB16" i="2"/>
  <c r="AA16" i="2"/>
  <c r="BP10" i="2"/>
  <c r="BJ9" i="2"/>
  <c r="BP9" i="2" s="1"/>
  <c r="AJ33" i="15"/>
  <c r="C461" i="24"/>
  <c r="N18" i="5"/>
  <c r="L20" i="4"/>
  <c r="AL183" i="6"/>
  <c r="AS169" i="6" s="1"/>
  <c r="AY170" i="6" s="1"/>
  <c r="AL200" i="26"/>
  <c r="AS186" i="26" s="1"/>
  <c r="AY187" i="26" s="1"/>
  <c r="D221" i="24"/>
  <c r="Q9" i="5"/>
  <c r="N9" i="5"/>
  <c r="CS17" i="19"/>
  <c r="CU17" i="19" s="1"/>
  <c r="CV17" i="19" s="1"/>
  <c r="E310" i="24"/>
  <c r="F414" i="24"/>
  <c r="AB64" i="16"/>
  <c r="O8" i="4"/>
  <c r="M8" i="4"/>
  <c r="G37" i="4"/>
  <c r="D130" i="24"/>
  <c r="G321" i="24"/>
  <c r="CT36" i="19"/>
  <c r="BC12" i="26"/>
  <c r="B507" i="24"/>
  <c r="P113" i="4"/>
  <c r="BD52" i="19"/>
  <c r="BD71" i="19"/>
  <c r="BD73" i="19"/>
  <c r="BD51" i="19"/>
  <c r="BD33" i="19"/>
  <c r="BD32" i="19"/>
  <c r="K299" i="24"/>
  <c r="AW32" i="19"/>
  <c r="Q114" i="5"/>
  <c r="E387" i="24"/>
  <c r="AC346" i="19"/>
  <c r="CS20" i="19"/>
  <c r="CU20" i="19" s="1"/>
  <c r="CV20" i="19" s="1"/>
  <c r="E313" i="24"/>
  <c r="F484" i="24"/>
  <c r="AB134" i="16"/>
  <c r="AB70" i="16"/>
  <c r="F420" i="24"/>
  <c r="N7" i="4"/>
  <c r="BB72" i="19"/>
  <c r="G74" i="19"/>
  <c r="M301" i="24"/>
  <c r="CT13" i="19"/>
  <c r="G306" i="24"/>
  <c r="A390" i="24"/>
  <c r="AB349" i="19"/>
  <c r="AW52" i="19"/>
  <c r="BE52" i="19" s="1"/>
  <c r="O300" i="24"/>
  <c r="L33" i="19"/>
  <c r="Z29" i="19" s="1"/>
  <c r="E340" i="24"/>
  <c r="CS60" i="19"/>
  <c r="D173" i="24"/>
  <c r="G80" i="4"/>
  <c r="AE47" i="19"/>
  <c r="D300" i="24"/>
  <c r="G253" i="24"/>
  <c r="AB24" i="16"/>
  <c r="P116" i="4"/>
  <c r="Q117" i="5"/>
  <c r="AQ170" i="6"/>
  <c r="L55" i="19"/>
  <c r="Z50" i="19" s="1"/>
  <c r="CS54" i="19"/>
  <c r="CU54" i="19" s="1"/>
  <c r="CV54" i="19" s="1"/>
  <c r="E334" i="24"/>
  <c r="AB31" i="16"/>
  <c r="G260" i="24"/>
  <c r="H34" i="24"/>
  <c r="BM36" i="2"/>
  <c r="T21" i="2"/>
  <c r="AC344" i="19"/>
  <c r="E385" i="24"/>
  <c r="AE26" i="19"/>
  <c r="AE27" i="19" s="1"/>
  <c r="D299" i="24"/>
  <c r="G263" i="24"/>
  <c r="AB34" i="16"/>
  <c r="AD107" i="19"/>
  <c r="AE107" i="19" s="1"/>
  <c r="AA8" i="19"/>
  <c r="BO37" i="2"/>
  <c r="AQ169" i="6"/>
  <c r="M18" i="5"/>
  <c r="O18" i="5" s="1"/>
  <c r="Q18" i="5" s="1"/>
  <c r="AP46" i="19"/>
  <c r="AQ46" i="19" s="1"/>
  <c r="AR46" i="19" s="1"/>
  <c r="AC131" i="16"/>
  <c r="AC125" i="16"/>
  <c r="AD35" i="16"/>
  <c r="AD109" i="16"/>
  <c r="I109" i="16" s="1"/>
  <c r="F459" i="24" s="1"/>
  <c r="AD95" i="16"/>
  <c r="AC89" i="16"/>
  <c r="AC81" i="16"/>
  <c r="AC75" i="16"/>
  <c r="AD67" i="16"/>
  <c r="Z9" i="19"/>
  <c r="AW33" i="19"/>
  <c r="BE33" i="19" s="1"/>
  <c r="AX4" i="15"/>
  <c r="AS7" i="15" s="1"/>
  <c r="B26" i="12"/>
  <c r="X27" i="15"/>
  <c r="U85" i="2"/>
  <c r="W85" i="2" s="1"/>
  <c r="V23" i="15"/>
  <c r="AL155" i="15" s="1"/>
  <c r="B56" i="10"/>
  <c r="A56" i="10" s="1"/>
  <c r="AR193" i="2" s="1"/>
  <c r="M20" i="5"/>
  <c r="CU39" i="19"/>
  <c r="CV39" i="19" s="1"/>
  <c r="AC135" i="16"/>
  <c r="AC118" i="16"/>
  <c r="AD30" i="16"/>
  <c r="AC92" i="16"/>
  <c r="AD82" i="16"/>
  <c r="AA82" i="16" s="1"/>
  <c r="AD18" i="16"/>
  <c r="AC76" i="16"/>
  <c r="AA76" i="16" s="1"/>
  <c r="AD62" i="16"/>
  <c r="AA62" i="16" s="1"/>
  <c r="U29" i="15"/>
  <c r="Y25" i="15"/>
  <c r="BM34" i="2"/>
  <c r="T19" i="2"/>
  <c r="AH23" i="15"/>
  <c r="AI23" i="15" s="1"/>
  <c r="V25" i="15"/>
  <c r="AP157" i="15" s="1"/>
  <c r="CU60" i="19"/>
  <c r="AC136" i="16"/>
  <c r="AD104" i="16"/>
  <c r="I104" i="16" s="1"/>
  <c r="F454" i="24" s="1"/>
  <c r="AC93" i="16"/>
  <c r="AC85" i="16"/>
  <c r="AA85" i="16" s="1"/>
  <c r="AD74" i="16"/>
  <c r="AC73" i="16"/>
  <c r="AC68" i="16"/>
  <c r="N10" i="4"/>
  <c r="K10" i="4" s="1"/>
  <c r="E507" i="25"/>
  <c r="M15" i="22" s="1"/>
  <c r="AX32" i="19"/>
  <c r="AB23" i="15"/>
  <c r="U24" i="15"/>
  <c r="W28" i="15"/>
  <c r="AR170" i="15" s="1"/>
  <c r="V29" i="15"/>
  <c r="AR161" i="15" s="1"/>
  <c r="AD12" i="10"/>
  <c r="K18" i="4"/>
  <c r="M18" i="4" s="1"/>
  <c r="K22" i="4"/>
  <c r="Z23" i="15"/>
  <c r="AA23" i="15" s="1"/>
  <c r="AB29" i="15"/>
  <c r="W32" i="15"/>
  <c r="AM174" i="15" s="1"/>
  <c r="O116" i="4"/>
  <c r="AD41" i="16"/>
  <c r="AC101" i="16"/>
  <c r="AC91" i="16"/>
  <c r="AD89" i="16"/>
  <c r="AC83" i="16"/>
  <c r="AD75" i="16"/>
  <c r="AC74" i="16"/>
  <c r="AC58" i="16"/>
  <c r="K23" i="4"/>
  <c r="AH29" i="15"/>
  <c r="AI29" i="15" s="1"/>
  <c r="S50" i="2"/>
  <c r="S54" i="2" s="1"/>
  <c r="BE39" i="2"/>
  <c r="H41" i="2" s="1"/>
  <c r="W12" i="13"/>
  <c r="G12" i="13" s="1"/>
  <c r="F12" i="13" s="1"/>
  <c r="R12" i="13" s="1"/>
  <c r="M16" i="4" s="1"/>
  <c r="I85" i="24"/>
  <c r="AC119" i="16"/>
  <c r="E484" i="24"/>
  <c r="S12" i="22"/>
  <c r="AQ10" i="26" s="1"/>
  <c r="AR21" i="26" s="1"/>
  <c r="W5" i="6"/>
  <c r="H59" i="6" s="1"/>
  <c r="AD119" i="16"/>
  <c r="I119" i="16" s="1"/>
  <c r="AB119" i="16" s="1"/>
  <c r="C468" i="24"/>
  <c r="C484" i="24"/>
  <c r="D13" i="24"/>
  <c r="AJ29" i="15"/>
  <c r="T29" i="15" s="1"/>
  <c r="W5" i="26"/>
  <c r="J29" i="26" s="1"/>
  <c r="AJ30" i="15"/>
  <c r="S30" i="15" s="1"/>
  <c r="AJ32" i="15"/>
  <c r="S32" i="15" s="1"/>
  <c r="AJ26" i="15"/>
  <c r="T26" i="15" s="1"/>
  <c r="AC26" i="15" s="1"/>
  <c r="AD26" i="15" s="1"/>
  <c r="AJ31" i="15"/>
  <c r="S31" i="15" s="1"/>
  <c r="AJ27" i="15"/>
  <c r="S27" i="15" s="1"/>
  <c r="AJ25" i="15"/>
  <c r="S25" i="15" s="1"/>
  <c r="AJ28" i="15"/>
  <c r="T28" i="15" s="1"/>
  <c r="AC28" i="15" s="1"/>
  <c r="AJ24" i="15"/>
  <c r="S24" i="15" s="1"/>
  <c r="AD105" i="16"/>
  <c r="I105" i="16" s="1"/>
  <c r="AB105" i="16" s="1"/>
  <c r="AD103" i="16"/>
  <c r="I103" i="16" s="1"/>
  <c r="AB103" i="16" s="1"/>
  <c r="AD132" i="16"/>
  <c r="W23" i="15"/>
  <c r="AR165" i="15" s="1"/>
  <c r="AD61" i="16"/>
  <c r="AC65" i="16"/>
  <c r="AC59" i="16"/>
  <c r="AD107" i="16"/>
  <c r="I107" i="16" s="1"/>
  <c r="F457" i="24" s="1"/>
  <c r="AD98" i="16"/>
  <c r="AA98" i="16" s="1"/>
  <c r="X60" i="4"/>
  <c r="AC109" i="16"/>
  <c r="AD128" i="16"/>
  <c r="AC107" i="16"/>
  <c r="I76" i="24"/>
  <c r="E417" i="24"/>
  <c r="C442" i="24"/>
  <c r="AC71" i="16"/>
  <c r="AD72" i="16"/>
  <c r="AA72" i="16" s="1"/>
  <c r="AD14" i="16"/>
  <c r="AC114" i="16"/>
  <c r="AC116" i="16"/>
  <c r="F259" i="24"/>
  <c r="F247" i="24"/>
  <c r="C426" i="24"/>
  <c r="AC84" i="16"/>
  <c r="AA84" i="16" s="1"/>
  <c r="AD16" i="16"/>
  <c r="E435" i="24"/>
  <c r="AC57" i="16"/>
  <c r="E423" i="24"/>
  <c r="AD139" i="16"/>
  <c r="C437" i="24"/>
  <c r="W30" i="15"/>
  <c r="AG172" i="15" s="1"/>
  <c r="C423" i="24"/>
  <c r="I78" i="24"/>
  <c r="C425" i="24"/>
  <c r="AA16" i="15"/>
  <c r="AC90" i="16"/>
  <c r="M16" i="5"/>
  <c r="O16" i="5" s="1"/>
  <c r="AA12" i="15"/>
  <c r="X70" i="4"/>
  <c r="X57" i="4"/>
  <c r="D378" i="24"/>
  <c r="AC124" i="16"/>
  <c r="AD115" i="16"/>
  <c r="I115" i="16" s="1"/>
  <c r="AB115" i="16" s="1"/>
  <c r="AD141" i="16"/>
  <c r="E211" i="24"/>
  <c r="K19" i="4"/>
  <c r="M19" i="4" s="1"/>
  <c r="O19" i="4" s="1"/>
  <c r="X19" i="4" s="1"/>
  <c r="D21" i="24"/>
  <c r="AC115" i="16"/>
  <c r="F268" i="24"/>
  <c r="M55" i="10"/>
  <c r="E424" i="24"/>
  <c r="C412" i="24"/>
  <c r="E490" i="24"/>
  <c r="AC133" i="16"/>
  <c r="AA133" i="16" s="1"/>
  <c r="AD117" i="16"/>
  <c r="I117" i="16" s="1"/>
  <c r="F467" i="24" s="1"/>
  <c r="AX31" i="19"/>
  <c r="BN34" i="2"/>
  <c r="BP34" i="2" s="1"/>
  <c r="O19" i="2" s="1"/>
  <c r="W25" i="15"/>
  <c r="AG167" i="15" s="1"/>
  <c r="AC117" i="16"/>
  <c r="E454" i="24"/>
  <c r="F253" i="24"/>
  <c r="AD110" i="16"/>
  <c r="I110" i="16" s="1"/>
  <c r="AB110" i="16" s="1"/>
  <c r="AA110" i="16" s="1"/>
  <c r="AD106" i="16"/>
  <c r="I106" i="16" s="1"/>
  <c r="E432" i="24"/>
  <c r="AA13" i="2"/>
  <c r="Z13" i="2"/>
  <c r="E439" i="24"/>
  <c r="AC63" i="16"/>
  <c r="C441" i="24"/>
  <c r="AD64" i="16"/>
  <c r="AA64" i="16" s="1"/>
  <c r="AC127" i="16"/>
  <c r="F270" i="24"/>
  <c r="L54" i="10"/>
  <c r="AD125" i="16"/>
  <c r="AC4" i="15"/>
  <c r="AF4" i="15" s="1"/>
  <c r="Y21" i="2"/>
  <c r="AC21" i="2" s="1"/>
  <c r="AA11" i="2"/>
  <c r="C481" i="24"/>
  <c r="I6" i="20"/>
  <c r="J56" i="10" s="1"/>
  <c r="F264" i="24"/>
  <c r="E459" i="24"/>
  <c r="C444" i="24"/>
  <c r="BA31" i="19"/>
  <c r="BE31" i="19" s="1"/>
  <c r="C485" i="24"/>
  <c r="AC128" i="16"/>
  <c r="C476" i="24"/>
  <c r="AC120" i="16"/>
  <c r="AD142" i="16"/>
  <c r="C475" i="24"/>
  <c r="AD123" i="16"/>
  <c r="M17" i="5"/>
  <c r="O17" i="5" s="1"/>
  <c r="Q17" i="5" s="1"/>
  <c r="AD59" i="16"/>
  <c r="AD92" i="16"/>
  <c r="E434" i="24"/>
  <c r="AC106" i="16"/>
  <c r="C414" i="24"/>
  <c r="C431" i="24"/>
  <c r="AD79" i="16"/>
  <c r="V26" i="15"/>
  <c r="AL158" i="15" s="1"/>
  <c r="W11" i="13"/>
  <c r="G11" i="13" s="1"/>
  <c r="F11" i="13" s="1"/>
  <c r="R11" i="13" s="1"/>
  <c r="M17" i="4" s="1"/>
  <c r="AG13" i="15"/>
  <c r="AD66" i="16"/>
  <c r="C436" i="24"/>
  <c r="AD126" i="16"/>
  <c r="AA126" i="16" s="1"/>
  <c r="AC102" i="16"/>
  <c r="C420" i="24"/>
  <c r="E410" i="24"/>
  <c r="AD127" i="16"/>
  <c r="F269" i="24"/>
  <c r="C408" i="24"/>
  <c r="AC108" i="16"/>
  <c r="AD101" i="16"/>
  <c r="I101" i="16" s="1"/>
  <c r="E445" i="24"/>
  <c r="AD86" i="16"/>
  <c r="AA86" i="16" s="1"/>
  <c r="AD97" i="16"/>
  <c r="AD29" i="16"/>
  <c r="AC80" i="16"/>
  <c r="AH159" i="15"/>
  <c r="AC139" i="16"/>
  <c r="AX73" i="19"/>
  <c r="CC10" i="19"/>
  <c r="CI10" i="19" s="1"/>
  <c r="AD27" i="16"/>
  <c r="AD17" i="16"/>
  <c r="AD15" i="16"/>
  <c r="AI159" i="15"/>
  <c r="AK159" i="15"/>
  <c r="AB11" i="2"/>
  <c r="AD21" i="16"/>
  <c r="AD94" i="16"/>
  <c r="AA94" i="16" s="1"/>
  <c r="AC142" i="16"/>
  <c r="AO159" i="15"/>
  <c r="AD58" i="16"/>
  <c r="AX50" i="19"/>
  <c r="P18" i="22"/>
  <c r="C433" i="24"/>
  <c r="AD34" i="16"/>
  <c r="AC113" i="16"/>
  <c r="AD108" i="16"/>
  <c r="I108" i="16" s="1"/>
  <c r="AB108" i="16" s="1"/>
  <c r="AD130" i="16"/>
  <c r="AA130" i="16" s="1"/>
  <c r="AX33" i="19"/>
  <c r="AP159" i="15"/>
  <c r="AL159" i="15"/>
  <c r="C438" i="24"/>
  <c r="AX71" i="19"/>
  <c r="F248" i="24"/>
  <c r="C419" i="24"/>
  <c r="AA140" i="16"/>
  <c r="Y23" i="2"/>
  <c r="AC23" i="2" s="1"/>
  <c r="W27" i="15"/>
  <c r="AM169" i="15" s="1"/>
  <c r="AG159" i="15"/>
  <c r="AJ159" i="15"/>
  <c r="AX52" i="19"/>
  <c r="AA134" i="16"/>
  <c r="AC79" i="16"/>
  <c r="AN159" i="15"/>
  <c r="AD137" i="16"/>
  <c r="AC132" i="16"/>
  <c r="AC123" i="16"/>
  <c r="AR159" i="15"/>
  <c r="AX51" i="19"/>
  <c r="C424" i="24"/>
  <c r="AD136" i="16"/>
  <c r="AC61" i="16"/>
  <c r="AD5" i="16"/>
  <c r="AX72" i="19"/>
  <c r="AC112" i="16"/>
  <c r="X46" i="4"/>
  <c r="BA73" i="19"/>
  <c r="BE73" i="19" s="1"/>
  <c r="BA71" i="19"/>
  <c r="BE71" i="19" s="1"/>
  <c r="AT17" i="19"/>
  <c r="BA32" i="19"/>
  <c r="BE32" i="19" s="1"/>
  <c r="AC66" i="16"/>
  <c r="X61" i="4"/>
  <c r="X72" i="4"/>
  <c r="X68" i="4"/>
  <c r="X81" i="4"/>
  <c r="AD80" i="16"/>
  <c r="C422" i="24"/>
  <c r="X43" i="4"/>
  <c r="F35" i="4"/>
  <c r="X77" i="4"/>
  <c r="AD135" i="16"/>
  <c r="AC105" i="16"/>
  <c r="AC96" i="16"/>
  <c r="AA96" i="16" s="1"/>
  <c r="AC13" i="15"/>
  <c r="AF13" i="15" s="1"/>
  <c r="AM159" i="15"/>
  <c r="Y20" i="2"/>
  <c r="AN20" i="2" s="1"/>
  <c r="V32" i="15"/>
  <c r="AM164" i="15" s="1"/>
  <c r="X56" i="4"/>
  <c r="C432" i="24"/>
  <c r="X42" i="4"/>
  <c r="X55" i="4"/>
  <c r="X53" i="4"/>
  <c r="C443" i="24"/>
  <c r="X82" i="4"/>
  <c r="AA70" i="16"/>
  <c r="BA50" i="19"/>
  <c r="BE50" i="19" s="1"/>
  <c r="AT59" i="19"/>
  <c r="AT75" i="19" s="1"/>
  <c r="AC97" i="19" s="1"/>
  <c r="E108" i="19" s="1"/>
  <c r="AD83" i="16"/>
  <c r="X80" i="4"/>
  <c r="X40" i="4"/>
  <c r="X51" i="4"/>
  <c r="X52" i="4"/>
  <c r="C435" i="24"/>
  <c r="X44" i="4"/>
  <c r="X73" i="4"/>
  <c r="C490" i="24"/>
  <c r="X78" i="4"/>
  <c r="X37" i="4"/>
  <c r="X49" i="4"/>
  <c r="X47" i="4"/>
  <c r="AD124" i="16"/>
  <c r="C480" i="24"/>
  <c r="X48" i="4"/>
  <c r="C486" i="24"/>
  <c r="E483" i="24"/>
  <c r="AD113" i="16"/>
  <c r="I113" i="16" s="1"/>
  <c r="AD111" i="16"/>
  <c r="I111" i="16" s="1"/>
  <c r="AD65" i="16"/>
  <c r="AD7" i="16"/>
  <c r="AD131" i="16"/>
  <c r="X74" i="4"/>
  <c r="X76" i="4"/>
  <c r="X38" i="4"/>
  <c r="X41" i="4"/>
  <c r="X45" i="4"/>
  <c r="C460" i="24"/>
  <c r="AC129" i="16"/>
  <c r="AD102" i="16"/>
  <c r="I102" i="16" s="1"/>
  <c r="AB102" i="16" s="1"/>
  <c r="X62" i="4"/>
  <c r="BA51" i="19"/>
  <c r="BE51" i="19" s="1"/>
  <c r="AT38" i="19"/>
  <c r="X69" i="4"/>
  <c r="X75" i="4"/>
  <c r="X79" i="4"/>
  <c r="X36" i="4"/>
  <c r="X67" i="4"/>
  <c r="AD120" i="16"/>
  <c r="I120" i="16" s="1"/>
  <c r="AB120" i="16" s="1"/>
  <c r="L56" i="10"/>
  <c r="X39" i="4"/>
  <c r="AC60" i="16"/>
  <c r="AA60" i="16" s="1"/>
  <c r="E209" i="24"/>
  <c r="AC141" i="16"/>
  <c r="I81" i="24"/>
  <c r="D382" i="24"/>
  <c r="E412" i="24"/>
  <c r="AD88" i="16"/>
  <c r="AA88" i="16" s="1"/>
  <c r="AD6" i="16"/>
  <c r="AD69" i="16"/>
  <c r="AA69" i="16" s="1"/>
  <c r="AC137" i="16"/>
  <c r="AD112" i="16"/>
  <c r="I112" i="16" s="1"/>
  <c r="C448" i="24"/>
  <c r="E420" i="24"/>
  <c r="K20" i="4"/>
  <c r="M20" i="4" s="1"/>
  <c r="O20" i="4" s="1"/>
  <c r="X20" i="4" s="1"/>
  <c r="F260" i="24"/>
  <c r="E425" i="24"/>
  <c r="C418" i="24"/>
  <c r="E446" i="24"/>
  <c r="AG4" i="15"/>
  <c r="AD90" i="16"/>
  <c r="C451" i="24"/>
  <c r="AD118" i="16"/>
  <c r="I118" i="16" s="1"/>
  <c r="AD38" i="16"/>
  <c r="F255" i="24"/>
  <c r="T23" i="15"/>
  <c r="AC23" i="15" s="1"/>
  <c r="AC103" i="16"/>
  <c r="E426" i="24"/>
  <c r="E413" i="24"/>
  <c r="L57" i="10"/>
  <c r="AD8" i="16"/>
  <c r="I82" i="24"/>
  <c r="C439" i="24"/>
  <c r="AD4" i="16"/>
  <c r="W29" i="15"/>
  <c r="AQ171" i="15" s="1"/>
  <c r="X54" i="4"/>
  <c r="AD129" i="16"/>
  <c r="AD36" i="16"/>
  <c r="AD114" i="16"/>
  <c r="I114" i="16" s="1"/>
  <c r="AC95" i="16"/>
  <c r="AD93" i="16"/>
  <c r="AD87" i="16"/>
  <c r="AA87" i="16" s="1"/>
  <c r="AC67" i="16"/>
  <c r="AD11" i="16"/>
  <c r="BF35" i="2"/>
  <c r="BF37" i="2"/>
  <c r="BF36" i="2"/>
  <c r="S23" i="2"/>
  <c r="BF34" i="2"/>
  <c r="BF38" i="2"/>
  <c r="S24" i="2"/>
  <c r="X24" i="2" s="1"/>
  <c r="S20" i="2"/>
  <c r="BF39" i="2"/>
  <c r="AH22" i="2"/>
  <c r="AH23" i="2"/>
  <c r="AG20" i="2"/>
  <c r="AG23" i="2"/>
  <c r="AH19" i="2"/>
  <c r="AG24" i="2"/>
  <c r="AG22" i="2"/>
  <c r="G35" i="24"/>
  <c r="BL37" i="2"/>
  <c r="R22" i="2"/>
  <c r="AC15" i="15"/>
  <c r="AF15" i="15" s="1"/>
  <c r="CV62" i="19"/>
  <c r="AB15" i="15"/>
  <c r="AE15" i="15" s="1"/>
  <c r="Q8" i="5"/>
  <c r="N8" i="5"/>
  <c r="BO38" i="2"/>
  <c r="BN38" i="2"/>
  <c r="BP38" i="2" s="1"/>
  <c r="O23" i="2" s="1"/>
  <c r="BP36" i="2"/>
  <c r="O21" i="2" s="1"/>
  <c r="G78" i="4"/>
  <c r="D171" i="24"/>
  <c r="BP37" i="2"/>
  <c r="O22" i="2" s="1"/>
  <c r="E254" i="24"/>
  <c r="AD25" i="16"/>
  <c r="AB14" i="15"/>
  <c r="C454" i="24"/>
  <c r="AC104" i="16"/>
  <c r="AD28" i="16"/>
  <c r="E257" i="24"/>
  <c r="CS55" i="19"/>
  <c r="CU55" i="19" s="1"/>
  <c r="CV55" i="19" s="1"/>
  <c r="E335" i="24"/>
  <c r="G56" i="17"/>
  <c r="H56" i="17" s="1"/>
  <c r="I56" i="17" s="1"/>
  <c r="AC341" i="19" s="1"/>
  <c r="G30" i="17"/>
  <c r="H30" i="17" s="1"/>
  <c r="I30" i="17" s="1"/>
  <c r="G37" i="17"/>
  <c r="H37" i="17" s="1"/>
  <c r="I37" i="17" s="1"/>
  <c r="AC322" i="19" s="1"/>
  <c r="G49" i="17"/>
  <c r="H49" i="17" s="1"/>
  <c r="I49" i="17" s="1"/>
  <c r="AC334" i="19" s="1"/>
  <c r="G54" i="17"/>
  <c r="H54" i="17" s="1"/>
  <c r="I54" i="17" s="1"/>
  <c r="AC339" i="19" s="1"/>
  <c r="G40" i="17"/>
  <c r="H40" i="17" s="1"/>
  <c r="I40" i="17" s="1"/>
  <c r="AC325" i="19" s="1"/>
  <c r="G42" i="17"/>
  <c r="H42" i="17" s="1"/>
  <c r="I42" i="17" s="1"/>
  <c r="AC327" i="19" s="1"/>
  <c r="G47" i="17"/>
  <c r="H47" i="17" s="1"/>
  <c r="I47" i="17" s="1"/>
  <c r="AC332" i="19" s="1"/>
  <c r="G52" i="17"/>
  <c r="H52" i="17" s="1"/>
  <c r="I52" i="17" s="1"/>
  <c r="AC337" i="19" s="1"/>
  <c r="G58" i="17"/>
  <c r="H58" i="17" s="1"/>
  <c r="I58" i="17" s="1"/>
  <c r="AC343" i="19" s="1"/>
  <c r="G34" i="17"/>
  <c r="H34" i="17" s="1"/>
  <c r="I34" i="17" s="1"/>
  <c r="AC319" i="19" s="1"/>
  <c r="G36" i="17"/>
  <c r="H36" i="17" s="1"/>
  <c r="I36" i="17" s="1"/>
  <c r="AC321" i="19" s="1"/>
  <c r="G51" i="17"/>
  <c r="H51" i="17" s="1"/>
  <c r="I51" i="17" s="1"/>
  <c r="AC336" i="19" s="1"/>
  <c r="G53" i="17"/>
  <c r="H53" i="17" s="1"/>
  <c r="I53" i="17" s="1"/>
  <c r="AC338" i="19" s="1"/>
  <c r="G55" i="17"/>
  <c r="H55" i="17" s="1"/>
  <c r="I55" i="17" s="1"/>
  <c r="AC340" i="19" s="1"/>
  <c r="G32" i="17"/>
  <c r="H32" i="17" s="1"/>
  <c r="I32" i="17" s="1"/>
  <c r="AC317" i="19" s="1"/>
  <c r="G38" i="17"/>
  <c r="H38" i="17" s="1"/>
  <c r="I38" i="17" s="1"/>
  <c r="AC323" i="19" s="1"/>
  <c r="G43" i="17"/>
  <c r="H43" i="17" s="1"/>
  <c r="I43" i="17" s="1"/>
  <c r="AC328" i="19" s="1"/>
  <c r="G41" i="17"/>
  <c r="H41" i="17" s="1"/>
  <c r="I41" i="17" s="1"/>
  <c r="AC326" i="19" s="1"/>
  <c r="G45" i="17"/>
  <c r="H45" i="17" s="1"/>
  <c r="I45" i="17" s="1"/>
  <c r="AC330" i="19" s="1"/>
  <c r="G57" i="17"/>
  <c r="H57" i="17" s="1"/>
  <c r="I57" i="17" s="1"/>
  <c r="AC342" i="19" s="1"/>
  <c r="G39" i="17"/>
  <c r="H39" i="17" s="1"/>
  <c r="I39" i="17" s="1"/>
  <c r="AC324" i="19" s="1"/>
  <c r="G31" i="17"/>
  <c r="H31" i="17" s="1"/>
  <c r="I31" i="17" s="1"/>
  <c r="AC316" i="19" s="1"/>
  <c r="G33" i="17"/>
  <c r="H33" i="17" s="1"/>
  <c r="I33" i="17" s="1"/>
  <c r="AC318" i="19" s="1"/>
  <c r="G35" i="17"/>
  <c r="H35" i="17" s="1"/>
  <c r="I35" i="17" s="1"/>
  <c r="AC320" i="19" s="1"/>
  <c r="G46" i="17"/>
  <c r="H46" i="17" s="1"/>
  <c r="I46" i="17" s="1"/>
  <c r="AC331" i="19" s="1"/>
  <c r="G48" i="17"/>
  <c r="H48" i="17" s="1"/>
  <c r="I48" i="17" s="1"/>
  <c r="AC333" i="19" s="1"/>
  <c r="G50" i="17"/>
  <c r="H50" i="17" s="1"/>
  <c r="I50" i="17" s="1"/>
  <c r="AC335" i="19" s="1"/>
  <c r="Z64" i="19"/>
  <c r="Z47" i="19"/>
  <c r="Z67" i="19"/>
  <c r="Z44" i="19"/>
  <c r="Z49" i="19"/>
  <c r="N107" i="10"/>
  <c r="M108" i="10" s="1"/>
  <c r="L107" i="10"/>
  <c r="Q115" i="5"/>
  <c r="P114" i="4"/>
  <c r="Q105" i="5"/>
  <c r="F33" i="24"/>
  <c r="BK35" i="2"/>
  <c r="F427" i="10"/>
  <c r="K7" i="20"/>
  <c r="H5" i="20"/>
  <c r="K55" i="10" s="1"/>
  <c r="S21" i="2"/>
  <c r="BG36" i="2"/>
  <c r="AI23" i="2"/>
  <c r="AK23" i="2" s="1"/>
  <c r="BG37" i="2"/>
  <c r="BG39" i="2"/>
  <c r="AI24" i="2"/>
  <c r="AK24" i="2" s="1"/>
  <c r="AI20" i="2"/>
  <c r="AK20" i="2" s="1"/>
  <c r="Q116" i="5"/>
  <c r="P115" i="4"/>
  <c r="D488" i="24"/>
  <c r="AD138" i="16"/>
  <c r="D466" i="24"/>
  <c r="AD116" i="16"/>
  <c r="I116" i="16" s="1"/>
  <c r="R35" i="22"/>
  <c r="R153" i="2"/>
  <c r="Q107" i="5"/>
  <c r="AI29" i="22"/>
  <c r="Q25" i="19"/>
  <c r="W9" i="13"/>
  <c r="G9" i="13" s="1"/>
  <c r="F9" i="13" s="1"/>
  <c r="R9" i="13" s="1"/>
  <c r="K17" i="4"/>
  <c r="L17" i="4" s="1"/>
  <c r="E101" i="4" s="1"/>
  <c r="K15" i="4"/>
  <c r="L15" i="4" s="1"/>
  <c r="W14" i="13"/>
  <c r="G14" i="13" s="1"/>
  <c r="F14" i="13" s="1"/>
  <c r="R14" i="13" s="1"/>
  <c r="W15" i="13"/>
  <c r="G15" i="13" s="1"/>
  <c r="F15" i="13" s="1"/>
  <c r="R15" i="13" s="1"/>
  <c r="W10" i="13"/>
  <c r="G10" i="13" s="1"/>
  <c r="F10" i="13" s="1"/>
  <c r="R10" i="13" s="1"/>
  <c r="G318" i="24"/>
  <c r="CT33" i="19"/>
  <c r="AD68" i="16"/>
  <c r="AD10" i="16"/>
  <c r="E239" i="24"/>
  <c r="Q24" i="19"/>
  <c r="P115" i="5"/>
  <c r="M19" i="5" s="1"/>
  <c r="O114" i="4"/>
  <c r="CS33" i="19"/>
  <c r="E318" i="24"/>
  <c r="AM64" i="19"/>
  <c r="F301" i="24"/>
  <c r="Q19" i="2"/>
  <c r="H19" i="2"/>
  <c r="H24" i="2"/>
  <c r="H21" i="2"/>
  <c r="H20" i="2"/>
  <c r="H23" i="2"/>
  <c r="M13" i="5"/>
  <c r="K4" i="20"/>
  <c r="E396" i="24"/>
  <c r="Q24" i="2"/>
  <c r="P22" i="2"/>
  <c r="P23" i="2"/>
  <c r="P24" i="2"/>
  <c r="P21" i="2"/>
  <c r="D217" i="24"/>
  <c r="N27" i="5"/>
  <c r="AD20" i="16"/>
  <c r="E249" i="24"/>
  <c r="X71" i="4"/>
  <c r="AD12" i="15"/>
  <c r="AB12" i="15" s="1"/>
  <c r="AE12" i="15" s="1"/>
  <c r="CU36" i="19"/>
  <c r="CV36" i="19" s="1"/>
  <c r="CU16" i="19"/>
  <c r="CV16" i="19" s="1"/>
  <c r="CU13" i="19"/>
  <c r="CV13" i="19" s="1"/>
  <c r="CV21" i="19" s="1"/>
  <c r="M21" i="5"/>
  <c r="D213" i="24"/>
  <c r="CU35" i="19"/>
  <c r="CV35" i="19" s="1"/>
  <c r="CU15" i="19"/>
  <c r="CV15" i="19" s="1"/>
  <c r="AC97" i="16"/>
  <c r="C447" i="24"/>
  <c r="AB63" i="16"/>
  <c r="F413" i="24"/>
  <c r="D381" i="24"/>
  <c r="AB141" i="16"/>
  <c r="F491" i="24"/>
  <c r="C488" i="24"/>
  <c r="AC138" i="16"/>
  <c r="AB135" i="16"/>
  <c r="D421" i="24"/>
  <c r="AD71" i="16"/>
  <c r="AD57" i="16"/>
  <c r="D407" i="24"/>
  <c r="W31" i="15"/>
  <c r="V31" i="15"/>
  <c r="AD81" i="16"/>
  <c r="L7" i="4"/>
  <c r="P6" i="5"/>
  <c r="Q6" i="5" s="1"/>
  <c r="L68" i="5" s="1"/>
  <c r="Z7" i="19"/>
  <c r="AE25" i="19"/>
  <c r="AT28" i="19"/>
  <c r="AT31" i="19" s="1"/>
  <c r="J5" i="26"/>
  <c r="H7" i="19"/>
  <c r="D297" i="24" s="1"/>
  <c r="AT48" i="19"/>
  <c r="AT50" i="19" s="1"/>
  <c r="O7" i="5"/>
  <c r="F423" i="24"/>
  <c r="AB73" i="16"/>
  <c r="AD9" i="16"/>
  <c r="CU19" i="19"/>
  <c r="CV19" i="19" s="1"/>
  <c r="F417" i="24"/>
  <c r="AB67" i="16"/>
  <c r="Y31" i="15"/>
  <c r="X31" i="15"/>
  <c r="K14" i="4"/>
  <c r="L14" i="4" s="1"/>
  <c r="E506" i="24"/>
  <c r="E506" i="25"/>
  <c r="M14" i="22" s="1"/>
  <c r="U32" i="15"/>
  <c r="AB32" i="15"/>
  <c r="AH32" i="15"/>
  <c r="AI32" i="15" s="1"/>
  <c r="V24" i="15"/>
  <c r="W24" i="15"/>
  <c r="W22" i="2"/>
  <c r="Y22" i="2" s="1"/>
  <c r="S22" i="2"/>
  <c r="X22" i="2" s="1"/>
  <c r="AE22" i="2"/>
  <c r="AI22" i="2"/>
  <c r="AK22" i="2" s="1"/>
  <c r="AJ23" i="2"/>
  <c r="AL23" i="2" s="1"/>
  <c r="AJ19" i="2"/>
  <c r="B458" i="24"/>
  <c r="D451" i="24"/>
  <c r="AI64" i="19"/>
  <c r="AM67" i="19" s="1"/>
  <c r="D485" i="24"/>
  <c r="AD91" i="16"/>
  <c r="N26" i="5"/>
  <c r="P28" i="5" s="1"/>
  <c r="Q28" i="5" s="1"/>
  <c r="L73" i="5" s="1"/>
  <c r="F40" i="5" s="1"/>
  <c r="V28" i="15"/>
  <c r="W26" i="15"/>
  <c r="D438" i="24"/>
  <c r="D463" i="24"/>
  <c r="F490" i="24"/>
  <c r="D479" i="24"/>
  <c r="AB128" i="16"/>
  <c r="AB125" i="16"/>
  <c r="Z32" i="15"/>
  <c r="V30" i="15"/>
  <c r="K7" i="4"/>
  <c r="Z10" i="2"/>
  <c r="AB10" i="2"/>
  <c r="S19" i="2"/>
  <c r="BG38" i="2"/>
  <c r="AH20" i="2"/>
  <c r="BG34" i="2"/>
  <c r="AH21" i="2"/>
  <c r="AI21" i="2"/>
  <c r="AK21" i="2" s="1"/>
  <c r="BG35" i="2"/>
  <c r="AG21" i="2"/>
  <c r="Q22" i="2"/>
  <c r="Q23" i="2"/>
  <c r="S35" i="2"/>
  <c r="AB183" i="2"/>
  <c r="BL9" i="26"/>
  <c r="S13" i="22"/>
  <c r="W24" i="2"/>
  <c r="Y24" i="2" s="1"/>
  <c r="AH24" i="2"/>
  <c r="Q21" i="2"/>
  <c r="K16" i="4"/>
  <c r="L16" i="4" s="1"/>
  <c r="E100" i="4" s="1"/>
  <c r="J37" i="24"/>
  <c r="AD24" i="2"/>
  <c r="AB31" i="15"/>
  <c r="E505" i="24"/>
  <c r="AB28" i="15"/>
  <c r="Z31" i="15"/>
  <c r="AH28" i="15"/>
  <c r="AG14" i="15" l="1"/>
  <c r="AA14" i="2"/>
  <c r="AB14" i="2"/>
  <c r="AA93" i="16"/>
  <c r="AA95" i="16"/>
  <c r="AS9" i="15"/>
  <c r="AU9" i="15" s="1"/>
  <c r="H9" i="15" s="1"/>
  <c r="W16" i="4"/>
  <c r="AB109" i="16"/>
  <c r="AA109" i="16" s="1"/>
  <c r="AI155" i="15"/>
  <c r="AA75" i="16"/>
  <c r="T25" i="15"/>
  <c r="AC25" i="15" s="1"/>
  <c r="AD25" i="15" s="1"/>
  <c r="AF25" i="15" s="1"/>
  <c r="AG25" i="15" s="1"/>
  <c r="AO155" i="15"/>
  <c r="AV35" i="26"/>
  <c r="J35" i="26" s="1"/>
  <c r="AU35" i="26"/>
  <c r="I35" i="26" s="1"/>
  <c r="AH25" i="2"/>
  <c r="U81" i="2" s="1"/>
  <c r="W81" i="2" s="1"/>
  <c r="AA73" i="16"/>
  <c r="AA83" i="16"/>
  <c r="AJ161" i="15"/>
  <c r="AL161" i="15"/>
  <c r="AR155" i="15"/>
  <c r="AG161" i="15"/>
  <c r="AW35" i="26"/>
  <c r="K35" i="26" s="1"/>
  <c r="D40" i="2"/>
  <c r="D55" i="24" s="1"/>
  <c r="AG155" i="15"/>
  <c r="AN155" i="15"/>
  <c r="AH161" i="15"/>
  <c r="P32" i="4"/>
  <c r="W44" i="4" s="1"/>
  <c r="F44" i="4" s="1"/>
  <c r="BF134" i="26" s="1"/>
  <c r="H21" i="26"/>
  <c r="AP161" i="15"/>
  <c r="AR19" i="26"/>
  <c r="AJ174" i="15"/>
  <c r="AP174" i="15"/>
  <c r="AA81" i="16"/>
  <c r="AK174" i="15"/>
  <c r="AN174" i="15"/>
  <c r="AO174" i="15"/>
  <c r="AB104" i="16"/>
  <c r="AA104" i="16" s="1"/>
  <c r="AM161" i="15"/>
  <c r="AD23" i="15"/>
  <c r="AF23" i="15" s="1"/>
  <c r="AG23" i="15" s="1"/>
  <c r="AQ161" i="15"/>
  <c r="AQ10" i="6"/>
  <c r="AR21" i="6" s="1"/>
  <c r="AJ155" i="15"/>
  <c r="AA105" i="16"/>
  <c r="AK155" i="15"/>
  <c r="AT35" i="26"/>
  <c r="H35" i="26" s="1"/>
  <c r="AI161" i="15"/>
  <c r="AK161" i="15"/>
  <c r="AO161" i="15"/>
  <c r="AN161" i="15"/>
  <c r="AQ155" i="15"/>
  <c r="AP155" i="15"/>
  <c r="AM155" i="15"/>
  <c r="AH155" i="15"/>
  <c r="AR157" i="15"/>
  <c r="AL157" i="15"/>
  <c r="AA131" i="16"/>
  <c r="AP165" i="15"/>
  <c r="H13" i="6"/>
  <c r="AL174" i="15"/>
  <c r="AI174" i="15"/>
  <c r="AA89" i="16"/>
  <c r="AR174" i="15"/>
  <c r="AH174" i="15"/>
  <c r="AI157" i="15"/>
  <c r="AK157" i="15"/>
  <c r="AH157" i="15"/>
  <c r="AN157" i="15"/>
  <c r="AA74" i="16"/>
  <c r="AA103" i="16"/>
  <c r="AA61" i="16"/>
  <c r="AJ157" i="15"/>
  <c r="F453" i="24"/>
  <c r="AO157" i="15"/>
  <c r="AH165" i="15"/>
  <c r="AA68" i="16"/>
  <c r="T32" i="15"/>
  <c r="AA136" i="16"/>
  <c r="AQ157" i="15"/>
  <c r="AG157" i="15"/>
  <c r="AG165" i="15"/>
  <c r="AJ165" i="15"/>
  <c r="AQ174" i="15"/>
  <c r="AA125" i="16"/>
  <c r="AA91" i="16"/>
  <c r="AO165" i="15"/>
  <c r="AM157" i="15"/>
  <c r="M10" i="4"/>
  <c r="E97" i="4"/>
  <c r="X10" i="4"/>
  <c r="M97" i="4" s="1"/>
  <c r="O10" i="4"/>
  <c r="AN170" i="15"/>
  <c r="AH170" i="15"/>
  <c r="AG170" i="15"/>
  <c r="X24" i="15"/>
  <c r="Y24" i="15"/>
  <c r="Z25" i="19"/>
  <c r="Z28" i="19"/>
  <c r="Z20" i="19"/>
  <c r="Z19" i="19"/>
  <c r="Z22" i="19"/>
  <c r="Z24" i="19"/>
  <c r="Z27" i="19"/>
  <c r="Z23" i="19"/>
  <c r="Z26" i="19"/>
  <c r="AQ170" i="15"/>
  <c r="AI170" i="15"/>
  <c r="AL170" i="15"/>
  <c r="AA58" i="16"/>
  <c r="AA92" i="16"/>
  <c r="Y178" i="2"/>
  <c r="B28" i="12"/>
  <c r="AA119" i="16"/>
  <c r="Y29" i="15"/>
  <c r="AC29" i="15" s="1"/>
  <c r="AD29" i="15" s="1"/>
  <c r="AE29" i="15" s="1"/>
  <c r="X29" i="15"/>
  <c r="Z21" i="19"/>
  <c r="Z41" i="19"/>
  <c r="Z63" i="19"/>
  <c r="Z42" i="19"/>
  <c r="Z68" i="19"/>
  <c r="Z40" i="19"/>
  <c r="Z43" i="19"/>
  <c r="Z46" i="19"/>
  <c r="Z62" i="19"/>
  <c r="Z69" i="19"/>
  <c r="Z48" i="19"/>
  <c r="Z65" i="19"/>
  <c r="Z61" i="19"/>
  <c r="Z60" i="19"/>
  <c r="Z66" i="19"/>
  <c r="BC15" i="26"/>
  <c r="D507" i="24"/>
  <c r="D507" i="25"/>
  <c r="D96" i="19"/>
  <c r="E96" i="19"/>
  <c r="D345" i="24" s="1"/>
  <c r="F96" i="19"/>
  <c r="E345" i="24" s="1"/>
  <c r="G96" i="19"/>
  <c r="F345" i="24" s="1"/>
  <c r="H96" i="19"/>
  <c r="G345" i="24" s="1"/>
  <c r="Z45" i="19"/>
  <c r="AM170" i="15"/>
  <c r="AO170" i="15"/>
  <c r="AD108" i="19"/>
  <c r="AE108" i="19" s="1"/>
  <c r="AA9" i="19"/>
  <c r="AK170" i="15"/>
  <c r="AJ170" i="15"/>
  <c r="K21" i="4"/>
  <c r="AX193" i="2"/>
  <c r="AW193" i="2"/>
  <c r="AP170" i="15"/>
  <c r="AG174" i="15"/>
  <c r="F469" i="24"/>
  <c r="K29" i="26"/>
  <c r="T30" i="15"/>
  <c r="AC30" i="15" s="1"/>
  <c r="AD30" i="15" s="1"/>
  <c r="AE30" i="15" s="1"/>
  <c r="T27" i="15"/>
  <c r="AC27" i="15" s="1"/>
  <c r="AD27" i="15" s="1"/>
  <c r="AE27" i="15" s="1"/>
  <c r="H13" i="26"/>
  <c r="AV29" i="26" s="1"/>
  <c r="AI165" i="15"/>
  <c r="AL165" i="15"/>
  <c r="H29" i="26"/>
  <c r="T31" i="15"/>
  <c r="AC31" i="15" s="1"/>
  <c r="AD31" i="15" s="1"/>
  <c r="H76" i="26"/>
  <c r="I29" i="26"/>
  <c r="T24" i="15"/>
  <c r="AN165" i="15"/>
  <c r="S29" i="15"/>
  <c r="S28" i="15"/>
  <c r="S26" i="15"/>
  <c r="AA142" i="16"/>
  <c r="AA59" i="16"/>
  <c r="AA132" i="16"/>
  <c r="AK165" i="15"/>
  <c r="F455" i="24"/>
  <c r="AQ165" i="15"/>
  <c r="AM165" i="15"/>
  <c r="AB107" i="16"/>
  <c r="AA107" i="16" s="1"/>
  <c r="AA90" i="16"/>
  <c r="AA65" i="16"/>
  <c r="AR167" i="15"/>
  <c r="AH167" i="15"/>
  <c r="AA139" i="16"/>
  <c r="AI167" i="15"/>
  <c r="AA71" i="16"/>
  <c r="F465" i="24"/>
  <c r="AT54" i="19"/>
  <c r="AC96" i="19" s="1"/>
  <c r="E107" i="19" s="1"/>
  <c r="AA63" i="16"/>
  <c r="AA115" i="16"/>
  <c r="AC20" i="2"/>
  <c r="AJ172" i="15"/>
  <c r="AH172" i="15"/>
  <c r="AI172" i="15"/>
  <c r="AO172" i="15"/>
  <c r="AM20" i="2"/>
  <c r="AN172" i="15"/>
  <c r="AR172" i="15"/>
  <c r="AQ172" i="15"/>
  <c r="AM172" i="15"/>
  <c r="AK172" i="15"/>
  <c r="AL172" i="15"/>
  <c r="AO167" i="15"/>
  <c r="AA57" i="16"/>
  <c r="AK167" i="15"/>
  <c r="AQ167" i="15"/>
  <c r="AA124" i="16"/>
  <c r="AA80" i="16"/>
  <c r="AP167" i="15"/>
  <c r="AJ167" i="15"/>
  <c r="W17" i="4"/>
  <c r="AN167" i="15"/>
  <c r="AM167" i="15"/>
  <c r="AP172" i="15"/>
  <c r="AA128" i="16"/>
  <c r="AN23" i="2"/>
  <c r="AN21" i="2"/>
  <c r="AM21" i="2"/>
  <c r="AA67" i="16"/>
  <c r="AA108" i="16"/>
  <c r="F452" i="24"/>
  <c r="AM23" i="2"/>
  <c r="AB117" i="16"/>
  <c r="AA117" i="16" s="1"/>
  <c r="AA120" i="16"/>
  <c r="F460" i="24"/>
  <c r="F458" i="24"/>
  <c r="AG169" i="15"/>
  <c r="F470" i="24"/>
  <c r="AB106" i="16"/>
  <c r="AA106" i="16" s="1"/>
  <c r="F456" i="24"/>
  <c r="AA123" i="16"/>
  <c r="AA127" i="16"/>
  <c r="AA66" i="16"/>
  <c r="AL167" i="15"/>
  <c r="AA135" i="16"/>
  <c r="AD28" i="15"/>
  <c r="AF28" i="15" s="1"/>
  <c r="AA79" i="16"/>
  <c r="AA102" i="16"/>
  <c r="AT34" i="19"/>
  <c r="AC95" i="19" s="1"/>
  <c r="E106" i="19" s="1"/>
  <c r="AH171" i="15"/>
  <c r="AL164" i="15"/>
  <c r="AJ164" i="15"/>
  <c r="AH169" i="15"/>
  <c r="AK169" i="15"/>
  <c r="AN169" i="15"/>
  <c r="AI164" i="15"/>
  <c r="AM158" i="15"/>
  <c r="AI158" i="15"/>
  <c r="AG158" i="15"/>
  <c r="AJ158" i="15"/>
  <c r="AR158" i="15"/>
  <c r="AH158" i="15"/>
  <c r="AQ158" i="15"/>
  <c r="AO158" i="15"/>
  <c r="AP158" i="15"/>
  <c r="AN158" i="15"/>
  <c r="AK158" i="15"/>
  <c r="AL169" i="15"/>
  <c r="AP164" i="15"/>
  <c r="AA129" i="16"/>
  <c r="AI169" i="15"/>
  <c r="AO169" i="15"/>
  <c r="AJ169" i="15"/>
  <c r="AK164" i="15"/>
  <c r="AB101" i="16"/>
  <c r="AA101" i="16" s="1"/>
  <c r="F451" i="24"/>
  <c r="AO164" i="15"/>
  <c r="AA141" i="16"/>
  <c r="AM22" i="2"/>
  <c r="AP171" i="15"/>
  <c r="AH164" i="15"/>
  <c r="AR164" i="15"/>
  <c r="AO171" i="15"/>
  <c r="AQ164" i="15"/>
  <c r="AG164" i="15"/>
  <c r="AA137" i="16"/>
  <c r="AI171" i="15"/>
  <c r="AL171" i="15"/>
  <c r="AA138" i="16"/>
  <c r="AA97" i="16"/>
  <c r="AK171" i="15"/>
  <c r="AM171" i="15"/>
  <c r="AG171" i="15"/>
  <c r="AN164" i="15"/>
  <c r="AQ169" i="15"/>
  <c r="AR169" i="15"/>
  <c r="AP169" i="15"/>
  <c r="O18" i="4"/>
  <c r="X18" i="4" s="1"/>
  <c r="AL177" i="6"/>
  <c r="AL194" i="26"/>
  <c r="AN22" i="2"/>
  <c r="AB111" i="16"/>
  <c r="AA111" i="16" s="1"/>
  <c r="F461" i="24"/>
  <c r="AB113" i="16"/>
  <c r="AA113" i="16" s="1"/>
  <c r="F463" i="24"/>
  <c r="AB114" i="16"/>
  <c r="AA114" i="16" s="1"/>
  <c r="F464" i="24"/>
  <c r="AJ171" i="15"/>
  <c r="AR171" i="15"/>
  <c r="Z22" i="2"/>
  <c r="AF26" i="15"/>
  <c r="AG26" i="15" s="1"/>
  <c r="AE26" i="15"/>
  <c r="AB118" i="16"/>
  <c r="AA118" i="16" s="1"/>
  <c r="F468" i="24"/>
  <c r="AB112" i="16"/>
  <c r="AA112" i="16" s="1"/>
  <c r="F462" i="24"/>
  <c r="AN171" i="15"/>
  <c r="Q16" i="5"/>
  <c r="L70" i="5" s="1"/>
  <c r="E37" i="5"/>
  <c r="N20" i="5"/>
  <c r="O20" i="5" s="1"/>
  <c r="Q20" i="5" s="1"/>
  <c r="L22" i="4"/>
  <c r="M22" i="4" s="1"/>
  <c r="O22" i="4" s="1"/>
  <c r="X22" i="4" s="1"/>
  <c r="AI28" i="15"/>
  <c r="AI33" i="15" s="1"/>
  <c r="AH33" i="15"/>
  <c r="AC24" i="2"/>
  <c r="AB24" i="2"/>
  <c r="AA24" i="2"/>
  <c r="F35" i="5"/>
  <c r="E221" i="24" s="1"/>
  <c r="AM200" i="26"/>
  <c r="AM183" i="6"/>
  <c r="BL36" i="2"/>
  <c r="R21" i="2"/>
  <c r="G34" i="24"/>
  <c r="W15" i="4"/>
  <c r="M15" i="4"/>
  <c r="N15" i="4" s="1"/>
  <c r="X15" i="4" s="1"/>
  <c r="M99" i="4" s="1"/>
  <c r="M22" i="5"/>
  <c r="O22" i="5" s="1"/>
  <c r="AC315" i="19"/>
  <c r="I59" i="17"/>
  <c r="AC121" i="19"/>
  <c r="U28" i="22"/>
  <c r="AA23" i="2"/>
  <c r="X23" i="2"/>
  <c r="Z23" i="2" s="1"/>
  <c r="AB23" i="2"/>
  <c r="Q7" i="5"/>
  <c r="L69" i="5" s="1"/>
  <c r="N7" i="5"/>
  <c r="E36" i="5"/>
  <c r="AK162" i="15"/>
  <c r="AO162" i="15"/>
  <c r="AN162" i="15"/>
  <c r="AP162" i="15"/>
  <c r="AR162" i="15"/>
  <c r="AM162" i="15"/>
  <c r="AL162" i="15"/>
  <c r="AQ162" i="15"/>
  <c r="AI162" i="15"/>
  <c r="AJ162" i="15"/>
  <c r="AG162" i="15"/>
  <c r="AH162" i="15"/>
  <c r="AN168" i="15"/>
  <c r="AM168" i="15"/>
  <c r="AR168" i="15"/>
  <c r="AI168" i="15"/>
  <c r="AL168" i="15"/>
  <c r="AK168" i="15"/>
  <c r="AG168" i="15"/>
  <c r="AP168" i="15"/>
  <c r="AJ168" i="15"/>
  <c r="AH168" i="15"/>
  <c r="AQ168" i="15"/>
  <c r="AO168" i="15"/>
  <c r="AL19" i="2"/>
  <c r="AL25" i="2" s="1"/>
  <c r="AJ25" i="2"/>
  <c r="D506" i="25"/>
  <c r="D506" i="24"/>
  <c r="BC14" i="26"/>
  <c r="G32" i="24"/>
  <c r="BL34" i="2"/>
  <c r="R19" i="2"/>
  <c r="V19" i="2" s="1"/>
  <c r="L23" i="4"/>
  <c r="M23" i="4" s="1"/>
  <c r="O23" i="4" s="1"/>
  <c r="X23" i="4" s="1"/>
  <c r="N19" i="5"/>
  <c r="O19" i="5" s="1"/>
  <c r="Q19" i="5" s="1"/>
  <c r="N21" i="5"/>
  <c r="O21" i="5" s="1"/>
  <c r="Q21" i="5" s="1"/>
  <c r="L21" i="4"/>
  <c r="M21" i="4" s="1"/>
  <c r="BC20" i="19"/>
  <c r="BE20" i="19" s="1"/>
  <c r="AP24" i="19" s="1"/>
  <c r="BC62" i="19"/>
  <c r="BE62" i="19" s="1"/>
  <c r="BC41" i="19"/>
  <c r="BE41" i="19" s="1"/>
  <c r="BC39" i="19"/>
  <c r="BE39" i="19" s="1"/>
  <c r="BC60" i="19"/>
  <c r="BE60" i="19" s="1"/>
  <c r="AP64" i="19" s="1"/>
  <c r="BC61" i="19"/>
  <c r="BE61" i="19" s="1"/>
  <c r="BC22" i="19"/>
  <c r="BE22" i="19" s="1"/>
  <c r="BC21" i="19"/>
  <c r="BE21" i="19" s="1"/>
  <c r="BC40" i="19"/>
  <c r="BE40" i="19" s="1"/>
  <c r="AA31" i="15"/>
  <c r="Z33" i="15"/>
  <c r="Y32" i="15"/>
  <c r="X32" i="15"/>
  <c r="F6" i="16"/>
  <c r="F7" i="16"/>
  <c r="F8" i="16"/>
  <c r="F11" i="16"/>
  <c r="F31" i="16"/>
  <c r="F21" i="16"/>
  <c r="F25" i="16"/>
  <c r="F26" i="16"/>
  <c r="F30" i="16"/>
  <c r="F39" i="16"/>
  <c r="F40" i="16"/>
  <c r="AJ29" i="22"/>
  <c r="F14" i="22" s="1"/>
  <c r="F10" i="16"/>
  <c r="F14" i="16"/>
  <c r="F20" i="16"/>
  <c r="F24" i="16"/>
  <c r="F27" i="16"/>
  <c r="F28" i="16"/>
  <c r="F29" i="16"/>
  <c r="F38" i="16"/>
  <c r="F9" i="16"/>
  <c r="F18" i="16"/>
  <c r="F19" i="16"/>
  <c r="F17" i="16"/>
  <c r="F37" i="16"/>
  <c r="F4" i="16"/>
  <c r="F15" i="16"/>
  <c r="F5" i="16"/>
  <c r="F16" i="16"/>
  <c r="F41" i="16"/>
  <c r="F35" i="16"/>
  <c r="F34" i="16"/>
  <c r="F36" i="16"/>
  <c r="BG40" i="2"/>
  <c r="AA32" i="15"/>
  <c r="AP160" i="15"/>
  <c r="AO160" i="15"/>
  <c r="AN160" i="15"/>
  <c r="AM160" i="15"/>
  <c r="AL160" i="15"/>
  <c r="AI160" i="15"/>
  <c r="AK160" i="15"/>
  <c r="AQ160" i="15"/>
  <c r="AJ160" i="15"/>
  <c r="AG160" i="15"/>
  <c r="AR160" i="15"/>
  <c r="AH160" i="15"/>
  <c r="AN163" i="15"/>
  <c r="AM163" i="15"/>
  <c r="AR163" i="15"/>
  <c r="AI163" i="15"/>
  <c r="AJ163" i="15"/>
  <c r="AK163" i="15"/>
  <c r="AP163" i="15"/>
  <c r="AG163" i="15"/>
  <c r="AO163" i="15"/>
  <c r="AQ163" i="15"/>
  <c r="AL163" i="15"/>
  <c r="AH163" i="15"/>
  <c r="AM24" i="2"/>
  <c r="I4" i="20"/>
  <c r="J54" i="10" s="1"/>
  <c r="M54" i="10"/>
  <c r="AG74" i="26"/>
  <c r="AB74" i="26" s="1"/>
  <c r="AG57" i="6"/>
  <c r="AB57" i="6" s="1"/>
  <c r="X21" i="2"/>
  <c r="Z21" i="2" s="1"/>
  <c r="AA21" i="2"/>
  <c r="AB21" i="2"/>
  <c r="AE14" i="15"/>
  <c r="U37" i="2"/>
  <c r="S37" i="2"/>
  <c r="V37" i="2"/>
  <c r="W37" i="2"/>
  <c r="T37" i="2"/>
  <c r="X37" i="2"/>
  <c r="F25" i="26"/>
  <c r="AL23" i="26" s="1"/>
  <c r="E226" i="24"/>
  <c r="F25" i="6"/>
  <c r="AM23" i="6" s="1"/>
  <c r="AI173" i="15"/>
  <c r="AN173" i="15"/>
  <c r="AR173" i="15"/>
  <c r="AM173" i="15"/>
  <c r="AL173" i="15"/>
  <c r="AP173" i="15"/>
  <c r="AJ173" i="15"/>
  <c r="AK173" i="15"/>
  <c r="AO173" i="15"/>
  <c r="AG173" i="15"/>
  <c r="AH173" i="15"/>
  <c r="AQ173" i="15"/>
  <c r="AC12" i="15"/>
  <c r="AG12" i="15"/>
  <c r="AL176" i="6"/>
  <c r="AL193" i="26"/>
  <c r="D191" i="24"/>
  <c r="AV7" i="15"/>
  <c r="AY4" i="15"/>
  <c r="AU7" i="15"/>
  <c r="AX7" i="15"/>
  <c r="AW7" i="15"/>
  <c r="AY7" i="15" s="1"/>
  <c r="N16" i="4"/>
  <c r="X16" i="4" s="1"/>
  <c r="M100" i="4" s="1"/>
  <c r="AB20" i="2"/>
  <c r="AA20" i="2"/>
  <c r="X20" i="2"/>
  <c r="Z20" i="2" s="1"/>
  <c r="P78" i="4"/>
  <c r="P68" i="4"/>
  <c r="P80" i="4"/>
  <c r="S39" i="2"/>
  <c r="P75" i="4"/>
  <c r="P69" i="4"/>
  <c r="P77" i="4"/>
  <c r="P67" i="4"/>
  <c r="P79" i="4"/>
  <c r="P72" i="4"/>
  <c r="P73" i="4"/>
  <c r="P76" i="4"/>
  <c r="P71" i="4"/>
  <c r="P70" i="4"/>
  <c r="P82" i="4"/>
  <c r="P74" i="4"/>
  <c r="E96" i="4"/>
  <c r="W7" i="4"/>
  <c r="X7" i="4" s="1"/>
  <c r="M96" i="4" s="1"/>
  <c r="M7" i="4"/>
  <c r="AL192" i="26"/>
  <c r="AR189" i="26" s="1"/>
  <c r="BB186" i="26" s="1"/>
  <c r="D190" i="24"/>
  <c r="AL175" i="6"/>
  <c r="AR172" i="6" s="1"/>
  <c r="BB169" i="6" s="1"/>
  <c r="AJ166" i="15"/>
  <c r="AN166" i="15"/>
  <c r="AR166" i="15"/>
  <c r="AK166" i="15"/>
  <c r="AO166" i="15"/>
  <c r="AM166" i="15"/>
  <c r="AL166" i="15"/>
  <c r="AP166" i="15"/>
  <c r="AH166" i="15"/>
  <c r="AG166" i="15"/>
  <c r="AQ166" i="15"/>
  <c r="AI166" i="15"/>
  <c r="O13" i="5"/>
  <c r="AM65" i="19"/>
  <c r="AM66" i="19"/>
  <c r="W14" i="4"/>
  <c r="M14" i="4"/>
  <c r="N14" i="4" s="1"/>
  <c r="X14" i="4" s="1"/>
  <c r="P13" i="5"/>
  <c r="Q13" i="5" s="1"/>
  <c r="I7" i="20"/>
  <c r="J57" i="10" s="1"/>
  <c r="M57" i="10"/>
  <c r="N17" i="4"/>
  <c r="X17" i="4" s="1"/>
  <c r="M101" i="4" s="1"/>
  <c r="Z24" i="2"/>
  <c r="G37" i="24"/>
  <c r="R24" i="2"/>
  <c r="BL39" i="2"/>
  <c r="W19" i="2"/>
  <c r="X19" i="2"/>
  <c r="AL156" i="15"/>
  <c r="AK156" i="15"/>
  <c r="AO156" i="15"/>
  <c r="AQ156" i="15"/>
  <c r="AM156" i="15"/>
  <c r="AN156" i="15"/>
  <c r="AI156" i="15"/>
  <c r="AH156" i="15"/>
  <c r="AR156" i="15"/>
  <c r="AP156" i="15"/>
  <c r="AG156" i="15"/>
  <c r="AJ156" i="15"/>
  <c r="AB106" i="19"/>
  <c r="AC106" i="19" s="1"/>
  <c r="AC107" i="19" s="1"/>
  <c r="AC108" i="19" s="1"/>
  <c r="AN24" i="2"/>
  <c r="G36" i="24"/>
  <c r="R23" i="2"/>
  <c r="BL38" i="2"/>
  <c r="AB116" i="16"/>
  <c r="AA116" i="16" s="1"/>
  <c r="F466" i="24"/>
  <c r="AB22" i="2"/>
  <c r="AC22" i="2"/>
  <c r="AA22" i="2"/>
  <c r="W81" i="4"/>
  <c r="F81" i="4" s="1"/>
  <c r="E175" i="24" s="1"/>
  <c r="AD106" i="19"/>
  <c r="AE106" i="19" s="1"/>
  <c r="AA7" i="19"/>
  <c r="G33" i="24"/>
  <c r="BL35" i="2"/>
  <c r="R20" i="2"/>
  <c r="CU33" i="19"/>
  <c r="CV33" i="19" s="1"/>
  <c r="CV41" i="19" s="1"/>
  <c r="BF40" i="2"/>
  <c r="AI19" i="2" l="1"/>
  <c r="AG19" i="2"/>
  <c r="AG25" i="2" s="1"/>
  <c r="U15" i="15"/>
  <c r="D17" i="26"/>
  <c r="D80" i="26" s="1"/>
  <c r="BB9" i="15"/>
  <c r="BF9" i="15" s="1"/>
  <c r="AW9" i="15"/>
  <c r="AY9" i="15" s="1"/>
  <c r="AV9" i="15"/>
  <c r="AX9" i="15"/>
  <c r="BC9" i="15" s="1"/>
  <c r="BG9" i="15" s="1"/>
  <c r="D17" i="6"/>
  <c r="D63" i="6" s="1"/>
  <c r="O40" i="2"/>
  <c r="AL15" i="26" s="1"/>
  <c r="AE25" i="15"/>
  <c r="W46" i="4"/>
  <c r="F46" i="4" s="1"/>
  <c r="BF136" i="26" s="1"/>
  <c r="W41" i="4"/>
  <c r="F41" i="4" s="1"/>
  <c r="G41" i="4" s="1"/>
  <c r="W45" i="4"/>
  <c r="F45" i="4" s="1"/>
  <c r="BF118" i="6" s="1"/>
  <c r="W40" i="4"/>
  <c r="F40" i="4" s="1"/>
  <c r="BF130" i="26" s="1"/>
  <c r="W50" i="4"/>
  <c r="F50" i="4" s="1"/>
  <c r="BF140" i="26" s="1"/>
  <c r="W37" i="4"/>
  <c r="F37" i="4" s="1"/>
  <c r="E130" i="24" s="1"/>
  <c r="W43" i="4"/>
  <c r="F43" i="4" s="1"/>
  <c r="G43" i="4" s="1"/>
  <c r="W39" i="4"/>
  <c r="F39" i="4" s="1"/>
  <c r="G39" i="4" s="1"/>
  <c r="W38" i="4"/>
  <c r="F38" i="4" s="1"/>
  <c r="E131" i="24" s="1"/>
  <c r="W36" i="4"/>
  <c r="F36" i="4" s="1"/>
  <c r="BF109" i="6" s="1"/>
  <c r="W62" i="4"/>
  <c r="F62" i="4" s="1"/>
  <c r="BF150" i="26" s="1"/>
  <c r="W51" i="4"/>
  <c r="F51" i="4" s="1"/>
  <c r="BF141" i="26" s="1"/>
  <c r="W61" i="4"/>
  <c r="F61" i="4" s="1"/>
  <c r="W49" i="4"/>
  <c r="F49" i="4" s="1"/>
  <c r="BF139" i="26" s="1"/>
  <c r="W47" i="4"/>
  <c r="F47" i="4" s="1"/>
  <c r="W54" i="4"/>
  <c r="F54" i="4" s="1"/>
  <c r="G54" i="4" s="1"/>
  <c r="W57" i="4"/>
  <c r="F57" i="4" s="1"/>
  <c r="E150" i="24" s="1"/>
  <c r="W56" i="4"/>
  <c r="F56" i="4" s="1"/>
  <c r="G56" i="4" s="1"/>
  <c r="W48" i="4"/>
  <c r="F48" i="4" s="1"/>
  <c r="E141" i="24" s="1"/>
  <c r="W55" i="4"/>
  <c r="F55" i="4" s="1"/>
  <c r="BF145" i="26" s="1"/>
  <c r="W52" i="4"/>
  <c r="F52" i="4" s="1"/>
  <c r="E145" i="24" s="1"/>
  <c r="W53" i="4"/>
  <c r="F53" i="4" s="1"/>
  <c r="BF143" i="26" s="1"/>
  <c r="W42" i="4"/>
  <c r="F42" i="4" s="1"/>
  <c r="BF115" i="6" s="1"/>
  <c r="W60" i="4"/>
  <c r="F60" i="4" s="1"/>
  <c r="BF148" i="26" s="1"/>
  <c r="AE23" i="15"/>
  <c r="AC32" i="15"/>
  <c r="AD32" i="15" s="1"/>
  <c r="AF32" i="15" s="1"/>
  <c r="AG32" i="15" s="1"/>
  <c r="E109" i="19"/>
  <c r="AW29" i="26"/>
  <c r="AF27" i="15"/>
  <c r="AG27" i="15" s="1"/>
  <c r="AT29" i="26"/>
  <c r="AU29" i="26"/>
  <c r="AC24" i="15"/>
  <c r="AD24" i="15" s="1"/>
  <c r="G97" i="19"/>
  <c r="F346" i="24" s="1"/>
  <c r="E97" i="19"/>
  <c r="D346" i="24" s="1"/>
  <c r="H97" i="19"/>
  <c r="G346" i="24" s="1"/>
  <c r="F97" i="19"/>
  <c r="E346" i="24" s="1"/>
  <c r="D97" i="19"/>
  <c r="AH96" i="19"/>
  <c r="I96" i="19" s="1"/>
  <c r="H345" i="24" s="1"/>
  <c r="C345" i="24"/>
  <c r="AF29" i="15"/>
  <c r="AG29" i="15" s="1"/>
  <c r="AM189" i="26"/>
  <c r="AT187" i="26" s="1"/>
  <c r="AZ188" i="26" s="1"/>
  <c r="F97" i="4"/>
  <c r="E187" i="24" s="1"/>
  <c r="AM172" i="6"/>
  <c r="AT170" i="6" s="1"/>
  <c r="AZ171" i="6" s="1"/>
  <c r="BG41" i="2"/>
  <c r="E25" i="2" s="1"/>
  <c r="D187" i="24"/>
  <c r="AL172" i="6"/>
  <c r="AR170" i="6" s="1"/>
  <c r="AZ169" i="6" s="1"/>
  <c r="AL189" i="26"/>
  <c r="AR187" i="26" s="1"/>
  <c r="AZ186" i="26" s="1"/>
  <c r="AF30" i="15"/>
  <c r="AG30" i="15" s="1"/>
  <c r="E137" i="24"/>
  <c r="BF117" i="6"/>
  <c r="AA77" i="16"/>
  <c r="AA99" i="16"/>
  <c r="AE28" i="15"/>
  <c r="AA143" i="16"/>
  <c r="S40" i="2"/>
  <c r="M30" i="2" s="1"/>
  <c r="S48" i="2" s="1"/>
  <c r="AA121" i="16"/>
  <c r="Y19" i="2"/>
  <c r="AN19" i="2" s="1"/>
  <c r="AN25" i="2" s="1"/>
  <c r="Q25" i="2" s="1"/>
  <c r="AM177" i="6"/>
  <c r="AM194" i="26"/>
  <c r="AL185" i="6"/>
  <c r="AS172" i="6" s="1"/>
  <c r="BB170" i="6" s="1"/>
  <c r="D223" i="24"/>
  <c r="AL202" i="26"/>
  <c r="AS189" i="26" s="1"/>
  <c r="BB187" i="26" s="1"/>
  <c r="F37" i="5"/>
  <c r="E223" i="24" s="1"/>
  <c r="AM185" i="6"/>
  <c r="AU172" i="6" s="1"/>
  <c r="BB172" i="6" s="1"/>
  <c r="AM202" i="26"/>
  <c r="AU189" i="26" s="1"/>
  <c r="BB189" i="26" s="1"/>
  <c r="AA33" i="15"/>
  <c r="O21" i="4"/>
  <c r="X21" i="4" s="1"/>
  <c r="AL178" i="6"/>
  <c r="E102" i="4"/>
  <c r="D194" i="24" s="1"/>
  <c r="AL195" i="26"/>
  <c r="F96" i="4"/>
  <c r="E186" i="24" s="1"/>
  <c r="AM188" i="26"/>
  <c r="AM171" i="6"/>
  <c r="L71" i="5"/>
  <c r="R76" i="4"/>
  <c r="T76" i="4" s="1"/>
  <c r="Q76" i="4"/>
  <c r="S76" i="4" s="1"/>
  <c r="W76" i="4" s="1"/>
  <c r="F76" i="4" s="1"/>
  <c r="AG28" i="15"/>
  <c r="AY71" i="19"/>
  <c r="AZ71" i="19" s="1"/>
  <c r="AY72" i="19"/>
  <c r="AZ72" i="19" s="1"/>
  <c r="AY73" i="19"/>
  <c r="AZ73" i="19" s="1"/>
  <c r="O7" i="4"/>
  <c r="Q72" i="4"/>
  <c r="S72" i="4" s="1"/>
  <c r="W72" i="4" s="1"/>
  <c r="F72" i="4" s="1"/>
  <c r="R72" i="4"/>
  <c r="T72" i="4" s="1"/>
  <c r="Q68" i="4"/>
  <c r="S68" i="4" s="1"/>
  <c r="W68" i="4" s="1"/>
  <c r="F68" i="4" s="1"/>
  <c r="R68" i="4"/>
  <c r="T68" i="4" s="1"/>
  <c r="F100" i="4"/>
  <c r="E190" i="24" s="1"/>
  <c r="AM192" i="26"/>
  <c r="AT189" i="26" s="1"/>
  <c r="BB188" i="26" s="1"/>
  <c r="AM175" i="6"/>
  <c r="AT172" i="6" s="1"/>
  <c r="BB171" i="6" s="1"/>
  <c r="AC4" i="16"/>
  <c r="AA4" i="16" s="1"/>
  <c r="D233" i="24"/>
  <c r="Y4" i="16"/>
  <c r="AC28" i="16"/>
  <c r="AA28" i="16" s="1"/>
  <c r="D257" i="24"/>
  <c r="AC39" i="16"/>
  <c r="AA39" i="16" s="1"/>
  <c r="D268" i="24"/>
  <c r="D236" i="24"/>
  <c r="AC7" i="16"/>
  <c r="AA7" i="16" s="1"/>
  <c r="AQ24" i="19"/>
  <c r="AP27" i="19"/>
  <c r="AQ27" i="19" s="1"/>
  <c r="AR27" i="19" s="1"/>
  <c r="AL184" i="6"/>
  <c r="AL201" i="26"/>
  <c r="D222" i="24"/>
  <c r="AY51" i="19"/>
  <c r="AZ51" i="19" s="1"/>
  <c r="AY50" i="19"/>
  <c r="AZ50" i="19" s="1"/>
  <c r="AY52" i="19"/>
  <c r="AZ52" i="19" s="1"/>
  <c r="E162" i="26"/>
  <c r="AU186" i="26"/>
  <c r="AY189" i="26" s="1"/>
  <c r="Q80" i="4"/>
  <c r="S80" i="4" s="1"/>
  <c r="W80" i="4" s="1"/>
  <c r="F80" i="4" s="1"/>
  <c r="R80" i="4"/>
  <c r="T80" i="4" s="1"/>
  <c r="AF12" i="15"/>
  <c r="D244" i="24"/>
  <c r="AC15" i="16"/>
  <c r="AA15" i="16" s="1"/>
  <c r="AC40" i="16"/>
  <c r="AA40" i="16" s="1"/>
  <c r="D269" i="24"/>
  <c r="Q79" i="4"/>
  <c r="S79" i="4" s="1"/>
  <c r="W79" i="4" s="1"/>
  <c r="F79" i="4" s="1"/>
  <c r="R79" i="4"/>
  <c r="T79" i="4" s="1"/>
  <c r="R78" i="4"/>
  <c r="T78" i="4" s="1"/>
  <c r="Q78" i="4"/>
  <c r="S78" i="4" s="1"/>
  <c r="W78" i="4" s="1"/>
  <c r="F78" i="4" s="1"/>
  <c r="AC36" i="16"/>
  <c r="AA36" i="16" s="1"/>
  <c r="D265" i="24"/>
  <c r="D266" i="24"/>
  <c r="AC37" i="16"/>
  <c r="AA37" i="16" s="1"/>
  <c r="AC27" i="16"/>
  <c r="AA27" i="16" s="1"/>
  <c r="D256" i="24"/>
  <c r="D259" i="24"/>
  <c r="AC30" i="16"/>
  <c r="AA30" i="16" s="1"/>
  <c r="AC6" i="16"/>
  <c r="AA6" i="16" s="1"/>
  <c r="D235" i="24"/>
  <c r="AE30" i="19"/>
  <c r="BD20" i="19" s="1"/>
  <c r="BE23" i="19"/>
  <c r="AC187" i="19"/>
  <c r="AC186" i="19"/>
  <c r="BD22" i="19"/>
  <c r="BD62" i="19"/>
  <c r="BD61" i="19"/>
  <c r="AE29" i="19"/>
  <c r="BE63" i="19"/>
  <c r="BD41" i="19"/>
  <c r="BE42" i="19"/>
  <c r="BD21" i="19"/>
  <c r="BD40" i="19"/>
  <c r="AC5" i="16"/>
  <c r="AA5" i="16" s="1"/>
  <c r="D234" i="24"/>
  <c r="D95" i="19"/>
  <c r="H95" i="19"/>
  <c r="E95" i="19"/>
  <c r="G95" i="19"/>
  <c r="F95" i="19"/>
  <c r="D186" i="24"/>
  <c r="AL188" i="26"/>
  <c r="AL171" i="6"/>
  <c r="AC8" i="16"/>
  <c r="AA8" i="16" s="1"/>
  <c r="D237" i="24"/>
  <c r="AM176" i="6"/>
  <c r="AM193" i="26"/>
  <c r="F101" i="4"/>
  <c r="E191" i="24" s="1"/>
  <c r="R74" i="4"/>
  <c r="T74" i="4" s="1"/>
  <c r="Q74" i="4"/>
  <c r="S74" i="4" s="1"/>
  <c r="W74" i="4" s="1"/>
  <c r="F74" i="4" s="1"/>
  <c r="R67" i="4"/>
  <c r="T67" i="4" s="1"/>
  <c r="Q67" i="4"/>
  <c r="S67" i="4" s="1"/>
  <c r="W67" i="4" s="1"/>
  <c r="F67" i="4" s="1"/>
  <c r="G25" i="6"/>
  <c r="AR24" i="6"/>
  <c r="AC34" i="16"/>
  <c r="AA34" i="16" s="1"/>
  <c r="D263" i="24"/>
  <c r="AC17" i="16"/>
  <c r="AA17" i="16" s="1"/>
  <c r="D246" i="24"/>
  <c r="AC24" i="16"/>
  <c r="AA24" i="16" s="1"/>
  <c r="D253" i="24"/>
  <c r="AC26" i="16"/>
  <c r="AA26" i="16" s="1"/>
  <c r="D255" i="24"/>
  <c r="AY31" i="19"/>
  <c r="AZ31" i="19" s="1"/>
  <c r="AY33" i="19"/>
  <c r="AZ33" i="19" s="1"/>
  <c r="AY32" i="19"/>
  <c r="AZ32" i="19" s="1"/>
  <c r="AM201" i="26"/>
  <c r="AM184" i="6"/>
  <c r="F36" i="5"/>
  <c r="E222" i="24" s="1"/>
  <c r="U82" i="2"/>
  <c r="W82" i="2" s="1"/>
  <c r="W86" i="2" s="1"/>
  <c r="W90" i="2" s="1"/>
  <c r="W91" i="2" s="1"/>
  <c r="W93" i="2" s="1"/>
  <c r="F39" i="2" s="1"/>
  <c r="U16" i="15"/>
  <c r="AC11" i="16"/>
  <c r="AA11" i="16" s="1"/>
  <c r="D240" i="24"/>
  <c r="E99" i="4"/>
  <c r="AM174" i="6"/>
  <c r="AM191" i="26"/>
  <c r="F99" i="4"/>
  <c r="E189" i="24" s="1"/>
  <c r="R73" i="4"/>
  <c r="T73" i="4" s="1"/>
  <c r="Q73" i="4"/>
  <c r="S73" i="4" s="1"/>
  <c r="W73" i="4" s="1"/>
  <c r="F73" i="4" s="1"/>
  <c r="AC29" i="16"/>
  <c r="AA29" i="16" s="1"/>
  <c r="D258" i="24"/>
  <c r="R82" i="4"/>
  <c r="T82" i="4" s="1"/>
  <c r="Q82" i="4"/>
  <c r="S82" i="4" s="1"/>
  <c r="W82" i="4" s="1"/>
  <c r="F82" i="4" s="1"/>
  <c r="R77" i="4"/>
  <c r="T77" i="4" s="1"/>
  <c r="Q77" i="4"/>
  <c r="S77" i="4" s="1"/>
  <c r="W77" i="4" s="1"/>
  <c r="F77" i="4" s="1"/>
  <c r="AC35" i="16"/>
  <c r="AA35" i="16" s="1"/>
  <c r="D264" i="24"/>
  <c r="AC19" i="16"/>
  <c r="AA19" i="16" s="1"/>
  <c r="D248" i="24"/>
  <c r="AC20" i="16"/>
  <c r="AA20" i="16" s="1"/>
  <c r="D249" i="24"/>
  <c r="AC25" i="16"/>
  <c r="AA25" i="16" s="1"/>
  <c r="D254" i="24"/>
  <c r="AC38" i="16"/>
  <c r="AA38" i="16" s="1"/>
  <c r="D267" i="24"/>
  <c r="AQ64" i="19"/>
  <c r="AP65" i="19"/>
  <c r="AQ65" i="19" s="1"/>
  <c r="AR65" i="19" s="1"/>
  <c r="E38" i="5"/>
  <c r="E41" i="5" s="1"/>
  <c r="R70" i="4"/>
  <c r="T70" i="4" s="1"/>
  <c r="Q70" i="4"/>
  <c r="S70" i="4" s="1"/>
  <c r="W70" i="4" s="1"/>
  <c r="F70" i="4" s="1"/>
  <c r="Q69" i="4"/>
  <c r="S69" i="4" s="1"/>
  <c r="W69" i="4" s="1"/>
  <c r="F69" i="4" s="1"/>
  <c r="R69" i="4"/>
  <c r="T69" i="4" s="1"/>
  <c r="AC41" i="16"/>
  <c r="AA41" i="16" s="1"/>
  <c r="D270" i="24"/>
  <c r="AC18" i="16"/>
  <c r="AA18" i="16" s="1"/>
  <c r="D247" i="24"/>
  <c r="D243" i="24"/>
  <c r="AC14" i="16"/>
  <c r="AA14" i="16" s="1"/>
  <c r="AC21" i="16"/>
  <c r="AA21" i="16" s="1"/>
  <c r="D250" i="24"/>
  <c r="M11" i="22"/>
  <c r="BC11" i="26" s="1"/>
  <c r="BJ11" i="2"/>
  <c r="BP11" i="2" s="1"/>
  <c r="BD12" i="26"/>
  <c r="BF16" i="26"/>
  <c r="BG16" i="26" s="1"/>
  <c r="S14" i="22"/>
  <c r="X5" i="6"/>
  <c r="D15" i="24"/>
  <c r="X5" i="26"/>
  <c r="R71" i="4"/>
  <c r="T71" i="4" s="1"/>
  <c r="Q71" i="4"/>
  <c r="S71" i="4" s="1"/>
  <c r="W71" i="4" s="1"/>
  <c r="F71" i="4" s="1"/>
  <c r="R75" i="4"/>
  <c r="T75" i="4" s="1"/>
  <c r="Q75" i="4"/>
  <c r="S75" i="4" s="1"/>
  <c r="W75" i="4" s="1"/>
  <c r="F75" i="4" s="1"/>
  <c r="H7" i="15"/>
  <c r="AZ7" i="15"/>
  <c r="AC16" i="16"/>
  <c r="AA16" i="16" s="1"/>
  <c r="D245" i="24"/>
  <c r="AC9" i="16"/>
  <c r="AA9" i="16" s="1"/>
  <c r="D238" i="24"/>
  <c r="AC10" i="16"/>
  <c r="AA10" i="16" s="1"/>
  <c r="D239" i="24"/>
  <c r="AC31" i="16"/>
  <c r="AA31" i="16" s="1"/>
  <c r="D260" i="24"/>
  <c r="AE31" i="15"/>
  <c r="AF31" i="15"/>
  <c r="AG31" i="15" s="1"/>
  <c r="AP45" i="19"/>
  <c r="AX20" i="19"/>
  <c r="AY20" i="19"/>
  <c r="AE19" i="2"/>
  <c r="AE25" i="2" s="1"/>
  <c r="D36" i="2" s="1"/>
  <c r="L19" i="2"/>
  <c r="Q22" i="5"/>
  <c r="L72" i="5" s="1"/>
  <c r="F39" i="5" s="1"/>
  <c r="E225" i="24" s="1"/>
  <c r="E39" i="5"/>
  <c r="D225" i="24" s="1"/>
  <c r="E145" i="6"/>
  <c r="AU169" i="6"/>
  <c r="AY172" i="6" s="1"/>
  <c r="AK19" i="2" l="1"/>
  <c r="AK25" i="2" s="1"/>
  <c r="D38" i="2" s="1"/>
  <c r="D53" i="24" s="1"/>
  <c r="AI25" i="2"/>
  <c r="AZ9" i="15"/>
  <c r="BA9" i="15" s="1"/>
  <c r="BE9" i="15" s="1"/>
  <c r="F16" i="26"/>
  <c r="F79" i="26" s="1"/>
  <c r="O39" i="2"/>
  <c r="F16" i="6"/>
  <c r="F62" i="6" s="1"/>
  <c r="G59" i="24"/>
  <c r="BF120" i="6"/>
  <c r="G47" i="4"/>
  <c r="E154" i="24"/>
  <c r="G61" i="4"/>
  <c r="E143" i="24"/>
  <c r="G40" i="2"/>
  <c r="H55" i="24" s="1"/>
  <c r="BF127" i="26"/>
  <c r="BF124" i="6"/>
  <c r="G36" i="4"/>
  <c r="AM15" i="6"/>
  <c r="AR15" i="6" s="1"/>
  <c r="BF113" i="6"/>
  <c r="E149" i="24"/>
  <c r="E139" i="24"/>
  <c r="BF131" i="26"/>
  <c r="BF114" i="6"/>
  <c r="BF135" i="26"/>
  <c r="BF132" i="26"/>
  <c r="E136" i="24"/>
  <c r="G42" i="4"/>
  <c r="BF126" i="26"/>
  <c r="BF149" i="26"/>
  <c r="BF132" i="6"/>
  <c r="G50" i="4"/>
  <c r="BF133" i="26"/>
  <c r="E140" i="24"/>
  <c r="BF137" i="26"/>
  <c r="BF138" i="26"/>
  <c r="G51" i="4"/>
  <c r="G38" i="4"/>
  <c r="BF133" i="6"/>
  <c r="BF126" i="6"/>
  <c r="G49" i="4"/>
  <c r="BF122" i="6"/>
  <c r="E142" i="24"/>
  <c r="BF123" i="6"/>
  <c r="BF110" i="6"/>
  <c r="E146" i="24"/>
  <c r="G46" i="4"/>
  <c r="BF147" i="26"/>
  <c r="BF119" i="6"/>
  <c r="BF130" i="6"/>
  <c r="BF125" i="6"/>
  <c r="BF146" i="26"/>
  <c r="BF111" i="6"/>
  <c r="BF129" i="6"/>
  <c r="BF142" i="26"/>
  <c r="E134" i="24"/>
  <c r="E132" i="24"/>
  <c r="E129" i="24"/>
  <c r="BF128" i="26"/>
  <c r="BF127" i="6"/>
  <c r="E155" i="24"/>
  <c r="BF129" i="26"/>
  <c r="E133" i="24"/>
  <c r="E147" i="24"/>
  <c r="E153" i="24"/>
  <c r="G60" i="4"/>
  <c r="AE32" i="15"/>
  <c r="BF128" i="6"/>
  <c r="E135" i="24"/>
  <c r="BF131" i="6"/>
  <c r="BF116" i="6"/>
  <c r="BF112" i="6"/>
  <c r="BF144" i="26"/>
  <c r="E148" i="24"/>
  <c r="BF121" i="6"/>
  <c r="E144" i="24"/>
  <c r="E138" i="24"/>
  <c r="AD33" i="15"/>
  <c r="AF24" i="15"/>
  <c r="AG24" i="15" s="1"/>
  <c r="AG33" i="15" s="1"/>
  <c r="T41" i="15" s="1"/>
  <c r="AE24" i="15"/>
  <c r="C346" i="24"/>
  <c r="AH97" i="19"/>
  <c r="I97" i="19" s="1"/>
  <c r="H346" i="24" s="1"/>
  <c r="D24" i="26"/>
  <c r="AL22" i="26" s="1"/>
  <c r="D48" i="24"/>
  <c r="D147" i="6"/>
  <c r="E147" i="6"/>
  <c r="E143" i="6" s="1"/>
  <c r="D164" i="26"/>
  <c r="Z19" i="2"/>
  <c r="Z29" i="2" s="1"/>
  <c r="AB19" i="2"/>
  <c r="AB26" i="2" s="1"/>
  <c r="AB27" i="2" s="1"/>
  <c r="AC19" i="2"/>
  <c r="AC26" i="2" s="1"/>
  <c r="AC27" i="2" s="1"/>
  <c r="AM19" i="2"/>
  <c r="AM25" i="2" s="1"/>
  <c r="P25" i="2" s="1"/>
  <c r="AA25" i="2" s="1"/>
  <c r="AA19" i="2"/>
  <c r="Y49" i="16"/>
  <c r="D167" i="6" s="1"/>
  <c r="Y48" i="16"/>
  <c r="D48" i="16" s="1"/>
  <c r="E277" i="24" s="1"/>
  <c r="Y47" i="16"/>
  <c r="D47" i="16" s="1"/>
  <c r="E276" i="24" s="1"/>
  <c r="Y50" i="16"/>
  <c r="D168" i="6" s="1"/>
  <c r="E164" i="26"/>
  <c r="E159" i="26" s="1"/>
  <c r="E166" i="24"/>
  <c r="BF157" i="26"/>
  <c r="BF140" i="6"/>
  <c r="BF172" i="26"/>
  <c r="E173" i="24"/>
  <c r="BF155" i="6"/>
  <c r="AL187" i="6"/>
  <c r="D151" i="6" s="1"/>
  <c r="E42" i="5"/>
  <c r="AL204" i="26"/>
  <c r="D168" i="26" s="1"/>
  <c r="D227" i="24"/>
  <c r="E169" i="24"/>
  <c r="BF168" i="26"/>
  <c r="BF151" i="6"/>
  <c r="BF138" i="6"/>
  <c r="E164" i="24"/>
  <c r="BF155" i="26"/>
  <c r="E167" i="24"/>
  <c r="BF158" i="26"/>
  <c r="BF141" i="6"/>
  <c r="BF154" i="26"/>
  <c r="E163" i="24"/>
  <c r="BF137" i="6"/>
  <c r="D14" i="26"/>
  <c r="O36" i="2"/>
  <c r="D14" i="6"/>
  <c r="D54" i="24"/>
  <c r="BD13" i="26"/>
  <c r="BF12" i="26"/>
  <c r="AX35" i="26" s="1"/>
  <c r="L35" i="26" s="1"/>
  <c r="AU170" i="6"/>
  <c r="AZ172" i="6" s="1"/>
  <c r="E146" i="6"/>
  <c r="E344" i="24"/>
  <c r="F99" i="19"/>
  <c r="S53" i="2"/>
  <c r="F41" i="2" s="1"/>
  <c r="T48" i="2"/>
  <c r="U17" i="15"/>
  <c r="V17" i="15" s="1"/>
  <c r="AD16" i="15" s="1"/>
  <c r="BF154" i="6"/>
  <c r="BF171" i="26"/>
  <c r="E172" i="24"/>
  <c r="AT169" i="6"/>
  <c r="AY171" i="6" s="1"/>
  <c r="E163" i="26"/>
  <c r="AU187" i="26"/>
  <c r="AZ189" i="26" s="1"/>
  <c r="BF153" i="26"/>
  <c r="E162" i="24"/>
  <c r="BF136" i="6"/>
  <c r="AP47" i="19"/>
  <c r="AQ47" i="19" s="1"/>
  <c r="AR47" i="19" s="1"/>
  <c r="AQ45" i="19"/>
  <c r="I76" i="26"/>
  <c r="O29" i="26"/>
  <c r="AX29" i="26"/>
  <c r="AZ29" i="26"/>
  <c r="L29" i="26"/>
  <c r="AY29" i="26"/>
  <c r="M29" i="26"/>
  <c r="BA29" i="26"/>
  <c r="I13" i="26"/>
  <c r="G55" i="26" s="1"/>
  <c r="N29" i="26"/>
  <c r="G344" i="24"/>
  <c r="H99" i="19"/>
  <c r="G347" i="24" s="1"/>
  <c r="BC50" i="19"/>
  <c r="BC51" i="19"/>
  <c r="BC52" i="19"/>
  <c r="AD96" i="19"/>
  <c r="F107" i="19" s="1"/>
  <c r="AQ28" i="19"/>
  <c r="AR28" i="19" s="1"/>
  <c r="AE28" i="19" s="1"/>
  <c r="AR24" i="19"/>
  <c r="F344" i="24"/>
  <c r="G99" i="19"/>
  <c r="BF135" i="6"/>
  <c r="E161" i="24"/>
  <c r="BF152" i="26"/>
  <c r="AT186" i="26"/>
  <c r="AY188" i="26" s="1"/>
  <c r="AQ66" i="19"/>
  <c r="AR64" i="19"/>
  <c r="AR66" i="19" s="1"/>
  <c r="AE66" i="19" s="1"/>
  <c r="K62" i="19" s="1"/>
  <c r="AD95" i="19"/>
  <c r="F106" i="19" s="1"/>
  <c r="C344" i="24"/>
  <c r="D99" i="19"/>
  <c r="AH95" i="19"/>
  <c r="BC32" i="19"/>
  <c r="BC33" i="19"/>
  <c r="BC31" i="19"/>
  <c r="BF153" i="6"/>
  <c r="BF170" i="26"/>
  <c r="E171" i="24"/>
  <c r="BF150" i="6"/>
  <c r="E168" i="24"/>
  <c r="BF167" i="26"/>
  <c r="I13" i="6"/>
  <c r="G38" i="6" s="1"/>
  <c r="I59" i="6"/>
  <c r="E174" i="24"/>
  <c r="BF173" i="26"/>
  <c r="BF156" i="6"/>
  <c r="AR169" i="6"/>
  <c r="AY169" i="6" s="1"/>
  <c r="Y149" i="6"/>
  <c r="D143" i="6" s="1"/>
  <c r="D145" i="6"/>
  <c r="BC71" i="19"/>
  <c r="BC72" i="19"/>
  <c r="BC73" i="19"/>
  <c r="AM203" i="26"/>
  <c r="AM186" i="6"/>
  <c r="F38" i="5"/>
  <c r="E224" i="24" s="1"/>
  <c r="D24" i="6"/>
  <c r="AM22" i="6" s="1"/>
  <c r="D344" i="24"/>
  <c r="E99" i="19"/>
  <c r="Z25" i="2"/>
  <c r="I21" i="26"/>
  <c r="G57" i="26" s="1"/>
  <c r="AB20" i="26"/>
  <c r="AB20" i="6"/>
  <c r="I25" i="6"/>
  <c r="H25" i="6"/>
  <c r="E160" i="24"/>
  <c r="BF151" i="26"/>
  <c r="BF134" i="6"/>
  <c r="E85" i="4"/>
  <c r="AR186" i="26"/>
  <c r="AY186" i="26" s="1"/>
  <c r="Y166" i="26"/>
  <c r="D159" i="26" s="1"/>
  <c r="D162" i="26"/>
  <c r="AM28" i="19"/>
  <c r="BD39" i="19"/>
  <c r="BD60" i="19"/>
  <c r="AS187" i="26"/>
  <c r="AZ187" i="26" s="1"/>
  <c r="D163" i="26"/>
  <c r="BF139" i="6"/>
  <c r="E165" i="24"/>
  <c r="BF156" i="26"/>
  <c r="AD97" i="19"/>
  <c r="F108" i="19" s="1"/>
  <c r="AM178" i="6"/>
  <c r="M102" i="4"/>
  <c r="F102" i="4" s="1"/>
  <c r="E194" i="24" s="1"/>
  <c r="AM195" i="26"/>
  <c r="AL203" i="26"/>
  <c r="AL186" i="6"/>
  <c r="D224" i="24"/>
  <c r="D189" i="24"/>
  <c r="AL174" i="6"/>
  <c r="AL191" i="26"/>
  <c r="BD7" i="15"/>
  <c r="BA7" i="15"/>
  <c r="BE7" i="15" s="1"/>
  <c r="BH15" i="26"/>
  <c r="BK12" i="26" s="1"/>
  <c r="BH14" i="26"/>
  <c r="BJ12" i="26" s="1"/>
  <c r="BH13" i="26"/>
  <c r="BI12" i="26" s="1"/>
  <c r="BH12" i="26"/>
  <c r="BG18" i="26"/>
  <c r="E170" i="24"/>
  <c r="BF152" i="6"/>
  <c r="BF169" i="26"/>
  <c r="D146" i="6"/>
  <c r="AS170" i="6"/>
  <c r="AZ170" i="6" s="1"/>
  <c r="L74" i="5"/>
  <c r="D15" i="6" l="1"/>
  <c r="D61" i="6" s="1"/>
  <c r="D15" i="26"/>
  <c r="D78" i="26" s="1"/>
  <c r="D42" i="2"/>
  <c r="D58" i="24" s="1"/>
  <c r="BD9" i="15"/>
  <c r="U40" i="15" s="1"/>
  <c r="E99" i="26" s="1"/>
  <c r="AL14" i="26"/>
  <c r="AR32" i="26" s="1"/>
  <c r="AM14" i="6"/>
  <c r="G39" i="2"/>
  <c r="H59" i="24" s="1"/>
  <c r="U41" i="15"/>
  <c r="I39" i="15" s="1"/>
  <c r="C97" i="24" s="1"/>
  <c r="G17" i="6"/>
  <c r="H17" i="6" s="1"/>
  <c r="H63" i="6" s="1"/>
  <c r="AE33" i="15"/>
  <c r="T40" i="15" s="1"/>
  <c r="D99" i="26" s="1"/>
  <c r="AK112" i="26" s="1"/>
  <c r="AP40" i="26"/>
  <c r="AX40" i="26" s="1"/>
  <c r="L40" i="26" s="1"/>
  <c r="AQ40" i="26"/>
  <c r="AU40" i="26" s="1"/>
  <c r="I40" i="26" s="1"/>
  <c r="AF33" i="15"/>
  <c r="D160" i="26"/>
  <c r="E160" i="26"/>
  <c r="AA162" i="26" s="1"/>
  <c r="AA163" i="26" s="1"/>
  <c r="C155" i="26" s="1"/>
  <c r="E142" i="6"/>
  <c r="AA145" i="6" s="1"/>
  <c r="D182" i="26"/>
  <c r="D165" i="6"/>
  <c r="H37" i="2"/>
  <c r="AA29" i="2"/>
  <c r="D50" i="16"/>
  <c r="E279" i="24" s="1"/>
  <c r="D183" i="26"/>
  <c r="D166" i="6"/>
  <c r="Z26" i="2"/>
  <c r="Z27" i="2" s="1"/>
  <c r="D184" i="26"/>
  <c r="D49" i="16"/>
  <c r="E278" i="24" s="1"/>
  <c r="Y51" i="16"/>
  <c r="AL24" i="26" s="1"/>
  <c r="D185" i="26"/>
  <c r="J11" i="26"/>
  <c r="AM17" i="26"/>
  <c r="AR17" i="26" s="1"/>
  <c r="AM15" i="26"/>
  <c r="AM23" i="26"/>
  <c r="AX19" i="19"/>
  <c r="AP25" i="19" s="1"/>
  <c r="AQ25" i="19" s="1"/>
  <c r="AR25" i="19" s="1"/>
  <c r="AY19" i="19"/>
  <c r="AP26" i="19" s="1"/>
  <c r="AQ26" i="19" s="1"/>
  <c r="AR26" i="19" s="1"/>
  <c r="AU188" i="26"/>
  <c r="BA189" i="26" s="1"/>
  <c r="D60" i="6"/>
  <c r="D142" i="6"/>
  <c r="AQ37" i="26"/>
  <c r="AQ33" i="26"/>
  <c r="AQ41" i="26"/>
  <c r="BG73" i="19"/>
  <c r="BF73" i="19"/>
  <c r="AM22" i="26"/>
  <c r="E21" i="6"/>
  <c r="F347" i="24"/>
  <c r="E21" i="26"/>
  <c r="E57" i="26" s="1"/>
  <c r="AQ48" i="19"/>
  <c r="AR45" i="19"/>
  <c r="AR48" i="19" s="1"/>
  <c r="AE48" i="19" s="1"/>
  <c r="AL12" i="26"/>
  <c r="G36" i="2"/>
  <c r="H54" i="24" s="1"/>
  <c r="AM12" i="6"/>
  <c r="F21" i="6"/>
  <c r="F40" i="6" s="1"/>
  <c r="E347" i="24"/>
  <c r="F21" i="26"/>
  <c r="F57" i="26" s="1"/>
  <c r="AP37" i="26"/>
  <c r="AP33" i="26"/>
  <c r="AP41" i="26"/>
  <c r="D22" i="26"/>
  <c r="D22" i="6"/>
  <c r="C347" i="24"/>
  <c r="F109" i="19"/>
  <c r="D77" i="26"/>
  <c r="AS37" i="26"/>
  <c r="AS33" i="26"/>
  <c r="AS41" i="26"/>
  <c r="AS188" i="26"/>
  <c r="BA187" i="26" s="1"/>
  <c r="F20" i="26"/>
  <c r="F20" i="6"/>
  <c r="D347" i="24"/>
  <c r="BG71" i="19"/>
  <c r="BF71" i="19"/>
  <c r="E331" i="24"/>
  <c r="AF66" i="19"/>
  <c r="AE67" i="19" s="1"/>
  <c r="BG51" i="19"/>
  <c r="BF51" i="19"/>
  <c r="K19" i="19"/>
  <c r="P29" i="19"/>
  <c r="P30" i="19" s="1"/>
  <c r="BG72" i="19"/>
  <c r="BF72" i="19"/>
  <c r="BG52" i="19"/>
  <c r="BF52" i="19"/>
  <c r="AC16" i="15"/>
  <c r="AG16" i="15"/>
  <c r="AG17" i="15" s="1"/>
  <c r="AG18" i="15" s="1"/>
  <c r="AG20" i="15" s="1"/>
  <c r="AB16" i="15"/>
  <c r="AJ120" i="26"/>
  <c r="AJ103" i="6"/>
  <c r="AD17" i="15"/>
  <c r="AD18" i="15" s="1"/>
  <c r="AD20" i="15" s="1"/>
  <c r="BF31" i="19"/>
  <c r="BG31" i="19"/>
  <c r="BG50" i="19"/>
  <c r="BF50" i="19"/>
  <c r="D228" i="24"/>
  <c r="AL205" i="26"/>
  <c r="AL188" i="6"/>
  <c r="I95" i="19"/>
  <c r="H344" i="24" s="1"/>
  <c r="AH99" i="19"/>
  <c r="AR37" i="26"/>
  <c r="AR33" i="26"/>
  <c r="AR41" i="26"/>
  <c r="AS171" i="6"/>
  <c r="BA170" i="6" s="1"/>
  <c r="D177" i="24"/>
  <c r="E86" i="4"/>
  <c r="AR23" i="6"/>
  <c r="G24" i="6"/>
  <c r="BF33" i="19"/>
  <c r="BG33" i="19"/>
  <c r="AR40" i="26"/>
  <c r="AA26" i="2"/>
  <c r="S42" i="2"/>
  <c r="S43" i="2" s="1"/>
  <c r="S58" i="2" s="1"/>
  <c r="S41" i="2"/>
  <c r="S59" i="2" s="1"/>
  <c r="BF13" i="26"/>
  <c r="AY35" i="26" s="1"/>
  <c r="M35" i="26" s="1"/>
  <c r="BD14" i="26"/>
  <c r="F41" i="5"/>
  <c r="E227" i="24" s="1"/>
  <c r="L75" i="5"/>
  <c r="AM187" i="6"/>
  <c r="E151" i="6" s="1"/>
  <c r="AM204" i="26"/>
  <c r="E168" i="26" s="1"/>
  <c r="AU171" i="6"/>
  <c r="BA172" i="6" s="1"/>
  <c r="AC29" i="2"/>
  <c r="E37" i="2" s="1"/>
  <c r="BF32" i="19"/>
  <c r="BG32" i="19"/>
  <c r="AS40" i="26"/>
  <c r="E39" i="15"/>
  <c r="C91" i="24" s="1"/>
  <c r="D100" i="26"/>
  <c r="D83" i="6"/>
  <c r="F42" i="2"/>
  <c r="G58" i="24" s="1"/>
  <c r="F18" i="6"/>
  <c r="F18" i="26"/>
  <c r="G57" i="24"/>
  <c r="AS32" i="26" l="1"/>
  <c r="AW32" i="26" s="1"/>
  <c r="K32" i="26" s="1"/>
  <c r="AP32" i="26"/>
  <c r="AT32" i="26" s="1"/>
  <c r="H32" i="26" s="1"/>
  <c r="AQ32" i="26"/>
  <c r="E32" i="26" s="1"/>
  <c r="AM14" i="26"/>
  <c r="G16" i="26" s="1"/>
  <c r="G16" i="6"/>
  <c r="AR14" i="6"/>
  <c r="E83" i="6"/>
  <c r="AN96" i="6" s="1"/>
  <c r="E100" i="26"/>
  <c r="C96" i="26" s="1"/>
  <c r="E82" i="6"/>
  <c r="AN95" i="6" s="1"/>
  <c r="I38" i="15"/>
  <c r="C96" i="24" s="1"/>
  <c r="G63" i="6"/>
  <c r="I17" i="6"/>
  <c r="I63" i="6" s="1"/>
  <c r="C91" i="26"/>
  <c r="AJ112" i="26"/>
  <c r="D82" i="6"/>
  <c r="C74" i="6" s="1"/>
  <c r="E38" i="15"/>
  <c r="C90" i="24" s="1"/>
  <c r="D40" i="26"/>
  <c r="AT40" i="26"/>
  <c r="H40" i="26" s="1"/>
  <c r="E40" i="26"/>
  <c r="D51" i="16"/>
  <c r="E280" i="24" s="1"/>
  <c r="AM24" i="6"/>
  <c r="AR25" i="6" s="1"/>
  <c r="AB162" i="26"/>
  <c r="AC162" i="26" s="1"/>
  <c r="D186" i="26"/>
  <c r="AF96" i="19"/>
  <c r="H107" i="19" s="1"/>
  <c r="AC30" i="2"/>
  <c r="E38" i="2" s="1"/>
  <c r="O38" i="2" s="1"/>
  <c r="D169" i="6"/>
  <c r="AE96" i="19"/>
  <c r="G107" i="19" s="1"/>
  <c r="S60" i="2"/>
  <c r="T50" i="2" s="1"/>
  <c r="T53" i="2" s="1"/>
  <c r="E41" i="2" s="1"/>
  <c r="E303" i="24"/>
  <c r="AF28" i="19"/>
  <c r="AE31" i="19" s="1"/>
  <c r="D33" i="26"/>
  <c r="AT33" i="26"/>
  <c r="H33" i="26" s="1"/>
  <c r="AX33" i="26"/>
  <c r="L33" i="26" s="1"/>
  <c r="G25" i="26"/>
  <c r="AR24" i="26"/>
  <c r="O37" i="2"/>
  <c r="AV33" i="26"/>
  <c r="J33" i="26" s="1"/>
  <c r="F33" i="26"/>
  <c r="AA27" i="2"/>
  <c r="AC28" i="2" s="1"/>
  <c r="AT37" i="26"/>
  <c r="H37" i="26" s="1"/>
  <c r="D37" i="26"/>
  <c r="AX37" i="26"/>
  <c r="L37" i="26" s="1"/>
  <c r="E40" i="6"/>
  <c r="AM19" i="6"/>
  <c r="F32" i="26"/>
  <c r="AV32" i="26"/>
  <c r="J32" i="26" s="1"/>
  <c r="AF95" i="19"/>
  <c r="H106" i="19" s="1"/>
  <c r="AE16" i="15"/>
  <c r="AE17" i="15" s="1"/>
  <c r="AE18" i="15" s="1"/>
  <c r="AE20" i="15" s="1"/>
  <c r="T42" i="15" s="1"/>
  <c r="AB17" i="15"/>
  <c r="AB18" i="15" s="1"/>
  <c r="AB20" i="15" s="1"/>
  <c r="AA68" i="19"/>
  <c r="AA66" i="19"/>
  <c r="AA60" i="19"/>
  <c r="AA62" i="19"/>
  <c r="AA64" i="19"/>
  <c r="AA63" i="19"/>
  <c r="AA65" i="19"/>
  <c r="AA67" i="19"/>
  <c r="AA61" i="19"/>
  <c r="AA69" i="19"/>
  <c r="AA74" i="19"/>
  <c r="AB97" i="19" s="1"/>
  <c r="D108" i="19" s="1"/>
  <c r="AP30" i="26"/>
  <c r="AR30" i="26"/>
  <c r="AQ30" i="26"/>
  <c r="AS30" i="26"/>
  <c r="AM12" i="26"/>
  <c r="AR23" i="26"/>
  <c r="G24" i="26"/>
  <c r="AR15" i="26"/>
  <c r="G17" i="26"/>
  <c r="F64" i="6"/>
  <c r="F27" i="6"/>
  <c r="AL121" i="26"/>
  <c r="AJ121" i="26"/>
  <c r="AJ122" i="26"/>
  <c r="C122" i="26"/>
  <c r="AL122" i="26"/>
  <c r="AK96" i="6"/>
  <c r="C76" i="6"/>
  <c r="AJ96" i="6"/>
  <c r="F37" i="26"/>
  <c r="AV37" i="26"/>
  <c r="J37" i="26" s="1"/>
  <c r="AE95" i="19"/>
  <c r="G106" i="19" s="1"/>
  <c r="AR42" i="26"/>
  <c r="AM24" i="26"/>
  <c r="AS42" i="26"/>
  <c r="AP42" i="26"/>
  <c r="AQ42" i="26"/>
  <c r="AM18" i="6"/>
  <c r="F39" i="6"/>
  <c r="F81" i="26"/>
  <c r="F27" i="26"/>
  <c r="F40" i="26"/>
  <c r="AV40" i="26"/>
  <c r="J40" i="26" s="1"/>
  <c r="AK113" i="26"/>
  <c r="AJ113" i="26"/>
  <c r="C93" i="26"/>
  <c r="BD15" i="26"/>
  <c r="BF15" i="26" s="1"/>
  <c r="BA35" i="26" s="1"/>
  <c r="O35" i="26" s="1"/>
  <c r="BF14" i="26"/>
  <c r="AZ35" i="26" s="1"/>
  <c r="N35" i="26" s="1"/>
  <c r="H24" i="6"/>
  <c r="I24" i="6"/>
  <c r="AF16" i="15"/>
  <c r="AF17" i="15" s="1"/>
  <c r="AF18" i="15" s="1"/>
  <c r="AF20" i="15" s="1"/>
  <c r="U42" i="15" s="1"/>
  <c r="AC17" i="15"/>
  <c r="AC18" i="15" s="1"/>
  <c r="AC20" i="15" s="1"/>
  <c r="AE97" i="19"/>
  <c r="G108" i="19" s="1"/>
  <c r="AW41" i="26"/>
  <c r="K41" i="26" s="1"/>
  <c r="G41" i="26"/>
  <c r="D41" i="6"/>
  <c r="AM20" i="6"/>
  <c r="AA146" i="6"/>
  <c r="C138" i="6" s="1"/>
  <c r="AB145" i="6"/>
  <c r="J99" i="19"/>
  <c r="I99" i="19"/>
  <c r="H347" i="24" s="1"/>
  <c r="AW37" i="26"/>
  <c r="K37" i="26" s="1"/>
  <c r="G37" i="26"/>
  <c r="AV41" i="26"/>
  <c r="J41" i="26" s="1"/>
  <c r="F41" i="26"/>
  <c r="G14" i="6"/>
  <c r="AR12" i="6"/>
  <c r="AF97" i="19"/>
  <c r="H108" i="19" s="1"/>
  <c r="AW33" i="26"/>
  <c r="K33" i="26" s="1"/>
  <c r="G33" i="26"/>
  <c r="AL20" i="26"/>
  <c r="D58" i="26"/>
  <c r="K41" i="19"/>
  <c r="P52" i="19"/>
  <c r="P53" i="19" s="1"/>
  <c r="AU41" i="26"/>
  <c r="I41" i="26" s="1"/>
  <c r="E41" i="26"/>
  <c r="AY41" i="26"/>
  <c r="M41" i="26" s="1"/>
  <c r="F42" i="5"/>
  <c r="E228" i="24" s="1"/>
  <c r="AM205" i="26"/>
  <c r="AM188" i="6"/>
  <c r="AN112" i="26"/>
  <c r="C94" i="26"/>
  <c r="AJ105" i="6"/>
  <c r="AL104" i="6"/>
  <c r="C105" i="6"/>
  <c r="AJ104" i="6"/>
  <c r="AL105" i="6"/>
  <c r="F56" i="26"/>
  <c r="AL18" i="26"/>
  <c r="E37" i="26"/>
  <c r="AY37" i="26"/>
  <c r="M37" i="26" s="1"/>
  <c r="AU37" i="26"/>
  <c r="I37" i="26" s="1"/>
  <c r="G40" i="26"/>
  <c r="AW40" i="26"/>
  <c r="K40" i="26" s="1"/>
  <c r="D178" i="24"/>
  <c r="M98" i="4"/>
  <c r="AY40" i="26"/>
  <c r="M40" i="26" s="1"/>
  <c r="AT41" i="26"/>
  <c r="H41" i="26" s="1"/>
  <c r="D41" i="26"/>
  <c r="AX41" i="26"/>
  <c r="L41" i="26" s="1"/>
  <c r="AY33" i="26"/>
  <c r="M33" i="26" s="1"/>
  <c r="E33" i="26"/>
  <c r="AU33" i="26"/>
  <c r="I33" i="26" s="1"/>
  <c r="AU32" i="26" l="1"/>
  <c r="I32" i="26" s="1"/>
  <c r="G32" i="26"/>
  <c r="AR14" i="26"/>
  <c r="AX32" i="26"/>
  <c r="L32" i="26" s="1"/>
  <c r="AY32" i="26"/>
  <c r="M32" i="26" s="1"/>
  <c r="D32" i="26"/>
  <c r="G62" i="6"/>
  <c r="H16" i="6"/>
  <c r="H62" i="6" s="1"/>
  <c r="I16" i="6"/>
  <c r="I62" i="6" s="1"/>
  <c r="C79" i="6"/>
  <c r="AN113" i="26"/>
  <c r="C77" i="6"/>
  <c r="AJ95" i="6"/>
  <c r="AK95" i="6"/>
  <c r="G26" i="6"/>
  <c r="H26" i="6" s="1"/>
  <c r="AC163" i="26"/>
  <c r="E53" i="24"/>
  <c r="E15" i="6"/>
  <c r="E61" i="6" s="1"/>
  <c r="E42" i="2"/>
  <c r="E58" i="24" s="1"/>
  <c r="E15" i="26"/>
  <c r="E78" i="26" s="1"/>
  <c r="E18" i="6"/>
  <c r="E64" i="6" s="1"/>
  <c r="AZ40" i="26"/>
  <c r="N40" i="26" s="1"/>
  <c r="E18" i="26"/>
  <c r="E81" i="26" s="1"/>
  <c r="E57" i="24"/>
  <c r="O41" i="2"/>
  <c r="AL16" i="26" s="1"/>
  <c r="H109" i="19"/>
  <c r="AZ41" i="26"/>
  <c r="N41" i="26" s="1"/>
  <c r="D84" i="6"/>
  <c r="AK104" i="6" s="1"/>
  <c r="C106" i="6" s="1"/>
  <c r="E40" i="15"/>
  <c r="C92" i="24" s="1"/>
  <c r="D101" i="26"/>
  <c r="AK121" i="26" s="1"/>
  <c r="C123" i="26" s="1"/>
  <c r="T44" i="15"/>
  <c r="E30" i="26"/>
  <c r="AU30" i="26"/>
  <c r="I30" i="26" s="1"/>
  <c r="AY30" i="26"/>
  <c r="M30" i="26" s="1"/>
  <c r="AV42" i="26"/>
  <c r="J42" i="26" s="1"/>
  <c r="AZ42" i="26"/>
  <c r="N42" i="26" s="1"/>
  <c r="F42" i="26"/>
  <c r="I17" i="26"/>
  <c r="I80" i="26" s="1"/>
  <c r="H17" i="26"/>
  <c r="H80" i="26" s="1"/>
  <c r="G80" i="26"/>
  <c r="F30" i="26"/>
  <c r="AZ30" i="26"/>
  <c r="N30" i="26" s="1"/>
  <c r="AV30" i="26"/>
  <c r="J30" i="26" s="1"/>
  <c r="AA22" i="19"/>
  <c r="AA27" i="19"/>
  <c r="AA26" i="19"/>
  <c r="AA23" i="19"/>
  <c r="AA25" i="19"/>
  <c r="AA19" i="19"/>
  <c r="AA24" i="19"/>
  <c r="AA20" i="19"/>
  <c r="AA21" i="19"/>
  <c r="AA28" i="19"/>
  <c r="AA32" i="19"/>
  <c r="AB95" i="19" s="1"/>
  <c r="BA40" i="26"/>
  <c r="O40" i="26" s="1"/>
  <c r="AP38" i="26"/>
  <c r="AM20" i="26"/>
  <c r="AR38" i="26"/>
  <c r="AQ38" i="26"/>
  <c r="AS38" i="26"/>
  <c r="G109" i="19"/>
  <c r="AT30" i="26"/>
  <c r="H30" i="26" s="1"/>
  <c r="D30" i="26"/>
  <c r="AX30" i="26"/>
  <c r="L30" i="26" s="1"/>
  <c r="AR25" i="26"/>
  <c r="G26" i="26"/>
  <c r="BA33" i="26"/>
  <c r="O33" i="26" s="1"/>
  <c r="BA37" i="26"/>
  <c r="O37" i="26" s="1"/>
  <c r="I24" i="26"/>
  <c r="H24" i="26"/>
  <c r="AH108" i="19"/>
  <c r="I108" i="19" s="1"/>
  <c r="AA70" i="19"/>
  <c r="AZ32" i="26"/>
  <c r="N32" i="26" s="1"/>
  <c r="G37" i="2"/>
  <c r="AM13" i="6"/>
  <c r="AL13" i="26"/>
  <c r="G38" i="2"/>
  <c r="H53" i="24" s="1"/>
  <c r="E84" i="6"/>
  <c r="AK105" i="6" s="1"/>
  <c r="C107" i="6" s="1"/>
  <c r="E101" i="26"/>
  <c r="AK122" i="26" s="1"/>
  <c r="C124" i="26" s="1"/>
  <c r="I40" i="15"/>
  <c r="C98" i="24" s="1"/>
  <c r="U44" i="15"/>
  <c r="BA32" i="26"/>
  <c r="O32" i="26" s="1"/>
  <c r="BA41" i="26"/>
  <c r="O41" i="26" s="1"/>
  <c r="G20" i="6"/>
  <c r="AR18" i="6"/>
  <c r="AZ37" i="26"/>
  <c r="N37" i="26" s="1"/>
  <c r="AW42" i="26"/>
  <c r="K42" i="26" s="1"/>
  <c r="G42" i="26"/>
  <c r="BA42" i="26"/>
  <c r="O42" i="26" s="1"/>
  <c r="H14" i="6"/>
  <c r="I14" i="6"/>
  <c r="G60" i="6"/>
  <c r="AU42" i="26"/>
  <c r="I42" i="26" s="1"/>
  <c r="AY42" i="26"/>
  <c r="M42" i="26" s="1"/>
  <c r="E42" i="26"/>
  <c r="G14" i="26"/>
  <c r="AR12" i="26"/>
  <c r="H16" i="26"/>
  <c r="H79" i="26" s="1"/>
  <c r="G79" i="26"/>
  <c r="I16" i="26"/>
  <c r="I79" i="26" s="1"/>
  <c r="AZ33" i="26"/>
  <c r="N33" i="26" s="1"/>
  <c r="H25" i="26"/>
  <c r="I25" i="26"/>
  <c r="G21" i="6"/>
  <c r="AR19" i="6"/>
  <c r="E315" i="24"/>
  <c r="AF48" i="19"/>
  <c r="AE49" i="19" s="1"/>
  <c r="G22" i="6"/>
  <c r="AR20" i="6"/>
  <c r="AD11" i="6"/>
  <c r="C355" i="24"/>
  <c r="AD12" i="6"/>
  <c r="E98" i="4"/>
  <c r="AM190" i="26"/>
  <c r="F98" i="4"/>
  <c r="E188" i="24" s="1"/>
  <c r="AM173" i="6"/>
  <c r="M103" i="4"/>
  <c r="AR36" i="26"/>
  <c r="AM18" i="26"/>
  <c r="AP36" i="26"/>
  <c r="AS36" i="26"/>
  <c r="AQ36" i="26"/>
  <c r="AC145" i="6"/>
  <c r="AC146" i="6"/>
  <c r="AD12" i="26"/>
  <c r="C497" i="24"/>
  <c r="AD11" i="26"/>
  <c r="D42" i="26"/>
  <c r="AT42" i="26"/>
  <c r="H42" i="26" s="1"/>
  <c r="AX42" i="26"/>
  <c r="L42" i="26" s="1"/>
  <c r="BA30" i="26"/>
  <c r="O30" i="26" s="1"/>
  <c r="G30" i="26"/>
  <c r="AW30" i="26"/>
  <c r="K30" i="26" s="1"/>
  <c r="I26" i="6" l="1"/>
  <c r="AM16" i="6"/>
  <c r="G18" i="6" s="1"/>
  <c r="O42" i="2"/>
  <c r="G42" i="2" s="1"/>
  <c r="H58" i="24" s="1"/>
  <c r="G41" i="2"/>
  <c r="H57" i="24" s="1"/>
  <c r="E27" i="6"/>
  <c r="AC11" i="6" s="1"/>
  <c r="E27" i="26"/>
  <c r="C496" i="24" s="1"/>
  <c r="AT36" i="26"/>
  <c r="H36" i="26" s="1"/>
  <c r="D36" i="26"/>
  <c r="AX36" i="26"/>
  <c r="L36" i="26" s="1"/>
  <c r="H21" i="6"/>
  <c r="I21" i="6"/>
  <c r="G40" i="6" s="1"/>
  <c r="I60" i="6"/>
  <c r="AT38" i="26"/>
  <c r="H38" i="26" s="1"/>
  <c r="D38" i="26"/>
  <c r="AX38" i="26"/>
  <c r="L38" i="26" s="1"/>
  <c r="AA29" i="19"/>
  <c r="AV36" i="26"/>
  <c r="J36" i="26" s="1"/>
  <c r="AZ36" i="26"/>
  <c r="N36" i="26" s="1"/>
  <c r="F36" i="26"/>
  <c r="AM16" i="26"/>
  <c r="AP34" i="26"/>
  <c r="AR34" i="26"/>
  <c r="AQ34" i="26"/>
  <c r="AS34" i="26"/>
  <c r="AR31" i="26"/>
  <c r="AP31" i="26"/>
  <c r="AM13" i="26"/>
  <c r="AS31" i="26"/>
  <c r="AQ31" i="26"/>
  <c r="AM180" i="6"/>
  <c r="E150" i="6" s="1"/>
  <c r="D23" i="26"/>
  <c r="F103" i="4"/>
  <c r="E192" i="24" s="1"/>
  <c r="M104" i="4"/>
  <c r="AM197" i="26"/>
  <c r="E167" i="26" s="1"/>
  <c r="D23" i="6"/>
  <c r="AM21" i="6" s="1"/>
  <c r="G15" i="6"/>
  <c r="AR13" i="6"/>
  <c r="D106" i="19"/>
  <c r="AR18" i="26"/>
  <c r="G20" i="26"/>
  <c r="D19" i="6"/>
  <c r="D103" i="26"/>
  <c r="D86" i="6"/>
  <c r="E42" i="15"/>
  <c r="AT171" i="6"/>
  <c r="BA171" i="6" s="1"/>
  <c r="E148" i="6"/>
  <c r="AA139" i="6" s="1"/>
  <c r="H22" i="6"/>
  <c r="I22" i="6"/>
  <c r="G41" i="6" s="1"/>
  <c r="G38" i="26"/>
  <c r="AW38" i="26"/>
  <c r="K38" i="26" s="1"/>
  <c r="BA38" i="26"/>
  <c r="O38" i="26" s="1"/>
  <c r="H60" i="6"/>
  <c r="AA48" i="19"/>
  <c r="AA45" i="19"/>
  <c r="AA42" i="19"/>
  <c r="AA49" i="19"/>
  <c r="AA47" i="19"/>
  <c r="AA44" i="19"/>
  <c r="AA43" i="19"/>
  <c r="AA41" i="19"/>
  <c r="AA40" i="19"/>
  <c r="AA46" i="19"/>
  <c r="AA53" i="19"/>
  <c r="AB96" i="19" s="1"/>
  <c r="D107" i="19" s="1"/>
  <c r="AH107" i="19" s="1"/>
  <c r="I107" i="19" s="1"/>
  <c r="I42" i="15"/>
  <c r="C100" i="24" s="1"/>
  <c r="E86" i="6"/>
  <c r="E103" i="26"/>
  <c r="AY38" i="26"/>
  <c r="M38" i="26" s="1"/>
  <c r="AU38" i="26"/>
  <c r="I38" i="26" s="1"/>
  <c r="E38" i="26"/>
  <c r="AU36" i="26"/>
  <c r="I36" i="26" s="1"/>
  <c r="E36" i="26"/>
  <c r="AY36" i="26"/>
  <c r="M36" i="26" s="1"/>
  <c r="AT188" i="26"/>
  <c r="BA188" i="26" s="1"/>
  <c r="E165" i="26"/>
  <c r="AA156" i="26" s="1"/>
  <c r="H26" i="26"/>
  <c r="I26" i="26"/>
  <c r="F38" i="26"/>
  <c r="AV38" i="26"/>
  <c r="J38" i="26" s="1"/>
  <c r="AZ38" i="26"/>
  <c r="N38" i="26" s="1"/>
  <c r="I14" i="26"/>
  <c r="H14" i="26"/>
  <c r="G77" i="26"/>
  <c r="BA36" i="26"/>
  <c r="O36" i="26" s="1"/>
  <c r="G36" i="26"/>
  <c r="AW36" i="26"/>
  <c r="K36" i="26" s="1"/>
  <c r="AL190" i="26"/>
  <c r="D188" i="24"/>
  <c r="AL173" i="6"/>
  <c r="E103" i="4"/>
  <c r="I20" i="6"/>
  <c r="G39" i="6" s="1"/>
  <c r="H20" i="6"/>
  <c r="G22" i="26"/>
  <c r="AR20" i="26"/>
  <c r="AR16" i="6" l="1"/>
  <c r="AC12" i="6"/>
  <c r="C354" i="24"/>
  <c r="AC12" i="26"/>
  <c r="AC11" i="26"/>
  <c r="V33" i="6"/>
  <c r="C44" i="6" s="1"/>
  <c r="W33" i="6" s="1"/>
  <c r="I22" i="26"/>
  <c r="G58" i="26" s="1"/>
  <c r="H22" i="26"/>
  <c r="AB156" i="26"/>
  <c r="AA157" i="26"/>
  <c r="D109" i="19"/>
  <c r="AH106" i="19"/>
  <c r="AL21" i="26"/>
  <c r="D27" i="26"/>
  <c r="F31" i="26"/>
  <c r="AZ31" i="26"/>
  <c r="N31" i="26" s="1"/>
  <c r="AV31" i="26"/>
  <c r="J31" i="26" s="1"/>
  <c r="C94" i="24"/>
  <c r="D56" i="24"/>
  <c r="H56" i="24" s="1"/>
  <c r="AU34" i="26"/>
  <c r="I34" i="26" s="1"/>
  <c r="AY34" i="26"/>
  <c r="M34" i="26" s="1"/>
  <c r="E34" i="26"/>
  <c r="AL180" i="6"/>
  <c r="D150" i="6" s="1"/>
  <c r="AA142" i="6" s="1"/>
  <c r="E104" i="4"/>
  <c r="AL197" i="26"/>
  <c r="D167" i="26" s="1"/>
  <c r="AA159" i="26" s="1"/>
  <c r="D192" i="24"/>
  <c r="G64" i="6"/>
  <c r="H18" i="6"/>
  <c r="H64" i="6" s="1"/>
  <c r="I18" i="6"/>
  <c r="I64" i="6" s="1"/>
  <c r="I20" i="26"/>
  <c r="G56" i="26" s="1"/>
  <c r="H20" i="26"/>
  <c r="H15" i="6"/>
  <c r="G61" i="6"/>
  <c r="I15" i="6"/>
  <c r="AZ34" i="26"/>
  <c r="N34" i="26" s="1"/>
  <c r="AV34" i="26"/>
  <c r="J34" i="26" s="1"/>
  <c r="F34" i="26"/>
  <c r="AR171" i="6"/>
  <c r="BA169" i="6" s="1"/>
  <c r="D148" i="6"/>
  <c r="AM17" i="6"/>
  <c r="D27" i="6"/>
  <c r="AR22" i="6"/>
  <c r="G23" i="6"/>
  <c r="E31" i="26"/>
  <c r="AU31" i="26"/>
  <c r="I31" i="26" s="1"/>
  <c r="AY31" i="26"/>
  <c r="M31" i="26" s="1"/>
  <c r="AT34" i="26"/>
  <c r="H34" i="26" s="1"/>
  <c r="D34" i="26"/>
  <c r="AX34" i="26"/>
  <c r="L34" i="26" s="1"/>
  <c r="AA50" i="19"/>
  <c r="G31" i="26"/>
  <c r="BA31" i="26"/>
  <c r="O31" i="26" s="1"/>
  <c r="AW31" i="26"/>
  <c r="K31" i="26" s="1"/>
  <c r="G18" i="26"/>
  <c r="AR16" i="26"/>
  <c r="AR188" i="26"/>
  <c r="BA186" i="26" s="1"/>
  <c r="D165" i="26"/>
  <c r="H77" i="26"/>
  <c r="AM198" i="26"/>
  <c r="F104" i="4"/>
  <c r="E193" i="24" s="1"/>
  <c r="AM181" i="6"/>
  <c r="AR13" i="26"/>
  <c r="G15" i="26"/>
  <c r="AW34" i="26"/>
  <c r="K34" i="26" s="1"/>
  <c r="BA34" i="26"/>
  <c r="O34" i="26" s="1"/>
  <c r="G34" i="26"/>
  <c r="I77" i="26"/>
  <c r="AA140" i="6"/>
  <c r="AB139" i="6"/>
  <c r="AB99" i="19"/>
  <c r="AT31" i="26"/>
  <c r="H31" i="26" s="1"/>
  <c r="D31" i="26"/>
  <c r="AX31" i="26"/>
  <c r="L31" i="26" s="1"/>
  <c r="Z33" i="6" l="1"/>
  <c r="C35" i="6" s="1"/>
  <c r="V50" i="26"/>
  <c r="Z50" i="26" s="1"/>
  <c r="C153" i="26"/>
  <c r="C136" i="6"/>
  <c r="G78" i="26"/>
  <c r="I15" i="26"/>
  <c r="H15" i="26"/>
  <c r="AR17" i="6"/>
  <c r="G19" i="6"/>
  <c r="AM25" i="6"/>
  <c r="C495" i="24"/>
  <c r="AB11" i="26"/>
  <c r="AB12" i="26" s="1"/>
  <c r="AB13" i="26" s="1"/>
  <c r="AS39" i="26"/>
  <c r="AM21" i="26"/>
  <c r="AP39" i="26"/>
  <c r="AQ39" i="26"/>
  <c r="AR39" i="26"/>
  <c r="AL25" i="26"/>
  <c r="I106" i="19"/>
  <c r="AH109" i="19"/>
  <c r="H61" i="6"/>
  <c r="D193" i="24"/>
  <c r="AL181" i="6"/>
  <c r="AL198" i="26"/>
  <c r="I18" i="26"/>
  <c r="I81" i="26" s="1"/>
  <c r="G81" i="26"/>
  <c r="H18" i="26"/>
  <c r="H81" i="26" s="1"/>
  <c r="AB159" i="26"/>
  <c r="AA160" i="26"/>
  <c r="AB142" i="6"/>
  <c r="AA143" i="6"/>
  <c r="I61" i="6"/>
  <c r="I23" i="6"/>
  <c r="H23" i="6"/>
  <c r="C353" i="24"/>
  <c r="AB11" i="6"/>
  <c r="AB12" i="6" s="1"/>
  <c r="AB13" i="6" s="1"/>
  <c r="C61" i="26" l="1"/>
  <c r="W50" i="26" s="1"/>
  <c r="C52" i="26" s="1"/>
  <c r="C154" i="26"/>
  <c r="AY39" i="26"/>
  <c r="M39" i="26" s="1"/>
  <c r="M43" i="26" s="1"/>
  <c r="E39" i="26"/>
  <c r="E43" i="26" s="1"/>
  <c r="AU39" i="26"/>
  <c r="I39" i="26" s="1"/>
  <c r="I43" i="26" s="1"/>
  <c r="AT39" i="26"/>
  <c r="H39" i="26" s="1"/>
  <c r="H43" i="26" s="1"/>
  <c r="D39" i="26"/>
  <c r="D43" i="26" s="1"/>
  <c r="AX39" i="26"/>
  <c r="L39" i="26" s="1"/>
  <c r="L43" i="26" s="1"/>
  <c r="H78" i="26"/>
  <c r="H19" i="6"/>
  <c r="H27" i="6" s="1"/>
  <c r="I19" i="6"/>
  <c r="G23" i="26"/>
  <c r="AR22" i="26"/>
  <c r="AM25" i="26"/>
  <c r="I78" i="26"/>
  <c r="AB17" i="6"/>
  <c r="AC13" i="6"/>
  <c r="AV39" i="26"/>
  <c r="J39" i="26" s="1"/>
  <c r="J43" i="26" s="1"/>
  <c r="AZ39" i="26"/>
  <c r="N39" i="26" s="1"/>
  <c r="N43" i="26" s="1"/>
  <c r="F39" i="26"/>
  <c r="F43" i="26" s="1"/>
  <c r="J109" i="19"/>
  <c r="I109" i="19"/>
  <c r="G39" i="26"/>
  <c r="G43" i="26" s="1"/>
  <c r="AW39" i="26"/>
  <c r="K39" i="26" s="1"/>
  <c r="K43" i="26" s="1"/>
  <c r="BA39" i="26"/>
  <c r="O39" i="26" s="1"/>
  <c r="O43" i="26" s="1"/>
  <c r="C137" i="6"/>
  <c r="AE11" i="6"/>
  <c r="AR26" i="6"/>
  <c r="G27" i="6"/>
  <c r="C356" i="24" s="1"/>
  <c r="J61" i="6"/>
  <c r="J60" i="6"/>
  <c r="J62" i="6"/>
  <c r="J63" i="6"/>
  <c r="AC13" i="26"/>
  <c r="AB17" i="26"/>
  <c r="J64" i="6"/>
  <c r="AV12" i="26" l="1"/>
  <c r="AB19" i="26"/>
  <c r="J78" i="26"/>
  <c r="J77" i="26"/>
  <c r="J80" i="26"/>
  <c r="J79" i="26"/>
  <c r="AA53" i="6"/>
  <c r="AV9" i="6"/>
  <c r="C10" i="6"/>
  <c r="I23" i="26"/>
  <c r="H23" i="26"/>
  <c r="H27" i="26" s="1"/>
  <c r="G27" i="26"/>
  <c r="C498" i="24" s="1"/>
  <c r="AE11" i="26"/>
  <c r="AR26" i="26"/>
  <c r="C10" i="26"/>
  <c r="AV9" i="26"/>
  <c r="I27" i="6"/>
  <c r="AB16" i="6" s="1"/>
  <c r="AC16" i="6" s="1"/>
  <c r="AV11" i="6" s="1"/>
  <c r="X11" i="6"/>
  <c r="J81" i="26"/>
  <c r="AV12" i="6"/>
  <c r="AB19" i="6"/>
  <c r="AF11" i="6"/>
  <c r="C357" i="24"/>
  <c r="AV10" i="6" l="1"/>
  <c r="AB18" i="6"/>
  <c r="C11" i="6" s="1"/>
  <c r="AA70" i="26"/>
  <c r="Z72" i="26" s="1"/>
  <c r="C499" i="24"/>
  <c r="AF11" i="26"/>
  <c r="I27" i="26"/>
  <c r="AB16" i="26" s="1"/>
  <c r="AC16" i="26" s="1"/>
  <c r="X11" i="26"/>
  <c r="Z55" i="6"/>
  <c r="AB53" i="6"/>
  <c r="Y11" i="6"/>
  <c r="W11" i="6"/>
  <c r="C358" i="24"/>
  <c r="AG11" i="6"/>
  <c r="AB18" i="26" l="1"/>
  <c r="C11" i="26" s="1"/>
  <c r="AV11" i="26"/>
  <c r="AV10" i="26" s="1"/>
  <c r="AB70" i="26"/>
  <c r="C71" i="26" s="1"/>
  <c r="Y11" i="26"/>
  <c r="W11" i="26"/>
  <c r="AG11" i="26"/>
  <c r="C500" i="24"/>
  <c r="C54" i="6"/>
  <c r="C56" i="6"/>
  <c r="C55" i="6"/>
  <c r="C8" i="6"/>
  <c r="AV7" i="6"/>
  <c r="C9" i="6"/>
  <c r="AV8" i="6"/>
  <c r="C73" i="26"/>
  <c r="C72" i="26"/>
  <c r="AV7" i="26" l="1"/>
  <c r="C8" i="26"/>
  <c r="AV8" i="26"/>
  <c r="C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I8" authorId="0" shapeId="0" xr:uid="{00000000-0006-0000-0100-000001000000}">
      <text>
        <r>
          <rPr>
            <sz val="8"/>
            <color indexed="81"/>
            <rFont val="Tahoma"/>
            <family val="2"/>
          </rPr>
          <t xml:space="preserve">Economic allocation is common when emissions have to be allocated between several products. This essentially means that those products with greater economic value are allocated a proportionally larger share of emissions.
This section allows for economic allocation. 
It will affect none of the algorithms or calculations estimating production emissions from the production area, and can therefore be ignored unless economic allocation is required. 
If this section is completed you should refer to the CoProductResults page instead of the standard ResultsGraphs one for allocation between main and co-products.
Because financial data is often sensitive we request economic values relative to the main product instead of absolute values. See the respective pop-up helps for guidance.
Values can either be entered as a price paid for the whole of the produce (1) - in which case co-product emissions will be reported for the total farm area and per unit area, or else on a per unit basis (2 &amp; 3) where emissions will additionally be reported per unit of product. To avoid confusing accounting it is best to use the same method of entry for all co-products.
</t>
        </r>
      </text>
    </comment>
    <comment ref="Y17" authorId="0" shapeId="0" xr:uid="{00000000-0006-0000-0100-000002000000}">
      <text>
        <r>
          <rPr>
            <b/>
            <sz val="8"/>
            <color indexed="81"/>
            <rFont val="Tahoma"/>
            <family val="2"/>
          </rPr>
          <t>Jon:</t>
        </r>
        <r>
          <rPr>
            <sz val="8"/>
            <color indexed="81"/>
            <rFont val="Tahoma"/>
            <family val="2"/>
          </rPr>
          <t xml:space="preserve">
used in livestock tab
</t>
        </r>
      </text>
    </comment>
    <comment ref="V26" authorId="1" shapeId="0" xr:uid="{00000000-0006-0000-0100-000003000000}">
      <text>
        <r>
          <rPr>
            <b/>
            <sz val="8"/>
            <color indexed="81"/>
            <rFont val="Tahoma"/>
            <family val="2"/>
          </rPr>
          <t>Hillier:</t>
        </r>
        <r>
          <rPr>
            <sz val="8"/>
            <color indexed="81"/>
            <rFont val="Tahoma"/>
            <family val="2"/>
          </rPr>
          <t xml:space="preserve">
classification according to
http://en.wikipedia.org/wiki/Developed_country</t>
        </r>
      </text>
    </comment>
    <comment ref="AU142" authorId="1" shapeId="0" xr:uid="{00000000-0006-0000-0100-000004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Hillier</author>
    <author>Christof.Walter</author>
  </authors>
  <commentList>
    <comment ref="H5" authorId="0" shapeId="0" xr:uid="{00000000-0006-0000-0200-000001000000}">
      <text>
        <r>
          <rPr>
            <sz val="8"/>
            <color indexed="81"/>
            <rFont val="Tahoma"/>
            <family val="2"/>
          </rPr>
          <t>These cells only appear for input if you select rice as the crop. Ignore otherwise</t>
        </r>
      </text>
    </comment>
    <comment ref="T9" authorId="0" shapeId="0" xr:uid="{00000000-0006-0000-0200-000002000000}">
      <text>
        <r>
          <rPr>
            <b/>
            <sz val="8"/>
            <color indexed="81"/>
            <rFont val="Tahoma"/>
            <family val="2"/>
          </rPr>
          <t>Jon:</t>
        </r>
        <r>
          <rPr>
            <sz val="8"/>
            <color indexed="81"/>
            <rFont val="Tahoma"/>
            <family val="2"/>
          </rPr>
          <t xml:space="preserve">
The soil model combines climate and moisture variables into a single factor.  This is also used in some of the Bouwman lookups (with soil moisture ignored).</t>
        </r>
      </text>
    </comment>
    <comment ref="Z14" authorId="0" shapeId="0" xr:uid="{00000000-0006-0000-0200-000003000000}">
      <text>
        <r>
          <rPr>
            <b/>
            <sz val="8"/>
            <color indexed="81"/>
            <rFont val="Tahoma"/>
            <family val="2"/>
          </rPr>
          <t>Jon:</t>
        </r>
        <r>
          <rPr>
            <sz val="8"/>
            <color indexed="81"/>
            <rFont val="Tahoma"/>
            <family val="2"/>
          </rPr>
          <t xml:space="preserve">
CEC
</t>
        </r>
      </text>
    </comment>
    <comment ref="Z15" authorId="0" shapeId="0" xr:uid="{00000000-0006-0000-0200-000004000000}">
      <text>
        <r>
          <rPr>
            <b/>
            <sz val="8"/>
            <color indexed="81"/>
            <rFont val="Tahoma"/>
            <family val="2"/>
          </rPr>
          <t>Jon:</t>
        </r>
        <r>
          <rPr>
            <sz val="8"/>
            <color indexed="81"/>
            <rFont val="Tahoma"/>
            <family val="2"/>
          </rPr>
          <t xml:space="preserve">
drainage</t>
        </r>
      </text>
    </comment>
    <comment ref="Z16" authorId="0" shapeId="0" xr:uid="{00000000-0006-0000-0200-000005000000}">
      <text>
        <r>
          <rPr>
            <b/>
            <sz val="8"/>
            <color indexed="81"/>
            <rFont val="Tahoma"/>
            <family val="2"/>
          </rPr>
          <t>Jon:</t>
        </r>
        <r>
          <rPr>
            <sz val="8"/>
            <color indexed="81"/>
            <rFont val="Tahoma"/>
            <family val="2"/>
          </rPr>
          <t xml:space="preserve">
pH</t>
        </r>
      </text>
    </comment>
    <comment ref="K18" authorId="0" shapeId="0" xr:uid="{00000000-0006-0000-0200-000006000000}">
      <text>
        <r>
          <rPr>
            <sz val="8"/>
            <color indexed="81"/>
            <rFont val="Tahoma"/>
            <family val="2"/>
          </rPr>
          <t>"Current tech" is representative of current synthetic fertiliser production emissions for Europe.
"New tech" is represents fertiliser with the current best available production technology
"Old tech" contains figure going back to the nineties and should be representative of older plants.
"Old tech*" is similar but has some lower production figures because of quite generous allocation of carbon credits for steam production.</t>
        </r>
      </text>
    </comment>
    <comment ref="P18" authorId="0" shapeId="0" xr:uid="{00000000-0006-0000-0200-000007000000}">
      <text>
        <r>
          <rPr>
            <b/>
            <sz val="8"/>
            <color indexed="81"/>
            <rFont val="Tahoma"/>
            <family val="2"/>
          </rPr>
          <t>Jon:</t>
        </r>
        <r>
          <rPr>
            <sz val="8"/>
            <color indexed="81"/>
            <rFont val="Tahoma"/>
            <family val="2"/>
          </rPr>
          <t xml:space="preserve">
Have inhibitors been used and what if there impact factor</t>
        </r>
      </text>
    </comment>
    <comment ref="Q18" authorId="0" shapeId="0" xr:uid="{00000000-0006-0000-0200-000008000000}">
      <text>
        <r>
          <rPr>
            <b/>
            <sz val="8"/>
            <color indexed="81"/>
            <rFont val="Tahoma"/>
            <family val="2"/>
          </rPr>
          <t>Jon:</t>
        </r>
        <r>
          <rPr>
            <sz val="8"/>
            <color indexed="81"/>
            <rFont val="Tahoma"/>
            <family val="2"/>
          </rPr>
          <t xml:space="preserve">
Have inhibitors been used and what if there impact factor</t>
        </r>
      </text>
    </comment>
    <comment ref="S18" authorId="0" shapeId="0" xr:uid="{00000000-0006-0000-0200-000009000000}">
      <text>
        <r>
          <rPr>
            <b/>
            <sz val="8"/>
            <color indexed="81"/>
            <rFont val="Tahoma"/>
            <family val="2"/>
          </rPr>
          <t>Jon:</t>
        </r>
        <r>
          <rPr>
            <sz val="8"/>
            <color indexed="81"/>
            <rFont val="Tahoma"/>
            <family val="2"/>
          </rPr>
          <t xml:space="preserve">
which type of fertiliser is being used</t>
        </r>
      </text>
    </comment>
    <comment ref="T18" authorId="0" shapeId="0" xr:uid="{00000000-0006-0000-0200-00000A000000}">
      <text>
        <r>
          <rPr>
            <b/>
            <sz val="8"/>
            <color indexed="81"/>
            <rFont val="Tahoma"/>
            <family val="2"/>
          </rPr>
          <t>Jon:</t>
        </r>
        <r>
          <rPr>
            <sz val="8"/>
            <color indexed="81"/>
            <rFont val="Tahoma"/>
            <family val="2"/>
          </rPr>
          <t xml:space="preserve">
how was it applied</t>
        </r>
      </text>
    </comment>
    <comment ref="U18" authorId="0" shapeId="0" xr:uid="{00000000-0006-0000-0200-00000B000000}">
      <text>
        <r>
          <rPr>
            <b/>
            <sz val="8"/>
            <color indexed="81"/>
            <rFont val="Tahoma"/>
            <family val="2"/>
          </rPr>
          <t>Jon:</t>
        </r>
        <r>
          <rPr>
            <sz val="8"/>
            <color indexed="81"/>
            <rFont val="Tahoma"/>
            <family val="2"/>
          </rPr>
          <t xml:space="preserve">
data entered as nutrient product, etc</t>
        </r>
      </text>
    </comment>
    <comment ref="V18" authorId="0" shapeId="0" xr:uid="{00000000-0006-0000-0200-00000C000000}">
      <text>
        <r>
          <rPr>
            <b/>
            <sz val="8"/>
            <color indexed="81"/>
            <rFont val="Tahoma"/>
            <family val="2"/>
          </rPr>
          <t>Jon:</t>
        </r>
        <r>
          <rPr>
            <sz val="8"/>
            <color indexed="81"/>
            <rFont val="Tahoma"/>
            <family val="2"/>
          </rPr>
          <t xml:space="preserve">
Actual amount of fertiliser applied</t>
        </r>
      </text>
    </comment>
    <comment ref="D19" authorId="1" shapeId="0" xr:uid="{00000000-0006-0000-0200-00000D000000}">
      <text>
        <r>
          <rPr>
            <sz val="9"/>
            <color indexed="81"/>
            <rFont val="Tahoma"/>
            <family val="2"/>
          </rPr>
          <t>Be sure to account for any compost or manure use in the Sequestration tab, see "management changes".</t>
        </r>
      </text>
    </comment>
    <comment ref="V19" authorId="2" shapeId="0" xr:uid="{00000000-0006-0000-0200-00000E000000}">
      <text>
        <r>
          <rPr>
            <b/>
            <sz val="9"/>
            <color indexed="81"/>
            <rFont val="Tahoma"/>
            <family val="2"/>
          </rPr>
          <t>Hillier:</t>
        </r>
        <r>
          <rPr>
            <sz val="9"/>
            <color indexed="81"/>
            <rFont val="Tahoma"/>
            <family val="2"/>
          </rPr>
          <t xml:space="preserve">
if index is not 0 then:
if amount not entered as product then</t>
        </r>
      </text>
    </comment>
    <comment ref="AJ19" authorId="0" shapeId="0" xr:uid="{00000000-0006-0000-0200-00000F000000}">
      <text>
        <r>
          <rPr>
            <b/>
            <sz val="8"/>
            <color indexed="81"/>
            <rFont val="Tahoma"/>
            <family val="2"/>
          </rPr>
          <t>Jon:</t>
        </r>
        <r>
          <rPr>
            <sz val="8"/>
            <color indexed="81"/>
            <rFont val="Tahoma"/>
            <family val="2"/>
          </rPr>
          <t xml:space="preserve">
Urea in UAN derived from hydrolysis figures from EFMA, which are 0.73 kg CO2/kg product for urea and 0.25 kg CO2/kg product for UAN</t>
        </r>
      </text>
    </comment>
    <comment ref="D20" authorId="1" shapeId="0" xr:uid="{00000000-0006-0000-0200-000010000000}">
      <text>
        <r>
          <rPr>
            <sz val="9"/>
            <color indexed="81"/>
            <rFont val="Tahoma"/>
            <family val="2"/>
          </rPr>
          <t>Be sure to account for any compost or manure use in the Sequestration tab, see "management changes".</t>
        </r>
      </text>
    </comment>
    <comment ref="D21" authorId="1" shapeId="0" xr:uid="{00000000-0006-0000-0200-000011000000}">
      <text>
        <r>
          <rPr>
            <sz val="9"/>
            <color indexed="81"/>
            <rFont val="Tahoma"/>
            <family val="2"/>
          </rPr>
          <t>Be sure to account for any compost or manure use in the Sequestration tab, see "management changes".</t>
        </r>
      </text>
    </comment>
    <comment ref="D22" authorId="1" shapeId="0" xr:uid="{00000000-0006-0000-0200-000012000000}">
      <text>
        <r>
          <rPr>
            <sz val="9"/>
            <color indexed="81"/>
            <rFont val="Tahoma"/>
            <family val="2"/>
          </rPr>
          <t>Be sure to account for any compost or manure use in the Sequestration tab, see "management changes".</t>
        </r>
      </text>
    </comment>
    <comment ref="D23" authorId="1" shapeId="0" xr:uid="{00000000-0006-0000-0200-000013000000}">
      <text>
        <r>
          <rPr>
            <sz val="9"/>
            <color indexed="81"/>
            <rFont val="Tahoma"/>
            <family val="2"/>
          </rPr>
          <t>Be sure to account for any compost or manure use in the Sequestration tab, see "management changes".</t>
        </r>
      </text>
    </comment>
    <comment ref="D24" authorId="1" shapeId="0" xr:uid="{00000000-0006-0000-0200-000014000000}">
      <text>
        <r>
          <rPr>
            <sz val="9"/>
            <color indexed="81"/>
            <rFont val="Tahoma"/>
            <family val="2"/>
          </rPr>
          <t>Be sure to account for any compost or manure use in the Sequestration tab, see "management changes".</t>
        </r>
      </text>
    </comment>
    <comment ref="AG25" authorId="0" shapeId="0" xr:uid="{00000000-0006-0000-0200-000015000000}">
      <text>
        <r>
          <rPr>
            <b/>
            <sz val="8"/>
            <color indexed="81"/>
            <rFont val="Tahoma"/>
            <family val="2"/>
          </rPr>
          <t>Jon:</t>
        </r>
        <r>
          <rPr>
            <sz val="8"/>
            <color indexed="81"/>
            <rFont val="Tahoma"/>
            <family val="2"/>
          </rPr>
          <t xml:space="preserve">
for whole area
</t>
        </r>
      </text>
    </comment>
    <comment ref="AH25" authorId="0" shapeId="0" xr:uid="{00000000-0006-0000-0200-000016000000}">
      <text>
        <r>
          <rPr>
            <b/>
            <sz val="8"/>
            <color indexed="81"/>
            <rFont val="Tahoma"/>
            <family val="2"/>
          </rPr>
          <t>Jon:</t>
        </r>
        <r>
          <rPr>
            <sz val="8"/>
            <color indexed="81"/>
            <rFont val="Tahoma"/>
            <family val="2"/>
          </rPr>
          <t xml:space="preserve">
for whole area
</t>
        </r>
      </text>
    </comment>
    <comment ref="AI25" authorId="0" shapeId="0" xr:uid="{00000000-0006-0000-0200-000017000000}">
      <text>
        <r>
          <rPr>
            <b/>
            <sz val="8"/>
            <color indexed="81"/>
            <rFont val="Tahoma"/>
            <family val="2"/>
          </rPr>
          <t>Jon:</t>
        </r>
        <r>
          <rPr>
            <sz val="8"/>
            <color indexed="81"/>
            <rFont val="Tahoma"/>
            <family val="2"/>
          </rPr>
          <t xml:space="preserve">
for whole area
</t>
        </r>
      </text>
    </comment>
    <comment ref="AJ25" authorId="0" shapeId="0" xr:uid="{00000000-0006-0000-0200-000018000000}">
      <text>
        <r>
          <rPr>
            <b/>
            <sz val="8"/>
            <color indexed="81"/>
            <rFont val="Tahoma"/>
            <family val="2"/>
          </rPr>
          <t>Jon:</t>
        </r>
        <r>
          <rPr>
            <sz val="8"/>
            <color indexed="81"/>
            <rFont val="Tahoma"/>
            <family val="2"/>
          </rPr>
          <t xml:space="preserve">
for whole area
</t>
        </r>
      </text>
    </comment>
    <comment ref="AK25" authorId="0" shapeId="0" xr:uid="{00000000-0006-0000-0200-000019000000}">
      <text>
        <r>
          <rPr>
            <b/>
            <sz val="8"/>
            <color indexed="81"/>
            <rFont val="Tahoma"/>
            <family val="2"/>
          </rPr>
          <t>Jon:</t>
        </r>
        <r>
          <rPr>
            <sz val="8"/>
            <color indexed="81"/>
            <rFont val="Tahoma"/>
            <family val="2"/>
          </rPr>
          <t xml:space="preserve">
for whole area
</t>
        </r>
      </text>
    </comment>
    <comment ref="AL25" authorId="0" shapeId="0" xr:uid="{00000000-0006-0000-0200-00001A000000}">
      <text>
        <r>
          <rPr>
            <b/>
            <sz val="8"/>
            <color indexed="81"/>
            <rFont val="Tahoma"/>
            <family val="2"/>
          </rPr>
          <t>Jon:</t>
        </r>
        <r>
          <rPr>
            <sz val="8"/>
            <color indexed="81"/>
            <rFont val="Tahoma"/>
            <family val="2"/>
          </rPr>
          <t xml:space="preserve">
for whole area
</t>
        </r>
      </text>
    </comment>
    <comment ref="AM25" authorId="0" shapeId="0" xr:uid="{00000000-0006-0000-0200-00001B000000}">
      <text>
        <r>
          <rPr>
            <b/>
            <sz val="8"/>
            <color indexed="81"/>
            <rFont val="Tahoma"/>
            <family val="2"/>
          </rPr>
          <t>Jon:</t>
        </r>
        <r>
          <rPr>
            <sz val="8"/>
            <color indexed="81"/>
            <rFont val="Tahoma"/>
            <family val="2"/>
          </rPr>
          <t xml:space="preserve">
Not for whole area
</t>
        </r>
      </text>
    </comment>
    <comment ref="AN25" authorId="0" shapeId="0" xr:uid="{00000000-0006-0000-0200-00001C000000}">
      <text>
        <r>
          <rPr>
            <b/>
            <sz val="8"/>
            <color indexed="81"/>
            <rFont val="Tahoma"/>
            <family val="2"/>
          </rPr>
          <t>Jon:</t>
        </r>
        <r>
          <rPr>
            <sz val="8"/>
            <color indexed="81"/>
            <rFont val="Tahoma"/>
            <family val="2"/>
          </rPr>
          <t xml:space="preserve">
Not for whole area
</t>
        </r>
      </text>
    </comment>
    <comment ref="D27" authorId="3" shapeId="0" xr:uid="{00000000-0006-0000-0200-00001D000000}">
      <text>
        <r>
          <rPr>
            <sz val="8"/>
            <color indexed="81"/>
            <rFont val="Tahoma"/>
            <family val="2"/>
          </rPr>
          <t xml:space="preserve">Each dose of each pesticide counts as one application.
Split applications: e.g. Count two applications at half the rate as one, etc.
Tank mixes: Count each pesticide in the mix as a separate application.
This accounts for the energy required to produce pesticides. The values in the literature typically only account for the active ingredient, not the entire formulation.
If you have better data, you can </t>
        </r>
        <r>
          <rPr>
            <b/>
            <sz val="8"/>
            <color indexed="81"/>
            <rFont val="Tahoma"/>
            <family val="2"/>
          </rPr>
          <t xml:space="preserve">change the default in the "Default Factors" tab </t>
        </r>
        <r>
          <rPr>
            <sz val="8"/>
            <color indexed="81"/>
            <rFont val="Tahoma"/>
            <family val="2"/>
          </rPr>
          <t>(the default factor used here reflects the average of a range of pesticides).</t>
        </r>
      </text>
    </comment>
    <comment ref="D30" authorId="2" shapeId="0" xr:uid="{00000000-0006-0000-0200-00001E000000}">
      <text>
        <r>
          <rPr>
            <sz val="9"/>
            <color indexed="81"/>
            <rFont val="Tahoma"/>
            <family val="2"/>
          </rPr>
          <t xml:space="preserve">This is the plant </t>
        </r>
        <r>
          <rPr>
            <b/>
            <sz val="9"/>
            <color indexed="81"/>
            <rFont val="Tahoma"/>
            <family val="2"/>
          </rPr>
          <t>dry</t>
        </r>
        <r>
          <rPr>
            <sz val="9"/>
            <color indexed="81"/>
            <rFont val="Tahoma"/>
            <family val="2"/>
          </rPr>
          <t xml:space="preserve"> matter which is not used as a product - e.g. straw, stalks, leaf litter, etc. If unknown, a default is estimated based on crop type and yield.
Dry matter content of crop residues varies by species; for example - it can be around 90% for cereals and beans, but between 10 and 20% for many fruits/vegetables.
For tree crops we currently have no estimate - please provide your own data in this case.</t>
        </r>
      </text>
    </comment>
    <comment ref="I30" authorId="0" shapeId="0" xr:uid="{00000000-0006-0000-0200-00001F000000}">
      <text>
        <r>
          <rPr>
            <sz val="8"/>
            <color indexed="81"/>
            <rFont val="Tahoma"/>
            <family val="2"/>
          </rPr>
          <t>This cell only appears for input if you select rice as the crop. Ignore otherwise</t>
        </r>
      </text>
    </comment>
    <comment ref="R35" authorId="0" shapeId="0" xr:uid="{00000000-0006-0000-0200-000020000000}">
      <text>
        <r>
          <rPr>
            <b/>
            <sz val="8"/>
            <color indexed="81"/>
            <rFont val="Tahoma"/>
            <family val="2"/>
          </rPr>
          <t>Jon:</t>
        </r>
        <r>
          <rPr>
            <sz val="8"/>
            <color indexed="81"/>
            <rFont val="Tahoma"/>
            <family val="2"/>
          </rPr>
          <t xml:space="preserve">
Which crop to look up from the table</t>
        </r>
      </text>
    </comment>
    <comment ref="S40" authorId="0" shapeId="0" xr:uid="{00000000-0006-0000-0200-000021000000}">
      <text>
        <r>
          <rPr>
            <b/>
            <sz val="8"/>
            <color indexed="81"/>
            <rFont val="Tahoma"/>
            <family val="2"/>
          </rPr>
          <t>Jon:</t>
        </r>
        <r>
          <rPr>
            <sz val="8"/>
            <color indexed="81"/>
            <rFont val="Tahoma"/>
            <family val="2"/>
          </rPr>
          <t xml:space="preserve">
check fresh or DM
</t>
        </r>
      </text>
    </comment>
    <comment ref="R41" authorId="0" shapeId="0" xr:uid="{00000000-0006-0000-0200-000022000000}">
      <text>
        <r>
          <rPr>
            <b/>
            <sz val="8"/>
            <color indexed="81"/>
            <rFont val="Tahoma"/>
            <family val="2"/>
          </rPr>
          <t>Jon:</t>
        </r>
        <r>
          <rPr>
            <sz val="8"/>
            <color indexed="81"/>
            <rFont val="Tahoma"/>
            <family val="2"/>
          </rPr>
          <t xml:space="preserve">
</t>
        </r>
      </text>
    </comment>
    <comment ref="R49" authorId="0" shapeId="0" xr:uid="{00000000-0006-0000-0200-000023000000}">
      <text>
        <r>
          <rPr>
            <b/>
            <sz val="8"/>
            <color indexed="81"/>
            <rFont val="Tahoma"/>
            <family val="2"/>
          </rPr>
          <t>Jon:</t>
        </r>
        <r>
          <rPr>
            <sz val="8"/>
            <color indexed="81"/>
            <rFont val="Tahoma"/>
            <family val="2"/>
          </rPr>
          <t xml:space="preserve">
mark for deletion in future revision</t>
        </r>
      </text>
    </comment>
    <comment ref="R50" authorId="0" shapeId="0" xr:uid="{00000000-0006-0000-0200-000024000000}">
      <text>
        <r>
          <rPr>
            <b/>
            <sz val="8"/>
            <color indexed="81"/>
            <rFont val="Tahoma"/>
            <family val="2"/>
          </rPr>
          <t>Jon:</t>
        </r>
        <r>
          <rPr>
            <sz val="8"/>
            <color indexed="81"/>
            <rFont val="Tahoma"/>
            <family val="2"/>
          </rPr>
          <t xml:space="preserve">
This is the only one variable in this table
</t>
        </r>
      </text>
    </comment>
    <comment ref="R51" authorId="0" shapeId="0" xr:uid="{00000000-0006-0000-0200-000025000000}">
      <text>
        <r>
          <rPr>
            <b/>
            <sz val="8"/>
            <color indexed="81"/>
            <rFont val="Tahoma"/>
            <family val="2"/>
          </rPr>
          <t>Jon:</t>
        </r>
        <r>
          <rPr>
            <sz val="8"/>
            <color indexed="81"/>
            <rFont val="Tahoma"/>
            <family val="2"/>
          </rPr>
          <t xml:space="preserve">
mark for deletion in future revision</t>
        </r>
      </text>
    </comment>
    <comment ref="S51" authorId="2" shapeId="0" xr:uid="{00000000-0006-0000-0200-000026000000}">
      <text>
        <r>
          <rPr>
            <b/>
            <sz val="9"/>
            <color indexed="81"/>
            <rFont val="Tahoma"/>
            <family val="2"/>
          </rPr>
          <t>Hillier:</t>
        </r>
        <r>
          <rPr>
            <sz val="9"/>
            <color indexed="81"/>
            <rFont val="Tahoma"/>
            <family val="2"/>
          </rPr>
          <t xml:space="preserve">
This is the IPCC default</t>
        </r>
      </text>
    </comment>
    <comment ref="R52" authorId="0" shapeId="0" xr:uid="{00000000-0006-0000-0200-000027000000}">
      <text>
        <r>
          <rPr>
            <b/>
            <sz val="8"/>
            <color indexed="81"/>
            <rFont val="Tahoma"/>
            <family val="2"/>
          </rPr>
          <t>Jon:</t>
        </r>
        <r>
          <rPr>
            <sz val="8"/>
            <color indexed="81"/>
            <rFont val="Tahoma"/>
            <family val="2"/>
          </rPr>
          <t xml:space="preserve">
mark for deletion in future revision</t>
        </r>
      </text>
    </comment>
    <comment ref="S52" authorId="2" shapeId="0" xr:uid="{00000000-0006-0000-0200-000028000000}">
      <text>
        <r>
          <rPr>
            <b/>
            <sz val="9"/>
            <color indexed="81"/>
            <rFont val="Tahoma"/>
            <family val="2"/>
          </rPr>
          <t>Hillier:</t>
        </r>
        <r>
          <rPr>
            <sz val="9"/>
            <color indexed="81"/>
            <rFont val="Tahoma"/>
            <family val="2"/>
          </rPr>
          <t xml:space="preserve">
This is the IPCC default</t>
        </r>
      </text>
    </comment>
    <comment ref="U72" authorId="0" shapeId="0" xr:uid="{00000000-0006-0000-0200-000029000000}">
      <text>
        <r>
          <rPr>
            <b/>
            <sz val="8"/>
            <color indexed="81"/>
            <rFont val="Tahoma"/>
            <family val="2"/>
          </rPr>
          <t>Jon:</t>
        </r>
        <r>
          <rPr>
            <sz val="8"/>
            <color indexed="81"/>
            <rFont val="Tahoma"/>
            <family val="2"/>
          </rPr>
          <t xml:space="preserve">
Text for look-up - don't delete</t>
        </r>
      </text>
    </comment>
    <comment ref="S151" authorId="2" shapeId="0" xr:uid="{00000000-0006-0000-0200-00002A000000}">
      <text>
        <r>
          <rPr>
            <b/>
            <sz val="8"/>
            <color indexed="81"/>
            <rFont val="Tahoma"/>
            <family val="2"/>
          </rPr>
          <t>Hillier:</t>
        </r>
        <r>
          <rPr>
            <sz val="8"/>
            <color indexed="81"/>
            <rFont val="Tahoma"/>
            <family val="2"/>
          </rPr>
          <t xml:space="preserve">
classification according to
http://en.wikipedia.org/wiki/Developed_country</t>
        </r>
      </text>
    </comment>
    <comment ref="Q152" authorId="2" shapeId="0" xr:uid="{00000000-0006-0000-0200-00002B000000}">
      <text>
        <r>
          <rPr>
            <b/>
            <sz val="8"/>
            <color indexed="81"/>
            <rFont val="Tahoma"/>
            <family val="2"/>
          </rPr>
          <t>Hillier:</t>
        </r>
        <r>
          <rPr>
            <sz val="8"/>
            <color indexed="81"/>
            <rFont val="Tahoma"/>
            <family val="2"/>
          </rPr>
          <t xml:space="preserve">
Modified to correspond to new alphabeticl order</t>
        </r>
      </text>
    </comment>
    <comment ref="S152" authorId="2" shapeId="0" xr:uid="{00000000-0006-0000-0200-00002C000000}">
      <text>
        <r>
          <rPr>
            <b/>
            <sz val="8"/>
            <color indexed="81"/>
            <rFont val="Tahoma"/>
            <family val="2"/>
          </rPr>
          <t>Hillier:</t>
        </r>
        <r>
          <rPr>
            <sz val="8"/>
            <color indexed="81"/>
            <rFont val="Tahoma"/>
            <family val="2"/>
          </rPr>
          <t xml:space="preserve">
Modified to correspond to new alphabeticl order</t>
        </r>
      </text>
    </comment>
    <comment ref="T152" authorId="2" shapeId="0" xr:uid="{00000000-0006-0000-0200-00002D000000}">
      <text>
        <r>
          <rPr>
            <b/>
            <sz val="8"/>
            <color indexed="81"/>
            <rFont val="Tahoma"/>
            <family val="2"/>
          </rPr>
          <t>Hillier:</t>
        </r>
        <r>
          <rPr>
            <sz val="8"/>
            <color indexed="81"/>
            <rFont val="Tahoma"/>
            <family val="2"/>
          </rPr>
          <t xml:space="preserve">
Modified to correspond to new alphabeticl order</t>
        </r>
      </text>
    </comment>
    <comment ref="BG162" authorId="2" shapeId="0" xr:uid="{00000000-0006-0000-0200-00002E000000}">
      <text>
        <r>
          <rPr>
            <b/>
            <sz val="9"/>
            <color indexed="81"/>
            <rFont val="Tahoma"/>
            <family val="2"/>
          </rPr>
          <t>Hillier:</t>
        </r>
        <r>
          <rPr>
            <sz val="9"/>
            <color indexed="81"/>
            <rFont val="Tahoma"/>
            <family val="2"/>
          </rPr>
          <t xml:space="preserve">
Assumed (soil C t/ha)/bulk density for each of SOM values</t>
        </r>
      </text>
    </comment>
    <comment ref="BG190" authorId="2" shapeId="0" xr:uid="{00000000-0006-0000-0200-00002F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Christof.Walter</author>
    <author>Hillier</author>
  </authors>
  <commentList>
    <comment ref="AW6" authorId="0" shapeId="0" xr:uid="{00000000-0006-0000-0300-000001000000}">
      <text>
        <r>
          <rPr>
            <b/>
            <sz val="8"/>
            <color indexed="81"/>
            <rFont val="Tahoma"/>
            <family val="2"/>
          </rPr>
          <t>Jon:</t>
        </r>
        <r>
          <rPr>
            <sz val="8"/>
            <color indexed="81"/>
            <rFont val="Tahoma"/>
            <family val="2"/>
          </rPr>
          <t xml:space="preserve">
The eventual mass for forests less than 20 years old is often very different from that of older forests in our IPCC figures. This appears inconsisitent as we interpret them. We always use the older forest figure
</t>
        </r>
      </text>
    </comment>
    <comment ref="AX6" authorId="0" shapeId="0" xr:uid="{00000000-0006-0000-0300-000002000000}">
      <text>
        <r>
          <rPr>
            <b/>
            <sz val="8"/>
            <color indexed="81"/>
            <rFont val="Tahoma"/>
            <family val="2"/>
          </rPr>
          <t>Jon:</t>
        </r>
        <r>
          <rPr>
            <sz val="8"/>
            <color indexed="81"/>
            <rFont val="Tahoma"/>
            <family val="2"/>
          </rPr>
          <t xml:space="preserve">
The differences between the &lt;=20 yr and &gt;21 yrs in the IPCC values mean a discontinuity at 20 yrs,, with is conterintuitive. We assume that the &lt;20 yr values of the IPCC applies at age 0,  and linearly interpolate between this and the &gt; 20 yr value for ages between 1 and 20 yrs. </t>
        </r>
      </text>
    </comment>
    <comment ref="B11" authorId="1" shapeId="0" xr:uid="{00000000-0006-0000-0300-000003000000}">
      <text>
        <r>
          <rPr>
            <sz val="9"/>
            <color indexed="81"/>
            <rFont val="Tahoma"/>
            <family val="2"/>
          </rPr>
          <t>Not for annual fluctuations but generally in last 20 years, e.g. conversion from conventional(always) to no-till(always) would be represented by "Conventional to No-till". Use judgement to choose best approximation (including reduced till).</t>
        </r>
      </text>
    </comment>
    <comment ref="D12" authorId="2" shapeId="0" xr:uid="{00000000-0006-0000-0300-000004000000}">
      <text>
        <r>
          <rPr>
            <sz val="8"/>
            <color indexed="81"/>
            <rFont val="Tahoma"/>
            <family val="2"/>
          </rPr>
          <t>No-till: Direct seeding without primary tillage, minimal soil disturbance in seeding zone. Weed control via herbicides.
Reduced-till: Primary and/or secondary tillage with reduced soil disturbance (shallow and without full inversion). Normally leaving &gt;30% surface coverage at planting.
Conventional till: Substantial  soil disturbance, such as ploughing, and/or frequent tillage operations. Little surface coverage with residues at planting time.</t>
        </r>
      </text>
    </comment>
    <comment ref="D13" authorId="0" shapeId="0" xr:uid="{00000000-0006-0000-0300-000005000000}">
      <text>
        <r>
          <rPr>
            <sz val="8"/>
            <color indexed="81"/>
            <rFont val="Tahoma"/>
            <family val="2"/>
          </rPr>
          <t>This only accounts for the soil carbon effect of introduction or removal of cover crops into the rotation. If residue is incorporated you need to estimate this seperately and add it on to the crop residue management section (in the crop management tab).</t>
        </r>
      </text>
    </comment>
    <comment ref="D14" authorId="1" shapeId="0" xr:uid="{00000000-0006-0000-0300-000006000000}">
      <text>
        <r>
          <rPr>
            <sz val="9"/>
            <color indexed="81"/>
            <rFont val="Tahoma"/>
            <family val="2"/>
          </rPr>
          <t>If you are including compost in this section, you should be sure you have also entered it as a fertiliser in the crop management tab.</t>
        </r>
      </text>
    </comment>
    <comment ref="D15" authorId="1" shapeId="0" xr:uid="{00000000-0006-0000-0300-000007000000}">
      <text>
        <r>
          <rPr>
            <sz val="9"/>
            <color indexed="81"/>
            <rFont val="Tahoma"/>
            <family val="2"/>
          </rPr>
          <t>If you are including manure in this section, you should be sure you have also entered it as a fertiliser in the crop management tab.</t>
        </r>
      </text>
    </comment>
    <comment ref="D16" authorId="1" shapeId="0" xr:uid="{00000000-0006-0000-0300-000008000000}">
      <text>
        <r>
          <rPr>
            <sz val="9"/>
            <color indexed="81"/>
            <rFont val="Tahoma"/>
            <family val="2"/>
          </rPr>
          <t>If you are listing residue incorporation in this section, you should be sure you have indicated "left on field; incorporated or mulch" in the  crop management tab.</t>
        </r>
      </text>
    </comment>
    <comment ref="AB17" authorId="3" shapeId="0" xr:uid="{00000000-0006-0000-0300-000009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C17" authorId="3" shapeId="0" xr:uid="{00000000-0006-0000-0300-00000A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N132" authorId="3" shapeId="0" xr:uid="{00000000-0006-0000-0300-00000B000000}">
      <text>
        <r>
          <rPr>
            <b/>
            <sz val="9"/>
            <color indexed="81"/>
            <rFont val="Tahoma"/>
            <family val="2"/>
          </rPr>
          <t>Hillier:</t>
        </r>
        <r>
          <rPr>
            <sz val="9"/>
            <color indexed="81"/>
            <rFont val="Tahoma"/>
            <family val="2"/>
          </rPr>
          <t xml:space="preserve">
average from table 4.14 of IPCC doc</t>
        </r>
      </text>
    </comment>
    <comment ref="AN133" authorId="3" shapeId="0" xr:uid="{00000000-0006-0000-0300-00000C000000}">
      <text>
        <r>
          <rPr>
            <b/>
            <sz val="9"/>
            <color indexed="81"/>
            <rFont val="Tahoma"/>
            <family val="2"/>
          </rPr>
          <t>Hillier:</t>
        </r>
        <r>
          <rPr>
            <sz val="9"/>
            <color indexed="81"/>
            <rFont val="Tahoma"/>
            <family val="2"/>
          </rPr>
          <t xml:space="preserve">
average from table 4.14 of IPCC doc</t>
        </r>
      </text>
    </comment>
    <comment ref="AN134" authorId="3" shapeId="0" xr:uid="{00000000-0006-0000-0300-00000D000000}">
      <text>
        <r>
          <rPr>
            <b/>
            <sz val="9"/>
            <color indexed="81"/>
            <rFont val="Tahoma"/>
            <family val="2"/>
          </rPr>
          <t>Hillier:</t>
        </r>
        <r>
          <rPr>
            <sz val="9"/>
            <color indexed="81"/>
            <rFont val="Tahoma"/>
            <family val="2"/>
          </rPr>
          <t xml:space="preserve">
average from table 4.14 of IPCC doc</t>
        </r>
      </text>
    </comment>
    <comment ref="AN135" authorId="3" shapeId="0" xr:uid="{00000000-0006-0000-0300-00000E000000}">
      <text>
        <r>
          <rPr>
            <b/>
            <sz val="9"/>
            <color indexed="81"/>
            <rFont val="Tahoma"/>
            <family val="2"/>
          </rPr>
          <t>Hillier:</t>
        </r>
        <r>
          <rPr>
            <sz val="9"/>
            <color indexed="81"/>
            <rFont val="Tahoma"/>
            <family val="2"/>
          </rPr>
          <t xml:space="preserve">
average from table 4.14 of IPCC doc</t>
        </r>
      </text>
    </comment>
    <comment ref="AL136" authorId="0" shapeId="0" xr:uid="{00000000-0006-0000-0300-00000F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M136" authorId="0" shapeId="0" xr:uid="{00000000-0006-0000-0300-000010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N136" authorId="0" shapeId="0" xr:uid="{00000000-0006-0000-0300-000011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J154" authorId="0" shapeId="0" xr:uid="{00000000-0006-0000-0300-000012000000}">
      <text>
        <r>
          <rPr>
            <b/>
            <sz val="8"/>
            <color indexed="81"/>
            <rFont val="Tahoma"/>
            <family val="2"/>
          </rPr>
          <t>Jon:</t>
        </r>
        <r>
          <rPr>
            <sz val="8"/>
            <color indexed="81"/>
            <rFont val="Tahoma"/>
            <family val="2"/>
          </rPr>
          <t xml:space="preserve">
The IPCC function has a minimum at around dbh of 4.7 cms which physically implausible. I had made it a linear decreasing function below this diamter</t>
        </r>
      </text>
    </comment>
    <comment ref="AP154" authorId="0" shapeId="0" xr:uid="{00000000-0006-0000-0300-000013000000}">
      <text>
        <r>
          <rPr>
            <b/>
            <sz val="8"/>
            <color indexed="81"/>
            <rFont val="Tahoma"/>
            <family val="2"/>
          </rPr>
          <t>Jon:</t>
        </r>
        <r>
          <rPr>
            <sz val="8"/>
            <color indexed="81"/>
            <rFont val="Tahoma"/>
            <family val="2"/>
          </rPr>
          <t xml:space="preserve">
The IPCC model give increasing biomass for heights less than exp(1) metre. We make it a linear function below this.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nhy449</author>
    <author>Hillier</author>
  </authors>
  <commentList>
    <comment ref="AQ23" authorId="0" shapeId="0" xr:uid="{00000000-0006-0000-0400-000001000000}">
      <text>
        <r>
          <rPr>
            <b/>
            <sz val="8"/>
            <color indexed="81"/>
            <rFont val="Tahoma"/>
            <family val="2"/>
          </rPr>
          <t>Jon:</t>
        </r>
        <r>
          <rPr>
            <sz val="8"/>
            <color indexed="81"/>
            <rFont val="Tahoma"/>
            <family val="2"/>
          </rPr>
          <t xml:space="preserve">
10.16 of IPCC doc
</t>
        </r>
      </text>
    </comment>
    <comment ref="AL26" authorId="0" shapeId="0" xr:uid="{00000000-0006-0000-0400-000002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AL29" authorId="0" shapeId="0" xr:uid="{00000000-0006-0000-0400-000003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K33" authorId="1" shapeId="0" xr:uid="{00000000-0006-0000-0400-000004000000}">
      <text>
        <r>
          <rPr>
            <sz val="9"/>
            <color indexed="81"/>
            <rFont val="Tahoma"/>
            <family val="2"/>
          </rPr>
          <t xml:space="preserve">Total should equal 100% or slightly less if there are feed components you use that are not on this list. </t>
        </r>
      </text>
    </comment>
    <comment ref="G34" authorId="1" shapeId="0" xr:uid="{00000000-0006-0000-0400-000005000000}">
      <text>
        <r>
          <rPr>
            <sz val="9"/>
            <color indexed="81"/>
            <rFont val="Tahoma"/>
            <family val="2"/>
          </rPr>
          <t>Total number of days should equal 365.</t>
        </r>
      </text>
    </comment>
    <comment ref="AQ44" authorId="0" shapeId="0" xr:uid="{00000000-0006-0000-0400-000006000000}">
      <text>
        <r>
          <rPr>
            <b/>
            <sz val="8"/>
            <color indexed="81"/>
            <rFont val="Tahoma"/>
            <family val="2"/>
          </rPr>
          <t>Jon:</t>
        </r>
        <r>
          <rPr>
            <sz val="8"/>
            <color indexed="81"/>
            <rFont val="Tahoma"/>
            <family val="2"/>
          </rPr>
          <t xml:space="preserve">
10.16 of IPCC doc
</t>
        </r>
      </text>
    </comment>
    <comment ref="AL47" authorId="0" shapeId="0" xr:uid="{00000000-0006-0000-0400-000007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53" authorId="1" shapeId="0" xr:uid="{00000000-0006-0000-0400-000008000000}">
      <text>
        <r>
          <rPr>
            <sz val="9"/>
            <color indexed="81"/>
            <rFont val="Tahoma"/>
            <family val="2"/>
          </rPr>
          <t>Total number of days should equal 365.</t>
        </r>
      </text>
    </comment>
    <comment ref="K55" authorId="1" shapeId="0" xr:uid="{00000000-0006-0000-0400-000009000000}">
      <text>
        <r>
          <rPr>
            <sz val="9"/>
            <color indexed="81"/>
            <rFont val="Tahoma"/>
            <family val="2"/>
          </rPr>
          <t xml:space="preserve">Total should equal 100% or slightly less if there are feed components you use that are not on this list. </t>
        </r>
      </text>
    </comment>
    <comment ref="AQ63" authorId="0" shapeId="0" xr:uid="{00000000-0006-0000-0400-00000A000000}">
      <text>
        <r>
          <rPr>
            <b/>
            <sz val="8"/>
            <color indexed="81"/>
            <rFont val="Tahoma"/>
            <family val="2"/>
          </rPr>
          <t>Jon:</t>
        </r>
        <r>
          <rPr>
            <sz val="8"/>
            <color indexed="81"/>
            <rFont val="Tahoma"/>
            <family val="2"/>
          </rPr>
          <t xml:space="preserve">
10.16 of IPCC doc
</t>
        </r>
      </text>
    </comment>
    <comment ref="AL66" authorId="0" shapeId="0" xr:uid="{00000000-0006-0000-0400-00000B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74" authorId="1" shapeId="0" xr:uid="{00000000-0006-0000-0400-00000C000000}">
      <text>
        <r>
          <rPr>
            <sz val="9"/>
            <color indexed="81"/>
            <rFont val="Tahoma"/>
            <family val="2"/>
          </rPr>
          <t>Total number of days should equal 365.</t>
        </r>
      </text>
    </comment>
    <comment ref="K76" authorId="1" shapeId="0" xr:uid="{00000000-0006-0000-0400-00000D000000}">
      <text>
        <r>
          <rPr>
            <sz val="9"/>
            <color indexed="81"/>
            <rFont val="Tahoma"/>
            <family val="2"/>
          </rPr>
          <t xml:space="preserve">Total should equal 100% or slightly less if there are feed components you use that are not on this list. </t>
        </r>
      </text>
    </comment>
    <comment ref="BJ89" authorId="0" shapeId="0" xr:uid="{00000000-0006-0000-0400-00000E000000}">
      <text>
        <r>
          <rPr>
            <b/>
            <sz val="8"/>
            <color indexed="81"/>
            <rFont val="Tahoma"/>
            <family val="2"/>
          </rPr>
          <t>Jon:</t>
        </r>
        <r>
          <rPr>
            <sz val="8"/>
            <color indexed="81"/>
            <rFont val="Tahoma"/>
            <family val="2"/>
          </rPr>
          <t xml:space="preserve">
Tier 1. Working OK 
</t>
        </r>
      </text>
    </comment>
    <comment ref="AP185" authorId="0" shapeId="0" xr:uid="{00000000-0006-0000-0400-00000F000000}">
      <text>
        <r>
          <rPr>
            <b/>
            <sz val="8"/>
            <color indexed="81"/>
            <rFont val="Tahoma"/>
            <family val="2"/>
          </rPr>
          <t>Jon:</t>
        </r>
        <r>
          <rPr>
            <sz val="8"/>
            <color indexed="81"/>
            <rFont val="Tahoma"/>
            <family val="2"/>
          </rPr>
          <t xml:space="preserve">
formula - not value
</t>
        </r>
      </text>
    </comment>
    <comment ref="AC196" authorId="2" shapeId="0" xr:uid="{00000000-0006-0000-0400-000010000000}">
      <text>
        <r>
          <rPr>
            <b/>
            <sz val="8"/>
            <color indexed="81"/>
            <rFont val="Tahoma"/>
            <family val="2"/>
          </rPr>
          <t>nhy449:</t>
        </r>
        <r>
          <rPr>
            <sz val="8"/>
            <color indexed="81"/>
            <rFont val="Tahoma"/>
            <family val="2"/>
          </rPr>
          <t xml:space="preserve">
not known
</t>
        </r>
      </text>
    </comment>
    <comment ref="AP201" authorId="0" shapeId="0" xr:uid="{00000000-0006-0000-0400-000011000000}">
      <text>
        <r>
          <rPr>
            <b/>
            <sz val="8"/>
            <color indexed="81"/>
            <rFont val="Tahoma"/>
            <family val="2"/>
          </rPr>
          <t>Jon:</t>
        </r>
        <r>
          <rPr>
            <sz val="8"/>
            <color indexed="81"/>
            <rFont val="Tahoma"/>
            <family val="2"/>
          </rPr>
          <t xml:space="preserve">
formula - not value
</t>
        </r>
      </text>
    </comment>
    <comment ref="AH259" authorId="3" shapeId="0" xr:uid="{00000000-0006-0000-0400-000012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AP271" authorId="0" shapeId="0" xr:uid="{00000000-0006-0000-0400-000013000000}">
      <text>
        <r>
          <rPr>
            <b/>
            <sz val="8"/>
            <color indexed="81"/>
            <rFont val="Tahoma"/>
            <family val="2"/>
          </rPr>
          <t>Jon:</t>
        </r>
        <r>
          <rPr>
            <sz val="8"/>
            <color indexed="81"/>
            <rFont val="Tahoma"/>
            <family val="2"/>
          </rPr>
          <t xml:space="preserve">
Average of young and female in IPCC method
</t>
        </r>
      </text>
    </comment>
    <comment ref="AC313" authorId="1" shapeId="0" xr:uid="{00000000-0006-0000-0400-000014000000}">
      <text>
        <r>
          <rPr>
            <b/>
            <sz val="9"/>
            <color indexed="81"/>
            <rFont val="Tahoma"/>
            <family val="2"/>
          </rPr>
          <t>Christina:</t>
        </r>
        <r>
          <rPr>
            <sz val="9"/>
            <color indexed="81"/>
            <rFont val="Tahoma"/>
            <family val="2"/>
          </rPr>
          <t xml:space="preserve">
see default crop lookup page for information on these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s>
  <commentList>
    <comment ref="C4" authorId="0" shapeId="0" xr:uid="{00000000-0006-0000-0500-000001000000}">
      <text>
        <r>
          <rPr>
            <sz val="9"/>
            <color indexed="81"/>
            <rFont val="Tahoma"/>
            <family val="2"/>
          </rPr>
          <t xml:space="preserve">Indicate your total annual energy usage for your selected crop or product only. </t>
        </r>
      </text>
    </comment>
    <comment ref="D16" authorId="0" shapeId="0" xr:uid="{00000000-0006-0000-0500-000002000000}">
      <text>
        <r>
          <rPr>
            <sz val="9"/>
            <color indexed="81"/>
            <rFont val="Tahoma"/>
            <family val="2"/>
          </rPr>
          <t>Emissions factors assumed as for diesel unless you specify otherwise in default factors cell S12.</t>
        </r>
      </text>
    </comment>
    <comment ref="D17" authorId="0" shapeId="0" xr:uid="{00000000-0006-0000-0500-000003000000}">
      <text>
        <r>
          <rPr>
            <sz val="9"/>
            <color indexed="81"/>
            <rFont val="Tahoma"/>
            <family val="2"/>
          </rPr>
          <t>Emissions factors assumed as for petrol unless you specify otherwise in default factors cell S11.</t>
        </r>
      </text>
    </comment>
    <comment ref="S81" authorId="1" shapeId="0" xr:uid="{00000000-0006-0000-0500-000004000000}">
      <text>
        <r>
          <rPr>
            <b/>
            <sz val="8"/>
            <color indexed="81"/>
            <rFont val="Tahoma"/>
            <family val="2"/>
          </rPr>
          <t>Jon:</t>
        </r>
        <r>
          <rPr>
            <sz val="8"/>
            <color indexed="81"/>
            <rFont val="Tahoma"/>
            <family val="2"/>
          </rPr>
          <t xml:space="preserve">
From company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Hillier</author>
  </authors>
  <commentList>
    <comment ref="E22" authorId="0" shapeId="0" xr:uid="{00000000-0006-0000-0600-000001000000}">
      <text>
        <r>
          <rPr>
            <sz val="9"/>
            <color indexed="81"/>
            <rFont val="Tahoma"/>
            <family val="2"/>
          </rPr>
          <t>If you use a different fuel, first enter the total emissions in the "Default Factors" tab under "Other": row 22.</t>
        </r>
      </text>
    </comment>
    <comment ref="H25" authorId="1" shapeId="0" xr:uid="{00000000-0006-0000-0600-000002000000}">
      <text>
        <r>
          <rPr>
            <sz val="8"/>
            <color indexed="81"/>
            <rFont val="Tahoma"/>
            <family val="2"/>
          </rPr>
          <t xml:space="preserve">
Methane emissions from wastewate are principally affected by the amount of degradable organic material present. This is commonly expressed by the Biochemical Oxygen Demand (BOD) and Chemical Oxygen Demand (COD). (Wastewater with higher COD/BOD concentrations will generally yield more methane than wastewater with lower COD/BOD).
The BOD concentration indicates only the amount of carbon that is aerobically biodegradable. The COD measures the total material available for chemical oxidation (both biodegradable and non-biodegradable).
COD is thus predominantly used for industrial wastewater where conditions may be anaerobic, and BOD when aerobic conditions prevail (typically household waste). 
References:
2006 IPCC Guidelines for National Greenhouse Gas Inventories, Chapter 6 - Wastewater treatment and discharge.
BOD: e.g. http://en.wikipedia.org/wiki/Biochemical_oxygen_demand
COD: e.g. http://en.wikipedia.org/wiki/Chemical_oxygen_demand</t>
        </r>
      </text>
    </comment>
    <comment ref="E27" authorId="2" shapeId="0" xr:uid="{00000000-0006-0000-0600-000003000000}">
      <text>
        <r>
          <rPr>
            <sz val="9"/>
            <color indexed="81"/>
            <rFont val="Tahoma"/>
            <family val="2"/>
          </rPr>
          <t>If unknown the following IPCC defaults for chemical oxygen demand may be useful:
Alcohol refining - 7000 mg/L
Beer &amp; Malt - 2900 mg/L
Coffee - 9000 mg/L
Dairy products - 2700 mg/L
Fish processing - 2500 mg/L
Sugar refining - 3200 mg/L
Wine &amp; vinegar - 1500 mg/L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tc={F9F40D96-CFC3-448C-9619-6F013DF72174}</author>
    <author>tc={2F435443-4C78-4EAB-AB39-C8F83F4569D5}</author>
  </authors>
  <commentList>
    <comment ref="C15" authorId="0" shapeId="0" xr:uid="{F9F40D96-CFC3-448C-9619-6F013DF72174}">
      <text>
        <t>[Threaded comment]
Your version of Excel allows you to read this threaded comment; however, any edits to it will get removed if the file is opened in a newer version of Excel. Learn more: https://go.microsoft.com/fwlink/?linkid=870924
Comment:
    this is fertiliser application (in our situation - if other inputs are added it might also be other things)</t>
      </text>
    </comment>
    <comment ref="C23" authorId="1" shapeId="0" xr:uid="{2F435443-4C78-4EAB-AB39-C8F83F4569D5}">
      <text>
        <t>[Threaded comment]
Your version of Excel allows you to read this threaded comment; however, any edits to it will get removed if the file is opened in a newer version of Excel. Learn more: https://go.microsoft.com/fwlink/?linkid=870924
Comment:
    as we're only inputting data on tillage operations this is entirely tillage emissions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Jon</author>
    <author>Hillier</author>
    <author/>
    <author>Christina</author>
  </authors>
  <commentList>
    <comment ref="T16" authorId="0" shapeId="0" xr:uid="{00000000-0006-0000-0B00-000001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U16" authorId="0" shapeId="0" xr:uid="{00000000-0006-0000-0B00-000002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V16" authorId="0" shapeId="0" xr:uid="{00000000-0006-0000-0B00-000003000000}">
      <text>
        <r>
          <rPr>
            <b/>
            <sz val="8"/>
            <color indexed="81"/>
            <rFont val="Tahoma"/>
            <family val="2"/>
          </rPr>
          <t>Jon:</t>
        </r>
        <r>
          <rPr>
            <sz val="8"/>
            <color indexed="81"/>
            <rFont val="Tahoma"/>
            <family val="2"/>
          </rPr>
          <t xml:space="preserve">
Most complete dataset. Obtained using ecoinvent v2.0 by T Garcia-Suarez at Unilever</t>
        </r>
      </text>
    </comment>
    <comment ref="W16" authorId="0" shapeId="0" xr:uid="{00000000-0006-0000-0B00-000004000000}">
      <text>
        <r>
          <rPr>
            <b/>
            <sz val="8"/>
            <color indexed="81"/>
            <rFont val="Tahoma"/>
            <family val="2"/>
          </rPr>
          <t>Jon:</t>
        </r>
        <r>
          <rPr>
            <sz val="8"/>
            <color indexed="81"/>
            <rFont val="Tahoma"/>
            <family val="2"/>
          </rPr>
          <t xml:space="preserve">
Generally from 1998 backwards, but including some perhaps quite generous steam credits giving quite low values for some processes</t>
        </r>
      </text>
    </comment>
    <comment ref="X16" authorId="0" shapeId="0" xr:uid="{00000000-0006-0000-0B00-000005000000}">
      <text>
        <r>
          <rPr>
            <b/>
            <sz val="8"/>
            <color indexed="81"/>
            <rFont val="Tahoma"/>
            <family val="2"/>
          </rPr>
          <t>Jon:</t>
        </r>
        <r>
          <rPr>
            <sz val="8"/>
            <color indexed="81"/>
            <rFont val="Tahoma"/>
            <family val="2"/>
          </rPr>
          <t xml:space="preserve">
From Tompkins 2005
</t>
        </r>
      </text>
    </comment>
    <comment ref="T19" authorId="0" shapeId="0" xr:uid="{00000000-0006-0000-0B00-000006000000}">
      <text>
        <r>
          <rPr>
            <b/>
            <sz val="8"/>
            <color indexed="81"/>
            <rFont val="Tahoma"/>
            <family val="2"/>
          </rPr>
          <t>Jon:</t>
        </r>
        <r>
          <rPr>
            <sz val="8"/>
            <color indexed="81"/>
            <rFont val="Tahoma"/>
            <family val="2"/>
          </rPr>
          <t xml:space="preserve">
Of decreasing importance globally . Using Ecoinvent 
</t>
        </r>
      </text>
    </comment>
    <comment ref="U19" authorId="0" shapeId="0" xr:uid="{00000000-0006-0000-0B00-000007000000}">
      <text>
        <r>
          <rPr>
            <b/>
            <sz val="8"/>
            <color indexed="81"/>
            <rFont val="Tahoma"/>
            <family val="2"/>
          </rPr>
          <t>Jon:</t>
        </r>
        <r>
          <rPr>
            <sz val="8"/>
            <color indexed="81"/>
            <rFont val="Tahoma"/>
            <family val="2"/>
          </rPr>
          <t xml:space="preserve">
Of decreasing importance globally . Using Ecoinvent 
</t>
        </r>
      </text>
    </comment>
    <comment ref="V19" authorId="0" shapeId="0" xr:uid="{00000000-0006-0000-0B00-000008000000}">
      <text>
        <r>
          <rPr>
            <b/>
            <sz val="8"/>
            <color indexed="81"/>
            <rFont val="Tahoma"/>
            <family val="2"/>
          </rPr>
          <t>Jon:</t>
        </r>
        <r>
          <rPr>
            <sz val="8"/>
            <color indexed="81"/>
            <rFont val="Tahoma"/>
            <family val="2"/>
          </rPr>
          <t xml:space="preserve">
Added 02/12/11, T G-C, UL</t>
        </r>
      </text>
    </comment>
    <comment ref="W19" authorId="0" shapeId="0" xr:uid="{00000000-0006-0000-0B00-000009000000}">
      <text>
        <r>
          <rPr>
            <b/>
            <sz val="8"/>
            <color indexed="81"/>
            <rFont val="Tahoma"/>
            <family val="2"/>
          </rPr>
          <t>Jon:</t>
        </r>
        <r>
          <rPr>
            <sz val="8"/>
            <color indexed="81"/>
            <rFont val="Tahoma"/>
            <family val="2"/>
          </rPr>
          <t xml:space="preserve">
copying ecoinvent
</t>
        </r>
      </text>
    </comment>
    <comment ref="S21" authorId="0" shapeId="0" xr:uid="{00000000-0006-0000-0B00-00000A000000}">
      <text>
        <r>
          <rPr>
            <b/>
            <sz val="8"/>
            <color indexed="81"/>
            <rFont val="Tahoma"/>
            <family val="2"/>
          </rPr>
          <t>Jon:</t>
        </r>
        <r>
          <rPr>
            <sz val="8"/>
            <color indexed="81"/>
            <rFont val="Tahoma"/>
            <family val="2"/>
          </rPr>
          <t xml:space="preserve">
assume 14/9 * that of ASN</t>
        </r>
      </text>
    </comment>
    <comment ref="T21" authorId="0" shapeId="0" xr:uid="{00000000-0006-0000-0B00-00000B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U21" authorId="0" shapeId="0" xr:uid="{00000000-0006-0000-0B00-00000C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W21" authorId="0" shapeId="0" xr:uid="{00000000-0006-0000-0B00-00000D000000}">
      <text>
        <r>
          <rPr>
            <b/>
            <sz val="8"/>
            <color indexed="81"/>
            <rFont val="Tahoma"/>
            <family val="2"/>
          </rPr>
          <t>Jon:</t>
        </r>
        <r>
          <rPr>
            <sz val="8"/>
            <color indexed="81"/>
            <rFont val="Tahoma"/>
            <family val="2"/>
          </rPr>
          <t xml:space="preserve">
Tricky allocation problems with this since it's a by-product of nylon production. Kongshaug does not charge any energy to AS. Using Ecoinvent instead.
</t>
        </r>
      </text>
    </comment>
    <comment ref="T22" authorId="0" shapeId="0" xr:uid="{00000000-0006-0000-0B00-00000E000000}">
      <text>
        <r>
          <rPr>
            <b/>
            <sz val="8"/>
            <color indexed="81"/>
            <rFont val="Tahoma"/>
            <family val="2"/>
          </rPr>
          <t>Jon:</t>
        </r>
        <r>
          <rPr>
            <sz val="8"/>
            <color indexed="81"/>
            <rFont val="Tahoma"/>
            <family val="2"/>
          </rPr>
          <t xml:space="preserve">
Assumed around 65% AS and 35% AN
</t>
        </r>
      </text>
    </comment>
    <comment ref="U22" authorId="0" shapeId="0" xr:uid="{00000000-0006-0000-0B00-00000F000000}">
      <text>
        <r>
          <rPr>
            <b/>
            <sz val="8"/>
            <color indexed="81"/>
            <rFont val="Tahoma"/>
            <family val="2"/>
          </rPr>
          <t>Jon:</t>
        </r>
        <r>
          <rPr>
            <sz val="8"/>
            <color indexed="81"/>
            <rFont val="Tahoma"/>
            <family val="2"/>
          </rPr>
          <t xml:space="preserve">
Assumed around 65% AS and 35% AN
</t>
        </r>
      </text>
    </comment>
    <comment ref="V22" authorId="0" shapeId="0" xr:uid="{00000000-0006-0000-0B00-000010000000}">
      <text>
        <r>
          <rPr>
            <b/>
            <sz val="8"/>
            <color indexed="81"/>
            <rFont val="Tahoma"/>
            <family val="2"/>
          </rPr>
          <t>Jon:</t>
        </r>
        <r>
          <rPr>
            <sz val="8"/>
            <color indexed="81"/>
            <rFont val="Tahoma"/>
            <family val="2"/>
          </rPr>
          <t xml:space="preserve">
Assumed around 65% AS and 35% AN
</t>
        </r>
      </text>
    </comment>
    <comment ref="W22" authorId="0" shapeId="0" xr:uid="{00000000-0006-0000-0B00-000011000000}">
      <text>
        <r>
          <rPr>
            <b/>
            <sz val="8"/>
            <color indexed="81"/>
            <rFont val="Tahoma"/>
            <family val="2"/>
          </rPr>
          <t>Jon:</t>
        </r>
        <r>
          <rPr>
            <sz val="8"/>
            <color indexed="81"/>
            <rFont val="Tahoma"/>
            <family val="2"/>
          </rPr>
          <t xml:space="preserve">
Assumed around 65% AS and 35% AN
</t>
        </r>
      </text>
    </comment>
    <comment ref="Y22" authorId="0" shapeId="0" xr:uid="{00000000-0006-0000-0B00-000012000000}">
      <text>
        <r>
          <rPr>
            <b/>
            <sz val="8"/>
            <color indexed="81"/>
            <rFont val="Tahoma"/>
            <family val="2"/>
          </rPr>
          <t>Jon:</t>
        </r>
        <r>
          <rPr>
            <sz val="8"/>
            <color indexed="81"/>
            <rFont val="Tahoma"/>
            <family val="2"/>
          </rPr>
          <t xml:space="preserve">
weighted average of AS and AN
</t>
        </r>
      </text>
    </comment>
    <comment ref="Z22" authorId="0" shapeId="0" xr:uid="{00000000-0006-0000-0B00-000013000000}">
      <text>
        <r>
          <rPr>
            <b/>
            <sz val="8"/>
            <color indexed="81"/>
            <rFont val="Tahoma"/>
            <family val="2"/>
          </rPr>
          <t>Jon:</t>
        </r>
        <r>
          <rPr>
            <sz val="8"/>
            <color indexed="81"/>
            <rFont val="Tahoma"/>
            <family val="2"/>
          </rPr>
          <t xml:space="preserve">
weighted average of AS and AN
</t>
        </r>
      </text>
    </comment>
    <comment ref="AA22" authorId="0" shapeId="0" xr:uid="{00000000-0006-0000-0B00-000014000000}">
      <text>
        <r>
          <rPr>
            <b/>
            <sz val="8"/>
            <color indexed="81"/>
            <rFont val="Tahoma"/>
            <family val="2"/>
          </rPr>
          <t>Jon:</t>
        </r>
        <r>
          <rPr>
            <sz val="8"/>
            <color indexed="81"/>
            <rFont val="Tahoma"/>
            <family val="2"/>
          </rPr>
          <t xml:space="preserve">
weighted average of AS and AN
</t>
        </r>
      </text>
    </comment>
    <comment ref="U23" authorId="0" shapeId="0" xr:uid="{00000000-0006-0000-0B00-000015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C26" authorId="0" shapeId="0" xr:uid="{00000000-0006-0000-0B00-000016000000}">
      <text>
        <r>
          <rPr>
            <b/>
            <sz val="8"/>
            <color indexed="81"/>
            <rFont val="Tahoma"/>
            <family val="2"/>
          </rPr>
          <t>Jon:</t>
        </r>
        <r>
          <rPr>
            <sz val="8"/>
            <color indexed="81"/>
            <rFont val="Tahoma"/>
            <family val="2"/>
          </rPr>
          <t xml:space="preserve">
Changed - v362 JH
</t>
        </r>
      </text>
    </comment>
    <comment ref="T26" authorId="0" shapeId="0" xr:uid="{00000000-0006-0000-0B00-000017000000}">
      <text>
        <r>
          <rPr>
            <b/>
            <sz val="8"/>
            <color indexed="81"/>
            <rFont val="Tahoma"/>
            <family val="2"/>
          </rPr>
          <t>Jon:</t>
        </r>
        <r>
          <rPr>
            <sz val="8"/>
            <color indexed="81"/>
            <rFont val="Tahoma"/>
            <family val="2"/>
          </rPr>
          <t xml:space="preserve">
not in EFMA - using ecoinvent</t>
        </r>
      </text>
    </comment>
    <comment ref="V26" authorId="0" shapeId="0" xr:uid="{00000000-0006-0000-0B00-000018000000}">
      <text>
        <r>
          <rPr>
            <b/>
            <sz val="8"/>
            <color indexed="81"/>
            <rFont val="Tahoma"/>
            <family val="2"/>
          </rPr>
          <t>Jon:</t>
        </r>
        <r>
          <rPr>
            <sz val="8"/>
            <color indexed="81"/>
            <rFont val="Tahoma"/>
            <family val="2"/>
          </rPr>
          <t xml:space="preserve">
The production of potassium nitrate from potassium chloride and nitric acid. 
Fixed v362 JH</t>
        </r>
      </text>
    </comment>
    <comment ref="AA26" authorId="0" shapeId="0" xr:uid="{00000000-0006-0000-0B00-000019000000}">
      <text>
        <r>
          <rPr>
            <b/>
            <sz val="8"/>
            <color indexed="81"/>
            <rFont val="Tahoma"/>
            <family val="2"/>
          </rPr>
          <t>Jon:</t>
        </r>
        <r>
          <rPr>
            <sz val="8"/>
            <color indexed="81"/>
            <rFont val="Tahoma"/>
            <family val="2"/>
          </rPr>
          <t xml:space="preserve">
Assume as CAN
</t>
        </r>
      </text>
    </comment>
    <comment ref="V27" authorId="0" shapeId="0" xr:uid="{00000000-0006-0000-0B00-00001A000000}">
      <text>
        <r>
          <rPr>
            <b/>
            <sz val="8"/>
            <color indexed="81"/>
            <rFont val="Tahoma"/>
            <family val="2"/>
          </rPr>
          <t>Jon:</t>
        </r>
        <r>
          <rPr>
            <sz val="8"/>
            <color indexed="81"/>
            <rFont val="Tahoma"/>
            <family val="2"/>
          </rPr>
          <t xml:space="preserve">
Not in ecoinvent datset we were given. Using EFMA 2006</t>
        </r>
      </text>
    </comment>
    <comment ref="W27" authorId="0" shapeId="0" xr:uid="{00000000-0006-0000-0B00-00001B000000}">
      <text>
        <r>
          <rPr>
            <b/>
            <sz val="8"/>
            <color indexed="81"/>
            <rFont val="Tahoma"/>
            <family val="2"/>
          </rPr>
          <t>Jon:</t>
        </r>
        <r>
          <rPr>
            <sz val="8"/>
            <color indexed="81"/>
            <rFont val="Tahoma"/>
            <family val="2"/>
          </rPr>
          <t xml:space="preserve">
Using the average of the 4 15:15:15 fertilisers in Kongshaug</t>
        </r>
      </text>
    </comment>
    <comment ref="AA27" authorId="0" shapeId="0" xr:uid="{00000000-0006-0000-0B00-00001C000000}">
      <text>
        <r>
          <rPr>
            <b/>
            <sz val="8"/>
            <color indexed="81"/>
            <rFont val="Tahoma"/>
            <family val="2"/>
          </rPr>
          <t>Jon:</t>
        </r>
        <r>
          <rPr>
            <sz val="8"/>
            <color indexed="81"/>
            <rFont val="Tahoma"/>
            <family val="2"/>
          </rPr>
          <t xml:space="preserve">
average of MAP, DAP, U+DAP, U+MAP, UP, UUP, and U+Kcl from IFA/FAO
</t>
        </r>
      </text>
    </comment>
    <comment ref="C28" authorId="0" shapeId="0" xr:uid="{00000000-0006-0000-0B00-00001D000000}">
      <text>
        <r>
          <rPr>
            <b/>
            <sz val="8"/>
            <color indexed="81"/>
            <rFont val="Tahoma"/>
            <family val="2"/>
          </rPr>
          <t>Jon:</t>
        </r>
        <r>
          <rPr>
            <sz val="8"/>
            <color indexed="81"/>
            <rFont val="Tahoma"/>
            <family val="2"/>
          </rPr>
          <t xml:space="preserve">
changed v362 JH</t>
        </r>
      </text>
    </comment>
    <comment ref="T28" authorId="0" shapeId="0" xr:uid="{00000000-0006-0000-0B00-00001E000000}">
      <text>
        <r>
          <rPr>
            <b/>
            <sz val="8"/>
            <color indexed="81"/>
            <rFont val="Tahoma"/>
            <family val="2"/>
          </rPr>
          <t xml:space="preserve">
Jon:</t>
        </r>
        <r>
          <rPr>
            <sz val="8"/>
            <color indexed="81"/>
            <rFont val="Tahoma"/>
            <family val="2"/>
          </rPr>
          <t xml:space="preserve">
Frank waiting for approval of figures. 
</t>
        </r>
      </text>
    </comment>
    <comment ref="V28" authorId="0" shapeId="0" xr:uid="{00000000-0006-0000-0B00-00001F000000}">
      <text>
        <r>
          <rPr>
            <b/>
            <sz val="8"/>
            <color indexed="81"/>
            <rFont val="Tahoma"/>
            <family val="2"/>
          </rPr>
          <t>Jon:</t>
        </r>
        <r>
          <rPr>
            <sz val="8"/>
            <color indexed="81"/>
            <rFont val="Tahoma"/>
            <family val="2"/>
          </rPr>
          <t xml:space="preserve">
Fixed v362 JH</t>
        </r>
      </text>
    </comment>
    <comment ref="V29" authorId="0" shapeId="0" xr:uid="{00000000-0006-0000-0B00-000020000000}">
      <text>
        <r>
          <rPr>
            <b/>
            <sz val="8"/>
            <color indexed="81"/>
            <rFont val="Tahoma"/>
            <family val="2"/>
          </rPr>
          <t>Jon:</t>
        </r>
        <r>
          <rPr>
            <sz val="8"/>
            <color indexed="81"/>
            <rFont val="Tahoma"/>
            <family val="2"/>
          </rPr>
          <t xml:space="preserve">
Cannot find a value</t>
        </r>
      </text>
    </comment>
    <comment ref="T30" authorId="0" shapeId="0" xr:uid="{00000000-0006-0000-0B00-000021000000}">
      <text>
        <r>
          <rPr>
            <b/>
            <sz val="8"/>
            <color indexed="81"/>
            <rFont val="Tahoma"/>
            <family val="2"/>
          </rPr>
          <t>Jon:</t>
        </r>
        <r>
          <rPr>
            <sz val="8"/>
            <color indexed="81"/>
            <rFont val="Tahoma"/>
            <family val="2"/>
          </rPr>
          <t xml:space="preserve">
not in EFMA - 
Using Ecoinvent</t>
        </r>
      </text>
    </comment>
    <comment ref="T31" authorId="0" shapeId="0" xr:uid="{00000000-0006-0000-0B00-000022000000}">
      <text>
        <r>
          <rPr>
            <b/>
            <sz val="8"/>
            <color indexed="81"/>
            <rFont val="Tahoma"/>
            <family val="2"/>
          </rPr>
          <t>Jon:</t>
        </r>
        <r>
          <rPr>
            <sz val="8"/>
            <color indexed="81"/>
            <rFont val="Tahoma"/>
            <family val="2"/>
          </rPr>
          <t xml:space="preserve">
not in EFMA - using ecoinvent</t>
        </r>
      </text>
    </comment>
    <comment ref="T32" authorId="0" shapeId="0" xr:uid="{00000000-0006-0000-0B00-000023000000}">
      <text>
        <r>
          <rPr>
            <b/>
            <sz val="8"/>
            <color indexed="81"/>
            <rFont val="Tahoma"/>
            <family val="2"/>
          </rPr>
          <t>Jon:</t>
        </r>
        <r>
          <rPr>
            <sz val="8"/>
            <color indexed="81"/>
            <rFont val="Tahoma"/>
            <family val="2"/>
          </rPr>
          <t xml:space="preserve">
not in EFMA - using ecoinvent</t>
        </r>
      </text>
    </comment>
    <comment ref="T33" authorId="0" shapeId="0" xr:uid="{00000000-0006-0000-0B00-000024000000}">
      <text>
        <r>
          <rPr>
            <b/>
            <sz val="8"/>
            <color indexed="81"/>
            <rFont val="Tahoma"/>
            <family val="2"/>
          </rPr>
          <t>Jon:</t>
        </r>
        <r>
          <rPr>
            <sz val="8"/>
            <color indexed="81"/>
            <rFont val="Tahoma"/>
            <family val="2"/>
          </rPr>
          <t xml:space="preserve">
not in EFMA - using ecoinvent</t>
        </r>
      </text>
    </comment>
    <comment ref="V33" authorId="0" shapeId="0" xr:uid="{00000000-0006-0000-0B00-000025000000}">
      <text>
        <r>
          <rPr>
            <b/>
            <sz val="8"/>
            <color indexed="81"/>
            <rFont val="Tahoma"/>
            <family val="2"/>
          </rPr>
          <t>Jon:</t>
        </r>
        <r>
          <rPr>
            <sz val="8"/>
            <color indexed="81"/>
            <rFont val="Tahoma"/>
            <family val="2"/>
          </rPr>
          <t xml:space="preserve">
Fixed - v362 JH</t>
        </r>
      </text>
    </comment>
    <comment ref="T34" authorId="0" shapeId="0" xr:uid="{00000000-0006-0000-0B00-000026000000}">
      <text>
        <r>
          <rPr>
            <b/>
            <sz val="8"/>
            <color indexed="81"/>
            <rFont val="Tahoma"/>
            <family val="2"/>
          </rPr>
          <t>Jon:</t>
        </r>
        <r>
          <rPr>
            <sz val="8"/>
            <color indexed="81"/>
            <rFont val="Tahoma"/>
            <family val="2"/>
          </rPr>
          <t xml:space="preserve">
This appear genuinely higher in EFMA than the old ecoinvent</t>
        </r>
      </text>
    </comment>
    <comment ref="V34" authorId="0" shapeId="0" xr:uid="{00000000-0006-0000-0B00-000027000000}">
      <text>
        <r>
          <rPr>
            <b/>
            <sz val="8"/>
            <color indexed="81"/>
            <rFont val="Tahoma"/>
            <family val="2"/>
          </rPr>
          <t>Jon:</t>
        </r>
        <r>
          <rPr>
            <sz val="8"/>
            <color indexed="81"/>
            <rFont val="Tahoma"/>
            <family val="2"/>
          </rPr>
          <t xml:space="preserve">
Revised 02/12/11
JH</t>
        </r>
      </text>
    </comment>
    <comment ref="T35" authorId="0" shapeId="0" xr:uid="{00000000-0006-0000-0B00-000028000000}">
      <text>
        <r>
          <rPr>
            <b/>
            <sz val="8"/>
            <color indexed="81"/>
            <rFont val="Tahoma"/>
            <family val="2"/>
          </rPr>
          <t>Jon:</t>
        </r>
        <r>
          <rPr>
            <sz val="8"/>
            <color indexed="81"/>
            <rFont val="Tahoma"/>
            <family val="2"/>
          </rPr>
          <t xml:space="preserve">
not in EFMA - using ecoinvent</t>
        </r>
      </text>
    </comment>
    <comment ref="W35" authorId="0" shapeId="0" xr:uid="{00000000-0006-0000-0B00-000029000000}">
      <text>
        <r>
          <rPr>
            <b/>
            <sz val="8"/>
            <color indexed="81"/>
            <rFont val="Tahoma"/>
            <family val="2"/>
          </rPr>
          <t>Jon:</t>
        </r>
        <r>
          <rPr>
            <sz val="8"/>
            <color indexed="81"/>
            <rFont val="Tahoma"/>
            <family val="2"/>
          </rPr>
          <t xml:space="preserve">
copying ecoinvent</t>
        </r>
      </text>
    </comment>
    <comment ref="T36" authorId="0" shapeId="0" xr:uid="{00000000-0006-0000-0B00-00002A000000}">
      <text>
        <r>
          <rPr>
            <b/>
            <sz val="8"/>
            <color indexed="81"/>
            <rFont val="Tahoma"/>
            <family val="2"/>
          </rPr>
          <t>Jon:</t>
        </r>
        <r>
          <rPr>
            <sz val="8"/>
            <color indexed="81"/>
            <rFont val="Tahoma"/>
            <family val="2"/>
          </rPr>
          <t xml:space="preserve">
not in EFMA - using ecoinvent</t>
        </r>
      </text>
    </comment>
    <comment ref="T37" authorId="0" shapeId="0" xr:uid="{00000000-0006-0000-0B00-00002B000000}">
      <text>
        <r>
          <rPr>
            <b/>
            <sz val="8"/>
            <color indexed="81"/>
            <rFont val="Tahoma"/>
            <family val="2"/>
          </rPr>
          <t>Jon:</t>
        </r>
        <r>
          <rPr>
            <sz val="8"/>
            <color indexed="81"/>
            <rFont val="Tahoma"/>
            <family val="2"/>
          </rPr>
          <t xml:space="preserve">
not in EFMA - using ecoinvent</t>
        </r>
      </text>
    </comment>
    <comment ref="T38" authorId="0" shapeId="0" xr:uid="{00000000-0006-0000-0B00-00002C000000}">
      <text>
        <r>
          <rPr>
            <b/>
            <sz val="8"/>
            <color indexed="81"/>
            <rFont val="Tahoma"/>
            <family val="2"/>
          </rPr>
          <t xml:space="preserve">
Jon:</t>
        </r>
        <r>
          <rPr>
            <sz val="8"/>
            <color indexed="81"/>
            <rFont val="Tahoma"/>
            <family val="2"/>
          </rPr>
          <t xml:space="preserve">
Frank waiting for approval of figures. 
Difficulties presumably surrounding steam credits</t>
        </r>
      </text>
    </comment>
    <comment ref="C41" authorId="1" shapeId="0" xr:uid="{00000000-0006-0000-0B00-00002D000000}">
      <text>
        <r>
          <rPr>
            <b/>
            <sz val="9"/>
            <color indexed="81"/>
            <rFont val="Tahoma"/>
            <family val="2"/>
          </rPr>
          <t>Hillier:</t>
        </r>
        <r>
          <rPr>
            <sz val="9"/>
            <color indexed="81"/>
            <rFont val="Tahoma"/>
            <family val="2"/>
          </rPr>
          <t xml:space="preserve">
Assumed 0. All composting emissions should be accounted for under crop residue management</t>
        </r>
      </text>
    </comment>
    <comment ref="X51" authorId="0" shapeId="0" xr:uid="{00000000-0006-0000-0B00-00002E000000}">
      <text>
        <r>
          <rPr>
            <b/>
            <sz val="8"/>
            <color indexed="81"/>
            <rFont val="Tahoma"/>
            <family val="2"/>
          </rPr>
          <t>Jon:</t>
        </r>
        <r>
          <rPr>
            <sz val="8"/>
            <color indexed="81"/>
            <rFont val="Tahoma"/>
            <family val="2"/>
          </rPr>
          <t xml:space="preserve">
Assumed as pig slurry
</t>
        </r>
      </text>
    </comment>
    <comment ref="X52" authorId="0" shapeId="0" xr:uid="{00000000-0006-0000-0B00-00002F000000}">
      <text>
        <r>
          <rPr>
            <b/>
            <sz val="8"/>
            <color indexed="81"/>
            <rFont val="Tahoma"/>
            <family val="2"/>
          </rPr>
          <t>Jon:</t>
        </r>
        <r>
          <rPr>
            <sz val="8"/>
            <color indexed="81"/>
            <rFont val="Tahoma"/>
            <family val="2"/>
          </rPr>
          <t xml:space="preserve">
Assumed as pig slurry
</t>
        </r>
      </text>
    </comment>
    <comment ref="M106" authorId="2" shapeId="0" xr:uid="{00000000-0006-0000-0B00-000030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R106" authorId="2" shapeId="0" xr:uid="{00000000-0006-0000-0B00-000031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D384" authorId="0" shapeId="0" xr:uid="{00000000-0006-0000-0B00-000032000000}">
      <text>
        <r>
          <rPr>
            <b/>
            <sz val="8"/>
            <color indexed="81"/>
            <rFont val="Tahoma"/>
            <family val="2"/>
          </rPr>
          <t>Jon:</t>
        </r>
        <r>
          <rPr>
            <sz val="8"/>
            <color indexed="81"/>
            <rFont val="Tahoma"/>
            <family val="2"/>
          </rPr>
          <t xml:space="preserve">
assuming dry matter effect is the same as that for manure. Bit flimsy - based on Horwarth 2005</t>
        </r>
      </text>
    </comment>
    <comment ref="C385" authorId="0" shapeId="0" xr:uid="{00000000-0006-0000-0B00-000033000000}">
      <text>
        <r>
          <rPr>
            <b/>
            <sz val="8"/>
            <color indexed="81"/>
            <rFont val="Tahoma"/>
            <family val="2"/>
          </rPr>
          <t>Jon:</t>
        </r>
        <r>
          <rPr>
            <sz val="8"/>
            <color indexed="81"/>
            <rFont val="Tahoma"/>
            <family val="2"/>
          </rPr>
          <t xml:space="preserve">
This is the figure dervied from Smith et al</t>
        </r>
      </text>
    </comment>
    <comment ref="C386" authorId="0" shapeId="0" xr:uid="{00000000-0006-0000-0B00-000034000000}">
      <text>
        <r>
          <rPr>
            <b/>
            <sz val="10"/>
            <color indexed="81"/>
            <rFont val="Tahoma"/>
            <family val="2"/>
          </rPr>
          <t>Jon:</t>
        </r>
        <r>
          <rPr>
            <sz val="10"/>
            <color indexed="81"/>
            <rFont val="Tahoma"/>
            <family val="2"/>
          </rPr>
          <t xml:space="preserve">
This is the figure from smith et al for straw </t>
        </r>
      </text>
    </comment>
    <comment ref="C403" authorId="0" shapeId="0" xr:uid="{00000000-0006-0000-0B00-000035000000}">
      <text>
        <r>
          <rPr>
            <b/>
            <sz val="8"/>
            <color indexed="81"/>
            <rFont val="Tahoma"/>
            <family val="2"/>
          </rPr>
          <t>Jon:</t>
        </r>
        <r>
          <rPr>
            <sz val="8"/>
            <color indexed="81"/>
            <rFont val="Tahoma"/>
            <family val="2"/>
          </rPr>
          <t xml:space="preserve">
This has been modified for v1 1 (367). I could trace the old number</t>
        </r>
      </text>
    </comment>
    <comment ref="D403" authorId="0" shapeId="0" xr:uid="{00000000-0006-0000-0B00-000036000000}">
      <text>
        <r>
          <rPr>
            <b/>
            <sz val="8"/>
            <color indexed="81"/>
            <rFont val="Tahoma"/>
            <family val="2"/>
          </rPr>
          <t>Jon:</t>
        </r>
        <r>
          <rPr>
            <sz val="8"/>
            <color indexed="81"/>
            <rFont val="Tahoma"/>
            <family val="2"/>
          </rPr>
          <t xml:space="preserve">
landfill N2O option assumed as 
unforced composting in CARB - see below</t>
        </r>
      </text>
    </comment>
    <comment ref="E403" authorId="0" shapeId="0" xr:uid="{00000000-0006-0000-0B00-000037000000}">
      <text>
        <r>
          <rPr>
            <b/>
            <sz val="8"/>
            <color indexed="81"/>
            <rFont val="Tahoma"/>
            <family val="2"/>
          </rPr>
          <t>Jon:</t>
        </r>
        <r>
          <rPr>
            <sz val="8"/>
            <color indexed="81"/>
            <rFont val="Tahoma"/>
            <family val="2"/>
          </rPr>
          <t xml:space="preserve">
Dry matter figure</t>
        </r>
      </text>
    </comment>
    <comment ref="C404" authorId="0" shapeId="0" xr:uid="{00000000-0006-0000-0B00-000038000000}">
      <text>
        <r>
          <rPr>
            <b/>
            <sz val="8"/>
            <color indexed="81"/>
            <rFont val="Tahoma"/>
            <family val="2"/>
          </rPr>
          <t>Jon:</t>
        </r>
        <r>
          <rPr>
            <sz val="8"/>
            <color indexed="81"/>
            <rFont val="Tahoma"/>
            <family val="2"/>
          </rPr>
          <t xml:space="preserve">
average o f the two unforced system in CARB analysis</t>
        </r>
      </text>
    </comment>
    <comment ref="D404" authorId="0" shapeId="0" xr:uid="{00000000-0006-0000-0B00-000039000000}">
      <text>
        <r>
          <rPr>
            <b/>
            <sz val="8"/>
            <color indexed="81"/>
            <rFont val="Tahoma"/>
            <family val="2"/>
          </rPr>
          <t>Jon:</t>
        </r>
        <r>
          <rPr>
            <sz val="8"/>
            <color indexed="81"/>
            <rFont val="Tahoma"/>
            <family val="2"/>
          </rPr>
          <t xml:space="preserve">
From CARB</t>
        </r>
      </text>
    </comment>
    <comment ref="E404" authorId="0" shapeId="0" xr:uid="{00000000-0006-0000-0B00-00003A000000}">
      <text>
        <r>
          <rPr>
            <b/>
            <sz val="8"/>
            <color indexed="81"/>
            <rFont val="Tahoma"/>
            <family val="2"/>
          </rPr>
          <t>Jon:</t>
        </r>
        <r>
          <rPr>
            <sz val="8"/>
            <color indexed="81"/>
            <rFont val="Tahoma"/>
            <family val="2"/>
          </rPr>
          <t xml:space="preserve">
Have assume 60 dry matter content of compost- as in fertiliser table above
</t>
        </r>
      </text>
    </comment>
    <comment ref="C405" authorId="0" shapeId="0" xr:uid="{00000000-0006-0000-0B00-00003B000000}">
      <text>
        <r>
          <rPr>
            <b/>
            <sz val="8"/>
            <color indexed="81"/>
            <rFont val="Tahoma"/>
            <family val="2"/>
          </rPr>
          <t>Jon:</t>
        </r>
        <r>
          <rPr>
            <sz val="8"/>
            <color indexed="81"/>
            <rFont val="Tahoma"/>
            <family val="2"/>
          </rPr>
          <t xml:space="preserve">
average o f the two forced system in CARB analysis</t>
        </r>
      </text>
    </comment>
    <comment ref="E405" authorId="0" shapeId="0" xr:uid="{00000000-0006-0000-0B00-00003C000000}">
      <text>
        <r>
          <rPr>
            <b/>
            <sz val="8"/>
            <color indexed="81"/>
            <rFont val="Tahoma"/>
            <family val="2"/>
          </rPr>
          <t>Jon:</t>
        </r>
        <r>
          <rPr>
            <sz val="8"/>
            <color indexed="81"/>
            <rFont val="Tahoma"/>
            <family val="2"/>
          </rPr>
          <t xml:space="preserve">
Have assume 60 dry matter content of compost- as in fertiliser table above
</t>
        </r>
      </text>
    </comment>
    <comment ref="C406" authorId="0" shapeId="0" xr:uid="{00000000-0006-0000-0B00-00003D000000}">
      <text>
        <r>
          <rPr>
            <b/>
            <sz val="8"/>
            <color indexed="81"/>
            <rFont val="Tahoma"/>
            <family val="2"/>
          </rPr>
          <t>Jon:</t>
        </r>
        <r>
          <rPr>
            <sz val="8"/>
            <color indexed="81"/>
            <rFont val="Tahoma"/>
            <family val="2"/>
          </rPr>
          <t xml:space="preserve">
V4, C11 - no methane from residue incorporation</t>
        </r>
      </text>
    </comment>
    <comment ref="E407" authorId="0" shapeId="0" xr:uid="{00000000-0006-0000-0B00-00003E000000}">
      <text>
        <r>
          <rPr>
            <b/>
            <sz val="8"/>
            <color indexed="81"/>
            <rFont val="Tahoma"/>
            <family val="2"/>
          </rPr>
          <t>Jon:</t>
        </r>
        <r>
          <rPr>
            <sz val="8"/>
            <color indexed="81"/>
            <rFont val="Tahoma"/>
            <family val="2"/>
          </rPr>
          <t xml:space="preserve">
Dry matter figure</t>
        </r>
      </text>
    </comment>
    <comment ref="D414" authorId="0" shapeId="0" xr:uid="{00000000-0006-0000-0B00-00003F000000}">
      <text>
        <r>
          <rPr>
            <b/>
            <sz val="8"/>
            <color indexed="81"/>
            <rFont val="Tahoma"/>
            <family val="2"/>
          </rPr>
          <t>Jon:</t>
        </r>
        <r>
          <rPr>
            <sz val="8"/>
            <color indexed="81"/>
            <rFont val="Tahoma"/>
            <family val="2"/>
          </rPr>
          <t xml:space="preserve">
This is correct for dry weight</t>
        </r>
      </text>
    </comment>
    <comment ref="I425" authorId="0" shapeId="0" xr:uid="{00000000-0006-0000-0B00-000040000000}">
      <text>
        <r>
          <rPr>
            <b/>
            <sz val="8"/>
            <color indexed="81"/>
            <rFont val="Tahoma"/>
            <family val="2"/>
          </rPr>
          <t>Jon:</t>
        </r>
        <r>
          <rPr>
            <sz val="8"/>
            <color indexed="81"/>
            <rFont val="Tahoma"/>
            <family val="2"/>
          </rPr>
          <t xml:space="preserve">
I use 1 if not available</t>
        </r>
      </text>
    </comment>
    <comment ref="J425" authorId="0" shapeId="0" xr:uid="{00000000-0006-0000-0B00-000041000000}">
      <text>
        <r>
          <rPr>
            <b/>
            <sz val="8"/>
            <color indexed="81"/>
            <rFont val="Tahoma"/>
            <family val="2"/>
          </rPr>
          <t>Jon:</t>
        </r>
        <r>
          <rPr>
            <sz val="8"/>
            <color indexed="81"/>
            <rFont val="Tahoma"/>
            <family val="2"/>
          </rPr>
          <t xml:space="preserve">
I use 0 if not available</t>
        </r>
      </text>
    </comment>
    <comment ref="K425" authorId="0" shapeId="0" xr:uid="{00000000-0006-0000-0B00-000042000000}">
      <text/>
    </comment>
    <comment ref="F426" authorId="0" shapeId="0" xr:uid="{00000000-0006-0000-0B00-000043000000}">
      <text>
        <r>
          <rPr>
            <b/>
            <sz val="8"/>
            <color indexed="81"/>
            <rFont val="Tahoma"/>
            <family val="2"/>
          </rPr>
          <t>Jon:</t>
        </r>
        <r>
          <rPr>
            <sz val="8"/>
            <color indexed="81"/>
            <rFont val="Tahoma"/>
            <family val="2"/>
          </rPr>
          <t xml:space="preserve">
litter losses</t>
        </r>
      </text>
    </comment>
    <comment ref="B429" authorId="0" shapeId="0" xr:uid="{00000000-0006-0000-0B00-000044000000}">
      <text>
        <r>
          <rPr>
            <b/>
            <sz val="8"/>
            <color indexed="81"/>
            <rFont val="Tahoma"/>
            <family val="2"/>
          </rPr>
          <t>Jon:</t>
        </r>
        <r>
          <rPr>
            <sz val="8"/>
            <color indexed="81"/>
            <rFont val="Tahoma"/>
            <family val="2"/>
          </rPr>
          <t xml:space="preserve">
assumed as grass-clover mix</t>
        </r>
      </text>
    </comment>
    <comment ref="B430" authorId="0" shapeId="0" xr:uid="{00000000-0006-0000-0B00-000045000000}">
      <text>
        <r>
          <rPr>
            <b/>
            <sz val="8"/>
            <color indexed="81"/>
            <rFont val="Tahoma"/>
            <family val="2"/>
          </rPr>
          <t>Jon:</t>
        </r>
        <r>
          <rPr>
            <sz val="8"/>
            <color indexed="81"/>
            <rFont val="Tahoma"/>
            <family val="2"/>
          </rPr>
          <t xml:space="preserve">
No data - assumed as tree crop</t>
        </r>
      </text>
    </comment>
    <comment ref="I430" authorId="0" shapeId="0" xr:uid="{00000000-0006-0000-0B00-000046000000}">
      <text>
        <r>
          <rPr>
            <b/>
            <sz val="8"/>
            <color indexed="81"/>
            <rFont val="Tahoma"/>
            <family val="2"/>
          </rPr>
          <t>Jon:</t>
        </r>
        <r>
          <rPr>
            <sz val="8"/>
            <color indexed="81"/>
            <rFont val="Tahoma"/>
            <family val="2"/>
          </rPr>
          <t xml:space="preserve">
In tree crops this refers to leaf litter only so there is no "beow ground" residue</t>
        </r>
      </text>
    </comment>
    <comment ref="B431" authorId="3" shapeId="0" xr:uid="{00000000-0006-0000-0B00-000047000000}">
      <text>
        <r>
          <rPr>
            <b/>
            <sz val="9"/>
            <color indexed="81"/>
            <rFont val="Tahoma"/>
            <family val="2"/>
          </rPr>
          <t>Christina:</t>
        </r>
        <r>
          <rPr>
            <sz val="9"/>
            <color indexed="81"/>
            <rFont val="Tahoma"/>
            <family val="2"/>
          </rPr>
          <t xml:space="preserve">
temporary inclusion </t>
        </r>
      </text>
    </comment>
    <comment ref="I432" authorId="0" shapeId="0" xr:uid="{00000000-0006-0000-0B00-000048000000}">
      <text>
        <r>
          <rPr>
            <b/>
            <sz val="8"/>
            <color indexed="81"/>
            <rFont val="Tahoma"/>
            <family val="2"/>
          </rPr>
          <t>Jon:</t>
        </r>
        <r>
          <rPr>
            <sz val="8"/>
            <color indexed="81"/>
            <rFont val="Tahoma"/>
            <family val="2"/>
          </rPr>
          <t xml:space="preserve">
Assumed as soyabean</t>
        </r>
      </text>
    </comment>
    <comment ref="I441" authorId="0" shapeId="0" xr:uid="{00000000-0006-0000-0B00-000049000000}">
      <text>
        <r>
          <rPr>
            <b/>
            <sz val="8"/>
            <color indexed="81"/>
            <rFont val="Tahoma"/>
            <family val="2"/>
          </rPr>
          <t>Jon:</t>
        </r>
        <r>
          <rPr>
            <sz val="8"/>
            <color indexed="81"/>
            <rFont val="Tahoma"/>
            <family val="2"/>
          </rPr>
          <t xml:space="preserve">
average of grains</t>
        </r>
      </text>
    </comment>
    <comment ref="E446" authorId="0" shapeId="0" xr:uid="{00000000-0006-0000-0B00-00004A000000}">
      <text>
        <r>
          <rPr>
            <b/>
            <sz val="8"/>
            <color indexed="81"/>
            <rFont val="Tahoma"/>
            <family val="2"/>
          </rPr>
          <t>Jon:</t>
        </r>
        <r>
          <rPr>
            <sz val="8"/>
            <color indexed="81"/>
            <rFont val="Tahoma"/>
            <family val="2"/>
          </rPr>
          <t xml:space="preserve">
Temporary assumption</t>
        </r>
      </text>
    </comment>
    <comment ref="G446" authorId="0" shapeId="0" xr:uid="{00000000-0006-0000-0B00-00004B000000}">
      <text>
        <r>
          <rPr>
            <b/>
            <sz val="8"/>
            <color indexed="81"/>
            <rFont val="Tahoma"/>
            <family val="2"/>
          </rPr>
          <t>Jon:</t>
        </r>
        <r>
          <rPr>
            <sz val="8"/>
            <color indexed="81"/>
            <rFont val="Tahoma"/>
            <family val="2"/>
          </rPr>
          <t xml:space="preserve">
Daniella's data</t>
        </r>
      </text>
    </comment>
    <comment ref="H446" authorId="0" shapeId="0" xr:uid="{00000000-0006-0000-0B00-00004C000000}">
      <text>
        <r>
          <rPr>
            <b/>
            <sz val="8"/>
            <color indexed="81"/>
            <rFont val="Tahoma"/>
            <family val="2"/>
          </rPr>
          <t>Jon:</t>
        </r>
        <r>
          <rPr>
            <sz val="8"/>
            <color indexed="81"/>
            <rFont val="Tahoma"/>
            <family val="2"/>
          </rPr>
          <t xml:space="preserve">
temporary assumption</t>
        </r>
      </text>
    </comment>
    <comment ref="I447" authorId="0" shapeId="0" xr:uid="{00000000-0006-0000-0B00-00004D000000}">
      <text>
        <r>
          <rPr>
            <b/>
            <sz val="8"/>
            <color indexed="81"/>
            <rFont val="Tahoma"/>
            <family val="2"/>
          </rPr>
          <t>Jon:</t>
        </r>
        <r>
          <rPr>
            <sz val="8"/>
            <color indexed="81"/>
            <rFont val="Tahoma"/>
            <family val="2"/>
          </rPr>
          <t xml:space="preserve">
In tree crops this refers to leaf litter only so there is no "beow ground" residue</t>
        </r>
      </text>
    </comment>
    <comment ref="E448" authorId="0" shapeId="0" xr:uid="{00000000-0006-0000-0B00-00004E000000}">
      <text>
        <r>
          <rPr>
            <sz val="8"/>
            <color indexed="81"/>
            <rFont val="Tahoma"/>
            <family val="2"/>
          </rPr>
          <t>Derived from De Neve &amp; Hofman 1996 for Broccoli</t>
        </r>
      </text>
    </comment>
    <comment ref="F448" authorId="0" shapeId="0" xr:uid="{00000000-0006-0000-0B00-00004F000000}">
      <text>
        <r>
          <rPr>
            <sz val="8"/>
            <color indexed="81"/>
            <rFont val="Tahoma"/>
            <family val="2"/>
          </rPr>
          <t>As "Other legume", but factoring 
in rough figure for dry matter content of residues</t>
        </r>
      </text>
    </comment>
    <comment ref="G448" authorId="0" shapeId="0" xr:uid="{00000000-0006-0000-0B00-000050000000}">
      <text>
        <r>
          <rPr>
            <sz val="8"/>
            <color indexed="81"/>
            <rFont val="Tahoma"/>
            <family val="2"/>
          </rPr>
          <t>As "Other legume", but factoring 
in rough figure for dry matter content of residues</t>
        </r>
      </text>
    </comment>
    <comment ref="H448" authorId="0" shapeId="0" xr:uid="{00000000-0006-0000-0B00-000051000000}">
      <text>
        <r>
          <rPr>
            <sz val="8"/>
            <color indexed="81"/>
            <rFont val="Tahoma"/>
            <family val="2"/>
          </rPr>
          <t>Derived from De Neve &amp; Hofman 1996 for Broccoli</t>
        </r>
      </text>
    </comment>
    <comment ref="J448" authorId="0" shapeId="0" xr:uid="{00000000-0006-0000-0B00-000052000000}">
      <text>
        <r>
          <rPr>
            <sz val="8"/>
            <color indexed="81"/>
            <rFont val="Tahoma"/>
            <family val="2"/>
          </rPr>
          <t>Derived from De Neve &amp; Hofman 1996 for Broccoli</t>
        </r>
      </text>
    </comment>
    <comment ref="B454" authorId="0" shapeId="0" xr:uid="{00000000-0006-0000-0B00-000053000000}">
      <text>
        <r>
          <rPr>
            <b/>
            <sz val="8"/>
            <color indexed="81"/>
            <rFont val="Tahoma"/>
            <family val="2"/>
          </rPr>
          <t>Jon:</t>
        </r>
        <r>
          <rPr>
            <sz val="8"/>
            <color indexed="81"/>
            <rFont val="Tahoma"/>
            <family val="2"/>
          </rPr>
          <t xml:space="preserve">
IPCC modelled as peanut</t>
        </r>
      </text>
    </comment>
    <comment ref="B456" authorId="0" shapeId="0" xr:uid="{00000000-0006-0000-0B00-000054000000}">
      <text>
        <r>
          <rPr>
            <b/>
            <sz val="8"/>
            <color indexed="81"/>
            <rFont val="Tahoma"/>
            <family val="2"/>
          </rPr>
          <t>Jon:</t>
        </r>
        <r>
          <rPr>
            <sz val="8"/>
            <color indexed="81"/>
            <rFont val="Tahoma"/>
            <family val="2"/>
          </rPr>
          <t xml:space="preserve">
Values are the averages of all other crops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B17" authorId="0" shapeId="0" xr:uid="{00000000-0006-0000-0C00-000001000000}">
      <text>
        <r>
          <rPr>
            <b/>
            <sz val="8"/>
            <color indexed="81"/>
            <rFont val="Tahoma"/>
            <family val="2"/>
          </rPr>
          <t>Jon:</t>
        </r>
        <r>
          <rPr>
            <sz val="8"/>
            <color indexed="81"/>
            <rFont val="Tahoma"/>
            <family val="2"/>
          </rPr>
          <t xml:space="preserve">
The IPCC value (0.1) seems very large  in relation to passive windrows (0.01). This figure was based on judgement of expert group, but leads to very high CO2 eq emissions from intensive windrow.  We have set it to 2/3 that of passive windrow in line iwth the CARB composting protocol data.</t>
        </r>
      </text>
    </comment>
    <comment ref="O29" authorId="0" shapeId="0" xr:uid="{00000000-0006-0000-0C00-000002000000}">
      <text>
        <r>
          <rPr>
            <b/>
            <sz val="8"/>
            <color indexed="81"/>
            <rFont val="Tahoma"/>
            <family val="2"/>
          </rPr>
          <t>Jon:</t>
        </r>
        <r>
          <rPr>
            <sz val="8"/>
            <color indexed="81"/>
            <rFont val="Tahoma"/>
            <family val="2"/>
          </rPr>
          <t xml:space="preserve">
assumed as 2/3 of that from non-forced, a la CARB</t>
        </r>
      </text>
    </comment>
    <comment ref="P29" authorId="0" shapeId="0" xr:uid="{00000000-0006-0000-0C00-000003000000}">
      <text>
        <r>
          <rPr>
            <b/>
            <sz val="8"/>
            <color indexed="81"/>
            <rFont val="Tahoma"/>
            <family val="2"/>
          </rPr>
          <t>Jon:</t>
        </r>
        <r>
          <rPr>
            <sz val="8"/>
            <color indexed="81"/>
            <rFont val="Tahoma"/>
            <family val="2"/>
          </rPr>
          <t xml:space="preserve">
As IPCC - intensive windrow</t>
        </r>
      </text>
    </comment>
    <comment ref="A80" authorId="0" shapeId="0" xr:uid="{00000000-0006-0000-0C00-000004000000}">
      <text>
        <r>
          <rPr>
            <b/>
            <sz val="8"/>
            <color indexed="81"/>
            <rFont val="Tahoma"/>
            <family val="2"/>
          </rPr>
          <t>Jon:</t>
        </r>
        <r>
          <rPr>
            <sz val="8"/>
            <color indexed="81"/>
            <rFont val="Tahoma"/>
            <family val="2"/>
          </rPr>
          <t xml:space="preserve">
IPCC say not applicable for buffalo - assumed as Western Europe for CFT
</t>
        </r>
      </text>
    </comment>
    <comment ref="A83" authorId="0" shapeId="0" xr:uid="{00000000-0006-0000-0C00-000005000000}">
      <text>
        <r>
          <rPr>
            <b/>
            <sz val="8"/>
            <color indexed="81"/>
            <rFont val="Tahoma"/>
            <family val="2"/>
          </rPr>
          <t>Jon:</t>
        </r>
        <r>
          <rPr>
            <sz val="8"/>
            <color indexed="81"/>
            <rFont val="Tahoma"/>
            <family val="2"/>
          </rPr>
          <t xml:space="preserve">
IPCC say not applicable for buffalo - assumed as Western Europe for CFT
</t>
        </r>
      </text>
    </comment>
    <comment ref="A85" authorId="0" shapeId="0" xr:uid="{00000000-0006-0000-0C00-000006000000}">
      <text>
        <r>
          <rPr>
            <b/>
            <sz val="8"/>
            <color indexed="81"/>
            <rFont val="Tahoma"/>
            <family val="2"/>
          </rPr>
          <t>Jon:</t>
        </r>
        <r>
          <rPr>
            <sz val="8"/>
            <color indexed="81"/>
            <rFont val="Tahoma"/>
            <family val="2"/>
          </rPr>
          <t xml:space="preserve">
IPCC say not applicable for buffalo - assumed as Western Europe for CFT
</t>
        </r>
      </text>
    </comment>
    <comment ref="K138" authorId="1" shapeId="0" xr:uid="{00000000-0006-0000-0C00-000007000000}">
      <text>
        <r>
          <rPr>
            <b/>
            <sz val="8"/>
            <color indexed="81"/>
            <rFont val="Tahoma"/>
            <family val="2"/>
          </rPr>
          <t>Hillier:</t>
        </r>
        <r>
          <rPr>
            <sz val="8"/>
            <color indexed="81"/>
            <rFont val="Tahoma"/>
            <family val="2"/>
          </rPr>
          <t xml:space="preserve">
Assumed as Asia
</t>
        </r>
      </text>
    </comment>
    <comment ref="C175" authorId="1" shapeId="0" xr:uid="{00000000-0006-0000-0C00-000008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B203" authorId="0" shapeId="0" xr:uid="{00000000-0006-0000-0C00-000009000000}">
      <text>
        <r>
          <rPr>
            <b/>
            <sz val="8"/>
            <color indexed="81"/>
            <rFont val="Tahoma"/>
            <family val="2"/>
          </rPr>
          <t>Jon:</t>
        </r>
        <r>
          <rPr>
            <sz val="8"/>
            <color indexed="81"/>
            <rFont val="Tahoma"/>
            <family val="2"/>
          </rPr>
          <t xml:space="preserve">
formula - not value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Jon</author>
  </authors>
  <commentList>
    <comment ref="B25" authorId="0" shapeId="0" xr:uid="{00000000-0006-0000-0D00-000001000000}">
      <text>
        <r>
          <rPr>
            <b/>
            <sz val="8"/>
            <color indexed="81"/>
            <rFont val="Tahoma"/>
            <family val="2"/>
          </rPr>
          <t>Jon:</t>
        </r>
        <r>
          <rPr>
            <sz val="8"/>
            <color indexed="81"/>
            <rFont val="Tahoma"/>
            <family val="2"/>
          </rPr>
          <t xml:space="preserve">
This is used for fertilisers so density is assumed at 11/8.3 (pers.comm Dana Gunders)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s>
  <commentList>
    <comment ref="A8" authorId="0" shapeId="0" xr:uid="{00000000-0006-0000-0E00-000001000000}">
      <text>
        <r>
          <rPr>
            <b/>
            <sz val="8"/>
            <color indexed="81"/>
            <rFont val="Tahoma"/>
            <family val="2"/>
          </rPr>
          <t>Jon:</t>
        </r>
        <r>
          <rPr>
            <sz val="8"/>
            <color indexed="81"/>
            <rFont val="Tahoma"/>
            <family val="2"/>
          </rPr>
          <t xml:space="preserve">
Pensylvaia ag statistics
</t>
        </r>
      </text>
    </comment>
    <comment ref="A9" authorId="0" shapeId="0" xr:uid="{00000000-0006-0000-0E00-000002000000}">
      <text>
        <r>
          <rPr>
            <b/>
            <sz val="8"/>
            <color indexed="81"/>
            <rFont val="Tahoma"/>
            <family val="2"/>
          </rPr>
          <t>Jon:</t>
        </r>
        <r>
          <rPr>
            <sz val="8"/>
            <color indexed="81"/>
            <rFont val="Tahoma"/>
            <family val="2"/>
          </rPr>
          <t xml:space="preserve">
USDA GM study and pensylvania ag statistics
</t>
        </r>
      </text>
    </comment>
    <comment ref="A19" authorId="1" shapeId="0" xr:uid="{00000000-0006-0000-0E00-000003000000}">
      <text>
        <r>
          <rPr>
            <sz val="9"/>
            <color indexed="81"/>
            <rFont val="Tahoma"/>
            <family val="2"/>
          </rPr>
          <t>data for average fertilizer use compiled from the individual crop studies available from this IFA source.</t>
        </r>
      </text>
    </comment>
    <comment ref="E20" authorId="1" shapeId="0" xr:uid="{00000000-0006-0000-0E00-000004000000}">
      <text>
        <r>
          <rPr>
            <sz val="9"/>
            <color indexed="81"/>
            <rFont val="Tahoma"/>
            <family val="2"/>
          </rPr>
          <t>from IJAS paper per j.hillier</t>
        </r>
      </text>
    </comment>
    <comment ref="F20" authorId="1" shapeId="0" xr:uid="{00000000-0006-0000-0E00-000005000000}">
      <text>
        <r>
          <rPr>
            <sz val="9"/>
            <color indexed="81"/>
            <rFont val="Tahoma"/>
            <family val="2"/>
          </rPr>
          <t>assuming 2.5 applications pesticide average annually</t>
        </r>
      </text>
    </comment>
    <comment ref="E27" authorId="1" shapeId="0" xr:uid="{00000000-0006-0000-0E00-000006000000}">
      <text>
        <r>
          <rPr>
            <sz val="9"/>
            <color indexed="81"/>
            <rFont val="Tahoma"/>
            <family val="2"/>
          </rPr>
          <t>1% added nitrogen is emitted as N20</t>
        </r>
      </text>
    </comment>
    <comment ref="F27" authorId="1" shapeId="0" xr:uid="{00000000-0006-0000-0E00-000007000000}">
      <text>
        <r>
          <rPr>
            <sz val="9"/>
            <color indexed="81"/>
            <rFont val="Tahoma"/>
            <family val="2"/>
          </rPr>
          <t>Averages wherever appropriate</t>
        </r>
      </text>
    </comment>
    <comment ref="G27" authorId="1" shapeId="0" xr:uid="{00000000-0006-0000-0E00-000008000000}">
      <text>
        <r>
          <rPr>
            <sz val="9"/>
            <color indexed="81"/>
            <rFont val="Tahoma"/>
            <family val="2"/>
          </rPr>
          <t>Includes N2O emissions</t>
        </r>
      </text>
    </comment>
    <comment ref="H27" authorId="1" shapeId="0" xr:uid="{00000000-0006-0000-0E00-000009000000}">
      <text>
        <r>
          <rPr>
            <sz val="9"/>
            <color indexed="81"/>
            <rFont val="Tahoma"/>
            <family val="2"/>
          </rPr>
          <t>Fertilizer production, application, and N2O emissions factor</t>
        </r>
      </text>
    </comment>
    <comment ref="I27" authorId="1" shapeId="0" xr:uid="{00000000-0006-0000-0E00-00000A000000}">
      <text>
        <r>
          <rPr>
            <sz val="9"/>
            <color indexed="81"/>
            <rFont val="Tahoma"/>
            <family val="2"/>
          </rPr>
          <t>Including non-fertilizer emissions from operations and pesticides and herbicides</t>
        </r>
      </text>
    </comment>
    <comment ref="I29" authorId="1" shapeId="0" xr:uid="{00000000-0006-0000-0E00-00000B000000}">
      <text>
        <r>
          <rPr>
            <sz val="9"/>
            <color indexed="81"/>
            <rFont val="Tahoma"/>
            <family val="2"/>
          </rPr>
          <t>As for production of limestone</t>
        </r>
      </text>
    </comment>
    <comment ref="I59" authorId="1" shapeId="0" xr:uid="{00000000-0006-0000-0E00-00000C000000}">
      <text>
        <r>
          <rPr>
            <sz val="9"/>
            <color indexed="81"/>
            <rFont val="Tahoma"/>
            <family val="2"/>
          </rPr>
          <t>average emissions across all feed components on this list.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9" authorId="0" shapeId="0" xr:uid="{00000000-0006-0000-0F00-000001000000}">
      <text>
        <r>
          <rPr>
            <sz val="9"/>
            <color indexed="81"/>
            <rFont val="Tahoma"/>
            <family val="2"/>
          </rPr>
          <t>If your fertiliser is listed as N-P-K 10-15-5 (for example) you would enter the numbers 10, 15, and 5 in the cells to the right (asking for the compound amounts, not elemental).</t>
        </r>
      </text>
    </comment>
    <comment ref="I9" authorId="0" shapeId="0" xr:uid="{00000000-0006-0000-0F00-000002000000}">
      <text>
        <r>
          <rPr>
            <sz val="9"/>
            <color indexed="81"/>
            <rFont val="Tahoma"/>
            <family val="2"/>
          </rPr>
          <t>These are based on our data for the type of fertiliser you selected. If this reflects your fertiliser, you don't need to take further action. If your proportions of N, P2O5 (the "P" value) and K2O ("K" value) are different, enter those values in the light orange cells to the left.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175" authorId="0" shapeId="0" xr:uid="{00000000-0006-0000-1000-000001000000}">
      <text>
        <r>
          <rPr>
            <b/>
            <sz val="9"/>
            <color indexed="81"/>
            <rFont val="Tahoma"/>
            <family val="2"/>
          </rPr>
          <t>Christina:</t>
        </r>
        <r>
          <rPr>
            <sz val="9"/>
            <color indexed="81"/>
            <rFont val="Tahoma"/>
            <family val="2"/>
          </rPr>
          <t xml:space="preserve">
tomato harvester - note this is out of order</t>
        </r>
      </text>
    </comment>
    <comment ref="C326" authorId="0" shapeId="0" xr:uid="{00000000-0006-0000-1000-000002000000}">
      <text>
        <r>
          <rPr>
            <b/>
            <sz val="9"/>
            <color indexed="81"/>
            <rFont val="Tahoma"/>
            <family val="2"/>
          </rPr>
          <t>Christina:</t>
        </r>
        <r>
          <rPr>
            <sz val="9"/>
            <color indexed="81"/>
            <rFont val="Tahoma"/>
            <family val="2"/>
          </rPr>
          <t xml:space="preserve">
nothing there anymore</t>
        </r>
      </text>
    </comment>
  </commentList>
</comments>
</file>

<file path=xl/sharedStrings.xml><?xml version="1.0" encoding="utf-8"?>
<sst xmlns="http://schemas.openxmlformats.org/spreadsheetml/2006/main" count="6040" uniqueCount="2105">
  <si>
    <t>Activity</t>
  </si>
  <si>
    <t>Lactating cows</t>
  </si>
  <si>
    <t>Milk production</t>
  </si>
  <si>
    <t>Fat content of milk%</t>
  </si>
  <si>
    <t xml:space="preserve"> - Nigeria</t>
  </si>
  <si>
    <t>emissions (C-equiv) = 78.8 + 2.74 * N</t>
  </si>
  <si>
    <t>converting to CO2 equiv</t>
  </si>
  <si>
    <t>defined by data entry</t>
  </si>
  <si>
    <t>fertiliser production</t>
  </si>
  <si>
    <t>emissions (CO2-equiv) = 288.93 + 10.04 * N</t>
  </si>
  <si>
    <t>diameter at breast height</t>
  </si>
  <si>
    <t>this year</t>
  </si>
  <si>
    <t>last year</t>
  </si>
  <si>
    <t>palm(Chrysophylla sp)</t>
  </si>
  <si>
    <t>palm (Attalea cohune)</t>
  </si>
  <si>
    <t>palm (Sabal sp)</t>
  </si>
  <si>
    <t>N to N2O conversion</t>
    <phoneticPr fontId="3" type="noConversion"/>
  </si>
  <si>
    <t>7.3 &lt; pH &lt;= 8.5</t>
  </si>
  <si>
    <t>24 &lt; CEC &lt;= 32</t>
  </si>
  <si>
    <t>Temperate-Dry</t>
  </si>
  <si>
    <t>pH &gt; 8.5</t>
  </si>
  <si>
    <t>This approximate model has been derived using ASABE technical data</t>
  </si>
  <si>
    <t>Fuel type</t>
  </si>
  <si>
    <t>Diesel</t>
  </si>
  <si>
    <t>Number of operations</t>
  </si>
  <si>
    <t>Methane from enteric digestion is, of course, naturally higher for some species (ruminants) than other, in which cases changes to diet will affect this.</t>
  </si>
  <si>
    <t>10.32 &lt; SOM</t>
  </si>
  <si>
    <t>coulter</t>
  </si>
  <si>
    <t>disc gang</t>
  </si>
  <si>
    <t>row crop cultivator</t>
  </si>
  <si>
    <t>row crop planter</t>
  </si>
  <si>
    <t>subsoiler</t>
  </si>
  <si>
    <t>Asia, insular (&gt; 20 yr)</t>
  </si>
  <si>
    <t>Carbon storage in system</t>
  </si>
  <si>
    <t>Soil C</t>
  </si>
  <si>
    <t xml:space="preserve"> - Sudan</t>
  </si>
  <si>
    <t>cumulative at 20 years</t>
  </si>
  <si>
    <t>cumulative so far with percentage conversion</t>
  </si>
  <si>
    <t>This requires crop area (GeneralInfo), harvested product (GeneralInfo), and soil texture (CropManagement) to work</t>
  </si>
  <si>
    <t>Arable to Grassland</t>
  </si>
  <si>
    <t>Note:  N-P-K ratios are typically actually N-P2O5-K2O ratios. To convert P2O5 to P multiply by 0.44 (e.g. 10 lbs P2O5 applied x 0.44 = 4.4 lbs P applied). Similarly convert K2O to K by mulitplying by 0.83 (e.g. 10 lbs K2O x 0.83 = 8.3 lbs K applied).</t>
  </si>
  <si>
    <t>User defined</t>
  </si>
  <si>
    <t>Tree/bush species 1</t>
  </si>
  <si>
    <t>Tree/bush species 2</t>
  </si>
  <si>
    <t>Tree/bush species 3</t>
  </si>
  <si>
    <t>Tree/bush species 4</t>
  </si>
  <si>
    <t>Tree/bush species 5</t>
  </si>
  <si>
    <t>Tree/bush species 6</t>
  </si>
  <si>
    <t>Tree/bush species 7</t>
  </si>
  <si>
    <t>Tree/bush species 8</t>
  </si>
  <si>
    <t>Tree/bush species 9</t>
  </si>
  <si>
    <t>Tree/bush species 10</t>
  </si>
  <si>
    <t>Fossil Fuels (energy density)</t>
  </si>
  <si>
    <t>Fossil Fuels (emissions per MJ)</t>
  </si>
  <si>
    <t>Fossil fuels (Emissions per litre)</t>
  </si>
  <si>
    <t>Biomass (energy density)</t>
  </si>
  <si>
    <t>Biomass (emissions per MJ)</t>
  </si>
  <si>
    <t>% National/State Renewables</t>
  </si>
  <si>
    <t>Summary comments</t>
  </si>
  <si>
    <t>Sub-Totals, background</t>
  </si>
  <si>
    <t>Sub-Totals, FIE</t>
  </si>
  <si>
    <t>Of which background</t>
  </si>
  <si>
    <t>Of which FIE</t>
  </si>
  <si>
    <t>Propane</t>
  </si>
  <si>
    <t>emission per Mj</t>
  </si>
  <si>
    <t>kg CO2-eq/unit</t>
  </si>
  <si>
    <t>MJs</t>
  </si>
  <si>
    <t>Liquid Propane</t>
  </si>
  <si>
    <t>Liquid propane</t>
  </si>
  <si>
    <t>User defined fertilisers. 1. Name any new fertilizers you wish to define in column A (rows 4-7). 2. Select what fertilizer to base this on from the drop-down list in column B. (as the red color indicates, this is required). 3. Modify the Nutrient concentrations below the table in rows 10-13, columns C, D and/or E. If you know any of the other qualities such as, in the case of compost, the C:N ratios, you may unprotect this page and enter that in the table. The password to unprotect this page is on the first tab. Any new fertilizer you add in rows 4-7 will  appear in the dropdown list on the Crop Management tab.</t>
    <phoneticPr fontId="40" type="noConversion"/>
  </si>
  <si>
    <t>Average annual temperature (if known)</t>
  </si>
  <si>
    <t>according to the 20.5 default pesticide figure this gives a modified model of</t>
  </si>
  <si>
    <t>http://www.fertilizer.org/ifa/Home-Page/LIBRARY/Our-selection2/World-Fertilizer-Use-Manual/by-type-of-crops</t>
  </si>
  <si>
    <t>Fertilizer nutrient</t>
  </si>
  <si>
    <t>From EIA 2009 data for countries/regions. From US EPA EGRID for US state emissions factors.</t>
  </si>
  <si>
    <t>Quantity of waste water produced annually</t>
  </si>
  <si>
    <t>Assumed as diesel - if you have more accurate factors include them in cell S12.</t>
  </si>
  <si>
    <t>Assumed as petrol - if you have more accurate factors include them in cell S11.</t>
  </si>
  <si>
    <t>Bouwman index for N2O</t>
  </si>
  <si>
    <t>Older tech</t>
  </si>
  <si>
    <t>kg CO2-eq per kg fertilizer nutrient produced</t>
  </si>
  <si>
    <t>Assumed dry matter intake per head per day</t>
  </si>
  <si>
    <t xml:space="preserve"> - Portugal</t>
  </si>
  <si>
    <t>livestock feed</t>
  </si>
  <si>
    <t>livestock residues</t>
  </si>
  <si>
    <t>primary processing</t>
  </si>
  <si>
    <t>waste water</t>
  </si>
  <si>
    <t>off-farm transport</t>
  </si>
  <si>
    <t>fertiliser application</t>
  </si>
  <si>
    <t>paddy methane</t>
  </si>
  <si>
    <t>pesticides</t>
  </si>
  <si>
    <t>crop residue management</t>
  </si>
  <si>
    <t>carbon stock changes</t>
  </si>
  <si>
    <t>livestock enteric emissions</t>
  </si>
  <si>
    <t>livestock manure management</t>
  </si>
  <si>
    <t>% emissions</t>
  </si>
  <si>
    <t>Machinery operations</t>
  </si>
  <si>
    <t>Machinery emissions</t>
  </si>
  <si>
    <t>emissions</t>
  </si>
  <si>
    <t>Current biomass (kg per plant)</t>
  </si>
  <si>
    <t>Previous biomass (kg per plant)</t>
  </si>
  <si>
    <t>Losses</t>
  </si>
  <si>
    <t>Transport</t>
  </si>
  <si>
    <t>Shipping</t>
  </si>
  <si>
    <t>total</t>
  </si>
  <si>
    <t>Annual totals</t>
  </si>
  <si>
    <t>non-lactating cows</t>
  </si>
  <si>
    <t>cattle</t>
  </si>
  <si>
    <t>Zero</t>
  </si>
  <si>
    <t>immature</t>
  </si>
  <si>
    <t>non-lactating</t>
  </si>
  <si>
    <t>lactating</t>
  </si>
  <si>
    <t>castrates</t>
  </si>
  <si>
    <t>daily weight gain</t>
  </si>
  <si>
    <t>bulls</t>
  </si>
  <si>
    <t>Emissions CO2-equiv</t>
  </si>
  <si>
    <t>FYM applied</t>
  </si>
  <si>
    <t>Grass-clover</t>
  </si>
  <si>
    <t>Legume</t>
  </si>
  <si>
    <t>conversion factor from t C to kgs CO2</t>
  </si>
  <si>
    <t xml:space="preserve"> - The former Yugoslav Republic of Macedonia</t>
  </si>
  <si>
    <t xml:space="preserve"> - Ukraine</t>
  </si>
  <si>
    <t>Rest of Europe</t>
  </si>
  <si>
    <t xml:space="preserve"> - Austria</t>
  </si>
  <si>
    <t xml:space="preserve"> - Belgium</t>
  </si>
  <si>
    <t>tooth harrow</t>
  </si>
  <si>
    <t>US states electricity</t>
  </si>
  <si>
    <t>total emissions</t>
  </si>
  <si>
    <t>CONVERSION to MJ</t>
  </si>
  <si>
    <t>Litres of fuel</t>
  </si>
  <si>
    <t>MJs of fuel</t>
  </si>
  <si>
    <t>CO2 emissions</t>
  </si>
  <si>
    <t>mj/kg</t>
  </si>
  <si>
    <t>emissions, CO2 eq</t>
  </si>
  <si>
    <t>Fuel use per ha</t>
  </si>
  <si>
    <t>Fine soil, diesel</t>
  </si>
  <si>
    <t>Medium soil, diesel</t>
  </si>
  <si>
    <t>Course soild, diesel</t>
  </si>
  <si>
    <t>Sine soil, petrol</t>
  </si>
  <si>
    <t>Medium soil, petrol</t>
  </si>
  <si>
    <t>Course soil, petrol</t>
  </si>
  <si>
    <t>Production area</t>
  </si>
  <si>
    <t>Fuel type index</t>
  </si>
  <si>
    <t>litres or gallons</t>
  </si>
  <si>
    <t>fuel use in litres</t>
  </si>
  <si>
    <t>Litrer of fuel</t>
  </si>
  <si>
    <t>Quantity in litres</t>
  </si>
  <si>
    <t>Oxygen demand in kg/litre</t>
  </si>
  <si>
    <t>Methane conversion factore</t>
  </si>
  <si>
    <t>Treatment method</t>
  </si>
  <si>
    <t>Harvesting</t>
  </si>
  <si>
    <t>Baler</t>
  </si>
  <si>
    <t>Beet harvester</t>
  </si>
  <si>
    <t xml:space="preserve">combine </t>
  </si>
  <si>
    <t>cotton picker</t>
  </si>
  <si>
    <t>forage harvester</t>
  </si>
  <si>
    <t xml:space="preserve"> dry matter intake can be estimated from the following</t>
  </si>
  <si>
    <t>MANURE MANAGEMENT</t>
  </si>
  <si>
    <t>Numbers</t>
  </si>
  <si>
    <t>OPTIONAL INPUTS</t>
  </si>
  <si>
    <t>Type of grazing if applicable</t>
  </si>
  <si>
    <t>3.f.(1,2)</t>
  </si>
  <si>
    <t>3.g.(1,2)</t>
  </si>
  <si>
    <t>SoilTexture</t>
  </si>
  <si>
    <t>SOC</t>
  </si>
  <si>
    <t>pH</t>
  </si>
  <si>
    <t>CEC</t>
  </si>
  <si>
    <t>Drainage</t>
  </si>
  <si>
    <t>Temp moist</t>
  </si>
  <si>
    <t>Temperate Dry</t>
  </si>
  <si>
    <t>Tropical moist</t>
  </si>
  <si>
    <t>Tropical Dry</t>
  </si>
  <si>
    <t xml:space="preserve"> - Serbia &amp; Montenegro</t>
  </si>
  <si>
    <t xml:space="preserve"> - Slovenia</t>
  </si>
  <si>
    <t>This transport includes:</t>
    <phoneticPr fontId="39" type="noConversion"/>
  </si>
  <si>
    <t>kgs/litre</t>
  </si>
  <si>
    <t>emissions per MJ</t>
  </si>
  <si>
    <t xml:space="preserve"> - Poland</t>
  </si>
  <si>
    <t>kgs CO2 equiv</t>
  </si>
  <si>
    <t>Smith et al 1997 Fym model</t>
  </si>
  <si>
    <t>intercept</t>
  </si>
  <si>
    <t>Fym-IF</t>
  </si>
  <si>
    <t>Coarse</t>
  </si>
  <si>
    <t>tillage factor</t>
  </si>
  <si>
    <t>LUC factor</t>
  </si>
  <si>
    <t>current</t>
  </si>
  <si>
    <t>derived from Ogle assuming reciprocity (e.g arable -&gt; forest = 1/(forest -&gt; arable) OR composition (e.g. red till -&gt; no till = (conv till -&gt; no till) / (conv till -&gt; red till)</t>
  </si>
  <si>
    <t>Emissions factor per pest or herb use in CO2-eq</t>
  </si>
  <si>
    <t>Total emissions - non-fertilizer. Per ha.</t>
  </si>
  <si>
    <t>total for default</t>
  </si>
  <si>
    <t xml:space="preserve">life expectancy </t>
  </si>
  <si>
    <t>days</t>
  </si>
  <si>
    <t>Used (kg CH4 /head/year)</t>
  </si>
  <si>
    <t>Life cycle</t>
  </si>
  <si>
    <t>process</t>
  </si>
  <si>
    <t>Field management emissions</t>
  </si>
  <si>
    <t xml:space="preserve">Electricity used from National Grid. </t>
  </si>
  <si>
    <t>4.a.(1,2)</t>
  </si>
  <si>
    <t>4.b.(1,2)</t>
  </si>
  <si>
    <t>4.c.(1,2)</t>
  </si>
  <si>
    <t>4.d.(1,2)</t>
  </si>
  <si>
    <t>4.e.(1,2)</t>
  </si>
  <si>
    <t>4.f.(1,2)</t>
  </si>
  <si>
    <t>4.g.(1,2)</t>
  </si>
  <si>
    <t>4.h.(1,2)</t>
  </si>
  <si>
    <t>Grid electricity in field</t>
  </si>
  <si>
    <t xml:space="preserve"> - Slovak Republic</t>
  </si>
  <si>
    <t xml:space="preserve"> - Spain</t>
  </si>
  <si>
    <t xml:space="preserve"> - Sweden</t>
  </si>
  <si>
    <t xml:space="preserve"> - Switzerland</t>
  </si>
  <si>
    <t xml:space="preserve"> - Turkey</t>
  </si>
  <si>
    <t xml:space="preserve"> - United Kingdom</t>
  </si>
  <si>
    <t>Africa</t>
  </si>
  <si>
    <t xml:space="preserve"> - Algeria</t>
  </si>
  <si>
    <t xml:space="preserve"> - Angola</t>
  </si>
  <si>
    <t xml:space="preserve"> - Benin</t>
  </si>
  <si>
    <t>N2O EF (dir)</t>
  </si>
  <si>
    <t>indirect N2O</t>
  </si>
  <si>
    <t>Emissions inhibitors</t>
  </si>
  <si>
    <t>N20 emissions inhibitors</t>
  </si>
  <si>
    <t>Nitrification inhibitor</t>
  </si>
  <si>
    <t>http://www.fao.org/DOCREP/004/AB780E/AB780E06.htm</t>
  </si>
  <si>
    <t>Coal Leco</t>
  </si>
  <si>
    <t>N2O inhibitor index</t>
  </si>
  <si>
    <t>Winter barley</t>
  </si>
  <si>
    <t>Yams and Cocoyams</t>
  </si>
  <si>
    <t>Growing phase</t>
  </si>
  <si>
    <t>females</t>
  </si>
  <si>
    <t>None</t>
  </si>
  <si>
    <t>User defined 1</t>
  </si>
  <si>
    <t>User defined 2</t>
  </si>
  <si>
    <t>Electricity from local hydro renewable energy used in factory</t>
  </si>
  <si>
    <t>Electricity from local wind used in factory</t>
  </si>
  <si>
    <t>therms</t>
  </si>
  <si>
    <t>Btu</t>
  </si>
  <si>
    <t>4.i.(1,2)</t>
  </si>
  <si>
    <t>combined CO2-eq emissions</t>
  </si>
  <si>
    <t>Totals/hectare</t>
  </si>
  <si>
    <t>Comments on manure management:</t>
  </si>
  <si>
    <t>Livestock comments</t>
  </si>
  <si>
    <t>Juvenile manure management comments</t>
  </si>
  <si>
    <t>Adult productive manure management comments</t>
  </si>
  <si>
    <t>Tier 1 classification</t>
  </si>
  <si>
    <t>polymer coated</t>
  </si>
  <si>
    <t>N0 emissions inhibitors</t>
  </si>
  <si>
    <t xml:space="preserve"> - Yemen</t>
  </si>
  <si>
    <t>User defined 3</t>
  </si>
  <si>
    <t>User defined 4</t>
  </si>
  <si>
    <t>User defined 5</t>
  </si>
  <si>
    <t>User defined 6</t>
  </si>
  <si>
    <t>Emissions CO2-eq per tonne crop total</t>
  </si>
  <si>
    <t>Yield in tonnes DM per hectare</t>
  </si>
  <si>
    <t>kgs CO2</t>
  </si>
  <si>
    <t>kgs N2O</t>
  </si>
  <si>
    <t>kgs CH4</t>
  </si>
  <si>
    <t>Conversion figures for Transport and Fuel</t>
  </si>
  <si>
    <t xml:space="preserve">Figures used for converting miles per gallon to litres </t>
  </si>
  <si>
    <t>car</t>
  </si>
  <si>
    <t>petrol</t>
  </si>
  <si>
    <t>mpg</t>
  </si>
  <si>
    <t>diesel</t>
  </si>
  <si>
    <t>hgv</t>
  </si>
  <si>
    <t>rigid</t>
  </si>
  <si>
    <t>Articulated</t>
  </si>
  <si>
    <t>Ref: Transport Statistics Great Britain 2005, Dept for Transport, Published Oct 2005</t>
  </si>
  <si>
    <t>Figures used for converting MJ per litre for fuel use.</t>
  </si>
  <si>
    <t>Conversion figures</t>
  </si>
  <si>
    <t>Ref: University of Strathclyde and HM Treasury</t>
  </si>
  <si>
    <t>Biofuels - Greenhouse Gas emissions</t>
  </si>
  <si>
    <t>Estimated at 50% of fossil alternatives (Email Christof Walter 290108)</t>
  </si>
  <si>
    <t>Emissions from fertilizer: kg CO2-eq per tonne crop</t>
  </si>
  <si>
    <t>Name</t>
  </si>
  <si>
    <t>Rail transport assumptions</t>
    <phoneticPr fontId="67" type="noConversion"/>
  </si>
  <si>
    <t>open grazing</t>
  </si>
  <si>
    <t>Food energy density</t>
  </si>
  <si>
    <t>GHG Protocol website</t>
  </si>
  <si>
    <t>US Gallons</t>
  </si>
  <si>
    <t>Imperial Gallons</t>
  </si>
  <si>
    <t>REF</t>
  </si>
  <si>
    <t xml:space="preserve"> - Latvia</t>
  </si>
  <si>
    <t xml:space="preserve"> - Lithuania</t>
  </si>
  <si>
    <t xml:space="preserve"> - Moldova</t>
  </si>
  <si>
    <t>High input (e.g. organic manure)</t>
  </si>
  <si>
    <t>High input with amendments</t>
  </si>
  <si>
    <t>Rice Only (if applicable)</t>
  </si>
  <si>
    <t>direct from Ogle</t>
  </si>
  <si>
    <t>Central and Eastern Europe</t>
  </si>
  <si>
    <t xml:space="preserve"> - Albania</t>
  </si>
  <si>
    <t xml:space="preserve"> - Belarus</t>
  </si>
  <si>
    <t xml:space="preserve"> - Bosnia &amp; Herzegovina</t>
  </si>
  <si>
    <t xml:space="preserve"> - Bulgaria</t>
  </si>
  <si>
    <t xml:space="preserve"> - Croatia</t>
  </si>
  <si>
    <t xml:space="preserve"> - Estonia</t>
  </si>
  <si>
    <t>pounds/acre (US)</t>
  </si>
  <si>
    <t>ounces/ha (US)</t>
  </si>
  <si>
    <t>Anaerobic reactor</t>
  </si>
  <si>
    <t>grams</t>
  </si>
  <si>
    <t>grams/litre</t>
  </si>
  <si>
    <t xml:space="preserve"> - Tanzania United Rep.</t>
  </si>
  <si>
    <t>Anaerobic lagoon - depth &lt; 2m</t>
  </si>
  <si>
    <t>Anaerobic lagoon - depth &gt; 2m</t>
  </si>
  <si>
    <t>Oxygen demand</t>
  </si>
  <si>
    <t>COD</t>
  </si>
  <si>
    <t>BOD</t>
  </si>
  <si>
    <t>Waste water methane</t>
  </si>
  <si>
    <t>Waste water containing organic compounds</t>
  </si>
  <si>
    <t>* assumes well managed - i.e. not overloaded</t>
  </si>
  <si>
    <t>Biochemical (BOD) or chemical (COD) oxygen demand</t>
  </si>
  <si>
    <t>mower-conditioner</t>
  </si>
  <si>
    <t>Estimated emissions</t>
  </si>
  <si>
    <t>rake</t>
  </si>
  <si>
    <t>windrower/swather</t>
  </si>
  <si>
    <t>Total</t>
  </si>
  <si>
    <t xml:space="preserve"> - Romania</t>
  </si>
  <si>
    <t>potato windrower</t>
  </si>
  <si>
    <t xml:space="preserve">Tree species 1 </t>
  </si>
  <si>
    <t>Above ground biomass (Annual)</t>
  </si>
  <si>
    <t>Below ground biomass  (Annual)</t>
  </si>
  <si>
    <t>Total Annual</t>
  </si>
  <si>
    <t>co-product names</t>
  </si>
  <si>
    <t>EDITING THIS DATA WILL AFFECT CALCULATIONS ELSEWHERE IN THE SPREADSHEET!!</t>
  </si>
  <si>
    <t>change in tree numbers</t>
  </si>
  <si>
    <t>Soil emissions from Land Use/Management change</t>
  </si>
  <si>
    <t>Bouwman N2O-model</t>
  </si>
  <si>
    <t>Synth, manure, compost</t>
  </si>
  <si>
    <t>Adult productive phase*</t>
  </si>
  <si>
    <t>Livestock type*</t>
  </si>
  <si>
    <t>3.h.(1,2)</t>
  </si>
  <si>
    <t>3.i.(1,2)</t>
  </si>
  <si>
    <t>Biodiesel Other</t>
  </si>
  <si>
    <t>3.j.(1,2)</t>
  </si>
  <si>
    <t>3.k.(1,2)</t>
  </si>
  <si>
    <t>Bioethanol Other</t>
  </si>
  <si>
    <t>3.l.(1,2)</t>
  </si>
  <si>
    <t>3.m</t>
  </si>
  <si>
    <t>US Gallons fuel used</t>
  </si>
  <si>
    <t>3.n.1</t>
  </si>
  <si>
    <t>3.n.2</t>
  </si>
  <si>
    <t>3.n.3</t>
  </si>
  <si>
    <t>3.n.4</t>
  </si>
  <si>
    <t>3.n.5</t>
  </si>
  <si>
    <t>3.n.6</t>
  </si>
  <si>
    <t>3.n.7</t>
  </si>
  <si>
    <t>Which in turn built on the original Unilever GHG calculator by Helen Bentley-Fox and Christof Walter</t>
  </si>
  <si>
    <t>Dairy cattle</t>
  </si>
  <si>
    <t>Other cattle</t>
  </si>
  <si>
    <t>Swine - pit storage</t>
  </si>
  <si>
    <t>Dairy cow - Liquid slurry</t>
  </si>
  <si>
    <t>emissions kg per ha from pesticides</t>
  </si>
  <si>
    <t xml:space="preserve"> - Zambia</t>
  </si>
  <si>
    <t xml:space="preserve"> - Zimbabwe</t>
  </si>
  <si>
    <t>Middle East</t>
  </si>
  <si>
    <t>Below ground biomass (cumulative)</t>
  </si>
  <si>
    <t>Total Cumulative</t>
  </si>
  <si>
    <t>Residue-IF</t>
  </si>
  <si>
    <t>Crop residue management</t>
  </si>
  <si>
    <t>Amount of residue</t>
  </si>
  <si>
    <t>Method</t>
  </si>
  <si>
    <t>methane</t>
  </si>
  <si>
    <t>nitrous oxide</t>
  </si>
  <si>
    <t>percentage of manure in each system</t>
  </si>
  <si>
    <t>EF CH4 - per head per year</t>
  </si>
  <si>
    <t>F</t>
  </si>
  <si>
    <t>Quantity of waste water produced</t>
  </si>
  <si>
    <t>Soil</t>
  </si>
  <si>
    <t>stopped incorporating</t>
  </si>
  <si>
    <t>no change</t>
  </si>
  <si>
    <t>started adding</t>
  </si>
  <si>
    <t>stopped adding</t>
  </si>
  <si>
    <t>Mass</t>
  </si>
  <si>
    <t>B</t>
  </si>
  <si>
    <t>VS</t>
  </si>
  <si>
    <t>Market Swine</t>
  </si>
  <si>
    <t>Buffalo</t>
  </si>
  <si>
    <t>Other Cattle</t>
  </si>
  <si>
    <t>Dairy Cows</t>
  </si>
  <si>
    <t>N excretion rates</t>
  </si>
  <si>
    <t>Low</t>
  </si>
  <si>
    <t>High</t>
  </si>
  <si>
    <t>Average</t>
  </si>
  <si>
    <t>Average pesticide+herbicide applications per year</t>
  </si>
  <si>
    <t>N to N20 conversion:</t>
    <phoneticPr fontId="12" type="noConversion"/>
  </si>
  <si>
    <t>Emissions estimate for pest and herbicide use annually CO2-eq per ha</t>
  </si>
  <si>
    <t>Nitrogen emissions factor per ha</t>
  </si>
  <si>
    <t>Fertilizer emissions kg per crop per hectare</t>
  </si>
  <si>
    <t>Fertilizer use per crop kg/ha</t>
  </si>
  <si>
    <t>P kg/ha</t>
  </si>
  <si>
    <t>K kg/ha</t>
  </si>
  <si>
    <t>Chickpea</t>
  </si>
  <si>
    <t>Cotton</t>
  </si>
  <si>
    <t>Field Bean [Broad Bean, Faba Bean]</t>
  </si>
  <si>
    <t>Field Pea</t>
  </si>
  <si>
    <t>Fodder Legumes</t>
  </si>
  <si>
    <t>Fodderbeet</t>
  </si>
  <si>
    <t>Groundnut [Peanut]</t>
  </si>
  <si>
    <t>Lentil</t>
  </si>
  <si>
    <t>Oilseed Rape</t>
  </si>
  <si>
    <t>Pigeon pea/cowpea/mungbean</t>
  </si>
  <si>
    <t>Safflower</t>
  </si>
  <si>
    <t>input factor - green manure plus cover crops</t>
  </si>
  <si>
    <t>Tropical Grasses</t>
  </si>
  <si>
    <t>Wheat</t>
  </si>
  <si>
    <t>Temperate Grassland: Permanent Grass and Sown Grass or Leys</t>
  </si>
  <si>
    <t>Temperate Grassland: Grass/Legume Swards</t>
  </si>
  <si>
    <r>
      <t>Very large tanker</t>
    </r>
    <r>
      <rPr>
        <sz val="10"/>
        <rFont val="Arial"/>
        <family val="2"/>
      </rPr>
      <t>: ~100,000 tonnes</t>
    </r>
  </si>
  <si>
    <r>
      <t>Small tanker</t>
    </r>
    <r>
      <rPr>
        <sz val="10"/>
        <rFont val="Arial"/>
        <family val="2"/>
      </rPr>
      <t>: ~1,000 tonnes</t>
    </r>
  </si>
  <si>
    <t>New Content for v 1.0253</t>
  </si>
  <si>
    <t>Rice Data</t>
  </si>
  <si>
    <t>analyses are only available when the relevant input sections are completed.</t>
  </si>
  <si>
    <t>EMISSIONS FROM N FERTILISER APPLICATION</t>
  </si>
  <si>
    <t>Composting - non-forced aeration</t>
  </si>
  <si>
    <t>All data on this sheet is taken from the IPCC method, except for composting MCFs, and N2O.</t>
  </si>
  <si>
    <t>Grazing</t>
  </si>
  <si>
    <t>Assumptions:</t>
    <phoneticPr fontId="39" type="noConversion"/>
  </si>
  <si>
    <t>Transport</t>
    <phoneticPr fontId="67" type="noConversion"/>
  </si>
  <si>
    <t>Truck transport assumptions</t>
    <phoneticPr fontId="67" type="noConversion"/>
  </si>
  <si>
    <t>EMISSIONS ARISING FROM SOIL MANAGEMENT OPTIONS AND LAND USE CHANGE</t>
  </si>
  <si>
    <t>1.i</t>
  </si>
  <si>
    <t>1.j</t>
  </si>
  <si>
    <t>1.k</t>
  </si>
  <si>
    <t>1.l</t>
  </si>
  <si>
    <t>1.m</t>
  </si>
  <si>
    <t>kg CO2/litre</t>
  </si>
  <si>
    <t xml:space="preserve">You may complete whichever sections you have data for, bearing in mind that some of the </t>
  </si>
  <si>
    <t xml:space="preserve"> - Uzbekistan</t>
  </si>
  <si>
    <t>Leaching</t>
  </si>
  <si>
    <t>P2O5</t>
  </si>
  <si>
    <t>K2O</t>
  </si>
  <si>
    <t>MgO</t>
  </si>
  <si>
    <t>Poultry - with litter</t>
  </si>
  <si>
    <t>mature swine</t>
  </si>
  <si>
    <t>growing swine</t>
  </si>
  <si>
    <t>Order</t>
  </si>
  <si>
    <t>Other cattle/buffalo grazing</t>
  </si>
  <si>
    <t>NE</t>
  </si>
  <si>
    <t>High Grain Diet</t>
  </si>
  <si>
    <t>Lambs</t>
  </si>
  <si>
    <t>Moderate quality forage</t>
  </si>
  <si>
    <t>ounces/acre (US)</t>
  </si>
  <si>
    <t>fluid ounces/ha (US)</t>
  </si>
  <si>
    <t>fluid ounces/acre (US)</t>
  </si>
  <si>
    <t>kilograms</t>
  </si>
  <si>
    <t xml:space="preserve">tonnes </t>
  </si>
  <si>
    <t>tons (US, short)</t>
  </si>
  <si>
    <t>litres</t>
  </si>
  <si>
    <t>Conversion factor to tonnes</t>
  </si>
  <si>
    <t>tonnes</t>
  </si>
  <si>
    <t>Average from Audsley Harmonisation 1997</t>
  </si>
  <si>
    <t>Air transport assumptions</t>
    <phoneticPr fontId="67" type="noConversion"/>
  </si>
  <si>
    <t>Ship transport assumptions</t>
    <phoneticPr fontId="67" type="noConversion"/>
  </si>
  <si>
    <t>previous practice/LU is in rows, current in columns</t>
  </si>
  <si>
    <t>Tropical-Dry</t>
  </si>
  <si>
    <t>MethaneN2O correction factor</t>
  </si>
  <si>
    <t xml:space="preserve">kg/kg residue </t>
  </si>
  <si>
    <t>The default (left untreated method) using the IPCC shallow landfill scenario.</t>
  </si>
  <si>
    <t xml:space="preserve">The equation is CH4 = 16/12 * L * DOC * DOCf * MCF * residue amount, using IPCC default values of </t>
  </si>
  <si>
    <t>L</t>
  </si>
  <si>
    <t>DOC</t>
  </si>
  <si>
    <t>DOCf</t>
  </si>
  <si>
    <t>V5 Ch3</t>
  </si>
  <si>
    <t>V5 C3</t>
  </si>
  <si>
    <t>V5 C2</t>
  </si>
  <si>
    <t>Note</t>
  </si>
  <si>
    <t>See below explanation</t>
  </si>
  <si>
    <t>CARB</t>
  </si>
  <si>
    <t>N2O accounted for as an emission from soil</t>
  </si>
  <si>
    <t>V4, C2, table 2.5 (agricultural residues)</t>
  </si>
  <si>
    <t>someone elses problem if it goes off-site</t>
  </si>
  <si>
    <t>redundant</t>
  </si>
  <si>
    <t>See additions for Rice Data at B355</t>
  </si>
  <si>
    <t>1.q(1-5)</t>
  </si>
  <si>
    <t>1.r(1-5)</t>
  </si>
  <si>
    <t>1.s(1-5)</t>
  </si>
  <si>
    <t>1.t(1-5)</t>
  </si>
  <si>
    <t>1.u(1-5)</t>
  </si>
  <si>
    <t>1.v(1-5)</t>
  </si>
  <si>
    <t>1.w</t>
  </si>
  <si>
    <t>no</t>
  </si>
  <si>
    <t>assuming truck weight is 1/3 of laden weight</t>
  </si>
  <si>
    <t>yes - single journey</t>
  </si>
  <si>
    <t>yes - returning empty</t>
  </si>
  <si>
    <t>Sequestration</t>
  </si>
  <si>
    <t>Current age of woodland</t>
  </si>
  <si>
    <t>Change Type</t>
  </si>
  <si>
    <t>Tillage Changes?</t>
  </si>
  <si>
    <t>Organic input changes?</t>
  </si>
  <si>
    <t>3.e.(1,2)</t>
  </si>
  <si>
    <t>Diesel Other</t>
  </si>
  <si>
    <t>N</t>
  </si>
  <si>
    <t>P</t>
  </si>
  <si>
    <t>K</t>
  </si>
  <si>
    <t>potato harvester</t>
  </si>
  <si>
    <r>
      <t>Very large bulk carrier</t>
    </r>
    <r>
      <rPr>
        <sz val="10"/>
        <rFont val="Arial"/>
        <family val="2"/>
      </rPr>
      <t>: ~70,000 tonnes</t>
    </r>
  </si>
  <si>
    <t xml:space="preserve"> units </t>
  </si>
  <si>
    <t>add vehicle weight?</t>
  </si>
  <si>
    <t>Not flooded pre-season (for less than 180 days)</t>
  </si>
  <si>
    <t>Number of animals*</t>
  </si>
  <si>
    <t>Adult non-productive phase</t>
  </si>
  <si>
    <t>Life cycle or snapshot</t>
  </si>
  <si>
    <t>Snapshot</t>
  </si>
  <si>
    <t>Non-prod</t>
  </si>
  <si>
    <t>Co-product 1</t>
  </si>
  <si>
    <t>Co-product 2</t>
  </si>
  <si>
    <t>Co-product 3</t>
  </si>
  <si>
    <t>Non-productive adults</t>
  </si>
  <si>
    <t>3.a.(1,2)</t>
  </si>
  <si>
    <t>3.b.(1,2)</t>
  </si>
  <si>
    <t>3.c.(1,2)</t>
  </si>
  <si>
    <t>3.d.(1,2)</t>
  </si>
  <si>
    <t>Breeding Swine</t>
  </si>
  <si>
    <t>hens</t>
  </si>
  <si>
    <t>pullets</t>
  </si>
  <si>
    <t>other chickens</t>
  </si>
  <si>
    <t>broilers</t>
  </si>
  <si>
    <t>turkeys</t>
  </si>
  <si>
    <t>ducks</t>
  </si>
  <si>
    <t>sheep</t>
  </si>
  <si>
    <t>Petrol Other</t>
  </si>
  <si>
    <t>index key for Fert</t>
  </si>
  <si>
    <t>straw</t>
  </si>
  <si>
    <r>
      <t>Small container vessel</t>
    </r>
    <r>
      <rPr>
        <sz val="10"/>
        <rFont val="Arial"/>
        <family val="2"/>
      </rPr>
      <t>: ~ 2,500 tonnes</t>
    </r>
  </si>
  <si>
    <r>
      <t>Large container vessel</t>
    </r>
    <r>
      <rPr>
        <sz val="10"/>
        <rFont val="Arial"/>
        <family val="2"/>
      </rPr>
      <t>: ~20,000 tonnes</t>
    </r>
  </si>
  <si>
    <t xml:space="preserve"> - Togo</t>
  </si>
  <si>
    <t xml:space="preserve"> - Tunisia</t>
  </si>
  <si>
    <t xml:space="preserve"> - Bahrain</t>
  </si>
  <si>
    <t xml:space="preserve"> - Iran Islamic Rep.</t>
  </si>
  <si>
    <t xml:space="preserve"> - Iraq</t>
  </si>
  <si>
    <t>Tropical</t>
  </si>
  <si>
    <t>Temperate</t>
  </si>
  <si>
    <t>Moist</t>
  </si>
  <si>
    <t>Dry</t>
  </si>
  <si>
    <t>Soil moisture*</t>
  </si>
  <si>
    <t>Above ground biomass (cumulative)</t>
  </si>
  <si>
    <t>Percentage of land with practice change</t>
  </si>
  <si>
    <t>considering percentage conversion (annualised)</t>
  </si>
  <si>
    <t>Factors (respecting conversion time) - annualised</t>
  </si>
  <si>
    <t>Grid electricity</t>
  </si>
  <si>
    <t>Local wind, solar, hydro-electric</t>
  </si>
  <si>
    <t>Emissions factors</t>
  </si>
  <si>
    <t>Daily spread</t>
  </si>
  <si>
    <t>Daily N excretion rate (kg per 1000 kg animal)</t>
  </si>
  <si>
    <t>Nex by by these cattle (kg/year)</t>
  </si>
  <si>
    <t>Dairy cow - Anaerobic lagoon</t>
  </si>
  <si>
    <t>buffalo</t>
  </si>
  <si>
    <t>goats</t>
  </si>
  <si>
    <t>Horses</t>
  </si>
  <si>
    <t>Camels</t>
  </si>
  <si>
    <t>Mink/Polecat</t>
  </si>
  <si>
    <t>Rabbits</t>
  </si>
  <si>
    <t>Fox/Racoon</t>
  </si>
  <si>
    <t>camels</t>
  </si>
  <si>
    <t>number of years for each phase</t>
  </si>
  <si>
    <t>for H7</t>
  </si>
  <si>
    <t>Manure</t>
  </si>
  <si>
    <t>GENERAL</t>
  </si>
  <si>
    <t>Enteric and feed requirements</t>
  </si>
  <si>
    <t>Specific hens</t>
  </si>
  <si>
    <t>horses</t>
  </si>
  <si>
    <t>mule/ass</t>
  </si>
  <si>
    <t>layers - dry</t>
  </si>
  <si>
    <t>layers - wet</t>
  </si>
  <si>
    <t>developed</t>
  </si>
  <si>
    <t>developing</t>
  </si>
  <si>
    <t xml:space="preserve"> - Korea, Dem Rep. of</t>
  </si>
  <si>
    <t xml:space="preserve"> - Malaysia</t>
  </si>
  <si>
    <t xml:space="preserve"> - Myanmar</t>
  </si>
  <si>
    <t xml:space="preserve"> - Nepal</t>
  </si>
  <si>
    <t xml:space="preserve"> - Pakistan</t>
  </si>
  <si>
    <t xml:space="preserve"> - Philippines</t>
  </si>
  <si>
    <t xml:space="preserve"> - Singapore</t>
  </si>
  <si>
    <t xml:space="preserve"> - Sri Lanka</t>
  </si>
  <si>
    <t xml:space="preserve"> - Thailand</t>
  </si>
  <si>
    <t xml:space="preserve"> - Vietnam</t>
  </si>
  <si>
    <t>Pacific</t>
  </si>
  <si>
    <t xml:space="preserve"> - Australia</t>
  </si>
  <si>
    <t xml:space="preserve"> - Japan</t>
  </si>
  <si>
    <t xml:space="preserve"> - Cameroon</t>
  </si>
  <si>
    <t xml:space="preserve"> - Congo Dem. Rep.</t>
  </si>
  <si>
    <t xml:space="preserve"> - Cote d'Ivoire</t>
  </si>
  <si>
    <t xml:space="preserve"> - Egypt</t>
  </si>
  <si>
    <t xml:space="preserve"> - Eritrea</t>
  </si>
  <si>
    <t xml:space="preserve"> - Ethiopia</t>
  </si>
  <si>
    <t xml:space="preserve"> - Gabon</t>
  </si>
  <si>
    <t xml:space="preserve"> - Ghana</t>
  </si>
  <si>
    <t>Amount applied</t>
  </si>
  <si>
    <t>Default</t>
  </si>
  <si>
    <t>Na2O</t>
  </si>
  <si>
    <t>Ca</t>
  </si>
  <si>
    <t>CaO</t>
  </si>
  <si>
    <t>CaCO3</t>
  </si>
  <si>
    <t>SO3</t>
  </si>
  <si>
    <t xml:space="preserve">Emissions factors for N leaching and volatilisation </t>
  </si>
  <si>
    <t>Mature sheep</t>
  </si>
  <si>
    <t>How long ago</t>
  </si>
  <si>
    <t>percent</t>
  </si>
  <si>
    <t>Additional sheets if required</t>
  </si>
  <si>
    <t>Co-products Results</t>
  </si>
  <si>
    <t>Economic value % to main product</t>
  </si>
  <si>
    <t>Finished product in tons</t>
  </si>
  <si>
    <t>proportion of finshed product value</t>
  </si>
  <si>
    <t>Inputs - Livestock</t>
  </si>
  <si>
    <t>Production (per day)</t>
  </si>
  <si>
    <t>MJ</t>
  </si>
  <si>
    <t>MJ of Renewable</t>
  </si>
  <si>
    <t>kg CO2/MJ</t>
  </si>
  <si>
    <t>kWh</t>
  </si>
  <si>
    <t>Field energy use</t>
  </si>
  <si>
    <t>Fossil Fuels</t>
  </si>
  <si>
    <t>Biomass</t>
  </si>
  <si>
    <t>Christof Walter, Tirma Garcia-Suarez, Llorenc Mila-i-canals (Unilever)</t>
  </si>
  <si>
    <t>Pete Smith (University of Aberdeen)</t>
  </si>
  <si>
    <t>Significant contibutions from</t>
  </si>
  <si>
    <t>alpacas</t>
  </si>
  <si>
    <t>Dairy cow Pit storage</t>
  </si>
  <si>
    <t>deer</t>
  </si>
  <si>
    <t>Conversion Units</t>
  </si>
  <si>
    <t>Calorific Value, MJ/kg</t>
  </si>
  <si>
    <t>Emissions per dose per hectare</t>
  </si>
  <si>
    <t>kg CO2-eq / dose per hectare</t>
  </si>
  <si>
    <t xml:space="preserve">Totals </t>
  </si>
  <si>
    <t>Energy Use</t>
  </si>
  <si>
    <t>Electricity from local hydro renewable energy used in field</t>
  </si>
  <si>
    <t>Electricity from local wind used in field</t>
  </si>
  <si>
    <t xml:space="preserve"> - New Zealand</t>
  </si>
  <si>
    <t>Former USSR</t>
  </si>
  <si>
    <t xml:space="preserve"> - Armenia</t>
  </si>
  <si>
    <t xml:space="preserve"> - Azerbaijan</t>
  </si>
  <si>
    <t xml:space="preserve"> - Georgia</t>
  </si>
  <si>
    <t xml:space="preserve"> - Kazakhstan</t>
  </si>
  <si>
    <t xml:space="preserve"> - Kyrgyzstan</t>
  </si>
  <si>
    <t xml:space="preserve"> - Russia</t>
  </si>
  <si>
    <t xml:space="preserve"> - Tajikistan</t>
  </si>
  <si>
    <t xml:space="preserve"> - Turkmenistan</t>
  </si>
  <si>
    <t>Annual Energy Use</t>
  </si>
  <si>
    <t xml:space="preserve">tons (US short) </t>
  </si>
  <si>
    <r>
      <t>Light Goods vehicle</t>
    </r>
    <r>
      <rPr>
        <sz val="10"/>
        <rFont val="Arial"/>
        <family val="2"/>
      </rPr>
      <t xml:space="preserve">: (loads less than  3.5 tonnes/3.9 US tons) </t>
    </r>
  </si>
  <si>
    <t>Default Temp.</t>
  </si>
  <si>
    <t>Indian Subcontinent</t>
  </si>
  <si>
    <t>Deep bedding - active mixing</t>
  </si>
  <si>
    <t>Composting in vessel</t>
  </si>
  <si>
    <t>Composting - static pile</t>
  </si>
  <si>
    <t>Composting - intensive windrow</t>
  </si>
  <si>
    <t>mm</t>
  </si>
  <si>
    <t>cm</t>
  </si>
  <si>
    <t>inch</t>
  </si>
  <si>
    <t>metre</t>
  </si>
  <si>
    <t>Annual biomass for trees in cropping system</t>
  </si>
  <si>
    <t>Medium quality forage</t>
  </si>
  <si>
    <t>Productive adults</t>
  </si>
  <si>
    <t>Fertiliser</t>
  </si>
  <si>
    <t>EMISSIONS COLUMNS</t>
  </si>
  <si>
    <t>kg</t>
  </si>
  <si>
    <t>Quantity</t>
  </si>
  <si>
    <t>1.a</t>
  </si>
  <si>
    <t>1.b</t>
  </si>
  <si>
    <t>1.c</t>
  </si>
  <si>
    <t>1.d</t>
  </si>
  <si>
    <t>1.e</t>
  </si>
  <si>
    <t>1.f</t>
  </si>
  <si>
    <t>1.g</t>
  </si>
  <si>
    <t>1.h</t>
  </si>
  <si>
    <t>Light Goods Vehicle - Petrol</t>
  </si>
  <si>
    <t>Light Goods Vehicle - CNG or LPG</t>
  </si>
  <si>
    <t>Small tanker</t>
  </si>
  <si>
    <t xml:space="preserve">Large tanker </t>
  </si>
  <si>
    <t xml:space="preserve">Very large tanker </t>
  </si>
  <si>
    <t xml:space="preserve">Small bulk carrier </t>
  </si>
  <si>
    <t>Large bulk carrier</t>
  </si>
  <si>
    <t>ELECTRICITY EMISSIONS BY COUNTRY/REGION</t>
  </si>
  <si>
    <t>VARIOUS OTHER WORKING DATA/MODELS</t>
  </si>
  <si>
    <t>Pit &gt; 1month</t>
  </si>
  <si>
    <r>
      <t>Large bulk carrier</t>
    </r>
    <r>
      <rPr>
        <sz val="10"/>
        <rFont val="Arial"/>
        <family val="2"/>
      </rPr>
      <t>: ~15,000 tonnes</t>
    </r>
  </si>
  <si>
    <t>This may be offset by soil sequestration if, for example, incorporated into the soil or composted and applied to the soil. If not are these options for you?</t>
  </si>
  <si>
    <t>average bodyweight in growing phase</t>
  </si>
  <si>
    <t>High density biomass</t>
  </si>
  <si>
    <t>mg/litre</t>
  </si>
  <si>
    <t>kgs methane</t>
  </si>
  <si>
    <t>Gas</t>
  </si>
  <si>
    <t>Oil</t>
  </si>
  <si>
    <r>
      <t>Small bulk carrier</t>
    </r>
    <r>
      <rPr>
        <sz val="10"/>
        <rFont val="Arial"/>
        <family val="2"/>
      </rPr>
      <t>: ~ 2,000 tonnes</t>
    </r>
  </si>
  <si>
    <t>as venezuela</t>
  </si>
  <si>
    <t>Number of applications</t>
  </si>
  <si>
    <t>Unit (e.g. tonnes, kgs, pounds)</t>
  </si>
  <si>
    <t>Is it rice</t>
  </si>
  <si>
    <t>Methane from Paddy Rice</t>
  </si>
  <si>
    <t>dairy cow</t>
  </si>
  <si>
    <t>other</t>
  </si>
  <si>
    <t>Inputs - Primary Processing</t>
  </si>
  <si>
    <t>Outputs - Primary Processing</t>
  </si>
  <si>
    <t>Inputs -  Transport</t>
  </si>
  <si>
    <t>Version base</t>
  </si>
  <si>
    <t>Version</t>
  </si>
  <si>
    <t>young and female sheep</t>
  </si>
  <si>
    <t>male sheep</t>
  </si>
  <si>
    <t>cattle maintenance</t>
  </si>
  <si>
    <t>CH4 from organic amendments for paddy rice</t>
  </si>
  <si>
    <t>Tree Crop</t>
  </si>
  <si>
    <t>This is only an option for rice</t>
  </si>
  <si>
    <t>""</t>
  </si>
  <si>
    <t>Rice only</t>
  </si>
  <si>
    <t>Manure additions</t>
  </si>
  <si>
    <t>Residue incorporation</t>
  </si>
  <si>
    <t>organic inps with amend</t>
  </si>
  <si>
    <t>previous</t>
  </si>
  <si>
    <t>Adult non-Productive Phase</t>
  </si>
  <si>
    <t>Animal number per phase</t>
  </si>
  <si>
    <t xml:space="preserve">% of diet from feed mix (instead of pasture) </t>
  </si>
  <si>
    <t>Quality</t>
  </si>
  <si>
    <t>quality of grazing</t>
  </si>
  <si>
    <t>type of grazing</t>
  </si>
  <si>
    <t>Finished product from total area</t>
  </si>
  <si>
    <t>Production Area*</t>
  </si>
  <si>
    <t xml:space="preserve">Electricity use on the farm </t>
  </si>
  <si>
    <t>Pesticide</t>
  </si>
  <si>
    <t>Management Changes</t>
  </si>
  <si>
    <t>Life Cycle</t>
  </si>
  <si>
    <t>Optional Inputs</t>
  </si>
  <si>
    <t>Dry matter intake per head</t>
  </si>
  <si>
    <t>% of feed component</t>
  </si>
  <si>
    <t>Tier 1 VSs, maximum methane producing capacity (B), and default body masses</t>
  </si>
  <si>
    <t>India</t>
  </si>
  <si>
    <t>Eastern Europe</t>
  </si>
  <si>
    <t>Oceania</t>
  </si>
  <si>
    <t>Uncovered anaerobic lagoon</t>
  </si>
  <si>
    <t>Pit storage below animal confinements</t>
  </si>
  <si>
    <t>Anaerobic digester</t>
  </si>
  <si>
    <t>Deep bedding - no mixing</t>
  </si>
  <si>
    <t>Totals, CH4 (kg per year for this sub-population</t>
  </si>
  <si>
    <t>totals direct N2O (kg/year for the sub-population)</t>
  </si>
  <si>
    <t>totals indirect N2O (kg/year for the sub-population)</t>
  </si>
  <si>
    <t>started incorporating</t>
  </si>
  <si>
    <t xml:space="preserve"> - Korea, Rep. of</t>
  </si>
  <si>
    <t>Spring barley</t>
  </si>
  <si>
    <t>Sugarbeet</t>
  </si>
  <si>
    <r>
      <t>Large tanker</t>
    </r>
    <r>
      <rPr>
        <sz val="10"/>
        <rFont val="Arial"/>
        <family val="2"/>
      </rPr>
      <t>: ~20,000 tonnes</t>
    </r>
  </si>
  <si>
    <t>Percentage of manure managed under this system</t>
  </si>
  <si>
    <t>Number of days this system is used</t>
  </si>
  <si>
    <t>Swine Deep bedding</t>
  </si>
  <si>
    <t>Other cattle - Solid storage</t>
  </si>
  <si>
    <t>Other cattle - dry lot</t>
  </si>
  <si>
    <t>Other cattle - Deep bedding</t>
  </si>
  <si>
    <t>Swine Liquid slurry</t>
  </si>
  <si>
    <t>4.j.(1,2)</t>
  </si>
  <si>
    <t>4.k.(1,2)</t>
  </si>
  <si>
    <t>Swine Solid store</t>
  </si>
  <si>
    <t>Dairy cows</t>
  </si>
  <si>
    <t>High quality forage</t>
  </si>
  <si>
    <t>llamas</t>
  </si>
  <si>
    <t>cattle, pigs, buffalo</t>
  </si>
  <si>
    <t>Limestone - 55% CaCO3 / 29%CaO</t>
  </si>
  <si>
    <t>Emissions per MJ</t>
  </si>
  <si>
    <t xml:space="preserve"> - Morocco</t>
  </si>
  <si>
    <t>Tier 2 cattle</t>
  </si>
  <si>
    <t>Ammonium Bicarbonate</t>
  </si>
  <si>
    <t>Manure methane and N2O (direct and indirect)</t>
  </si>
  <si>
    <t>1. Economic value - relative to main product (%)</t>
  </si>
  <si>
    <t>Not from Database Assumption made</t>
  </si>
  <si>
    <t>Ammonium nitrate</t>
  </si>
  <si>
    <t>Ammonium sulphate</t>
  </si>
  <si>
    <t>Anhydrous ammonia</t>
  </si>
  <si>
    <t>Calcium ammonium nitrate</t>
  </si>
  <si>
    <t>Calcium nitrate</t>
  </si>
  <si>
    <t>Biomass &amp; Bioenergy</t>
  </si>
  <si>
    <t>Photo-voltaic</t>
  </si>
  <si>
    <t>Hydro</t>
  </si>
  <si>
    <t>Average from several countries (T Garcia-Suarez, Unilever)</t>
  </si>
  <si>
    <t>conversion to kgs</t>
  </si>
  <si>
    <t>natural gas MJ/kg</t>
  </si>
  <si>
    <t>gas</t>
  </si>
  <si>
    <t>conversion to MJ</t>
  </si>
  <si>
    <t>Solid storage</t>
  </si>
  <si>
    <t>Western Europe</t>
  </si>
  <si>
    <t>Dry lot</t>
  </si>
  <si>
    <t>kg/kg</t>
  </si>
  <si>
    <t>N20</t>
  </si>
  <si>
    <t>compost model</t>
  </si>
  <si>
    <t>manure model</t>
  </si>
  <si>
    <t>residue model</t>
  </si>
  <si>
    <t>olds</t>
  </si>
  <si>
    <t>Organic amendment applied</t>
  </si>
  <si>
    <t>Flooded pre-season</t>
  </si>
  <si>
    <t>Not flooded pre-season (for more than 180 days)</t>
  </si>
  <si>
    <t>http://creativecommons.org/licenses/by-nc-nd/3.0/</t>
  </si>
  <si>
    <t>Before cultivation</t>
  </si>
  <si>
    <t>Deep water</t>
  </si>
  <si>
    <t>Drought prone</t>
  </si>
  <si>
    <t>Rainfed</t>
  </si>
  <si>
    <t>Electricity from solar (photovoltaic cells)</t>
  </si>
  <si>
    <t>Fuel wood</t>
  </si>
  <si>
    <t>"Emissions from Livestock Production"</t>
  </si>
  <si>
    <t>Energy from burning biomass and fossil fuels in factory</t>
  </si>
  <si>
    <t>Electricity from grid or local renewables</t>
  </si>
  <si>
    <t>Emissions - renewable electricity</t>
  </si>
  <si>
    <t>Wind</t>
  </si>
  <si>
    <t>OPTIONAL: Machinery emissions calculator - use this if required to estimate emissions from machinery use in place of or in addition to the above</t>
  </si>
  <si>
    <t>km</t>
  </si>
  <si>
    <t>mile</t>
  </si>
  <si>
    <t>Protein content of milk%</t>
  </si>
  <si>
    <t>Fat/protein adjusted milk?</t>
  </si>
  <si>
    <t>Cover cropping</t>
  </si>
  <si>
    <t>Heavy Goods Vehicle</t>
  </si>
  <si>
    <t>Light Goods vehicle - Diesel</t>
  </si>
  <si>
    <t>Developed/developing</t>
  </si>
  <si>
    <t xml:space="preserve">very large bulk carrier </t>
  </si>
  <si>
    <t xml:space="preserve">Small container vessel </t>
  </si>
  <si>
    <t>kg CH4/ha/day</t>
  </si>
  <si>
    <t>Baseline EF</t>
  </si>
  <si>
    <t>VS indexing (other animals)</t>
  </si>
  <si>
    <t>Index key for fertiliser "as"</t>
  </si>
  <si>
    <t>herbicide spraying</t>
  </si>
  <si>
    <t>fertiliser spraying</t>
  </si>
  <si>
    <t>Coal</t>
  </si>
  <si>
    <t>fertiliser spreading</t>
  </si>
  <si>
    <t>Soil CEC (estimated)</t>
  </si>
  <si>
    <t>Fertiliser induced N2O</t>
  </si>
  <si>
    <t>Fertiliser 1</t>
  </si>
  <si>
    <t>Fertiliser 2</t>
  </si>
  <si>
    <t>Fertiliser 3</t>
  </si>
  <si>
    <t>Fertiliser 4</t>
  </si>
  <si>
    <t>Fertiliser 5</t>
  </si>
  <si>
    <t>Fertiliser 6</t>
  </si>
  <si>
    <t>Emission factors for N2O emissions from manure management</t>
  </si>
  <si>
    <t>offset</t>
  </si>
  <si>
    <t>N content - above ground</t>
  </si>
  <si>
    <t>slope</t>
  </si>
  <si>
    <t>Dry matter fraction harvested</t>
  </si>
  <si>
    <t>Non-N-fixing forage</t>
  </si>
  <si>
    <t>sheep maintenance</t>
  </si>
  <si>
    <t>hilly pasture</t>
  </si>
  <si>
    <t>flat pasture</t>
  </si>
  <si>
    <t>null</t>
  </si>
  <si>
    <t>4.  Below ground biomass is typically that in living roots</t>
  </si>
  <si>
    <t>Key Energy and Emissions Results:</t>
  </si>
  <si>
    <t>% of manure managed under this system (when in use)</t>
  </si>
  <si>
    <t>Composting - passive windrow</t>
  </si>
  <si>
    <t>Poultry manure with litter</t>
  </si>
  <si>
    <t>Poultry manure without litter</t>
  </si>
  <si>
    <t>Lifecycle or Snapshot</t>
  </si>
  <si>
    <t>Juvenile Phase</t>
  </si>
  <si>
    <t>Adult Productive Phase</t>
  </si>
  <si>
    <t>Percentage of field converted</t>
  </si>
  <si>
    <t>Tillage Changes</t>
  </si>
  <si>
    <t>Animal type</t>
  </si>
  <si>
    <t>Production:Dry ratio</t>
  </si>
  <si>
    <t>Productive</t>
  </si>
  <si>
    <t>milk production (per day)</t>
  </si>
  <si>
    <t>Fat content of milk %</t>
  </si>
  <si>
    <t>Protein content of milk %</t>
  </si>
  <si>
    <t>Animal Breed (if hens)</t>
  </si>
  <si>
    <t>Climate*</t>
  </si>
  <si>
    <t>Crop type*</t>
  </si>
  <si>
    <t>Soil texture*</t>
  </si>
  <si>
    <t>Soil pH*</t>
  </si>
  <si>
    <t>housed</t>
  </si>
  <si>
    <t>housed for fattening</t>
  </si>
  <si>
    <t>Cf (maintenance)</t>
  </si>
  <si>
    <t>pregnancy</t>
  </si>
  <si>
    <t>kgs/day</t>
  </si>
  <si>
    <t>Poultry - anaerobic lagoon</t>
  </si>
  <si>
    <t>growing buffalo</t>
  </si>
  <si>
    <t>Super phosphate - 21% P2O5</t>
  </si>
  <si>
    <t>Urea - 46.4% N</t>
  </si>
  <si>
    <t>Urea ammonium nitrate solution - 32% N</t>
  </si>
  <si>
    <t>application method key</t>
  </si>
  <si>
    <t xml:space="preserve">N2O </t>
  </si>
  <si>
    <t>NO</t>
  </si>
  <si>
    <t>DUMMY NUMBERS FOR INDICATOR BAR ON NAVIGATION PANEL</t>
  </si>
  <si>
    <t>pounds/acre</t>
  </si>
  <si>
    <t>Aerobic treatment - natural aeration</t>
  </si>
  <si>
    <t>Other (user defined energy density/emissions)</t>
  </si>
  <si>
    <t>Sunflower</t>
  </si>
  <si>
    <t>Sweet Potato</t>
  </si>
  <si>
    <t>Diesel Use, e.g. generators, pumping</t>
  </si>
  <si>
    <t>mass</t>
  </si>
  <si>
    <t>Region</t>
  </si>
  <si>
    <t>index</t>
  </si>
  <si>
    <t>David Hohenschau (EcoPlan International)</t>
  </si>
  <si>
    <t>Low quality forage</t>
  </si>
  <si>
    <t>Fill in Field management cell C5!</t>
  </si>
  <si>
    <t>tonne</t>
  </si>
  <si>
    <t>ton</t>
  </si>
  <si>
    <t>hectare</t>
  </si>
  <si>
    <t>acre</t>
  </si>
  <si>
    <t>acres</t>
  </si>
  <si>
    <t>hectares</t>
  </si>
  <si>
    <t>litre</t>
  </si>
  <si>
    <t>volatilisation</t>
  </si>
  <si>
    <t>Soil drainage*</t>
  </si>
  <si>
    <t>Above ground residue (t/ha)</t>
  </si>
  <si>
    <t>Bhat</t>
  </si>
  <si>
    <t>Dry matter</t>
  </si>
  <si>
    <t>AI</t>
  </si>
  <si>
    <t>C</t>
  </si>
  <si>
    <t>EU Best Available technology - Yara</t>
  </si>
  <si>
    <t>Ecoinvent derived</t>
  </si>
  <si>
    <t>Transport additions</t>
  </si>
  <si>
    <t>distance unit</t>
  </si>
  <si>
    <t xml:space="preserve">mode </t>
  </si>
  <si>
    <t>RAIL</t>
  </si>
  <si>
    <t>AIR</t>
  </si>
  <si>
    <t>SHIP</t>
  </si>
  <si>
    <t>4.l.(1,2)</t>
  </si>
  <si>
    <t>ROAD</t>
  </si>
  <si>
    <t>P (as P205)</t>
  </si>
  <si>
    <t>K (as K2O)</t>
  </si>
  <si>
    <t>corn combine</t>
  </si>
  <si>
    <t>Index</t>
  </si>
  <si>
    <t>Phosphate/Rock Phosphate - 25% P2O5</t>
  </si>
  <si>
    <t>Compound NK</t>
  </si>
  <si>
    <t>Biomass/bioenergy</t>
  </si>
  <si>
    <t>field energy emissions</t>
  </si>
  <si>
    <t>primary processing energy</t>
  </si>
  <si>
    <t>European average, Ecoinvent, (T Garcia-Suarez, Unilever)</t>
  </si>
  <si>
    <t>main product</t>
  </si>
  <si>
    <t>European average from 3 main technologies (T Garcia-Suarez, Unilever)</t>
  </si>
  <si>
    <t>other animals</t>
  </si>
  <si>
    <t>Burned</t>
  </si>
  <si>
    <t>Temperature units</t>
  </si>
  <si>
    <t>Green manure</t>
  </si>
  <si>
    <t>Farmyard Manure</t>
  </si>
  <si>
    <t>Compost</t>
  </si>
  <si>
    <t>Intermittently flooded - multiple aeration</t>
  </si>
  <si>
    <t>Type</t>
  </si>
  <si>
    <t>Intermittently flooded</t>
  </si>
  <si>
    <t>water management during cultivation</t>
  </si>
  <si>
    <t>Continuously flooded</t>
  </si>
  <si>
    <t>water management before cultivation</t>
  </si>
  <si>
    <t>Upland</t>
  </si>
  <si>
    <t>days under cultivation</t>
  </si>
  <si>
    <t>During cultivation</t>
  </si>
  <si>
    <r>
      <rPr>
        <b/>
        <sz val="11"/>
        <rFont val="Arial"/>
        <family val="2"/>
      </rPr>
      <t>8. Results and Graphs:</t>
    </r>
    <r>
      <rPr>
        <sz val="11"/>
        <rFont val="Arial"/>
        <family val="2"/>
      </rPr>
      <t xml:space="preserve"> detailed summary of results from your input.</t>
    </r>
  </si>
  <si>
    <t>xyz</t>
  </si>
  <si>
    <t>Legend</t>
  </si>
  <si>
    <t>Product</t>
  </si>
  <si>
    <t>For the soil carbon effect of organic amendments to be estimated you must also complete the relevant section of the sequestration tab.</t>
  </si>
  <si>
    <t>How long ago was this change made? (years)</t>
  </si>
  <si>
    <t>Aerobic treatment - forced aeration</t>
  </si>
  <si>
    <t>Breeding swine</t>
  </si>
  <si>
    <t>MCF</t>
  </si>
  <si>
    <t>Lagoon</t>
  </si>
  <si>
    <t>Liquid slurry</t>
  </si>
  <si>
    <t>Pit &lt; 1month</t>
  </si>
  <si>
    <t>developped</t>
  </si>
  <si>
    <t>Other animal (not pigs, cattle, poultry) - Deep bedding</t>
  </si>
  <si>
    <t>Input -Field Energy Use</t>
  </si>
  <si>
    <t xml:space="preserve">Large container vessel </t>
  </si>
  <si>
    <t>VS, MCF, B index indexing (cattle, pigs, buffalo)</t>
  </si>
  <si>
    <t>You may select components of your own feed mix to the right to estimate emissions for this component. If you leave this section blank emissions will be assumed for European cereal production.</t>
  </si>
  <si>
    <t>Select</t>
  </si>
  <si>
    <t>Feed Component</t>
  </si>
  <si>
    <t>Renewable grid</t>
  </si>
  <si>
    <t>Renewable electricity</t>
  </si>
  <si>
    <t>Primary processing</t>
  </si>
  <si>
    <t>HI</t>
  </si>
  <si>
    <t>N content below</t>
  </si>
  <si>
    <t>Hy-Line W-36</t>
  </si>
  <si>
    <t>coProduct - co2</t>
  </si>
  <si>
    <t>coProduct - n2o</t>
  </si>
  <si>
    <t>coProduct - ch4</t>
  </si>
  <si>
    <t>based on</t>
  </si>
  <si>
    <t>now:</t>
  </si>
  <si>
    <t>coProduct - co2e total area</t>
  </si>
  <si>
    <t>coProduct - co2e per unit area</t>
  </si>
  <si>
    <t>coProduct - co2e per unit volume</t>
  </si>
  <si>
    <t>coProduct - co2e per tree</t>
  </si>
  <si>
    <t>Straw incorporated shortly before cultivation</t>
  </si>
  <si>
    <t>dozen eggs</t>
  </si>
  <si>
    <t>soybeans</t>
  </si>
  <si>
    <t>Converting to Biogas</t>
  </si>
  <si>
    <t>Hy-Line W-98</t>
  </si>
  <si>
    <t>liters</t>
  </si>
  <si>
    <t>wheat</t>
  </si>
  <si>
    <t>metric tons</t>
  </si>
  <si>
    <t>Feed mix percentage, pasture type (if applicable) and manure management are required for simple (Tier 1) estimate. Optional inputs can be used to refine the estimate (Tier 2).</t>
  </si>
  <si>
    <t>Selling as input</t>
  </si>
  <si>
    <t>Output - Livestock</t>
  </si>
  <si>
    <t>Hy-Line Silver Brown</t>
  </si>
  <si>
    <t>gallons</t>
  </si>
  <si>
    <t>barley</t>
  </si>
  <si>
    <t>ounces</t>
  </si>
  <si>
    <t>cwt</t>
  </si>
  <si>
    <t>peas</t>
  </si>
  <si>
    <t>Is hens?</t>
  </si>
  <si>
    <t>any trees involved?</t>
  </si>
  <si>
    <t>Tobias Bandel (Soil &amp; More)</t>
  </si>
  <si>
    <t>proportion females</t>
  </si>
  <si>
    <t>proportion males</t>
  </si>
  <si>
    <t>juv</t>
  </si>
  <si>
    <t>adult</t>
  </si>
  <si>
    <t>number of (juvenile) females</t>
  </si>
  <si>
    <t>Non renewable electricity</t>
  </si>
  <si>
    <t>This free software is licensed under a "Attribution-NonCommercial-NoDerivatives" creative commons license</t>
    <phoneticPr fontId="3" type="noConversion"/>
  </si>
  <si>
    <t>Electricity from grid or local renewables (e.g. vehicle use, lighting, heating,  pumps)</t>
  </si>
  <si>
    <t>Pasture/Range paddock/grazing</t>
  </si>
  <si>
    <t>Poor</t>
  </si>
  <si>
    <t>Good</t>
  </si>
  <si>
    <t>Apply in solution</t>
  </si>
  <si>
    <t>Broadcast</t>
  </si>
  <si>
    <t>Calcium supplement</t>
  </si>
  <si>
    <t>Actual N, P2O5, and K2O values in your fertiliser - %</t>
  </si>
  <si>
    <t>Assumed N, P2O5, and K2O levels in your selected fertiliser</t>
  </si>
  <si>
    <t>min of 1 year and life cycle time</t>
  </si>
  <si>
    <t>Broadcast or incorporate then flood</t>
  </si>
  <si>
    <t>Broadcast to floodwater at panicle initiation</t>
  </si>
  <si>
    <t>Incorporate</t>
  </si>
  <si>
    <t>Bouwman NO-model</t>
  </si>
  <si>
    <t>Bouwman NH4-model</t>
  </si>
  <si>
    <t>Ammonium Bicarbonate - 30% N</t>
  </si>
  <si>
    <t>Compost (zero emissions)</t>
    <phoneticPr fontId="3" type="noConversion"/>
  </si>
  <si>
    <t>Number</t>
  </si>
  <si>
    <t>Parameter</t>
  </si>
  <si>
    <t>Value</t>
  </si>
  <si>
    <t>Embedded DMI equations?</t>
  </si>
  <si>
    <t>Adults</t>
  </si>
  <si>
    <t>pounds/ha</t>
  </si>
  <si>
    <t>Ym</t>
  </si>
  <si>
    <t>dairy cows</t>
  </si>
  <si>
    <t>All FALSE</t>
  </si>
  <si>
    <t>Summary Comments</t>
    <phoneticPr fontId="0" type="noConversion"/>
  </si>
  <si>
    <t>Swine - anaerobic lagoon</t>
  </si>
  <si>
    <t>other cattle</t>
  </si>
  <si>
    <t>Other energy outputs</t>
  </si>
  <si>
    <t>Feed component1</t>
  </si>
  <si>
    <t>Feed component2</t>
  </si>
  <si>
    <t>Feed component3</t>
  </si>
  <si>
    <t>Feed component4</t>
  </si>
  <si>
    <t>Feed component5</t>
  </si>
  <si>
    <t>Feed component6</t>
  </si>
  <si>
    <t>Feed component7</t>
  </si>
  <si>
    <t>Feed component8</t>
  </si>
  <si>
    <t>Feed component9</t>
  </si>
  <si>
    <t>Feed component10</t>
  </si>
  <si>
    <t>kilogram</t>
  </si>
  <si>
    <t>Dairy cow - Solid storage</t>
  </si>
  <si>
    <t>rabbits</t>
  </si>
  <si>
    <t>yield t/ha</t>
  </si>
  <si>
    <t>Unit systems</t>
  </si>
  <si>
    <t>EU Current Yara</t>
  </si>
  <si>
    <t>Fertiliser induced field emissions</t>
  </si>
  <si>
    <t>Dairy cow - daily spread</t>
  </si>
  <si>
    <t>bushels/acre(US)</t>
  </si>
  <si>
    <t>bushels/ha(US)</t>
  </si>
  <si>
    <t>index for residue model</t>
  </si>
  <si>
    <t>Table</t>
  </si>
  <si>
    <t>Below ground residue</t>
  </si>
  <si>
    <t>Tonnes of residue</t>
  </si>
  <si>
    <t>Non-fertiliser induced N2O</t>
  </si>
  <si>
    <t>Poultry - without litter</t>
  </si>
  <si>
    <t>mules</t>
  </si>
  <si>
    <t>asses</t>
  </si>
  <si>
    <t>Lime, algal - 30% CaO</t>
  </si>
  <si>
    <t>Monoammonium phosphate - 11% N; 52% P2O5</t>
  </si>
  <si>
    <t>Energy Density</t>
  </si>
  <si>
    <t>Emissions per litre</t>
  </si>
  <si>
    <t>Data check - are all cells required completed</t>
  </si>
  <si>
    <t>total - weighted average of above values</t>
  </si>
  <si>
    <t>Amount of N applied</t>
  </si>
  <si>
    <t>N in above ground residue</t>
  </si>
  <si>
    <t>N in below groud residue</t>
  </si>
  <si>
    <t>N2O emissions</t>
  </si>
  <si>
    <t>Methane emissions (for untreated, use IPCC method for small heaps)</t>
  </si>
  <si>
    <t>Table mirrored from submodel and data</t>
  </si>
  <si>
    <t>Overall factor</t>
  </si>
  <si>
    <t>LOOK UPS</t>
  </si>
  <si>
    <t>Is the crop rice (0- false, 1 true)?</t>
  </si>
  <si>
    <t>Timing of residue incorporation</t>
  </si>
  <si>
    <t>Overall EF</t>
  </si>
  <si>
    <t xml:space="preserve">Over full rice cultivation period </t>
  </si>
  <si>
    <t>Value to be carried back to outputs (i.e. output of this model if used)</t>
  </si>
  <si>
    <t>percentage and storage time multiplier</t>
  </si>
  <si>
    <t>Number of days per year this system is used</t>
  </si>
  <si>
    <t>Length of phase</t>
  </si>
  <si>
    <t>Time unit</t>
  </si>
  <si>
    <t>percentage of cows pregnant</t>
  </si>
  <si>
    <t>Percentage of manure managed under this system (when in use)</t>
  </si>
  <si>
    <t>Feed mixes entered</t>
  </si>
  <si>
    <t>n2o</t>
  </si>
  <si>
    <t>ch4</t>
  </si>
  <si>
    <t>Results</t>
  </si>
  <si>
    <t>Comments</t>
  </si>
  <si>
    <t>co2</t>
  </si>
  <si>
    <t>co2e total area</t>
  </si>
  <si>
    <t>co2e per unit area</t>
  </si>
  <si>
    <t>co2e per unit volume</t>
  </si>
  <si>
    <t>co2e per tree</t>
  </si>
  <si>
    <t>Production Area Units</t>
  </si>
  <si>
    <t>Fresh product units</t>
  </si>
  <si>
    <t>Finish product units</t>
  </si>
  <si>
    <t>Average annual temperature Unit</t>
  </si>
  <si>
    <t>Outputs - Crop Management</t>
  </si>
  <si>
    <t>C02</t>
  </si>
  <si>
    <t>Totals (kg co2 eq)</t>
  </si>
  <si>
    <t>Inputs - Sequestration</t>
  </si>
  <si>
    <t>How long ago (years)</t>
  </si>
  <si>
    <t>Percent of land changed</t>
  </si>
  <si>
    <t>Age when converted from woodland</t>
  </si>
  <si>
    <t>Outputs - Sequestration</t>
  </si>
  <si>
    <t>Annual totals units</t>
  </si>
  <si>
    <t>Cumulative totals units</t>
  </si>
  <si>
    <t>Diesel Field op</t>
  </si>
  <si>
    <t>Petrol Field op</t>
  </si>
  <si>
    <t>Biodiesel Field op</t>
  </si>
  <si>
    <t>Bioethanol Field op</t>
  </si>
  <si>
    <t>Outputs - Field Energy Use</t>
  </si>
  <si>
    <t>Application method</t>
  </si>
  <si>
    <t>Liquid slurry with natural crust cover</t>
  </si>
  <si>
    <t>Liquid slurry without natural crust cover</t>
  </si>
  <si>
    <t>Manure management system</t>
  </si>
  <si>
    <t>database used for fertiliser production emissions</t>
  </si>
  <si>
    <t>Temperature celsius used</t>
  </si>
  <si>
    <t>Residue</t>
  </si>
  <si>
    <t>pounds/day</t>
  </si>
  <si>
    <r>
      <t>Very Short Haul</t>
    </r>
    <r>
      <rPr>
        <sz val="10"/>
        <rFont val="Arial"/>
        <family val="2"/>
      </rPr>
      <t>: &lt; 500 miles or 800 kms</t>
    </r>
  </si>
  <si>
    <t>Commercial Brown</t>
  </si>
  <si>
    <t>eggs</t>
  </si>
  <si>
    <t>corn</t>
  </si>
  <si>
    <t>Composting</t>
  </si>
  <si>
    <t>DE for forage in diet</t>
  </si>
  <si>
    <t>DE including feed (assuming high grain)</t>
  </si>
  <si>
    <t>Net energy requirements</t>
  </si>
  <si>
    <t>Gross Energy req (GE)</t>
  </si>
  <si>
    <t>Coefficients for energy required</t>
  </si>
  <si>
    <t>CF maintenance overall</t>
  </si>
  <si>
    <t>Cfmaintenance overall</t>
  </si>
  <si>
    <t>Enteric emissions factors</t>
  </si>
  <si>
    <r>
      <t>Short Haul</t>
    </r>
    <r>
      <rPr>
        <sz val="10"/>
        <rFont val="Arial"/>
        <family val="2"/>
      </rPr>
      <t>: Between 500 miles (800 kms) and 1000 miles (1600kms)</t>
    </r>
  </si>
  <si>
    <r>
      <t>Long Haul</t>
    </r>
    <r>
      <rPr>
        <sz val="10"/>
        <rFont val="Arial"/>
        <family val="2"/>
      </rPr>
      <t>: &gt; 1000 miles or 1600 kms</t>
    </r>
  </si>
  <si>
    <t>Energy Use (MJ)</t>
  </si>
  <si>
    <t>Total emissions (kg CO2 equiv)</t>
  </si>
  <si>
    <t>Nutrient or product</t>
  </si>
  <si>
    <t>On farm use</t>
  </si>
  <si>
    <t xml:space="preserve">Removed; non-Forced Aeration Compost </t>
  </si>
  <si>
    <r>
      <t xml:space="preserve">Crop residue management </t>
    </r>
    <r>
      <rPr>
        <sz val="10"/>
        <color indexed="9"/>
        <rFont val="Arial"/>
        <family val="2"/>
      </rPr>
      <t>(if this section is not completed then the worst case - "Removed; left untreated…" is assumed)</t>
    </r>
  </si>
  <si>
    <t>Summary Table:</t>
  </si>
  <si>
    <t>Key Results:</t>
  </si>
  <si>
    <t>Totals/ hectare</t>
  </si>
  <si>
    <t>Contents of this Calculator</t>
  </si>
  <si>
    <r>
      <rPr>
        <b/>
        <sz val="11"/>
        <rFont val="Arial"/>
        <family val="2"/>
      </rPr>
      <t>1. General Information:</t>
    </r>
    <r>
      <rPr>
        <sz val="11"/>
        <rFont val="Arial"/>
        <family val="2"/>
      </rPr>
      <t xml:space="preserve"> Location, Climate, Farm Size</t>
    </r>
  </si>
  <si>
    <t>No</t>
  </si>
  <si>
    <t>Emissions from liming</t>
  </si>
  <si>
    <t>COUNTRY LOOK UP TABLE</t>
  </si>
  <si>
    <t>UNIT CONVERSIONS</t>
  </si>
  <si>
    <t>Drop-down validation</t>
  </si>
  <si>
    <t>COUNTRY LOOK-UP</t>
  </si>
  <si>
    <t>Default Units</t>
  </si>
  <si>
    <t>temperate or tropical</t>
  </si>
  <si>
    <t>Soil Texture</t>
  </si>
  <si>
    <t>SOM/SOC</t>
  </si>
  <si>
    <t>Soil CEC</t>
  </si>
  <si>
    <t>EMISSIONS FROM SOIL AND FERTILISERS</t>
  </si>
  <si>
    <t>assumed temperature</t>
  </si>
  <si>
    <t>exact or not</t>
  </si>
  <si>
    <t>VARIOUS LOOK-UPS</t>
  </si>
  <si>
    <t>Fertilisers, Crops, Bouwman indices, NI inhibtors, etc</t>
  </si>
  <si>
    <t>default unit for residue</t>
  </si>
  <si>
    <t>RICE MODEL</t>
  </si>
  <si>
    <t>CROP RESIDUES MODEL</t>
  </si>
  <si>
    <t>Emissions from Urea</t>
  </si>
  <si>
    <t>Urea</t>
  </si>
  <si>
    <t>Limestone</t>
  </si>
  <si>
    <t>tons/ha</t>
  </si>
  <si>
    <t>Area</t>
  </si>
  <si>
    <r>
      <t>Heavy Goods Vehicle</t>
    </r>
    <r>
      <rPr>
        <sz val="10"/>
        <rFont val="Arial"/>
        <family val="2"/>
      </rPr>
      <t>: (e.g. diesel - loads greater than 3.5 tonnes/3.9 US tons)</t>
    </r>
  </si>
  <si>
    <r>
      <t>CNG</t>
    </r>
    <r>
      <rPr>
        <sz val="10"/>
        <rFont val="Arial"/>
        <family val="2"/>
      </rPr>
      <t xml:space="preserve"> or </t>
    </r>
    <r>
      <rPr>
        <b/>
        <sz val="10"/>
        <rFont val="Arial"/>
        <family val="2"/>
      </rPr>
      <t>LPG</t>
    </r>
    <r>
      <rPr>
        <sz val="10"/>
        <rFont val="Arial"/>
        <family val="2"/>
      </rPr>
      <t>: compressed natural gas or liquid petroleum gas</t>
    </r>
  </si>
  <si>
    <r>
      <t>2. Crop Management:</t>
    </r>
    <r>
      <rPr>
        <sz val="11"/>
        <rFont val="Arial"/>
        <family val="2"/>
      </rPr>
      <t xml:space="preserve"> agricultural operations, crop protection, fertiliser use, etc</t>
    </r>
  </si>
  <si>
    <r>
      <t xml:space="preserve">3. Sequestration: </t>
    </r>
    <r>
      <rPr>
        <sz val="11"/>
        <rFont val="Arial"/>
        <family val="2"/>
      </rPr>
      <t>changes to longer term carbon stocks in the system</t>
    </r>
  </si>
  <si>
    <r>
      <t xml:space="preserve">4. Livestock: </t>
    </r>
    <r>
      <rPr>
        <sz val="11"/>
        <rFont val="Arial"/>
        <family val="2"/>
      </rPr>
      <t>feed mix, enteric fermentation, N excretion, manure management</t>
    </r>
  </si>
  <si>
    <r>
      <t>5. Field energy use:</t>
    </r>
    <r>
      <rPr>
        <sz val="11"/>
        <rFont val="Arial"/>
        <family val="2"/>
      </rPr>
      <t xml:space="preserve"> irrigation, farm machinery, etc</t>
    </r>
  </si>
  <si>
    <r>
      <t>6. Primary processing:</t>
    </r>
    <r>
      <rPr>
        <sz val="11"/>
        <rFont val="Arial"/>
        <family val="2"/>
      </rPr>
      <t xml:space="preserve"> factory storage, etc</t>
    </r>
  </si>
  <si>
    <t>NH3-volatilisation</t>
  </si>
  <si>
    <t xml:space="preserve">Emissions kg </t>
  </si>
  <si>
    <t>From below ground residues, tonnes</t>
  </si>
  <si>
    <t>From above ground residues (if left on field somehow), tonnes</t>
  </si>
  <si>
    <t>Compost (non-fully aerated production)</t>
    <phoneticPr fontId="3" type="noConversion"/>
  </si>
  <si>
    <t>pigs</t>
  </si>
  <si>
    <r>
      <t xml:space="preserve">7. Transport: </t>
    </r>
    <r>
      <rPr>
        <sz val="11"/>
        <rFont val="Arial"/>
        <family val="2"/>
      </rPr>
      <t>by road, rail, ship, or air, of produce from the farm</t>
    </r>
  </si>
  <si>
    <t>Estimated dry matter intake</t>
  </si>
  <si>
    <t>Temperature</t>
  </si>
  <si>
    <t>Inputs - Crop Management</t>
  </si>
  <si>
    <t>Label</t>
  </si>
  <si>
    <t>Country*/US State</t>
  </si>
  <si>
    <t>Tuber</t>
  </si>
  <si>
    <t>Ammonium nitrate - 35% N</t>
  </si>
  <si>
    <t>Ammonium sulphate - 21% N</t>
  </si>
  <si>
    <t>Anhydrous ammonia - 82% N</t>
  </si>
  <si>
    <t>Calcium ammonium nitrate -27% N</t>
  </si>
  <si>
    <t>Dairy cow - Dry lot</t>
  </si>
  <si>
    <t>Firewood/fuelwood grown on site and renewed</t>
  </si>
  <si>
    <t>Average of various - see submodels and data</t>
  </si>
  <si>
    <t>Pesticides</t>
  </si>
  <si>
    <t>Quantity conversions</t>
  </si>
  <si>
    <t>Other grain</t>
  </si>
  <si>
    <t>Average annual temperature</t>
  </si>
  <si>
    <t>Alfalfa</t>
  </si>
  <si>
    <t>Grass-clover mix</t>
  </si>
  <si>
    <t>Clover</t>
  </si>
  <si>
    <t>N concentration %</t>
  </si>
  <si>
    <t>An asterisk (*) and/or a dark orange input cell indicates a mandatory input value</t>
  </si>
  <si>
    <t>Spraying/ spreading</t>
  </si>
  <si>
    <t>Key Livestock Results:</t>
  </si>
  <si>
    <t>Key Field Management Results:</t>
  </si>
  <si>
    <t>Key Carbon Storage Results:</t>
  </si>
  <si>
    <t>1.  This is for carbon which is stored over periods of time longer than a typical growing season</t>
  </si>
  <si>
    <t>2.  Above ground biomass represents mainly the woody biomass in trees or bushes.</t>
  </si>
  <si>
    <t>Compound NPK</t>
  </si>
  <si>
    <t>Compound NPK 15%N 15% K2O 15% P2O5</t>
  </si>
  <si>
    <t>Exported off farm</t>
  </si>
  <si>
    <t>Grid</t>
  </si>
  <si>
    <t>Triple super phosphate - 48% P2O5</t>
  </si>
  <si>
    <t>Regression relationship from Hillier et al 2009, IJAS 7(2): 107-118 (average pesticide app of 4.31 doses per ha)</t>
  </si>
  <si>
    <t>Peas</t>
  </si>
  <si>
    <t>Beans</t>
  </si>
  <si>
    <t>Barley</t>
  </si>
  <si>
    <t>Feed</t>
  </si>
  <si>
    <t>Undefined 3</t>
  </si>
  <si>
    <t>Fertiliser type, nutrient(or product), amount, units, and method must all be entered</t>
  </si>
  <si>
    <t>Kongshaug (1998), "Av europe"</t>
  </si>
  <si>
    <t>Old tech</t>
  </si>
  <si>
    <t>New tech</t>
  </si>
  <si>
    <t>Current tech</t>
  </si>
  <si>
    <t>Data entry checking</t>
  </si>
  <si>
    <t>Enter value and units</t>
  </si>
  <si>
    <t>Mandatory Data Entry Check</t>
  </si>
  <si>
    <t>fertiliser amount, in kgs</t>
  </si>
  <si>
    <t>DE</t>
  </si>
  <si>
    <t>Feedlot fed cattle</t>
  </si>
  <si>
    <t>Other cattle - low quality crop residues</t>
  </si>
  <si>
    <t>Enter both value and units</t>
  </si>
  <si>
    <t xml:space="preserve">field cultivator/ridger </t>
  </si>
  <si>
    <t>land plane/destoner</t>
  </si>
  <si>
    <t>rotary hoe/bed tiller</t>
  </si>
  <si>
    <t>tine harrow/seed handling transport</t>
  </si>
  <si>
    <t>kg CO2-eq/MJ</t>
  </si>
  <si>
    <t>Either all true or all false</t>
  </si>
  <si>
    <t xml:space="preserve"> </t>
  </si>
  <si>
    <t>primary processing emissions</t>
  </si>
  <si>
    <t>field energy use</t>
  </si>
  <si>
    <t>density</t>
  </si>
  <si>
    <t xml:space="preserve"> last year</t>
  </si>
  <si>
    <t>Calcium nitrate - 15% N</t>
  </si>
  <si>
    <t>For details please see</t>
  </si>
  <si>
    <t>General Use</t>
  </si>
  <si>
    <t>Juvenile phase</t>
  </si>
  <si>
    <t>dry matter intake per head</t>
  </si>
  <si>
    <t>Adult phase</t>
  </si>
  <si>
    <t>Summary</t>
  </si>
  <si>
    <t>Livestock</t>
  </si>
  <si>
    <t>Carbon stored in tree crops</t>
  </si>
  <si>
    <t>Carbon lost/gained from conversion from/to forest</t>
  </si>
  <si>
    <t>cover croppping?</t>
  </si>
  <si>
    <t>compost, manure, residue</t>
  </si>
  <si>
    <t>Unit conversions</t>
  </si>
  <si>
    <t>Soil carbon change indices</t>
  </si>
  <si>
    <t>Forest and region look-ups</t>
  </si>
  <si>
    <t>Allometric models for tree species</t>
  </si>
  <si>
    <t>Optional - for co-product</t>
  </si>
  <si>
    <t>Tier 1 enteric</t>
  </si>
  <si>
    <t>Tier 2 enteric</t>
  </si>
  <si>
    <t>Use the Tier 2 estimate if it's available</t>
  </si>
  <si>
    <t>quantity (tonnes) consumed over period</t>
  </si>
  <si>
    <t>Direct energy use and emissions. Not including transport</t>
  </si>
  <si>
    <t>Ogle classification</t>
  </si>
  <si>
    <t>Fresh product from production area*</t>
  </si>
  <si>
    <t>Application rate</t>
  </si>
  <si>
    <t>Unit</t>
  </si>
  <si>
    <t>slope - fresh weight</t>
  </si>
  <si>
    <t>Compost-IF</t>
  </si>
  <si>
    <t>Compost applied</t>
  </si>
  <si>
    <t>Pesticide apps</t>
  </si>
  <si>
    <t>totals</t>
  </si>
  <si>
    <t>App</t>
  </si>
  <si>
    <t>Paddy</t>
  </si>
  <si>
    <t>Changes</t>
  </si>
  <si>
    <t>type</t>
  </si>
  <si>
    <t>Short Haul</t>
  </si>
  <si>
    <t>Long Haul</t>
  </si>
  <si>
    <t>Kainit / Magnesium Sulphate - 11% K2O; 5% MgO</t>
  </si>
  <si>
    <t>Lime - 52% CaO</t>
  </si>
  <si>
    <t>zero emissions compost used?</t>
  </si>
  <si>
    <t>Composted residues?</t>
  </si>
  <si>
    <t>UK  Department for Environment, Food and Rural Affairs (DEFRA) Data, http://www.ghgprotocol.org</t>
  </si>
  <si>
    <t>Biomass briquettes</t>
  </si>
  <si>
    <t>Coco shell</t>
  </si>
  <si>
    <t>RB chips</t>
  </si>
  <si>
    <t>Bagasse</t>
  </si>
  <si>
    <t>Reduced to Conventional</t>
  </si>
  <si>
    <t>Potassium sulphate - 50% K2O; 45% SO3</t>
  </si>
  <si>
    <t>Super phosphate</t>
  </si>
  <si>
    <t>Liquid Biofuels</t>
  </si>
  <si>
    <t>moldboard plough</t>
  </si>
  <si>
    <t>Classification</t>
  </si>
  <si>
    <t>Net biomass growth (tonnes dm/ha/yr)</t>
  </si>
  <si>
    <t>root shoot ratio</t>
  </si>
  <si>
    <t>CaCO3 applied</t>
  </si>
  <si>
    <t>Urea applied</t>
  </si>
  <si>
    <t>Juvenile phase length</t>
  </si>
  <si>
    <t>phase length units</t>
  </si>
  <si>
    <t>N application rate kg/hectare</t>
  </si>
  <si>
    <t>Pesticide applications per year</t>
  </si>
  <si>
    <t>C fraction if known</t>
  </si>
  <si>
    <t/>
  </si>
  <si>
    <t>emissions kg CO2 eq</t>
  </si>
  <si>
    <t>Feed component</t>
  </si>
  <si>
    <t>Truck transport assumptions</t>
  </si>
  <si>
    <t>This transport includes:</t>
  </si>
  <si>
    <t>Rail transport assumptions</t>
  </si>
  <si>
    <t>3. Proportion of finished product value (%)</t>
  </si>
  <si>
    <t>Air transport assumptions</t>
  </si>
  <si>
    <t>Ship transport assumptions</t>
  </si>
  <si>
    <t>(Type over this cell to enter any comments about your manure management strategy .)</t>
  </si>
  <si>
    <t>forage blower/washer</t>
  </si>
  <si>
    <t>mower/grader</t>
  </si>
  <si>
    <t>cotton stripper/potato topper</t>
  </si>
  <si>
    <t>Fibre/shell (oil palm factory waste)</t>
  </si>
  <si>
    <t>Lifecycle</t>
  </si>
  <si>
    <t>Totals for whole life cycle</t>
  </si>
  <si>
    <t>Removed; left untreated in heaps or pits</t>
  </si>
  <si>
    <t>Poultry layer manure</t>
  </si>
  <si>
    <t>Broiler/Turkey litter</t>
  </si>
  <si>
    <t>Cattle Slurry</t>
  </si>
  <si>
    <t>Fertiliser cells completed</t>
  </si>
  <si>
    <t>All TRUE</t>
  </si>
  <si>
    <t>Firewood (daddaps)</t>
  </si>
  <si>
    <t>Other N-fixing forage</t>
  </si>
  <si>
    <t>Root crop</t>
  </si>
  <si>
    <t>Other root crops</t>
  </si>
  <si>
    <t>Other tuber crop</t>
  </si>
  <si>
    <t>Beans &amp; pulses</t>
  </si>
  <si>
    <t>Other legume</t>
  </si>
  <si>
    <t>Grain</t>
  </si>
  <si>
    <t>Diammonium phosphate</t>
  </si>
  <si>
    <t>Kainit / Magnesium Sulphate</t>
  </si>
  <si>
    <t>Lime</t>
  </si>
  <si>
    <t>Lime, algal</t>
  </si>
  <si>
    <t>change in number of trees this year</t>
  </si>
  <si>
    <t>Per tree (if relevant)</t>
  </si>
  <si>
    <t>Area conversions</t>
  </si>
  <si>
    <t xml:space="preserve">Embodied emissions in pesticides </t>
  </si>
  <si>
    <t>Assumed</t>
  </si>
  <si>
    <t>Average of several from www.fao.org/DOCREP/006/AD582E/ad582e00.pdf</t>
  </si>
  <si>
    <t>synthetic/FYM/Compost/lime</t>
  </si>
  <si>
    <t>Soybean</t>
  </si>
  <si>
    <t>Corn</t>
  </si>
  <si>
    <t>Fertiliser name (optional)</t>
  </si>
  <si>
    <t>Base</t>
  </si>
  <si>
    <t>C *</t>
  </si>
  <si>
    <t>C:N ratio</t>
  </si>
  <si>
    <t>Bouwman N2O</t>
  </si>
  <si>
    <t>Bouwman NO</t>
  </si>
  <si>
    <t>Bouwman NH3</t>
  </si>
  <si>
    <t>Yield/per unit area stuff</t>
  </si>
  <si>
    <t>Bouwman index</t>
  </si>
  <si>
    <t>Nutrient index</t>
  </si>
  <si>
    <t>application rate in kilos</t>
  </si>
  <si>
    <t>Bouwman model indices</t>
  </si>
  <si>
    <t>Used in calculations</t>
  </si>
  <si>
    <t>assume 60% dry weight in compost</t>
  </si>
  <si>
    <t>slope - dry weight</t>
  </si>
  <si>
    <t>diesel efficiency factor based on 75hp machine</t>
  </si>
  <si>
    <t xml:space="preserve">Removed; Forced Aeration Compost </t>
  </si>
  <si>
    <t>tonnes/ha</t>
  </si>
  <si>
    <t>Emissions (kg CO2 equiv)</t>
  </si>
  <si>
    <t>Total (kg CO2 equiv)</t>
  </si>
  <si>
    <t>Total /hectare (kg CO2 equiv)</t>
  </si>
  <si>
    <t>Other animal (not pigs, cattle, poultry) - Solid storage</t>
  </si>
  <si>
    <t>Manure N excretion index</t>
  </si>
  <si>
    <t>Above ground Carbon change this year</t>
  </si>
  <si>
    <t>Can you reduce fertiliser application rates? If not, remember that soil properties affect N2O emissions - which are typically high in clayey or wet soils.</t>
  </si>
  <si>
    <t>NI</t>
  </si>
  <si>
    <t xml:space="preserve"> Changing fertiliser type may help - emissions do differ between fertiliser types.</t>
  </si>
  <si>
    <t>annual</t>
  </si>
  <si>
    <t>cumulative</t>
  </si>
  <si>
    <t>Tomato</t>
  </si>
  <si>
    <t>Other Non-N-fixing forage</t>
  </si>
  <si>
    <t>N-fixing forage</t>
  </si>
  <si>
    <t>Perennial grass</t>
  </si>
  <si>
    <t>Peanut</t>
  </si>
  <si>
    <t>Dry Bean</t>
  </si>
  <si>
    <t>Soyabean</t>
  </si>
  <si>
    <t>Rye</t>
  </si>
  <si>
    <t>Sorghum</t>
  </si>
  <si>
    <t>Millet</t>
  </si>
  <si>
    <t>Oats</t>
  </si>
  <si>
    <t>Rice</t>
  </si>
  <si>
    <t>This section should always be completed if using this tab</t>
  </si>
  <si>
    <t>is forest involved</t>
  </si>
  <si>
    <t>Monoammonium phosphate</t>
  </si>
  <si>
    <t>Muriate of potash / Potassium Chloride</t>
  </si>
  <si>
    <t>Data entry and editing</t>
  </si>
  <si>
    <t>License</t>
  </si>
  <si>
    <t>Total (N2O-N)</t>
  </si>
  <si>
    <t>Total (N2O)</t>
  </si>
  <si>
    <t>N.B. The detailed impact of emissions inhibitors is not clear. We model it here as impacting both background and fertiliser induced emissions, since data do not permit us to separate the effect onto the separate sources. These figures should be treated with caution particularly for low N application rates (e.g. &lt;100 kg/ha)</t>
  </si>
  <si>
    <t>direct and indirect field N2O</t>
  </si>
  <si>
    <t>Apple</t>
  </si>
  <si>
    <t>Tea</t>
  </si>
  <si>
    <t>Bush crop</t>
  </si>
  <si>
    <t>averages or borrows from other crops in list</t>
  </si>
  <si>
    <t>Not IPCC</t>
  </si>
  <si>
    <t>Fossil fuel</t>
  </si>
  <si>
    <t>Total emissions (kg CO2 eq)</t>
  </si>
  <si>
    <t>Totals (kg CO2 eq)</t>
  </si>
  <si>
    <t>No-till to Conventional</t>
  </si>
  <si>
    <t>Conventional to Reduced</t>
  </si>
  <si>
    <t>No-till to Reduced</t>
  </si>
  <si>
    <t>petrol efficiency factor based on 75hp machine</t>
  </si>
  <si>
    <t>Fuel use/ha for diesel</t>
  </si>
  <si>
    <t>Fuel use/ha for petrol</t>
  </si>
  <si>
    <t>CO2 equiv</t>
  </si>
  <si>
    <t>Above ground biomass</t>
  </si>
  <si>
    <t>Below ground biomass</t>
  </si>
  <si>
    <t>Climate</t>
  </si>
  <si>
    <t>Tropical-Moist</t>
  </si>
  <si>
    <t>Grass</t>
  </si>
  <si>
    <t>pH &lt;= 5.5</t>
  </si>
  <si>
    <t>CEC &lt;= 16</t>
  </si>
  <si>
    <t>The data to the right may either represent a typical life cycle or else a snapshot</t>
  </si>
  <si>
    <t>South America (&lt;= 20 yr)</t>
  </si>
  <si>
    <t>Subtropical humid forest</t>
  </si>
  <si>
    <t>South America (&gt; 20 yr)</t>
  </si>
  <si>
    <t>Subtropical dry forest</t>
  </si>
  <si>
    <t>Asia, continental (&lt;= 20 yr)</t>
  </si>
  <si>
    <t>Subtropical steppe</t>
  </si>
  <si>
    <t>Asia, continental (&gt; 20 yr)</t>
  </si>
  <si>
    <t>Tree species 5</t>
  </si>
  <si>
    <t>class</t>
  </si>
  <si>
    <t>kgs</t>
  </si>
  <si>
    <t>pounds</t>
  </si>
  <si>
    <t>tons/acre</t>
  </si>
  <si>
    <t>Default Unit system</t>
  </si>
  <si>
    <t>metric default</t>
  </si>
  <si>
    <t>metric used</t>
  </si>
  <si>
    <t>conversion factor from litre</t>
  </si>
  <si>
    <t>Fertiliser production</t>
  </si>
  <si>
    <t xml:space="preserve">Average Annual Temperature  </t>
  </si>
  <si>
    <t xml:space="preserve"> </t>
    <phoneticPr fontId="3" type="noConversion"/>
  </si>
  <si>
    <t>P (P205)</t>
    <phoneticPr fontId="40" type="noConversion"/>
  </si>
  <si>
    <t>K (K2O)</t>
    <phoneticPr fontId="40" type="noConversion"/>
  </si>
  <si>
    <t>Fine classification</t>
  </si>
  <si>
    <t>Pesticide applications</t>
  </si>
  <si>
    <t>%</t>
  </si>
  <si>
    <t>pigs, growing</t>
  </si>
  <si>
    <t>pigs, mature</t>
  </si>
  <si>
    <t>buffalo, growing</t>
  </si>
  <si>
    <t>buffalo, mature</t>
  </si>
  <si>
    <t xml:space="preserve"> - Indonesia</t>
  </si>
  <si>
    <t>Wetland rice</t>
  </si>
  <si>
    <t>Fine</t>
  </si>
  <si>
    <t>Medium</t>
  </si>
  <si>
    <t>Fine - moist</t>
  </si>
  <si>
    <t>trees lost per ha</t>
  </si>
  <si>
    <t>Winter wheat</t>
  </si>
  <si>
    <t>Arable</t>
  </si>
  <si>
    <t>No tillage</t>
  </si>
  <si>
    <t>Low input</t>
  </si>
  <si>
    <t>Total below ground C</t>
  </si>
  <si>
    <t>Road</t>
  </si>
  <si>
    <t>Rail</t>
  </si>
  <si>
    <t>distance</t>
  </si>
  <si>
    <t>mode</t>
  </si>
  <si>
    <t>Air</t>
  </si>
  <si>
    <t>Ship</t>
  </si>
  <si>
    <t>Tillage</t>
  </si>
  <si>
    <t>chisel plough</t>
  </si>
  <si>
    <t>Pig slurry</t>
  </si>
  <si>
    <t>Separated Pig slurry - liquid part</t>
  </si>
  <si>
    <t>Separated Pig slurry - solid part</t>
  </si>
  <si>
    <t>For Smith et al 1997</t>
  </si>
  <si>
    <t>length of lifecycle</t>
  </si>
  <si>
    <t>lengths of phases</t>
  </si>
  <si>
    <t>to use in annualised emissions</t>
  </si>
  <si>
    <t>Triple super phosphate</t>
  </si>
  <si>
    <t>Urea ammonium nitrate solution</t>
  </si>
  <si>
    <t>Cattle Farmyard manure</t>
  </si>
  <si>
    <t>Pig Farmyard manure</t>
  </si>
  <si>
    <t>Sheep Farmyard manure</t>
  </si>
  <si>
    <t>Horse Farmyard Manure</t>
  </si>
  <si>
    <t>assumed C content for smith et al is the average of the farmyard manures above - equal to</t>
  </si>
  <si>
    <t>tonnes CO2 eq</t>
  </si>
  <si>
    <t>kg CO2 eq</t>
  </si>
  <si>
    <t>pounds CO2 eq</t>
  </si>
  <si>
    <t>tons CO2 eq</t>
  </si>
  <si>
    <t>kg Co2 eq</t>
  </si>
  <si>
    <t>Parent index</t>
  </si>
  <si>
    <t>CATTLE/BUFFALO ONLY</t>
  </si>
  <si>
    <t>Unilever</t>
  </si>
  <si>
    <t>www.localpower.org/documents_pub/report_bagasse_cogeneration.pdf</t>
  </si>
  <si>
    <t>www.dti.gov.uk/energy/inform/table_a1_a2.xls</t>
  </si>
  <si>
    <t>NY</t>
  </si>
  <si>
    <t>NC</t>
  </si>
  <si>
    <t>ND</t>
  </si>
  <si>
    <t>OH</t>
  </si>
  <si>
    <t>OK</t>
  </si>
  <si>
    <t>OR</t>
  </si>
  <si>
    <t>PA</t>
  </si>
  <si>
    <t>RI</t>
  </si>
  <si>
    <t>Coal SFC</t>
  </si>
  <si>
    <t>GHG Protocol website - Coal</t>
  </si>
  <si>
    <t>Steam coal</t>
  </si>
  <si>
    <t>Imported coal</t>
  </si>
  <si>
    <t>Propane gas</t>
  </si>
  <si>
    <t>GHG Protocol website LPG</t>
  </si>
  <si>
    <t>Other petroleum gas</t>
  </si>
  <si>
    <t>1.72 &lt; SOM &lt;= 5.16</t>
  </si>
  <si>
    <t>assumed bulk density</t>
  </si>
  <si>
    <t>base power</t>
  </si>
  <si>
    <t>ha/hour</t>
  </si>
  <si>
    <t>kwh/tonne</t>
  </si>
  <si>
    <t>Is is an option to modify your flooding regime or residue incorporation?</t>
  </si>
  <si>
    <t>Can you reduce the pesticide requirements of your crop?</t>
  </si>
  <si>
    <t>Subtropical mountain system</t>
  </si>
  <si>
    <t>Tropical Mountain system</t>
  </si>
  <si>
    <t>-- NE</t>
  </si>
  <si>
    <t>(Type over this message to enter notes about modeling assumptions)</t>
  </si>
  <si>
    <t>Background direct and indirect N2O</t>
  </si>
  <si>
    <t>Total below ground C, CO2 equiv</t>
  </si>
  <si>
    <t>minimum of tropical hardwood biomass function</t>
  </si>
  <si>
    <t>above ground C current year, all trees</t>
  </si>
  <si>
    <t>above ground C previous year, all trees</t>
  </si>
  <si>
    <t>above ground C current year, CO2 equiv, all trees</t>
  </si>
  <si>
    <t>Below ground carbon change this year</t>
  </si>
  <si>
    <t>Below ground carbon change this year, CO2 eq</t>
  </si>
  <si>
    <t>Vegetable</t>
  </si>
  <si>
    <t>-- NV</t>
  </si>
  <si>
    <t>-- NH</t>
  </si>
  <si>
    <t>-- NJ</t>
  </si>
  <si>
    <t>Spring wheat</t>
  </si>
  <si>
    <t>Maize</t>
  </si>
  <si>
    <t>below:above ratio</t>
  </si>
  <si>
    <t>(Type over this message to enter which materials you have included in this section.)</t>
  </si>
  <si>
    <t>tomato harvester</t>
  </si>
  <si>
    <t>-- AR</t>
  </si>
  <si>
    <t>-- CA</t>
  </si>
  <si>
    <t>-- CO</t>
  </si>
  <si>
    <t>-- CT</t>
  </si>
  <si>
    <t>-- DE</t>
  </si>
  <si>
    <t>-- DC</t>
  </si>
  <si>
    <t>-- FL</t>
  </si>
  <si>
    <t>-- GA</t>
  </si>
  <si>
    <t>-- HI</t>
  </si>
  <si>
    <t>-- ID</t>
  </si>
  <si>
    <t>-- IL</t>
  </si>
  <si>
    <t>-- IN</t>
  </si>
  <si>
    <t>Bioethanol</t>
  </si>
  <si>
    <t>Litres</t>
  </si>
  <si>
    <t>Tree species 4</t>
  </si>
  <si>
    <t>None - river/lake/sea discharge</t>
  </si>
  <si>
    <t>None - stagnant</t>
  </si>
  <si>
    <t>None - fast flowing</t>
  </si>
  <si>
    <t>Centralised, aerobic treatment plant*</t>
  </si>
  <si>
    <t>[select]</t>
  </si>
  <si>
    <t>°C</t>
  </si>
  <si>
    <t>Metric</t>
  </si>
  <si>
    <t>Emissions (kg CO2 eq)</t>
  </si>
  <si>
    <t>Grassland to Arable</t>
  </si>
  <si>
    <t xml:space="preserve">No </t>
  </si>
  <si>
    <t>Conventional to No-till</t>
  </si>
  <si>
    <t>Reduced to No-till</t>
  </si>
  <si>
    <t>Crop type</t>
  </si>
  <si>
    <t>Tillage practice changes</t>
  </si>
  <si>
    <t>diameter at 15cm from ground</t>
  </si>
  <si>
    <t>Other bio</t>
  </si>
  <si>
    <t>other fossil</t>
  </si>
  <si>
    <t>Left on field; Incorporated or mulch</t>
  </si>
  <si>
    <t>index for measurement</t>
  </si>
  <si>
    <t>CA</t>
  </si>
  <si>
    <t>CO</t>
  </si>
  <si>
    <t>CT</t>
  </si>
  <si>
    <t>DC</t>
  </si>
  <si>
    <t>FL</t>
  </si>
  <si>
    <t>GA</t>
  </si>
  <si>
    <t>ID</t>
  </si>
  <si>
    <t>Juvenile phase</t>
    <phoneticPr fontId="3" type="noConversion"/>
  </si>
  <si>
    <t>tropical moist wood</t>
  </si>
  <si>
    <t>This year</t>
  </si>
  <si>
    <t>Root:Shoot Ratio</t>
  </si>
  <si>
    <t>Carbon Fraction</t>
  </si>
  <si>
    <t>Adult productive phase</t>
  </si>
  <si>
    <t>Number of animals</t>
  </si>
  <si>
    <t># years</t>
  </si>
  <si>
    <t>Days</t>
  </si>
  <si>
    <t>Weeks</t>
  </si>
  <si>
    <t>Percentage of diet from feed mix (instead of grazing)</t>
  </si>
  <si>
    <t>Adult non-productive phases</t>
  </si>
  <si>
    <t>CO2 equiv/tonne</t>
  </si>
  <si>
    <t>manure spreader</t>
  </si>
  <si>
    <t xml:space="preserve"> - Argentina</t>
  </si>
  <si>
    <t xml:space="preserve"> - Bolivia</t>
  </si>
  <si>
    <t xml:space="preserve"> - Brazil</t>
  </si>
  <si>
    <t xml:space="preserve"> - Chile</t>
  </si>
  <si>
    <t xml:space="preserve"> - Colombia</t>
  </si>
  <si>
    <t xml:space="preserve"> - Costa Rica</t>
  </si>
  <si>
    <t xml:space="preserve"> - Cuba</t>
  </si>
  <si>
    <t xml:space="preserve"> - Dominican Republic</t>
  </si>
  <si>
    <t xml:space="preserve"> - Ecuador</t>
  </si>
  <si>
    <t>used in lookups</t>
  </si>
  <si>
    <t>used in below</t>
  </si>
  <si>
    <t>Other crop</t>
  </si>
  <si>
    <t>South Africa (&gt; 20 yr)</t>
  </si>
  <si>
    <t>Cumulative totals</t>
  </si>
  <si>
    <t>Soil C since practice changes</t>
  </si>
  <si>
    <t>tree</t>
  </si>
  <si>
    <t>units</t>
  </si>
  <si>
    <t>conversion</t>
  </si>
  <si>
    <t>-- NY</t>
  </si>
  <si>
    <t>-- NC</t>
  </si>
  <si>
    <t>Last year</t>
  </si>
  <si>
    <t>Kg CO2 eq per kwh</t>
  </si>
  <si>
    <t>AL</t>
  </si>
  <si>
    <t>AK</t>
  </si>
  <si>
    <t>AZ</t>
  </si>
  <si>
    <t>AR</t>
  </si>
  <si>
    <t>Months</t>
  </si>
  <si>
    <t>Years</t>
  </si>
  <si>
    <t>FEED CHARACTERISTICS</t>
  </si>
  <si>
    <t>trees per ha</t>
  </si>
  <si>
    <t>roller packer</t>
  </si>
  <si>
    <t>Finished product from total area*</t>
  </si>
  <si>
    <t>The cumulative totals measure the amount of carbon accumulated or lost from the system since the first of the changes in the above boxes. This may be either the land use change, tillage practice change, rotational practice change or the beginning of the tree crop plantation</t>
  </si>
  <si>
    <t>If conversion from forest</t>
  </si>
  <si>
    <t>If conversion to forest</t>
  </si>
  <si>
    <t>Total in feed</t>
  </si>
  <si>
    <t>Enteric</t>
  </si>
  <si>
    <t>Manure Ch4</t>
  </si>
  <si>
    <t>Manure direct N2O</t>
  </si>
  <si>
    <t>Manure indirect N2O</t>
  </si>
  <si>
    <t>yield multiplier for power</t>
  </si>
  <si>
    <t>Wood density</t>
  </si>
  <si>
    <t>-- ND</t>
  </si>
  <si>
    <t>-- OH</t>
  </si>
  <si>
    <t>-- OK</t>
  </si>
  <si>
    <t>net biomass growth (AG) &lt;20 yrs</t>
  </si>
  <si>
    <t>net biomass growth (AG) &gt;20 yrs</t>
  </si>
  <si>
    <t>eventual mass (AG)</t>
  </si>
  <si>
    <t>current above ground biomass</t>
  </si>
  <si>
    <t>current below ground biomass</t>
  </si>
  <si>
    <t>annual AG biomass change (t C)</t>
  </si>
  <si>
    <t>annual below ground biomass change t C)</t>
  </si>
  <si>
    <t>above ground biomass (CO2 equiv)</t>
  </si>
  <si>
    <t xml:space="preserve"> below ground biomass (CO2 equiv)</t>
  </si>
  <si>
    <t>annual AG biomass change (CO2 equiv)</t>
  </si>
  <si>
    <t>annual below ground biomass change (CO2 equiv)</t>
  </si>
  <si>
    <t>annual increment factor</t>
  </si>
  <si>
    <t>Tropical rain forest</t>
  </si>
  <si>
    <t>Africa (&lt;= 20 yr)</t>
  </si>
  <si>
    <t>Africa (&gt;20 yr)</t>
  </si>
  <si>
    <t>Tropical Dry forest</t>
  </si>
  <si>
    <t>North America (&lt;= 20 yr)</t>
  </si>
  <si>
    <t>*</t>
  </si>
  <si>
    <t>Tropical shrubland</t>
  </si>
  <si>
    <t>North America (&gt; 20 yr)</t>
  </si>
  <si>
    <t>Tropical Mountain systems</t>
  </si>
  <si>
    <t>Some worksheets are locked by default to prevent users from accidently overwriting calculations - the password to unlock them is "StayCool"</t>
  </si>
  <si>
    <t>temperature used in lookups</t>
  </si>
  <si>
    <t>SOM &lt;= 1.72</t>
  </si>
  <si>
    <t>°F</t>
  </si>
  <si>
    <t>residues</t>
  </si>
  <si>
    <t>[Select or enter exact amount]</t>
  </si>
  <si>
    <t>grazing</t>
  </si>
  <si>
    <t>EF grazing</t>
  </si>
  <si>
    <t>Muriate of potash / Potassium Chloride - 60% K2O</t>
  </si>
  <si>
    <t>Phosphate/Rock Phosphate</t>
  </si>
  <si>
    <t>Potassium sulphate</t>
  </si>
  <si>
    <t xml:space="preserve">Summary reporting units </t>
  </si>
  <si>
    <t>Compost (fully aerated production)</t>
  </si>
  <si>
    <t>Previous</t>
  </si>
  <si>
    <t>Current</t>
  </si>
  <si>
    <t>Land Use Changes</t>
  </si>
  <si>
    <t>Pasture/Set-aside</t>
  </si>
  <si>
    <t>in your case this is zero</t>
  </si>
  <si>
    <t>index forest type</t>
  </si>
  <si>
    <t>index region</t>
  </si>
  <si>
    <t>Tropical Moist deciduous forest</t>
  </si>
  <si>
    <t>Age when felled</t>
  </si>
  <si>
    <t>palm(Attalea phalarata)</t>
  </si>
  <si>
    <t>palm (Phenakospermun guianensis)</t>
  </si>
  <si>
    <t>palm (Euterpe precatoria)</t>
  </si>
  <si>
    <t>height</t>
  </si>
  <si>
    <t>finished product</t>
  </si>
  <si>
    <t>pieces</t>
  </si>
  <si>
    <t>trees</t>
  </si>
  <si>
    <t>Tree species 2</t>
  </si>
  <si>
    <t>Tree species 3</t>
  </si>
  <si>
    <t xml:space="preserve"> - India</t>
  </si>
  <si>
    <t>Bouwman equivalent</t>
  </si>
  <si>
    <t>Gross classification</t>
  </si>
  <si>
    <t xml:space="preserve">Average Annual Temperature*  </t>
  </si>
  <si>
    <t>Boreal mountain system</t>
  </si>
  <si>
    <t>CONSTANT</t>
  </si>
  <si>
    <t>DBH</t>
  </si>
  <si>
    <t>DBH^Y power</t>
  </si>
  <si>
    <t>Tropical Moist Hardwood</t>
  </si>
  <si>
    <t>DBHY multiplier</t>
  </si>
  <si>
    <t>Pounds CO2 eq per kwh</t>
  </si>
  <si>
    <t>Land Use Change</t>
  </si>
  <si>
    <t>Latin America</t>
  </si>
  <si>
    <t xml:space="preserve"> - Cyprus</t>
  </si>
  <si>
    <t xml:space="preserve"> - Czech Republic</t>
  </si>
  <si>
    <t>3.n.16</t>
  </si>
  <si>
    <t>3.n.17</t>
  </si>
  <si>
    <t>3.n.18</t>
  </si>
  <si>
    <t>3.n.19</t>
  </si>
  <si>
    <t>3.n.20</t>
  </si>
  <si>
    <t>3.n.21</t>
  </si>
  <si>
    <t>3.n.22</t>
  </si>
  <si>
    <t>Spraying/spreading</t>
  </si>
  <si>
    <t>3.o.1</t>
  </si>
  <si>
    <t>3.o.2</t>
  </si>
  <si>
    <t>3.o.3</t>
  </si>
  <si>
    <t>3.p.1</t>
  </si>
  <si>
    <t>3.p.2</t>
  </si>
  <si>
    <t>3.p.3</t>
  </si>
  <si>
    <t>3.p.4</t>
  </si>
  <si>
    <t>3.p.5</t>
  </si>
  <si>
    <t>3.p.6</t>
  </si>
  <si>
    <t>3.p.7</t>
  </si>
  <si>
    <t>3.p.8</t>
  </si>
  <si>
    <t>3.p.9</t>
  </si>
  <si>
    <t>3.p.10</t>
  </si>
  <si>
    <r>
      <t>9. Default Factors</t>
    </r>
    <r>
      <rPr>
        <sz val="11"/>
        <rFont val="Arial"/>
        <family val="2"/>
      </rPr>
      <t>: This page includes editable default values.</t>
    </r>
  </si>
  <si>
    <t>deadweights:</t>
  </si>
  <si>
    <t>Local wind, solar, hydro-electric in field</t>
  </si>
  <si>
    <t>Co-product 4</t>
  </si>
  <si>
    <t>Summary Comments</t>
  </si>
  <si>
    <t>weightings</t>
  </si>
  <si>
    <t>In tonnes</t>
  </si>
  <si>
    <t>weighting for main product</t>
  </si>
  <si>
    <t>Tier 1 EF</t>
  </si>
  <si>
    <t>Tier 2 EF</t>
  </si>
  <si>
    <t>percentage of manure in this system</t>
  </si>
  <si>
    <t>EFMA (2006)</t>
  </si>
  <si>
    <t>EFMA (2011)</t>
  </si>
  <si>
    <t>Ecoinvent (2002)</t>
  </si>
  <si>
    <t>As a general rule, emissions factors tend to increase in the following order; ship, rail, road, air.</t>
  </si>
  <si>
    <t>feed</t>
  </si>
  <si>
    <t>manure management</t>
  </si>
  <si>
    <t>enteric digestion</t>
  </si>
  <si>
    <t>disc harrow</t>
  </si>
  <si>
    <t>disk bedder</t>
  </si>
  <si>
    <t>grain drill</t>
  </si>
  <si>
    <t>grain drill-notill</t>
  </si>
  <si>
    <t>hoe drill</t>
  </si>
  <si>
    <t>-- NM</t>
  </si>
  <si>
    <t>Very Short Haul</t>
  </si>
  <si>
    <t>Asia, continental</t>
  </si>
  <si>
    <t>Asia, insular</t>
  </si>
  <si>
    <t>Europe</t>
  </si>
  <si>
    <t>Above ground Carbon change this year Co2 eq</t>
  </si>
  <si>
    <t>5.16 &lt; SOM &lt;= 10.32</t>
  </si>
  <si>
    <t>coarse</t>
  </si>
  <si>
    <t>hectare conversion</t>
  </si>
  <si>
    <t>5.5 &lt; pH &lt;= 7.3</t>
  </si>
  <si>
    <t>16 &lt; CEC &lt;= 24</t>
  </si>
  <si>
    <t>3.n.8</t>
  </si>
  <si>
    <t>3.n.9</t>
  </si>
  <si>
    <t>3.n.10</t>
  </si>
  <si>
    <t>3.n.11</t>
  </si>
  <si>
    <t>3.n.12</t>
  </si>
  <si>
    <t>3.n.13</t>
  </si>
  <si>
    <t>3.n.14</t>
  </si>
  <si>
    <t>3.n.15</t>
  </si>
  <si>
    <t>How long ago was this change made (years)</t>
  </si>
  <si>
    <r>
      <t xml:space="preserve">Note: If you know the </t>
    </r>
    <r>
      <rPr>
        <b/>
        <sz val="10"/>
        <rFont val="Arial"/>
        <family val="2"/>
      </rPr>
      <t>elemental</t>
    </r>
    <r>
      <rPr>
        <sz val="10"/>
        <rFont val="Arial"/>
        <family val="2"/>
      </rPr>
      <t xml:space="preserve"> values of the nutrients in your fertilizer, unprotect this page and enter that information in columns g, h, and i</t>
    </r>
  </si>
  <si>
    <t>Adult non-productive manure management comments</t>
  </si>
  <si>
    <t>3.p.14</t>
  </si>
  <si>
    <t>3.p.15</t>
  </si>
  <si>
    <t>Composting - forced aeration</t>
  </si>
  <si>
    <t xml:space="preserve"> - Senegal</t>
  </si>
  <si>
    <t xml:space="preserve"> - South Africa</t>
  </si>
  <si>
    <t>mass females</t>
  </si>
  <si>
    <t>mass males</t>
  </si>
  <si>
    <t>Mature weight (kgs)</t>
  </si>
  <si>
    <t>Emissions from feed will usually depend on the production method of the feed consitituents. Feed mix, of course, can affect emissions from enteric digestion.</t>
  </si>
  <si>
    <t>SC</t>
  </si>
  <si>
    <t>SD</t>
  </si>
  <si>
    <t>TN</t>
  </si>
  <si>
    <t>TX</t>
  </si>
  <si>
    <t>UT</t>
  </si>
  <si>
    <t>VT</t>
  </si>
  <si>
    <t>VA</t>
  </si>
  <si>
    <t>WA</t>
  </si>
  <si>
    <t>WV</t>
  </si>
  <si>
    <t>WI</t>
  </si>
  <si>
    <t>WY</t>
  </si>
  <si>
    <t>States in US</t>
  </si>
  <si>
    <t>DBH this year(cms)</t>
  </si>
  <si>
    <t>DBH last year(cms)</t>
  </si>
  <si>
    <t>MJ/l</t>
  </si>
  <si>
    <t>Petrol</t>
  </si>
  <si>
    <t>Biodiesel</t>
  </si>
  <si>
    <t>Location</t>
  </si>
  <si>
    <t>Year</t>
  </si>
  <si>
    <t>Country</t>
  </si>
  <si>
    <t>N2O</t>
  </si>
  <si>
    <t>Overall energy use (not including transport)</t>
  </si>
  <si>
    <t>Conversion to kg</t>
  </si>
  <si>
    <t>MJ/kg</t>
  </si>
  <si>
    <t>Management changes</t>
  </si>
  <si>
    <t>Species</t>
  </si>
  <si>
    <t>MCFs</t>
  </si>
  <si>
    <t>Mass, B, and VS</t>
  </si>
  <si>
    <t>Other animals, Mass, B, and VS</t>
  </si>
  <si>
    <t>P (P205)</t>
  </si>
  <si>
    <t>K (K2O)</t>
  </si>
  <si>
    <t>-- MI</t>
  </si>
  <si>
    <t>-- MN</t>
  </si>
  <si>
    <t>-- MS</t>
  </si>
  <si>
    <t>-- MO</t>
  </si>
  <si>
    <t>-- MT</t>
  </si>
  <si>
    <t>Agrochemicals</t>
  </si>
  <si>
    <t>sweep plough</t>
  </si>
  <si>
    <t>Temperate mountain systems</t>
  </si>
  <si>
    <t>Boreal coniferous forest</t>
  </si>
  <si>
    <t>Boreal Tundra woodland</t>
  </si>
  <si>
    <t>kms</t>
  </si>
  <si>
    <t>Annualised emissions in kg per year</t>
  </si>
  <si>
    <t>States</t>
  </si>
  <si>
    <t>Fertiliser Use</t>
  </si>
  <si>
    <t>Arable to Forest</t>
  </si>
  <si>
    <t>Tree species 7</t>
  </si>
  <si>
    <t>Tree species 8</t>
  </si>
  <si>
    <t>Tree species 9</t>
  </si>
  <si>
    <t>Tree species 10</t>
  </si>
  <si>
    <t>Input practice change</t>
  </si>
  <si>
    <t>low inputs</t>
  </si>
  <si>
    <t>medium</t>
  </si>
  <si>
    <t>Negative values represent sequestration/positive values represent emissions</t>
  </si>
  <si>
    <t>-- WI</t>
  </si>
  <si>
    <t>-- WY</t>
  </si>
  <si>
    <t>Country/U.S. State*</t>
  </si>
  <si>
    <t>gallon</t>
  </si>
  <si>
    <t>pound</t>
  </si>
  <si>
    <t>high</t>
  </si>
  <si>
    <t>* values mostly as for other crop</t>
  </si>
  <si>
    <t>*values mostly as for tree crop</t>
  </si>
  <si>
    <t>Forest/Natural</t>
  </si>
  <si>
    <t>Low tillage</t>
  </si>
  <si>
    <t>Medium input</t>
  </si>
  <si>
    <t xml:space="preserve"> - El Salvador</t>
  </si>
  <si>
    <t xml:space="preserve"> - Guatemala</t>
  </si>
  <si>
    <t xml:space="preserve"> - Haiti</t>
  </si>
  <si>
    <t xml:space="preserve"> - Honduras</t>
  </si>
  <si>
    <t xml:space="preserve"> - Jamaica</t>
  </si>
  <si>
    <t xml:space="preserve"> - Netherlands Antilles</t>
  </si>
  <si>
    <t xml:space="preserve"> - Nicaragua</t>
  </si>
  <si>
    <t xml:space="preserve"> - Panama</t>
  </si>
  <si>
    <t xml:space="preserve"> - Paraguay</t>
  </si>
  <si>
    <t xml:space="preserve"> - Peru</t>
  </si>
  <si>
    <t xml:space="preserve"> - Trinidad &amp; Tobago</t>
  </si>
  <si>
    <t>forest</t>
  </si>
  <si>
    <t>grass</t>
  </si>
  <si>
    <t>Heavy oil</t>
  </si>
  <si>
    <t>The carbon Trust Energy and carbon conversion figures</t>
  </si>
  <si>
    <t>New Zealand</t>
  </si>
  <si>
    <t xml:space="preserve">kg co2e/MJ electricity produced - Data from IEA CO2 Highlights for countries and regions. 2009 figures. Data for US states from EGRID - 2007 figures. </t>
  </si>
  <si>
    <t xml:space="preserve">  </t>
  </si>
  <si>
    <t>Compound NK - 14% N; 44% K2O</t>
  </si>
  <si>
    <t>Diammonium phosphate - 18% N; 46% P2O5</t>
  </si>
  <si>
    <t>Subsurface drip</t>
  </si>
  <si>
    <t>South Africa</t>
  </si>
  <si>
    <t>Europe (&lt;= 20 yr)</t>
  </si>
  <si>
    <t>Europe (&gt; 20 yr)</t>
  </si>
  <si>
    <t>New Zealand (&lt;= 20 yr)</t>
  </si>
  <si>
    <t>New Zealand (&gt; 20 yr)</t>
  </si>
  <si>
    <t>South Africa (&lt;= 20 yr)</t>
  </si>
  <si>
    <t>Land Use changes</t>
  </si>
  <si>
    <t>Age &lt; 20?</t>
  </si>
  <si>
    <t>rootshoot ratio</t>
  </si>
  <si>
    <t>www.fao.org/DOCREP/006/AD582E/ad582e00.pdf</t>
  </si>
  <si>
    <t>IL</t>
  </si>
  <si>
    <t>IN</t>
  </si>
  <si>
    <t>IA</t>
  </si>
  <si>
    <t>KS</t>
  </si>
  <si>
    <t>KY</t>
  </si>
  <si>
    <t>LA</t>
  </si>
  <si>
    <t>ME</t>
  </si>
  <si>
    <t>MD</t>
  </si>
  <si>
    <t>MA</t>
  </si>
  <si>
    <t>MI</t>
  </si>
  <si>
    <t>MN</t>
  </si>
  <si>
    <t>MS</t>
  </si>
  <si>
    <t>MO</t>
  </si>
  <si>
    <t>MT</t>
  </si>
  <si>
    <t>NV</t>
  </si>
  <si>
    <t>NH</t>
  </si>
  <si>
    <t>NJ</t>
  </si>
  <si>
    <t>NM</t>
  </si>
  <si>
    <r>
      <t xml:space="preserve">percentage of </t>
    </r>
    <r>
      <rPr>
        <i/>
        <sz val="10"/>
        <rFont val="Arial"/>
        <family val="2"/>
      </rPr>
      <t>productive time</t>
    </r>
    <r>
      <rPr>
        <sz val="10"/>
        <rFont val="Arial"/>
        <family val="2"/>
      </rPr>
      <t xml:space="preserve"> actually in production </t>
    </r>
  </si>
  <si>
    <t>Daniella Malin, Stephanie Daniels, Christina Ingersoll, Jessica Mullan, Hal Hamilton (Sustainable Food Lab)</t>
  </si>
  <si>
    <t>Lagoons, liquid slurries, and deep bedding systems tend to have the highest methane emissions, although direct and indirect nitrous oxide emissions can also be a factor.</t>
  </si>
  <si>
    <t>Ammonium sulphate nitrate - 26%N</t>
  </si>
  <si>
    <t>Ammonium sulphate nitrate</t>
  </si>
  <si>
    <t>Coffee</t>
  </si>
  <si>
    <t>Temperate Oceanic forest</t>
  </si>
  <si>
    <t>shade (Cordia alliodora, Juglans olanchana, Inga tonduzzi, I. punctata)</t>
  </si>
  <si>
    <t>South America</t>
  </si>
  <si>
    <t>Soil Organic Matter*</t>
  </si>
  <si>
    <t>N2O inhibition</t>
  </si>
  <si>
    <t>NO inhibition</t>
  </si>
  <si>
    <t>NO inhibitor index</t>
  </si>
  <si>
    <t>Areas enclosed by a dashed green box indicate that explanatory information is available for this entry.  Click on these boxes to access this information.</t>
  </si>
  <si>
    <t xml:space="preserve">A light orange cell color indicates a place for you to input a value. </t>
  </si>
  <si>
    <t xml:space="preserve">Default Unit system* </t>
  </si>
  <si>
    <t>You may select components of your own feed mix to the right to estimate emissions for this component. If you leave this section blank emissions will be assumed for average feed component production.</t>
  </si>
  <si>
    <t>compost alert trigger</t>
  </si>
  <si>
    <t>% in feed mix</t>
  </si>
  <si>
    <t>total CO2 to carry forward (defaults to winter wheat)</t>
  </si>
  <si>
    <t>Emissions from feed</t>
  </si>
  <si>
    <t xml:space="preserve">Tier 2 emissions for </t>
  </si>
  <si>
    <t>REG (Ratio energy available for growth)</t>
  </si>
  <si>
    <t>REM (Ratio energy available for maintenance)</t>
  </si>
  <si>
    <t>manure alert trigger</t>
  </si>
  <si>
    <t>compost alert index</t>
  </si>
  <si>
    <t>manure alert index</t>
  </si>
  <si>
    <t>Totals</t>
  </si>
  <si>
    <t>pounds/ha (US)</t>
  </si>
  <si>
    <t>See additions for management changes</t>
  </si>
  <si>
    <t xml:space="preserve"> - Kenya</t>
  </si>
  <si>
    <t xml:space="preserve"> - Libya</t>
  </si>
  <si>
    <t xml:space="preserve"> - Mozambique</t>
  </si>
  <si>
    <t xml:space="preserve"> - Namibia</t>
  </si>
  <si>
    <t>N application rate</t>
  </si>
  <si>
    <t>Potato</t>
  </si>
  <si>
    <t>Per hectare default emissions from crops</t>
  </si>
  <si>
    <t>Mass, VS, and B indexing</t>
  </si>
  <si>
    <t>* assumed broilers</t>
  </si>
  <si>
    <t>is it enteric</t>
  </si>
  <si>
    <t>UE</t>
  </si>
  <si>
    <t>start weight</t>
  </si>
  <si>
    <t>female adult weight</t>
  </si>
  <si>
    <t>male adult weight</t>
  </si>
  <si>
    <t xml:space="preserve"> - Uruguay</t>
  </si>
  <si>
    <t xml:space="preserve"> - Venezuela</t>
  </si>
  <si>
    <t>China (including Hong Kong)</t>
  </si>
  <si>
    <t xml:space="preserve"> - China, People's Rep. of</t>
  </si>
  <si>
    <t xml:space="preserve"> - Hong Kong (China)</t>
  </si>
  <si>
    <t>Asia</t>
  </si>
  <si>
    <t xml:space="preserve"> - Bangladesh</t>
  </si>
  <si>
    <t xml:space="preserve"> - Brunei Darussalam</t>
  </si>
  <si>
    <t xml:space="preserve"> - Chinese Taipei</t>
  </si>
  <si>
    <t xml:space="preserve"> - Israel</t>
  </si>
  <si>
    <t xml:space="preserve"> - Jordan</t>
  </si>
  <si>
    <t xml:space="preserve"> - Kuwait</t>
  </si>
  <si>
    <t xml:space="preserve"> - Lebanon</t>
  </si>
  <si>
    <t xml:space="preserve"> - Oman</t>
  </si>
  <si>
    <t>Units</t>
  </si>
  <si>
    <t>[Select]</t>
  </si>
  <si>
    <t>Conversion factor to kg/ha</t>
  </si>
  <si>
    <t>kg/acre</t>
  </si>
  <si>
    <t>tonnes/acre</t>
  </si>
  <si>
    <t>kg/ha</t>
  </si>
  <si>
    <t>Sludge anaerobic digestion</t>
  </si>
  <si>
    <t>Emissions factor for direct N2O</t>
  </si>
  <si>
    <t>% N lost from volatilisation</t>
  </si>
  <si>
    <t>Emission per MJ</t>
  </si>
  <si>
    <t>piece</t>
  </si>
  <si>
    <t>power</t>
  </si>
  <si>
    <t>-- IA</t>
  </si>
  <si>
    <t>-- KS</t>
  </si>
  <si>
    <t>-- KY</t>
  </si>
  <si>
    <t>-- LA</t>
  </si>
  <si>
    <t>-- ME</t>
  </si>
  <si>
    <t>-- MD</t>
  </si>
  <si>
    <t>-- MA</t>
  </si>
  <si>
    <t>Temperate continental forest</t>
  </si>
  <si>
    <t>pneumatic drill</t>
  </si>
  <si>
    <t>rod weeder</t>
  </si>
  <si>
    <t>roller harrow</t>
  </si>
  <si>
    <t>Emissions CO2 equiv</t>
  </si>
  <si>
    <t>Assumed yield (t/ha)</t>
  </si>
  <si>
    <t>emissions (CO2-equiv) = 200.37 + 20.5* pesticide doses + 10.04 * kg N applied</t>
  </si>
  <si>
    <t>cumulative at 20 years with percentage conversion</t>
  </si>
  <si>
    <t>Straw incorporated more than 30 days before cultivation</t>
  </si>
  <si>
    <t>No till N2O emissions</t>
  </si>
  <si>
    <t>Treatment</t>
  </si>
  <si>
    <t>Embodied CO2</t>
  </si>
  <si>
    <t>Croptype</t>
  </si>
  <si>
    <t>dummy</t>
  </si>
  <si>
    <t>average fuel use emissions from operations</t>
  </si>
  <si>
    <t xml:space="preserve"> - United States</t>
  </si>
  <si>
    <t xml:space="preserve"> - Denmark</t>
  </si>
  <si>
    <t xml:space="preserve"> - Finland</t>
  </si>
  <si>
    <t xml:space="preserve"> - France</t>
  </si>
  <si>
    <t xml:space="preserve"> - Germany</t>
  </si>
  <si>
    <t xml:space="preserve"> - Greece</t>
  </si>
  <si>
    <t xml:space="preserve"> - Hungary</t>
  </si>
  <si>
    <t xml:space="preserve"> - Iceland</t>
  </si>
  <si>
    <t xml:space="preserve"> - Ireland</t>
  </si>
  <si>
    <t xml:space="preserve"> - Italy</t>
  </si>
  <si>
    <t xml:space="preserve"> - Luxembourg</t>
  </si>
  <si>
    <t xml:space="preserve"> - Malta</t>
  </si>
  <si>
    <t xml:space="preserve"> - Netherlands</t>
  </si>
  <si>
    <t xml:space="preserve"> - Norway</t>
  </si>
  <si>
    <t>tropical/temperate pines</t>
  </si>
  <si>
    <t>temperate US eastern hardwood</t>
  </si>
  <si>
    <t>Tree species 6</t>
  </si>
  <si>
    <t>-- OR</t>
  </si>
  <si>
    <t>-- PA</t>
  </si>
  <si>
    <t>-- RI</t>
  </si>
  <si>
    <t>eventual below ground biomass</t>
  </si>
  <si>
    <t>3.p.11</t>
  </si>
  <si>
    <t>3.p.12</t>
  </si>
  <si>
    <t>3.p.13</t>
  </si>
  <si>
    <t xml:space="preserve">no till </t>
  </si>
  <si>
    <t>reduced till</t>
  </si>
  <si>
    <t>conventional till</t>
  </si>
  <si>
    <t xml:space="preserve"> - Qatar</t>
  </si>
  <si>
    <t xml:space="preserve"> - Saudi Arabia</t>
  </si>
  <si>
    <t xml:space="preserve"> - Syria</t>
  </si>
  <si>
    <t>Total Energy</t>
  </si>
  <si>
    <t xml:space="preserve"> - Canada</t>
  </si>
  <si>
    <t xml:space="preserve"> - Mexico</t>
  </si>
  <si>
    <t>arable</t>
  </si>
  <si>
    <t>Forest</t>
  </si>
  <si>
    <t>Tillage practices change</t>
  </si>
  <si>
    <t>Furnace oil</t>
  </si>
  <si>
    <t>U.S.</t>
  </si>
  <si>
    <t>GHG Protocol website - Heavy Oil</t>
  </si>
  <si>
    <t>cubic metres</t>
  </si>
  <si>
    <t>Light oil</t>
  </si>
  <si>
    <t>insert</t>
  </si>
  <si>
    <t>estimate</t>
  </si>
  <si>
    <t>Forest type</t>
  </si>
  <si>
    <t>involving forest</t>
  </si>
  <si>
    <t>Co-products</t>
  </si>
  <si>
    <t>Co-product 2 for total area</t>
  </si>
  <si>
    <t>Co-product 3 for total area</t>
  </si>
  <si>
    <t>Co-product 4 for total area</t>
  </si>
  <si>
    <t>Forest to Grassland</t>
  </si>
  <si>
    <t>Forest to Arable</t>
  </si>
  <si>
    <t>Grassland to Forest</t>
  </si>
  <si>
    <t>32 &lt; CEC</t>
  </si>
  <si>
    <t>Temperate-Moist</t>
  </si>
  <si>
    <t>Overall Factor</t>
  </si>
  <si>
    <t>upland</t>
  </si>
  <si>
    <t>For tillage and other inputs the model give a 20 year factor which we use as a start point</t>
  </si>
  <si>
    <t>cumulative so far</t>
  </si>
  <si>
    <t>tropical wet hardwood</t>
  </si>
  <si>
    <t>Tropical wet hardwood</t>
  </si>
  <si>
    <t>temperate/tropical pines</t>
  </si>
  <si>
    <t>definitions of short flight haulage from wikipedia</t>
  </si>
  <si>
    <t>very short &lt; 500 miles or 1.5 hours</t>
  </si>
  <si>
    <t>short &lt; 3 hours (from which I inferred 1000 miles)</t>
  </si>
  <si>
    <t>multiplier</t>
  </si>
  <si>
    <t>Electricity used from National or Local Grid</t>
  </si>
  <si>
    <t>Percentage</t>
  </si>
  <si>
    <t>-- AL</t>
  </si>
  <si>
    <t>-- AK</t>
  </si>
  <si>
    <t>-- AZ</t>
  </si>
  <si>
    <t>North America</t>
  </si>
  <si>
    <t>Choose a sub category</t>
  </si>
  <si>
    <t>Current Age</t>
  </si>
  <si>
    <t>-- SC</t>
  </si>
  <si>
    <t>-- SD</t>
  </si>
  <si>
    <t>-- TN</t>
  </si>
  <si>
    <t>-- TX</t>
  </si>
  <si>
    <t>-- UT</t>
  </si>
  <si>
    <t>-- VT</t>
  </si>
  <si>
    <t>-- VA</t>
  </si>
  <si>
    <t>-- WA</t>
  </si>
  <si>
    <t>-- WV</t>
  </si>
  <si>
    <t>quantity</t>
  </si>
  <si>
    <t>unit</t>
  </si>
  <si>
    <t>coffee (arabica)</t>
  </si>
  <si>
    <t>Conventional tillage</t>
  </si>
  <si>
    <t>Credits</t>
  </si>
  <si>
    <t xml:space="preserve">       </t>
  </si>
  <si>
    <t xml:space="preserve">                   </t>
  </si>
  <si>
    <t>Subtropical mountain systems</t>
  </si>
  <si>
    <t>Asia, insular (&lt;= 20 yr)</t>
  </si>
  <si>
    <t>Soil C in tonnes/ha in top 30 cm</t>
  </si>
  <si>
    <t>CO2</t>
  </si>
  <si>
    <t>Other</t>
  </si>
  <si>
    <t>CH4</t>
  </si>
  <si>
    <t>CO2 equivalent</t>
  </si>
  <si>
    <t>GWPs</t>
  </si>
  <si>
    <t xml:space="preserve"> - United Arab Emirates</t>
  </si>
  <si>
    <t>if either manure or compost are used:</t>
  </si>
  <si>
    <t>Feed methane conversion factor</t>
  </si>
  <si>
    <t>climate for soil CO2 model</t>
  </si>
  <si>
    <t>Assumed bulk density</t>
  </si>
  <si>
    <t>was the drop-down or actual value entered for soil SOM?</t>
  </si>
  <si>
    <t>previous practice index</t>
  </si>
  <si>
    <t>current practice index</t>
  </si>
  <si>
    <t>difference in indexes</t>
  </si>
  <si>
    <t>C emissions</t>
  </si>
  <si>
    <t>For compost, residue, and manure the model gives an annual % soil increment as the start point of our calcs</t>
  </si>
  <si>
    <t>.</t>
  </si>
  <si>
    <t>country</t>
  </si>
  <si>
    <t>index for forest type and region</t>
  </si>
  <si>
    <t>males</t>
  </si>
  <si>
    <t>pasture</t>
  </si>
  <si>
    <t>DMI (kg/day)</t>
  </si>
  <si>
    <t>Maintenance</t>
  </si>
  <si>
    <t>Growth - females</t>
  </si>
  <si>
    <t>Growth males</t>
  </si>
  <si>
    <t>This is a development version which will not be supported once the next version is out. If you want to modify it for academic or development purposes; or if you want to have a bespoke version or get advisory and other value added services, please send email to "info@coolfarmtool.org."</t>
  </si>
  <si>
    <t>This spreadsheet was produced by Jon Hillier at the University of Aberdeen on through collaboration with Unilever and the Sustainable Food Lab</t>
  </si>
  <si>
    <t>Warranty disclaimer (Copyright (c) 2012, [Unilever UK Limited, University of Aberdeen and the Sustainable Food Lab (The Sustainable Food Lab is a division of Ag Innovations Network, a 501c3 not-for-profit California corporation, 101 Morris Street, Suite 212, Sebastopol, California 95472 USA)])</t>
  </si>
  <si>
    <t xml:space="preserve">The above copyright notice and the remainder of this notice shall be included in all copies or substantial portions of this software and associated documentation files (the “Software”) and applies in addition to the terms of the Creative Commons Public Licence (Attribution-NonCommercial-NoDerivs 3.0 Unported, CCPL) under which the Software is provided. </t>
  </si>
  <si>
    <t>This Software is provided by [Unilever UK Limited, University of Aberdeen and the Sustainable Food Lab, (the Sustainable Food Lab is a division of Ag Innovations Network, a 501c3 not-for-profit California corporation, 101 Morris Street, Suite 212, Sebastopol, California 95472 US)] (these three entities are the “Licensor” that the CCPL refers to) in good faith on an “as is” basis.  The “Original Authors” that the CCPL refers to are Jon Hillier, Christof Walter and Helen Bentley-Fox. Neither the Licensor nor the Original Authors make any representations or warranties, express or implied, about the Software or the material contained or referred to therein, and will not be held liable in any way for your use of the Software.  Except to the extent provided by the applicable law, Licensor and the Original Authors disclaim all warranties, express or implied, including implied warranties of merchantability and fitness for a particular purpose. Licensor and all affiliated companies and individuals, and Original Authors, exclude to the fullest extent permitted by law all liability in contract or tort (including negligence) or otherwise for any direct, indirect, incidental, special and consequential damages, losses and expenses whatsoever including loss of business, anticipated savings revenues, profits, goodwill or reputation arising out of or in any way connected with the use of the Software or as a result of reliance upon the results or any output created as a result of the use of the Software.</t>
  </si>
  <si>
    <t xml:space="preserve">Furthermore Licensor and the Original Authors make no representations or warranties, express or implied, that (i) the operation of the Software will meet your requirements; (ii) access to Software will be uninterrupted, timely, secure, free of viruses, worms, trojan horses or other harmful components, or that the Software will be free of defects or errors; (iii) the results or any outputs that may be obtained from the use of the Software will be accurate or reliable; or (iv) defects will be corrected.  You (and not Licensor or the Original Authors) assume the entire cost of all servicing, repair, or correction that may be necessary for your computer equipment and software as a result of any viruses, errors or any other problems whatsoever you may have as a result of downloading the Software. Accordingly you are strongly recommended to take all appropriate safeguards before using or downloading the Software.
</t>
  </si>
  <si>
    <t>2.0 beta 3</t>
  </si>
  <si>
    <t>It is a development of the Cool Farm Tool Version 2.0 beta 3</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</si>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</sst>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_(* \(#,##0.00\);_(* &quot;-&quot;??_);_(@_)"/>
    <numFmt numFmtId="165" formatCode="0.00000"/>
    <numFmt numFmtId="166" formatCode="#,##0.0"/>
    <numFmt numFmtId="167" formatCode="0.000"/>
    <numFmt numFmtId="168" formatCode="#,##0.000"/>
    <numFmt numFmtId="169" formatCode="0.0000"/>
    <numFmt numFmtId="170" formatCode="0.00000000"/>
    <numFmt numFmtId="171" formatCode="#,##0.0000"/>
    <numFmt numFmtId="172" formatCode="0.0"/>
    <numFmt numFmtId="173" formatCode="0.000000"/>
    <numFmt numFmtId="174" formatCode="_(* #,##0_);_(* \(#,##0\);_(* &quot;-&quot;??_);_(@_)"/>
    <numFmt numFmtId="175" formatCode="_(* #,##0.0_);_(* \(#,##0.0\);_(* &quot;-&quot;??_);_(@_)"/>
    <numFmt numFmtId="176" formatCode="mm/dd/yyyy\ hh:mm:ss"/>
  </numFmts>
  <fonts count="109" x14ac:knownFonts="1">
    <font>
      <sz val="10"/>
      <name val="Arial"/>
      <family val="2"/>
    </font>
    <font>
      <sz val="10"/>
      <name val="Arial"/>
      <family val="2"/>
    </font>
    <font>
      <b/>
      <sz val="10"/>
      <name val="Arial"/>
      <family val="2"/>
    </font>
    <font>
      <sz val="8"/>
      <name val="Arial"/>
      <family val="2"/>
    </font>
    <font>
      <u/>
      <sz val="10"/>
      <color indexed="12"/>
      <name val="Arial"/>
      <family val="2"/>
    </font>
    <font>
      <sz val="10"/>
      <color indexed="8"/>
      <name val="Arial"/>
      <family val="2"/>
    </font>
    <font>
      <b/>
      <i/>
      <sz val="10"/>
      <name val="Arial"/>
      <family val="2"/>
    </font>
    <font>
      <sz val="8"/>
      <color indexed="81"/>
      <name val="Tahoma"/>
      <family val="2"/>
    </font>
    <font>
      <b/>
      <sz val="8"/>
      <color indexed="81"/>
      <name val="Tahoma"/>
      <family val="2"/>
    </font>
    <font>
      <sz val="10"/>
      <name val="Arial"/>
      <family val="2"/>
    </font>
    <font>
      <b/>
      <sz val="11"/>
      <name val="Arial"/>
      <family val="2"/>
    </font>
    <font>
      <sz val="9"/>
      <color indexed="81"/>
      <name val="Tahoma"/>
      <family val="2"/>
    </font>
    <font>
      <b/>
      <sz val="9"/>
      <color indexed="81"/>
      <name val="Tahoma"/>
      <family val="2"/>
    </font>
    <font>
      <sz val="8"/>
      <name val="Arial"/>
      <family val="2"/>
    </font>
    <font>
      <sz val="11"/>
      <name val="Arial"/>
      <family val="2"/>
    </font>
    <font>
      <u/>
      <sz val="11"/>
      <color indexed="12"/>
      <name val="Arial"/>
      <family val="2"/>
    </font>
    <font>
      <sz val="11"/>
      <color indexed="59"/>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55"/>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3"/>
      <name val="Calibri"/>
      <family val="2"/>
    </font>
    <font>
      <sz val="11"/>
      <color indexed="52"/>
      <name val="Calibri"/>
      <family val="2"/>
    </font>
    <font>
      <sz val="11"/>
      <color indexed="16"/>
      <name val="Calibri"/>
      <family val="2"/>
    </font>
    <font>
      <b/>
      <sz val="11"/>
      <color indexed="63"/>
      <name val="Calibri"/>
      <family val="2"/>
    </font>
    <font>
      <b/>
      <sz val="18"/>
      <color indexed="62"/>
      <name val="Cambria"/>
      <family val="2"/>
    </font>
    <font>
      <b/>
      <sz val="11"/>
      <color indexed="59"/>
      <name val="Calibri"/>
      <family val="2"/>
    </font>
    <font>
      <sz val="11"/>
      <color indexed="10"/>
      <name val="Calibri"/>
      <family val="2"/>
    </font>
    <font>
      <sz val="11"/>
      <color indexed="9"/>
      <name val="Arial"/>
      <family val="2"/>
    </font>
    <font>
      <sz val="10"/>
      <color indexed="9"/>
      <name val="Arial"/>
      <family val="2"/>
    </font>
    <font>
      <b/>
      <sz val="10"/>
      <color indexed="9"/>
      <name val="Arial"/>
      <family val="2"/>
    </font>
    <font>
      <b/>
      <sz val="11"/>
      <color indexed="9"/>
      <name val="Arial"/>
      <family val="2"/>
    </font>
    <font>
      <b/>
      <sz val="14"/>
      <color indexed="9"/>
      <name val="Arial"/>
      <family val="2"/>
    </font>
    <font>
      <sz val="10"/>
      <color indexed="10"/>
      <name val="Arial"/>
      <family val="2"/>
    </font>
    <font>
      <sz val="8"/>
      <name val="Arial"/>
      <family val="2"/>
    </font>
    <font>
      <sz val="8"/>
      <name val="Arial"/>
      <family val="2"/>
    </font>
    <font>
      <sz val="11"/>
      <color indexed="10"/>
      <name val="Arial"/>
      <family val="2"/>
    </font>
    <font>
      <b/>
      <sz val="14"/>
      <name val="Arial"/>
      <family val="2"/>
    </font>
    <font>
      <i/>
      <sz val="10"/>
      <name val="Arial"/>
      <family val="2"/>
    </font>
    <font>
      <b/>
      <sz val="10"/>
      <color indexed="81"/>
      <name val="Tahoma"/>
      <family val="2"/>
    </font>
    <font>
      <sz val="10"/>
      <color indexed="81"/>
      <name val="Tahoma"/>
      <family val="2"/>
    </font>
    <font>
      <i/>
      <sz val="10"/>
      <color indexed="22"/>
      <name val="Arial"/>
      <family val="2"/>
    </font>
    <font>
      <b/>
      <sz val="10"/>
      <color indexed="10"/>
      <name val="Arial"/>
      <family val="2"/>
    </font>
    <font>
      <sz val="14"/>
      <color indexed="9"/>
      <name val="Arial"/>
      <family val="2"/>
    </font>
    <font>
      <b/>
      <u/>
      <sz val="11"/>
      <name val="Arial"/>
      <family val="2"/>
    </font>
    <font>
      <sz val="10"/>
      <color indexed="10"/>
      <name val="Arial"/>
      <family val="2"/>
    </font>
    <font>
      <b/>
      <sz val="14"/>
      <color indexed="9"/>
      <name val="Arial"/>
      <family val="2"/>
    </font>
    <font>
      <sz val="14"/>
      <color indexed="9"/>
      <name val="Arial"/>
      <family val="2"/>
    </font>
    <font>
      <b/>
      <sz val="10"/>
      <color indexed="9"/>
      <name val="Arial"/>
      <family val="2"/>
    </font>
    <font>
      <sz val="10"/>
      <color indexed="9"/>
      <name val="Arial"/>
      <family val="2"/>
    </font>
    <font>
      <b/>
      <i/>
      <sz val="10"/>
      <color indexed="9"/>
      <name val="Arial"/>
      <family val="2"/>
    </font>
    <font>
      <b/>
      <sz val="12"/>
      <color indexed="9"/>
      <name val="Arial"/>
      <family val="2"/>
    </font>
    <font>
      <sz val="8"/>
      <name val="Arial"/>
      <family val="2"/>
    </font>
    <font>
      <b/>
      <u/>
      <sz val="10"/>
      <name val="Arial"/>
      <family val="2"/>
    </font>
    <font>
      <sz val="9"/>
      <name val="Arial"/>
      <family val="2"/>
    </font>
    <font>
      <sz val="10"/>
      <name val="Arial"/>
      <family val="2"/>
    </font>
    <font>
      <sz val="9"/>
      <name val="Arial"/>
      <family val="2"/>
    </font>
    <font>
      <b/>
      <sz val="9"/>
      <name val="Arial"/>
      <family val="2"/>
    </font>
    <font>
      <b/>
      <sz val="10"/>
      <color indexed="40"/>
      <name val="Arial"/>
      <family val="2"/>
    </font>
    <font>
      <b/>
      <sz val="10"/>
      <color indexed="55"/>
      <name val="Arial"/>
      <family val="2"/>
    </font>
    <font>
      <sz val="10"/>
      <color indexed="55"/>
      <name val="Arial"/>
      <family val="2"/>
    </font>
    <font>
      <sz val="10"/>
      <color indexed="40"/>
      <name val="Arial"/>
      <family val="2"/>
    </font>
    <font>
      <sz val="8"/>
      <name val="Arial"/>
      <family val="2"/>
    </font>
    <font>
      <b/>
      <sz val="13"/>
      <color indexed="9"/>
      <name val="Arial"/>
      <family val="2"/>
    </font>
    <font>
      <sz val="10"/>
      <color indexed="57"/>
      <name val="Arial"/>
      <family val="2"/>
    </font>
    <font>
      <b/>
      <sz val="10"/>
      <color indexed="57"/>
      <name val="Arial"/>
      <family val="2"/>
    </font>
    <font>
      <sz val="11"/>
      <name val="Calibri"/>
      <family val="2"/>
    </font>
    <font>
      <sz val="10"/>
      <name val="Verdana"/>
      <family val="2"/>
    </font>
    <font>
      <sz val="10"/>
      <color indexed="55"/>
      <name val="Arial"/>
      <family val="2"/>
    </font>
    <font>
      <u/>
      <sz val="11"/>
      <color indexed="12"/>
      <name val="Calibri"/>
      <family val="2"/>
    </font>
    <font>
      <b/>
      <sz val="11"/>
      <color indexed="8"/>
      <name val="Calibri"/>
      <family val="2"/>
    </font>
    <font>
      <b/>
      <sz val="11"/>
      <color indexed="51"/>
      <name val="Calibri"/>
      <family val="2"/>
    </font>
    <font>
      <sz val="11"/>
      <color indexed="62"/>
      <name val="Calibri"/>
      <family val="2"/>
    </font>
    <font>
      <b/>
      <sz val="11"/>
      <color indexed="53"/>
      <name val="Calibri"/>
      <family val="2"/>
    </font>
    <font>
      <b/>
      <sz val="12"/>
      <name val="Arial"/>
      <family val="2"/>
    </font>
    <font>
      <sz val="11"/>
      <color indexed="8"/>
      <name val="Calibri"/>
      <family val="2"/>
    </font>
    <font>
      <sz val="10"/>
      <color indexed="60"/>
      <name val="Arial"/>
      <family val="2"/>
    </font>
    <font>
      <sz val="10"/>
      <color indexed="63"/>
      <name val="Arial"/>
      <family val="2"/>
    </font>
    <font>
      <sz val="10"/>
      <color indexed="49"/>
      <name val="Arial"/>
      <family val="2"/>
    </font>
    <font>
      <sz val="10"/>
      <color indexed="10"/>
      <name val="Arial"/>
      <family val="2"/>
    </font>
    <font>
      <b/>
      <sz val="10"/>
      <color indexed="23"/>
      <name val="Arial"/>
      <family val="2"/>
    </font>
    <font>
      <sz val="8.5"/>
      <name val="Arial"/>
      <family val="2"/>
    </font>
    <font>
      <b/>
      <sz val="10"/>
      <color indexed="9"/>
      <name val="Arial"/>
      <family val="2"/>
    </font>
    <font>
      <sz val="9"/>
      <name val="Arial"/>
      <family val="2"/>
    </font>
    <font>
      <sz val="20"/>
      <name val="Arial"/>
      <family val="2"/>
    </font>
    <font>
      <b/>
      <sz val="10"/>
      <color indexed="55"/>
      <name val="Arial"/>
      <family val="2"/>
    </font>
    <font>
      <i/>
      <sz val="10"/>
      <color indexed="63"/>
      <name val="Arial"/>
      <family val="2"/>
    </font>
    <font>
      <sz val="26"/>
      <color indexed="10"/>
      <name val="Arial"/>
      <family val="2"/>
    </font>
    <font>
      <sz val="26"/>
      <color indexed="10"/>
      <name val="Arial"/>
      <family val="2"/>
    </font>
    <font>
      <b/>
      <sz val="26"/>
      <color indexed="10"/>
      <name val="Arial"/>
      <family val="2"/>
    </font>
    <font>
      <sz val="16"/>
      <color indexed="10"/>
      <name val="Arial"/>
      <family val="2"/>
    </font>
    <font>
      <b/>
      <sz val="16"/>
      <name val="Arial"/>
      <family val="2"/>
    </font>
    <font>
      <sz val="22"/>
      <color indexed="10"/>
      <name val="Arial"/>
      <family val="2"/>
    </font>
    <font>
      <sz val="24"/>
      <color indexed="10"/>
      <name val="Arial"/>
      <family val="2"/>
    </font>
    <font>
      <sz val="22"/>
      <name val="Arial"/>
      <family val="2"/>
    </font>
    <font>
      <b/>
      <sz val="18"/>
      <color indexed="10"/>
      <name val="Arial"/>
      <family val="2"/>
    </font>
    <font>
      <sz val="18"/>
      <color indexed="10"/>
      <name val="Arial"/>
      <family val="2"/>
    </font>
    <font>
      <sz val="18"/>
      <color indexed="10"/>
      <name val="Arial"/>
      <family val="2"/>
    </font>
    <font>
      <sz val="14"/>
      <color indexed="10"/>
      <name val="Arial"/>
      <family val="2"/>
    </font>
    <font>
      <sz val="20"/>
      <color indexed="10"/>
      <name val="Arial"/>
      <family val="2"/>
    </font>
    <font>
      <b/>
      <sz val="20"/>
      <color indexed="10"/>
      <name val="Arial"/>
      <family val="2"/>
    </font>
    <font>
      <sz val="10"/>
      <color indexed="10"/>
      <name val="Arial"/>
      <family val="2"/>
    </font>
    <font>
      <sz val="10"/>
      <name val="Arial"/>
      <family val="2"/>
    </font>
    <font>
      <sz val="8"/>
      <name val="Arial"/>
      <family val="2"/>
    </font>
  </fonts>
  <fills count="109">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4"/>
      </patternFill>
    </fill>
    <fill>
      <patternFill patternType="solid">
        <fgColor indexed="23"/>
      </patternFill>
    </fill>
    <fill>
      <patternFill patternType="solid">
        <fgColor indexed="49"/>
      </patternFill>
    </fill>
    <fill>
      <patternFill patternType="solid">
        <fgColor indexed="19"/>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55"/>
        <bgColor indexed="64"/>
      </patternFill>
    </fill>
    <fill>
      <patternFill patternType="solid">
        <fgColor indexed="42"/>
        <bgColor indexed="64"/>
      </patternFill>
    </fill>
    <fill>
      <patternFill patternType="solid">
        <fgColor indexed="51"/>
        <bgColor indexed="64"/>
      </patternFill>
    </fill>
    <fill>
      <patternFill patternType="solid">
        <fgColor indexed="59"/>
        <bgColor indexed="64"/>
      </patternFill>
    </fill>
    <fill>
      <patternFill patternType="solid">
        <fgColor indexed="43"/>
        <bgColor indexed="41"/>
      </patternFill>
    </fill>
    <fill>
      <patternFill patternType="solid">
        <fgColor indexed="22"/>
        <bgColor indexed="27"/>
      </patternFill>
    </fill>
    <fill>
      <patternFill patternType="solid">
        <fgColor indexed="55"/>
        <bgColor indexed="23"/>
      </patternFill>
    </fill>
    <fill>
      <patternFill patternType="solid">
        <fgColor indexed="22"/>
        <bgColor indexed="49"/>
      </patternFill>
    </fill>
    <fill>
      <patternFill patternType="solid">
        <fgColor indexed="9"/>
        <bgColor indexed="49"/>
      </patternFill>
    </fill>
    <fill>
      <patternFill patternType="solid">
        <fgColor indexed="9"/>
        <bgColor indexed="19"/>
      </patternFill>
    </fill>
    <fill>
      <patternFill patternType="solid">
        <fgColor indexed="22"/>
        <bgColor indexed="19"/>
      </patternFill>
    </fill>
    <fill>
      <patternFill patternType="solid">
        <fgColor indexed="22"/>
        <bgColor indexed="24"/>
      </patternFill>
    </fill>
    <fill>
      <patternFill patternType="solid">
        <fgColor indexed="22"/>
        <bgColor indexed="23"/>
      </patternFill>
    </fill>
    <fill>
      <patternFill patternType="solid">
        <fgColor indexed="9"/>
        <bgColor indexed="55"/>
      </patternFill>
    </fill>
    <fill>
      <patternFill patternType="solid">
        <fgColor indexed="55"/>
        <bgColor indexed="27"/>
      </patternFill>
    </fill>
    <fill>
      <patternFill patternType="solid">
        <fgColor indexed="22"/>
        <bgColor indexed="55"/>
      </patternFill>
    </fill>
    <fill>
      <patternFill patternType="solid">
        <fgColor indexed="22"/>
        <bgColor indexed="31"/>
      </patternFill>
    </fill>
    <fill>
      <patternFill patternType="solid">
        <fgColor indexed="9"/>
        <bgColor indexed="31"/>
      </patternFill>
    </fill>
    <fill>
      <patternFill patternType="solid">
        <fgColor indexed="9"/>
        <bgColor indexed="27"/>
      </patternFill>
    </fill>
    <fill>
      <patternFill patternType="solid">
        <fgColor indexed="55"/>
        <bgColor indexed="41"/>
      </patternFill>
    </fill>
    <fill>
      <patternFill patternType="solid">
        <fgColor indexed="55"/>
        <bgColor indexed="26"/>
      </patternFill>
    </fill>
    <fill>
      <patternFill patternType="solid">
        <fgColor indexed="9"/>
        <bgColor indexed="24"/>
      </patternFill>
    </fill>
    <fill>
      <patternFill patternType="solid">
        <fgColor indexed="13"/>
        <bgColor indexed="64"/>
      </patternFill>
    </fill>
    <fill>
      <patternFill patternType="solid">
        <fgColor indexed="22"/>
        <bgColor indexed="26"/>
      </patternFill>
    </fill>
    <fill>
      <patternFill patternType="solid">
        <fgColor indexed="9"/>
        <bgColor indexed="26"/>
      </patternFill>
    </fill>
    <fill>
      <patternFill patternType="solid">
        <fgColor indexed="9"/>
        <bgColor indexed="60"/>
      </patternFill>
    </fill>
    <fill>
      <patternFill patternType="solid">
        <fgColor indexed="22"/>
        <bgColor indexed="60"/>
      </patternFill>
    </fill>
    <fill>
      <patternFill patternType="solid">
        <fgColor indexed="22"/>
        <bgColor indexed="16"/>
      </patternFill>
    </fill>
    <fill>
      <patternFill patternType="solid">
        <fgColor indexed="42"/>
        <bgColor indexed="27"/>
      </patternFill>
    </fill>
    <fill>
      <patternFill patternType="solid">
        <fgColor indexed="42"/>
        <bgColor indexed="26"/>
      </patternFill>
    </fill>
    <fill>
      <patternFill patternType="solid">
        <fgColor indexed="42"/>
        <bgColor indexed="29"/>
      </patternFill>
    </fill>
    <fill>
      <patternFill patternType="solid">
        <fgColor indexed="43"/>
        <bgColor indexed="29"/>
      </patternFill>
    </fill>
    <fill>
      <patternFill patternType="solid">
        <fgColor indexed="43"/>
        <bgColor indexed="27"/>
      </patternFill>
    </fill>
    <fill>
      <patternFill patternType="solid">
        <fgColor indexed="42"/>
        <bgColor indexed="31"/>
      </patternFill>
    </fill>
    <fill>
      <patternFill patternType="solid">
        <fgColor indexed="43"/>
        <bgColor indexed="26"/>
      </patternFill>
    </fill>
    <fill>
      <patternFill patternType="solid">
        <fgColor indexed="11"/>
        <bgColor indexed="64"/>
      </patternFill>
    </fill>
    <fill>
      <patternFill patternType="solid">
        <fgColor indexed="15"/>
        <bgColor indexed="62"/>
      </patternFill>
    </fill>
    <fill>
      <patternFill patternType="solid">
        <fgColor indexed="15"/>
        <bgColor indexed="12"/>
      </patternFill>
    </fill>
    <fill>
      <patternFill patternType="solid">
        <fgColor indexed="43"/>
        <bgColor indexed="62"/>
      </patternFill>
    </fill>
    <fill>
      <patternFill patternType="solid">
        <fgColor indexed="15"/>
        <bgColor indexed="39"/>
      </patternFill>
    </fill>
    <fill>
      <patternFill patternType="solid">
        <fgColor indexed="22"/>
        <bgColor indexed="39"/>
      </patternFill>
    </fill>
    <fill>
      <patternFill patternType="solid">
        <fgColor indexed="43"/>
        <bgColor indexed="16"/>
      </patternFill>
    </fill>
    <fill>
      <patternFill patternType="solid">
        <fgColor indexed="43"/>
        <bgColor indexed="39"/>
      </patternFill>
    </fill>
    <fill>
      <patternFill patternType="solid">
        <fgColor indexed="15"/>
        <bgColor indexed="64"/>
      </patternFill>
    </fill>
    <fill>
      <patternFill patternType="solid">
        <fgColor indexed="43"/>
        <bgColor indexed="31"/>
      </patternFill>
    </fill>
    <fill>
      <patternFill patternType="solid">
        <fgColor indexed="43"/>
        <bgColor indexed="22"/>
      </patternFill>
    </fill>
    <fill>
      <patternFill patternType="solid">
        <fgColor indexed="43"/>
        <bgColor indexed="34"/>
      </patternFill>
    </fill>
    <fill>
      <patternFill patternType="solid">
        <fgColor indexed="10"/>
        <bgColor indexed="64"/>
      </patternFill>
    </fill>
    <fill>
      <patternFill patternType="solid">
        <fgColor indexed="22"/>
        <bgColor indexed="41"/>
      </patternFill>
    </fill>
    <fill>
      <patternFill patternType="solid">
        <fgColor indexed="60"/>
        <bgColor indexed="55"/>
      </patternFill>
    </fill>
    <fill>
      <patternFill patternType="solid">
        <fgColor indexed="60"/>
        <bgColor indexed="64"/>
      </patternFill>
    </fill>
    <fill>
      <patternFill patternType="solid">
        <fgColor indexed="60"/>
        <bgColor indexed="31"/>
      </patternFill>
    </fill>
    <fill>
      <patternFill patternType="solid">
        <fgColor indexed="60"/>
        <bgColor indexed="26"/>
      </patternFill>
    </fill>
    <fill>
      <patternFill patternType="solid">
        <fgColor indexed="19"/>
        <bgColor indexed="64"/>
      </patternFill>
    </fill>
    <fill>
      <patternFill patternType="solid">
        <fgColor indexed="19"/>
        <bgColor indexed="55"/>
      </patternFill>
    </fill>
    <fill>
      <patternFill patternType="solid">
        <fgColor indexed="19"/>
        <bgColor indexed="24"/>
      </patternFill>
    </fill>
    <fill>
      <patternFill patternType="solid">
        <fgColor indexed="19"/>
        <bgColor indexed="31"/>
      </patternFill>
    </fill>
    <fill>
      <patternFill patternType="solid">
        <fgColor indexed="19"/>
        <bgColor indexed="26"/>
      </patternFill>
    </fill>
    <fill>
      <patternFill patternType="solid">
        <fgColor indexed="19"/>
        <bgColor indexed="27"/>
      </patternFill>
    </fill>
    <fill>
      <patternFill patternType="solid">
        <fgColor indexed="19"/>
        <bgColor indexed="49"/>
      </patternFill>
    </fill>
    <fill>
      <patternFill patternType="solid">
        <fgColor indexed="19"/>
        <bgColor indexed="60"/>
      </patternFill>
    </fill>
    <fill>
      <patternFill patternType="solid">
        <fgColor indexed="53"/>
        <bgColor indexed="64"/>
      </patternFill>
    </fill>
    <fill>
      <patternFill patternType="solid">
        <fgColor indexed="55"/>
        <bgColor indexed="19"/>
      </patternFill>
    </fill>
    <fill>
      <patternFill patternType="solid">
        <fgColor indexed="55"/>
        <bgColor indexed="24"/>
      </patternFill>
    </fill>
    <fill>
      <patternFill patternType="solid">
        <fgColor indexed="22"/>
        <bgColor indexed="46"/>
      </patternFill>
    </fill>
    <fill>
      <patternFill patternType="solid">
        <fgColor indexed="29"/>
        <bgColor indexed="64"/>
      </patternFill>
    </fill>
    <fill>
      <patternFill patternType="solid">
        <fgColor indexed="51"/>
        <bgColor indexed="13"/>
      </patternFill>
    </fill>
    <fill>
      <patternFill patternType="solid">
        <fgColor indexed="23"/>
        <bgColor indexed="64"/>
      </patternFill>
    </fill>
    <fill>
      <patternFill patternType="solid">
        <fgColor indexed="58"/>
        <bgColor indexed="64"/>
      </patternFill>
    </fill>
    <fill>
      <patternFill patternType="solid">
        <fgColor indexed="53"/>
        <bgColor indexed="49"/>
      </patternFill>
    </fill>
    <fill>
      <patternFill patternType="solid">
        <fgColor indexed="43"/>
        <bgColor indexed="49"/>
      </patternFill>
    </fill>
    <fill>
      <patternFill patternType="solid">
        <fgColor indexed="43"/>
        <bgColor indexed="19"/>
      </patternFill>
    </fill>
    <fill>
      <patternFill patternType="solid">
        <fgColor indexed="55"/>
        <bgColor indexed="46"/>
      </patternFill>
    </fill>
    <fill>
      <patternFill patternType="solid">
        <fgColor indexed="55"/>
        <bgColor indexed="49"/>
      </patternFill>
    </fill>
    <fill>
      <patternFill patternType="solid">
        <fgColor indexed="55"/>
        <bgColor indexed="55"/>
      </patternFill>
    </fill>
    <fill>
      <patternFill patternType="solid">
        <fgColor indexed="63"/>
        <bgColor indexed="64"/>
      </patternFill>
    </fill>
    <fill>
      <patternFill patternType="solid">
        <fgColor indexed="55"/>
        <bgColor indexed="60"/>
      </patternFill>
    </fill>
    <fill>
      <patternFill patternType="solid">
        <fgColor indexed="55"/>
        <bgColor indexed="31"/>
      </patternFill>
    </fill>
    <fill>
      <patternFill patternType="solid">
        <fgColor indexed="63"/>
        <bgColor indexed="31"/>
      </patternFill>
    </fill>
    <fill>
      <patternFill patternType="solid">
        <fgColor indexed="43"/>
        <bgColor indexed="60"/>
      </patternFill>
    </fill>
    <fill>
      <patternFill patternType="solid">
        <fgColor indexed="14"/>
        <bgColor indexed="64"/>
      </patternFill>
    </fill>
    <fill>
      <patternFill patternType="solid">
        <fgColor indexed="45"/>
        <bgColor indexed="64"/>
      </patternFill>
    </fill>
    <fill>
      <patternFill patternType="solid">
        <fgColor indexed="17"/>
        <bgColor indexed="64"/>
      </patternFill>
    </fill>
    <fill>
      <patternFill patternType="solid">
        <fgColor indexed="50"/>
        <bgColor indexed="64"/>
      </patternFill>
    </fill>
    <fill>
      <patternFill patternType="solid">
        <fgColor indexed="49"/>
        <bgColor indexed="64"/>
      </patternFill>
    </fill>
    <fill>
      <patternFill patternType="solid">
        <fgColor indexed="19"/>
        <bgColor indexed="19"/>
      </patternFill>
    </fill>
    <fill>
      <patternFill patternType="solid">
        <fgColor theme="0"/>
        <bgColor indexed="64"/>
      </patternFill>
    </fill>
    <fill>
      <patternFill patternType="solid">
        <fgColor indexed="22"/>
      </patternFill>
    </fill>
  </fills>
  <borders count="121">
    <border>
      <left/>
      <right/>
      <top/>
      <bottom/>
      <diagonal/>
    </border>
    <border>
      <left style="thin">
        <color indexed="55"/>
      </left>
      <right style="thin">
        <color indexed="55"/>
      </right>
      <top style="thin">
        <color indexed="55"/>
      </top>
      <bottom style="thin">
        <color indexed="55"/>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54"/>
      </bottom>
      <diagonal/>
    </border>
    <border>
      <left/>
      <right/>
      <top/>
      <bottom style="medium">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auto="1"/>
      </left>
      <right/>
      <top style="medium">
        <color auto="1"/>
      </top>
      <bottom/>
      <diagonal/>
    </border>
    <border>
      <left style="medium">
        <color auto="1"/>
      </left>
      <right/>
      <top/>
      <bottom/>
      <diagonal/>
    </border>
    <border>
      <left/>
      <right/>
      <top style="medium">
        <color auto="1"/>
      </top>
      <bottom/>
      <diagonal/>
    </border>
    <border>
      <left/>
      <right style="medium">
        <color auto="1"/>
      </right>
      <top/>
      <bottom/>
      <diagonal/>
    </border>
    <border>
      <left style="medium">
        <color auto="1"/>
      </left>
      <right/>
      <top style="medium">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indexed="8"/>
      </right>
      <top style="thin">
        <color indexed="8"/>
      </top>
      <bottom style="thin">
        <color indexed="8"/>
      </bottom>
      <diagonal/>
    </border>
    <border>
      <left style="medium">
        <color auto="1"/>
      </left>
      <right style="thin">
        <color indexed="8"/>
      </right>
      <top style="thin">
        <color indexed="8"/>
      </top>
      <bottom/>
      <diagonal/>
    </border>
    <border>
      <left style="medium">
        <color auto="1"/>
      </left>
      <right style="thin">
        <color auto="1"/>
      </right>
      <top style="thin">
        <color auto="1"/>
      </top>
      <bottom style="thin">
        <color auto="1"/>
      </bottom>
      <diagonal/>
    </border>
    <border>
      <left style="medium">
        <color auto="1"/>
      </left>
      <right style="thin">
        <color indexed="8"/>
      </right>
      <top/>
      <bottom style="thin">
        <color indexed="8"/>
      </bottom>
      <diagonal/>
    </border>
    <border>
      <left style="medium">
        <color auto="1"/>
      </left>
      <right style="thin">
        <color indexed="8"/>
      </right>
      <top style="thin">
        <color indexed="8"/>
      </top>
      <bottom style="medium">
        <color auto="1"/>
      </bottom>
      <diagonal/>
    </border>
    <border>
      <left style="dashed">
        <color auto="1"/>
      </left>
      <right style="dashed">
        <color auto="1"/>
      </right>
      <top style="dashed">
        <color auto="1"/>
      </top>
      <bottom style="dashed">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diagonal/>
    </border>
    <border>
      <left/>
      <right style="thin">
        <color auto="1"/>
      </right>
      <top style="thin">
        <color auto="1"/>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medium">
        <color auto="1"/>
      </bottom>
      <diagonal/>
    </border>
    <border>
      <left style="dashed">
        <color indexed="23"/>
      </left>
      <right style="dashed">
        <color indexed="23"/>
      </right>
      <top style="dashed">
        <color indexed="23"/>
      </top>
      <bottom style="dashed">
        <color indexed="23"/>
      </bottom>
      <diagonal/>
    </border>
    <border>
      <left/>
      <right/>
      <top/>
      <bottom style="thin">
        <color auto="1"/>
      </bottom>
      <diagonal/>
    </border>
    <border>
      <left style="dashed">
        <color indexed="23"/>
      </left>
      <right style="dashed">
        <color indexed="23"/>
      </right>
      <top style="dashed">
        <color indexed="23"/>
      </top>
      <bottom/>
      <diagonal/>
    </border>
    <border>
      <left/>
      <right style="dashed">
        <color indexed="50"/>
      </right>
      <top/>
      <bottom style="dashed">
        <color auto="1"/>
      </bottom>
      <diagonal/>
    </border>
    <border>
      <left/>
      <right/>
      <top/>
      <bottom style="dashed">
        <color indexed="50"/>
      </bottom>
      <diagonal/>
    </border>
    <border>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indexed="23"/>
      </left>
      <right/>
      <top style="dashed">
        <color indexed="23"/>
      </top>
      <bottom style="dashed">
        <color indexed="23"/>
      </bottom>
      <diagonal/>
    </border>
    <border>
      <left style="medium">
        <color auto="1"/>
      </left>
      <right style="dashed">
        <color indexed="23"/>
      </right>
      <top style="dashed">
        <color indexed="23"/>
      </top>
      <bottom style="dashed">
        <color indexed="23"/>
      </bottom>
      <diagonal/>
    </border>
    <border>
      <left/>
      <right/>
      <top style="dashed">
        <color indexed="23"/>
      </top>
      <bottom style="dashed">
        <color indexed="23"/>
      </bottom>
      <diagonal/>
    </border>
    <border>
      <left style="dashed">
        <color auto="1"/>
      </left>
      <right style="dashed">
        <color auto="1"/>
      </right>
      <top style="dashed">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medium">
        <color auto="1"/>
      </bottom>
      <diagonal/>
    </border>
    <border>
      <left/>
      <right style="dashed">
        <color indexed="23"/>
      </right>
      <top style="dashed">
        <color indexed="23"/>
      </top>
      <bottom style="dashed">
        <color indexed="23"/>
      </bottom>
      <diagonal/>
    </border>
    <border>
      <left style="dashed">
        <color indexed="23"/>
      </left>
      <right style="dashed">
        <color indexed="23"/>
      </right>
      <top/>
      <bottom style="dashed">
        <color indexed="23"/>
      </bottom>
      <diagonal/>
    </border>
    <border>
      <left style="dashed">
        <color indexed="50"/>
      </left>
      <right style="dashed">
        <color indexed="50"/>
      </right>
      <top style="dashed">
        <color indexed="50"/>
      </top>
      <bottom style="dashed">
        <color indexed="50"/>
      </bottom>
      <diagonal/>
    </border>
    <border>
      <left style="dashed">
        <color auto="1"/>
      </left>
      <right style="dashed">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style="medium">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bottom style="medium">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style="medium">
        <color auto="1"/>
      </left>
      <right style="thin">
        <color auto="1"/>
      </right>
      <top/>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medium">
        <color auto="1"/>
      </top>
      <bottom/>
      <diagonal/>
    </border>
    <border>
      <left/>
      <right/>
      <top style="thin">
        <color auto="1"/>
      </top>
      <bottom style="thin">
        <color auto="1"/>
      </bottom>
      <diagonal/>
    </border>
    <border>
      <left/>
      <right style="thin">
        <color indexed="8"/>
      </right>
      <top style="thin">
        <color indexed="8"/>
      </top>
      <bottom style="thin">
        <color indexed="8"/>
      </bottom>
      <diagonal/>
    </border>
    <border>
      <left style="dashed">
        <color auto="1"/>
      </left>
      <right/>
      <top/>
      <bottom/>
      <diagonal/>
    </border>
    <border>
      <left style="dashed">
        <color indexed="23"/>
      </left>
      <right/>
      <top style="dashed">
        <color indexed="23"/>
      </top>
      <bottom/>
      <diagonal/>
    </border>
    <border>
      <left/>
      <right/>
      <top style="dashed">
        <color indexed="23"/>
      </top>
      <bottom/>
      <diagonal/>
    </border>
    <border>
      <left style="dashed">
        <color indexed="23"/>
      </left>
      <right/>
      <top/>
      <bottom/>
      <diagonal/>
    </border>
    <border>
      <left style="dashed">
        <color indexed="23"/>
      </left>
      <right/>
      <top/>
      <bottom style="medium">
        <color auto="1"/>
      </bottom>
      <diagonal/>
    </border>
    <border>
      <left/>
      <right/>
      <top style="dashed">
        <color auto="1"/>
      </top>
      <bottom style="medium">
        <color auto="1"/>
      </bottom>
      <diagonal/>
    </border>
    <border>
      <left style="medium">
        <color auto="1"/>
      </left>
      <right style="dashed">
        <color indexed="50"/>
      </right>
      <top style="dashed">
        <color indexed="50"/>
      </top>
      <bottom/>
      <diagonal/>
    </border>
    <border>
      <left style="medium">
        <color auto="1"/>
      </left>
      <right style="dashed">
        <color indexed="50"/>
      </right>
      <top/>
      <bottom/>
      <diagonal/>
    </border>
    <border>
      <left style="medium">
        <color auto="1"/>
      </left>
      <right style="dashed">
        <color indexed="50"/>
      </right>
      <top/>
      <bottom style="dashed">
        <color indexed="50"/>
      </bottom>
      <diagonal/>
    </border>
    <border>
      <left style="medium">
        <color auto="1"/>
      </left>
      <right/>
      <top/>
      <bottom style="thin">
        <color auto="1"/>
      </bottom>
      <diagonal/>
    </border>
    <border>
      <left style="dashed">
        <color auto="1"/>
      </left>
      <right/>
      <top style="dashed">
        <color auto="1"/>
      </top>
      <bottom style="dashed">
        <color auto="1"/>
      </bottom>
      <diagonal/>
    </border>
    <border>
      <left/>
      <right/>
      <top style="medium">
        <color auto="1"/>
      </top>
      <bottom style="thin">
        <color auto="1"/>
      </bottom>
      <diagonal/>
    </border>
    <border>
      <left style="thin">
        <color indexed="8"/>
      </left>
      <right style="thin">
        <color indexed="8"/>
      </right>
      <top style="medium">
        <color auto="1"/>
      </top>
      <bottom style="thin">
        <color indexed="8"/>
      </bottom>
      <diagonal/>
    </border>
  </borders>
  <cellStyleXfs count="54">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2"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6" borderId="0" applyNumberFormat="0" applyBorder="0" applyAlignment="0" applyProtection="0"/>
    <xf numFmtId="0" fontId="16" fillId="9" borderId="0" applyNumberFormat="0" applyBorder="0" applyAlignment="0" applyProtection="0"/>
    <xf numFmtId="0" fontId="16" fillId="3" borderId="0" applyNumberFormat="0" applyBorder="0" applyAlignment="0" applyProtection="0"/>
    <xf numFmtId="0" fontId="17" fillId="10" borderId="0" applyNumberFormat="0" applyBorder="0" applyAlignment="0" applyProtection="0"/>
    <xf numFmtId="0" fontId="17" fillId="7"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3"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14" borderId="0" applyNumberFormat="0" applyBorder="0" applyAlignment="0" applyProtection="0"/>
    <xf numFmtId="0" fontId="18" fillId="15" borderId="0" applyNumberFormat="0" applyBorder="0" applyAlignment="0" applyProtection="0"/>
    <xf numFmtId="0" fontId="19" fillId="2" borderId="1" applyNumberFormat="0" applyAlignment="0" applyProtection="0"/>
    <xf numFmtId="0" fontId="20" fillId="16" borderId="2" applyNumberFormat="0" applyAlignment="0" applyProtection="0"/>
    <xf numFmtId="164" fontId="1" fillId="0" borderId="0" applyFont="0" applyFill="0" applyBorder="0" applyAlignment="0" applyProtection="0"/>
    <xf numFmtId="0" fontId="21" fillId="0" borderId="0" applyNumberFormat="0" applyFill="0" applyBorder="0" applyAlignment="0" applyProtection="0"/>
    <xf numFmtId="166" fontId="5" fillId="0" borderId="0">
      <alignment horizontal="center"/>
    </xf>
    <xf numFmtId="0" fontId="22" fillId="17" borderId="0" applyNumberFormat="0" applyBorder="0" applyAlignment="0" applyProtection="0"/>
    <xf numFmtId="0" fontId="23" fillId="0" borderId="3"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4" fillId="0" borderId="0" applyNumberFormat="0" applyFill="0" applyBorder="0" applyAlignment="0" applyProtection="0"/>
    <xf numFmtId="0" fontId="26" fillId="3" borderId="1" applyNumberFormat="0" applyAlignment="0" applyProtection="0"/>
    <xf numFmtId="0" fontId="27" fillId="0" borderId="6" applyNumberFormat="0" applyFill="0" applyAlignment="0" applyProtection="0"/>
    <xf numFmtId="0" fontId="28" fillId="8" borderId="0" applyNumberFormat="0" applyBorder="0" applyAlignment="0" applyProtection="0"/>
    <xf numFmtId="0" fontId="1" fillId="0" borderId="0"/>
    <xf numFmtId="0" fontId="1" fillId="0" borderId="0"/>
    <xf numFmtId="0" fontId="9" fillId="0" borderId="0"/>
    <xf numFmtId="0" fontId="9" fillId="4" borderId="7" applyNumberFormat="0" applyFont="0" applyAlignment="0" applyProtection="0"/>
    <xf numFmtId="0" fontId="29" fillId="2" borderId="8" applyNumberFormat="0" applyAlignment="0" applyProtection="0"/>
    <xf numFmtId="9" fontId="1" fillId="0" borderId="0" applyFont="0" applyFill="0" applyBorder="0" applyAlignment="0" applyProtection="0"/>
    <xf numFmtId="0" fontId="30" fillId="0" borderId="0" applyNumberFormat="0" applyFill="0" applyBorder="0" applyAlignment="0" applyProtection="0"/>
    <xf numFmtId="0" fontId="31" fillId="0" borderId="9" applyNumberFormat="0" applyFill="0" applyAlignment="0" applyProtection="0"/>
    <xf numFmtId="0" fontId="32" fillId="0" borderId="0" applyNumberFormat="0" applyFill="0" applyBorder="0" applyAlignment="0" applyProtection="0"/>
    <xf numFmtId="0" fontId="1" fillId="108" borderId="0">
      <alignment wrapText="1"/>
    </xf>
    <xf numFmtId="0" fontId="1" fillId="0" borderId="0">
      <alignment wrapText="1"/>
    </xf>
    <xf numFmtId="0" fontId="1" fillId="0" borderId="0">
      <alignment wrapText="1"/>
    </xf>
    <xf numFmtId="0" fontId="1" fillId="0" borderId="0">
      <alignment wrapText="1"/>
    </xf>
    <xf numFmtId="176" fontId="1" fillId="0" borderId="0">
      <alignment wrapText="1"/>
    </xf>
  </cellStyleXfs>
  <cellXfs count="2600">
    <xf numFmtId="0" fontId="0" fillId="0" borderId="0" xfId="0"/>
    <xf numFmtId="0" fontId="2" fillId="0" borderId="0" xfId="0" applyFont="1"/>
    <xf numFmtId="0" fontId="0" fillId="18" borderId="0" xfId="0" applyFill="1"/>
    <xf numFmtId="0" fontId="0" fillId="18" borderId="0" xfId="0" applyFill="1" applyBorder="1"/>
    <xf numFmtId="0" fontId="2" fillId="18" borderId="0" xfId="0" applyFont="1" applyFill="1" applyBorder="1"/>
    <xf numFmtId="0" fontId="2" fillId="19" borderId="10" xfId="0" applyFont="1" applyFill="1" applyBorder="1"/>
    <xf numFmtId="0" fontId="2" fillId="19" borderId="11" xfId="0" applyFont="1" applyFill="1" applyBorder="1"/>
    <xf numFmtId="0" fontId="2" fillId="19" borderId="12" xfId="0" applyFont="1" applyFill="1" applyBorder="1"/>
    <xf numFmtId="0" fontId="2" fillId="19" borderId="13" xfId="0" applyFont="1" applyFill="1" applyBorder="1"/>
    <xf numFmtId="0" fontId="2" fillId="19" borderId="0" xfId="0" applyFont="1" applyFill="1" applyBorder="1"/>
    <xf numFmtId="0" fontId="2" fillId="0" borderId="0" xfId="0" applyFont="1" applyFill="1"/>
    <xf numFmtId="0" fontId="0" fillId="20" borderId="0" xfId="0" applyFill="1"/>
    <xf numFmtId="0" fontId="14" fillId="20" borderId="0" xfId="0" applyFont="1" applyFill="1" applyBorder="1"/>
    <xf numFmtId="0" fontId="1" fillId="18" borderId="0" xfId="41" applyFont="1" applyFill="1"/>
    <xf numFmtId="0" fontId="1" fillId="21" borderId="0" xfId="41" applyFont="1" applyFill="1"/>
    <xf numFmtId="0" fontId="1" fillId="0" borderId="0" xfId="41" applyFont="1"/>
    <xf numFmtId="0" fontId="2" fillId="19" borderId="10" xfId="41" applyFont="1" applyFill="1" applyBorder="1"/>
    <xf numFmtId="0" fontId="2" fillId="19" borderId="11" xfId="41" applyFont="1" applyFill="1" applyBorder="1"/>
    <xf numFmtId="0" fontId="2" fillId="19" borderId="0" xfId="0" applyFont="1" applyFill="1" applyBorder="1" applyAlignment="1">
      <alignment horizontal="center"/>
    </xf>
    <xf numFmtId="0" fontId="2" fillId="22" borderId="0" xfId="0" applyFont="1" applyFill="1" applyBorder="1"/>
    <xf numFmtId="0" fontId="2" fillId="22" borderId="0" xfId="0" applyFont="1" applyFill="1" applyBorder="1" applyAlignment="1">
      <alignment horizontal="left"/>
    </xf>
    <xf numFmtId="0" fontId="2" fillId="22" borderId="10" xfId="0" applyFont="1" applyFill="1" applyBorder="1" applyAlignment="1">
      <alignment horizontal="center" vertical="center"/>
    </xf>
    <xf numFmtId="0" fontId="2" fillId="22" borderId="14" xfId="0" applyFont="1" applyFill="1" applyBorder="1" applyAlignment="1">
      <alignment horizontal="left"/>
    </xf>
    <xf numFmtId="0" fontId="2" fillId="19" borderId="15" xfId="0" applyFont="1" applyFill="1" applyBorder="1"/>
    <xf numFmtId="0" fontId="14" fillId="18" borderId="0" xfId="0" applyFont="1" applyFill="1"/>
    <xf numFmtId="0" fontId="1" fillId="18" borderId="0" xfId="41" applyFont="1" applyFill="1" applyBorder="1"/>
    <xf numFmtId="0" fontId="10" fillId="20" borderId="0" xfId="0" applyFont="1" applyFill="1" applyBorder="1"/>
    <xf numFmtId="0" fontId="14" fillId="20" borderId="13" xfId="0" applyFont="1" applyFill="1" applyBorder="1"/>
    <xf numFmtId="0" fontId="14" fillId="20" borderId="16" xfId="0" applyFont="1" applyFill="1" applyBorder="1"/>
    <xf numFmtId="0" fontId="14" fillId="20" borderId="0" xfId="0" applyFont="1" applyFill="1" applyBorder="1" applyAlignment="1">
      <alignment wrapText="1"/>
    </xf>
    <xf numFmtId="0" fontId="10" fillId="20" borderId="0" xfId="0" applyFont="1" applyFill="1" applyBorder="1" applyAlignment="1"/>
    <xf numFmtId="0" fontId="14" fillId="20" borderId="0" xfId="0" applyNumberFormat="1" applyFont="1" applyFill="1" applyBorder="1" applyAlignment="1"/>
    <xf numFmtId="0" fontId="10" fillId="20" borderId="11" xfId="0" applyNumberFormat="1" applyFont="1" applyFill="1" applyBorder="1"/>
    <xf numFmtId="0" fontId="10" fillId="20" borderId="0" xfId="0" applyNumberFormat="1" applyFont="1" applyFill="1" applyBorder="1"/>
    <xf numFmtId="0" fontId="14" fillId="20" borderId="0" xfId="0" applyNumberFormat="1" applyFont="1" applyFill="1" applyBorder="1"/>
    <xf numFmtId="0" fontId="14" fillId="20" borderId="0" xfId="36" applyNumberFormat="1" applyFont="1" applyFill="1" applyBorder="1" applyAlignment="1"/>
    <xf numFmtId="0" fontId="10" fillId="20" borderId="0" xfId="0" applyNumberFormat="1" applyFont="1" applyFill="1" applyBorder="1" applyAlignment="1"/>
    <xf numFmtId="0" fontId="15" fillId="20" borderId="0" xfId="36" applyFont="1" applyFill="1" applyBorder="1" applyAlignment="1"/>
    <xf numFmtId="0" fontId="10" fillId="20" borderId="15" xfId="0" applyNumberFormat="1" applyFont="1" applyFill="1" applyBorder="1"/>
    <xf numFmtId="0" fontId="15" fillId="20" borderId="16" xfId="36" applyFont="1" applyFill="1" applyBorder="1" applyAlignment="1"/>
    <xf numFmtId="0" fontId="10" fillId="20" borderId="16" xfId="0" applyFont="1" applyFill="1" applyBorder="1" applyAlignment="1"/>
    <xf numFmtId="0" fontId="14" fillId="20" borderId="17" xfId="0" applyFont="1" applyFill="1" applyBorder="1"/>
    <xf numFmtId="0" fontId="14" fillId="20" borderId="0" xfId="0" applyFont="1" applyFill="1" applyBorder="1" applyAlignment="1">
      <alignment horizontal="center" wrapText="1"/>
    </xf>
    <xf numFmtId="0" fontId="14" fillId="20" borderId="16" xfId="0" applyFont="1" applyFill="1" applyBorder="1" applyAlignment="1">
      <alignment horizontal="center" wrapText="1"/>
    </xf>
    <xf numFmtId="0" fontId="10" fillId="18" borderId="0" xfId="0" applyNumberFormat="1" applyFont="1" applyFill="1"/>
    <xf numFmtId="0" fontId="10" fillId="18" borderId="0" xfId="0" applyFont="1" applyFill="1" applyAlignment="1"/>
    <xf numFmtId="0" fontId="2" fillId="18" borderId="16" xfId="0" applyNumberFormat="1" applyFont="1" applyFill="1" applyBorder="1"/>
    <xf numFmtId="0" fontId="2" fillId="18" borderId="0" xfId="0" applyNumberFormat="1" applyFont="1" applyFill="1" applyBorder="1"/>
    <xf numFmtId="0" fontId="2" fillId="20" borderId="18" xfId="42" applyFont="1" applyFill="1" applyBorder="1"/>
    <xf numFmtId="0" fontId="2" fillId="22" borderId="19" xfId="0" applyFont="1" applyFill="1" applyBorder="1" applyAlignment="1">
      <alignment horizontal="left"/>
    </xf>
    <xf numFmtId="0" fontId="2" fillId="22" borderId="20" xfId="0" applyFont="1" applyFill="1" applyBorder="1" applyAlignment="1">
      <alignment horizontal="left"/>
    </xf>
    <xf numFmtId="0" fontId="2" fillId="22" borderId="21" xfId="0" applyFont="1" applyFill="1" applyBorder="1" applyAlignment="1">
      <alignment horizontal="left"/>
    </xf>
    <xf numFmtId="1" fontId="1" fillId="18" borderId="0" xfId="41" applyNumberFormat="1" applyFont="1" applyFill="1" applyBorder="1" applyAlignment="1">
      <alignment horizontal="left"/>
    </xf>
    <xf numFmtId="0" fontId="2" fillId="20" borderId="16" xfId="42" applyFont="1" applyFill="1" applyBorder="1" applyAlignment="1">
      <alignment wrapText="1"/>
    </xf>
    <xf numFmtId="0" fontId="2" fillId="20" borderId="16" xfId="42" applyFont="1" applyFill="1" applyBorder="1"/>
    <xf numFmtId="0" fontId="2" fillId="0" borderId="0" xfId="42" applyFont="1" applyFill="1" applyBorder="1" applyAlignment="1"/>
    <xf numFmtId="0" fontId="2" fillId="20" borderId="0" xfId="41" applyFont="1" applyFill="1" applyBorder="1" applyAlignment="1">
      <alignment horizontal="left" wrapText="1"/>
    </xf>
    <xf numFmtId="0" fontId="2" fillId="20" borderId="0" xfId="41" applyFont="1" applyFill="1" applyBorder="1" applyAlignment="1">
      <alignment horizontal="left"/>
    </xf>
    <xf numFmtId="0" fontId="2" fillId="20" borderId="0" xfId="41" applyFont="1" applyFill="1" applyBorder="1"/>
    <xf numFmtId="0" fontId="2" fillId="20" borderId="11" xfId="41" applyFont="1" applyFill="1" applyBorder="1"/>
    <xf numFmtId="0" fontId="1" fillId="0" borderId="0" xfId="0" applyFont="1"/>
    <xf numFmtId="0" fontId="2" fillId="19" borderId="0" xfId="0" applyFont="1" applyFill="1"/>
    <xf numFmtId="10" fontId="1" fillId="19" borderId="0" xfId="0" applyNumberFormat="1" applyFont="1" applyFill="1" applyBorder="1" applyAlignment="1">
      <alignment horizontal="center"/>
    </xf>
    <xf numFmtId="0" fontId="2" fillId="19" borderId="22" xfId="0" applyFont="1" applyFill="1" applyBorder="1"/>
    <xf numFmtId="0" fontId="2" fillId="19" borderId="12" xfId="0" applyFont="1" applyFill="1" applyBorder="1" applyAlignment="1">
      <alignment horizontal="center" wrapText="1"/>
    </xf>
    <xf numFmtId="10" fontId="1" fillId="19" borderId="11" xfId="0" applyNumberFormat="1" applyFont="1" applyFill="1" applyBorder="1" applyAlignment="1">
      <alignment horizontal="center"/>
    </xf>
    <xf numFmtId="0" fontId="2" fillId="19" borderId="16" xfId="0" applyFont="1" applyFill="1" applyBorder="1"/>
    <xf numFmtId="0" fontId="2" fillId="19" borderId="17" xfId="0" applyFont="1" applyFill="1" applyBorder="1"/>
    <xf numFmtId="0" fontId="2" fillId="19" borderId="18" xfId="0" applyFont="1" applyFill="1" applyBorder="1"/>
    <xf numFmtId="0" fontId="2" fillId="19" borderId="23" xfId="0" applyFont="1" applyFill="1" applyBorder="1"/>
    <xf numFmtId="0" fontId="2" fillId="19" borderId="24" xfId="0" applyFont="1" applyFill="1" applyBorder="1"/>
    <xf numFmtId="0" fontId="2" fillId="19" borderId="18" xfId="0" applyFont="1" applyFill="1" applyBorder="1" applyAlignment="1">
      <alignment horizontal="center" wrapText="1"/>
    </xf>
    <xf numFmtId="0" fontId="2" fillId="19" borderId="10" xfId="0" applyFont="1" applyFill="1" applyBorder="1" applyAlignment="1">
      <alignment horizontal="center" wrapText="1"/>
    </xf>
    <xf numFmtId="0" fontId="2" fillId="19" borderId="22" xfId="0" applyFont="1" applyFill="1" applyBorder="1" applyAlignment="1">
      <alignment horizontal="center" wrapText="1"/>
    </xf>
    <xf numFmtId="0" fontId="2" fillId="18" borderId="11" xfId="0" applyFont="1" applyFill="1" applyBorder="1" applyAlignment="1">
      <alignment wrapText="1"/>
    </xf>
    <xf numFmtId="0" fontId="2" fillId="18" borderId="0" xfId="0" applyFont="1" applyFill="1" applyBorder="1" applyAlignment="1">
      <alignment wrapText="1"/>
    </xf>
    <xf numFmtId="0" fontId="2" fillId="21" borderId="25" xfId="42" applyFont="1" applyFill="1" applyBorder="1"/>
    <xf numFmtId="0" fontId="1" fillId="21" borderId="25" xfId="41" applyFont="1" applyFill="1" applyBorder="1"/>
    <xf numFmtId="0" fontId="1" fillId="21" borderId="0" xfId="41" applyFont="1" applyFill="1" applyBorder="1"/>
    <xf numFmtId="0" fontId="2" fillId="18" borderId="0" xfId="41" applyFont="1" applyFill="1" applyBorder="1" applyAlignment="1">
      <alignment wrapText="1"/>
    </xf>
    <xf numFmtId="0" fontId="1" fillId="20" borderId="0" xfId="41" applyFont="1" applyFill="1" applyBorder="1"/>
    <xf numFmtId="0" fontId="1" fillId="19" borderId="11" xfId="41" applyFont="1" applyFill="1" applyBorder="1"/>
    <xf numFmtId="0" fontId="2" fillId="19" borderId="0" xfId="41" applyFont="1" applyFill="1" applyBorder="1"/>
    <xf numFmtId="0" fontId="2" fillId="18" borderId="0" xfId="41" applyFont="1" applyFill="1" applyBorder="1" applyAlignment="1">
      <alignment horizontal="center" wrapText="1"/>
    </xf>
    <xf numFmtId="0" fontId="1" fillId="20" borderId="0" xfId="41" applyFont="1" applyFill="1"/>
    <xf numFmtId="0" fontId="2" fillId="20" borderId="11" xfId="0" applyFont="1" applyFill="1" applyBorder="1"/>
    <xf numFmtId="0" fontId="1" fillId="19" borderId="0" xfId="41" applyFont="1" applyFill="1"/>
    <xf numFmtId="0" fontId="1" fillId="19" borderId="25" xfId="41" applyFont="1" applyFill="1" applyBorder="1"/>
    <xf numFmtId="0" fontId="1" fillId="23" borderId="25" xfId="41" applyFont="1" applyFill="1" applyBorder="1"/>
    <xf numFmtId="0" fontId="1" fillId="20" borderId="0" xfId="41" applyFont="1" applyFill="1" applyAlignment="1">
      <alignment wrapText="1"/>
    </xf>
    <xf numFmtId="0" fontId="2" fillId="20" borderId="26" xfId="0" applyFont="1" applyFill="1" applyBorder="1"/>
    <xf numFmtId="0" fontId="2" fillId="20" borderId="27" xfId="0" applyFont="1" applyFill="1" applyBorder="1"/>
    <xf numFmtId="0" fontId="2" fillId="20" borderId="18" xfId="0" applyFont="1" applyFill="1" applyBorder="1"/>
    <xf numFmtId="0" fontId="2" fillId="20" borderId="24" xfId="0" applyFont="1" applyFill="1" applyBorder="1"/>
    <xf numFmtId="0" fontId="2" fillId="20" borderId="23" xfId="0" applyFont="1" applyFill="1" applyBorder="1"/>
    <xf numFmtId="0" fontId="2" fillId="20" borderId="28" xfId="0" applyFont="1" applyFill="1" applyBorder="1" applyAlignment="1">
      <alignment wrapText="1"/>
    </xf>
    <xf numFmtId="0" fontId="2" fillId="20" borderId="10" xfId="0" applyFont="1" applyFill="1" applyBorder="1"/>
    <xf numFmtId="0" fontId="2" fillId="20" borderId="15" xfId="0" applyFont="1" applyFill="1" applyBorder="1"/>
    <xf numFmtId="0" fontId="2" fillId="20" borderId="12" xfId="0" applyFont="1" applyFill="1" applyBorder="1" applyAlignment="1">
      <alignment wrapText="1"/>
    </xf>
    <xf numFmtId="0" fontId="2" fillId="20" borderId="22" xfId="0" applyFont="1" applyFill="1" applyBorder="1" applyAlignment="1">
      <alignment wrapText="1"/>
    </xf>
    <xf numFmtId="0" fontId="2" fillId="20" borderId="0" xfId="0" applyFont="1" applyFill="1" applyBorder="1"/>
    <xf numFmtId="0" fontId="2" fillId="20" borderId="29" xfId="0" applyFont="1" applyFill="1" applyBorder="1" applyAlignment="1">
      <alignment wrapText="1"/>
    </xf>
    <xf numFmtId="0" fontId="2" fillId="20" borderId="26" xfId="0" applyFont="1" applyFill="1" applyBorder="1" applyAlignment="1">
      <alignment wrapText="1"/>
    </xf>
    <xf numFmtId="172" fontId="2" fillId="20" borderId="28" xfId="0" applyNumberFormat="1" applyFont="1" applyFill="1" applyBorder="1" applyAlignment="1">
      <alignment horizontal="center" wrapText="1"/>
    </xf>
    <xf numFmtId="0" fontId="2" fillId="20" borderId="10" xfId="0" applyFont="1" applyFill="1" applyBorder="1" applyAlignment="1">
      <alignment wrapText="1"/>
    </xf>
    <xf numFmtId="0" fontId="1" fillId="0" borderId="0" xfId="41" applyFont="1" applyBorder="1" applyAlignment="1">
      <alignment wrapText="1"/>
    </xf>
    <xf numFmtId="0" fontId="2" fillId="18" borderId="0" xfId="41" applyFont="1" applyFill="1" applyBorder="1"/>
    <xf numFmtId="1" fontId="2" fillId="0" borderId="0" xfId="0" applyNumberFormat="1" applyFont="1" applyFill="1" applyBorder="1" applyAlignment="1">
      <alignment horizontal="center" wrapText="1"/>
    </xf>
    <xf numFmtId="0" fontId="2" fillId="19" borderId="26" xfId="0" applyFont="1" applyFill="1" applyBorder="1" applyAlignment="1">
      <alignment wrapText="1"/>
    </xf>
    <xf numFmtId="1" fontId="2" fillId="19" borderId="28" xfId="0" applyNumberFormat="1" applyFont="1" applyFill="1" applyBorder="1" applyAlignment="1">
      <alignment horizontal="center" wrapText="1"/>
    </xf>
    <xf numFmtId="0" fontId="41" fillId="20" borderId="0" xfId="0" applyFont="1" applyFill="1" applyBorder="1"/>
    <xf numFmtId="0" fontId="41" fillId="20" borderId="16" xfId="0" applyFont="1" applyFill="1" applyBorder="1"/>
    <xf numFmtId="0" fontId="1" fillId="0" borderId="0" xfId="41" applyFont="1" applyBorder="1" applyAlignment="1">
      <alignment horizontal="left" wrapText="1"/>
    </xf>
    <xf numFmtId="0" fontId="2" fillId="0" borderId="0" xfId="41" applyFont="1" applyBorder="1" applyAlignment="1">
      <alignment horizontal="center" wrapText="1"/>
    </xf>
    <xf numFmtId="0" fontId="2" fillId="0" borderId="0" xfId="41" applyFont="1" applyBorder="1" applyAlignment="1">
      <alignment horizontal="left" wrapText="1"/>
    </xf>
    <xf numFmtId="0" fontId="2" fillId="0" borderId="0" xfId="41" applyFont="1" applyBorder="1" applyAlignment="1">
      <alignment horizontal="left"/>
    </xf>
    <xf numFmtId="0" fontId="1" fillId="20" borderId="0" xfId="41" applyFont="1" applyFill="1" applyBorder="1" applyAlignment="1">
      <alignment horizontal="left" wrapText="1"/>
    </xf>
    <xf numFmtId="0" fontId="1" fillId="20" borderId="16" xfId="41" applyFont="1" applyFill="1" applyBorder="1"/>
    <xf numFmtId="0" fontId="2" fillId="20" borderId="12" xfId="0" applyFont="1" applyFill="1" applyBorder="1"/>
    <xf numFmtId="0" fontId="42" fillId="20" borderId="0" xfId="0" applyFont="1" applyFill="1" applyBorder="1"/>
    <xf numFmtId="0" fontId="2" fillId="18" borderId="16" xfId="0" applyFont="1" applyFill="1" applyBorder="1"/>
    <xf numFmtId="0" fontId="1" fillId="18" borderId="11" xfId="41" applyFont="1" applyFill="1" applyBorder="1"/>
    <xf numFmtId="0" fontId="2" fillId="20" borderId="0" xfId="41" applyFont="1" applyFill="1" applyBorder="1" applyAlignment="1">
      <alignment wrapText="1"/>
    </xf>
    <xf numFmtId="1" fontId="1" fillId="20" borderId="0" xfId="41" applyNumberFormat="1" applyFont="1" applyFill="1" applyBorder="1" applyAlignment="1">
      <alignment horizontal="left"/>
    </xf>
    <xf numFmtId="1" fontId="1" fillId="20" borderId="0" xfId="41" applyNumberFormat="1" applyFont="1" applyFill="1" applyBorder="1"/>
    <xf numFmtId="0" fontId="1" fillId="18" borderId="16" xfId="41" applyFont="1" applyFill="1" applyBorder="1"/>
    <xf numFmtId="0" fontId="2" fillId="21" borderId="25" xfId="41" applyFont="1" applyFill="1" applyBorder="1" applyAlignment="1">
      <alignment horizontal="left"/>
    </xf>
    <xf numFmtId="1" fontId="1" fillId="21" borderId="25" xfId="41" applyNumberFormat="1" applyFont="1" applyFill="1" applyBorder="1" applyAlignment="1">
      <alignment horizontal="left"/>
    </xf>
    <xf numFmtId="0" fontId="2" fillId="21" borderId="25" xfId="41" applyFont="1" applyFill="1" applyBorder="1"/>
    <xf numFmtId="0" fontId="2" fillId="21" borderId="25" xfId="0" applyFont="1" applyFill="1" applyBorder="1"/>
    <xf numFmtId="1" fontId="1" fillId="18" borderId="16" xfId="41" applyNumberFormat="1" applyFont="1" applyFill="1" applyBorder="1" applyAlignment="1">
      <alignment horizontal="left"/>
    </xf>
    <xf numFmtId="0" fontId="1" fillId="21" borderId="30" xfId="41" applyFont="1" applyFill="1" applyBorder="1"/>
    <xf numFmtId="0" fontId="1" fillId="19" borderId="0" xfId="41" applyFont="1" applyFill="1" applyBorder="1" applyAlignment="1">
      <alignment wrapText="1"/>
    </xf>
    <xf numFmtId="0" fontId="1" fillId="0" borderId="0" xfId="41" applyFont="1" applyAlignment="1">
      <alignment wrapText="1"/>
    </xf>
    <xf numFmtId="0" fontId="2" fillId="19" borderId="31" xfId="0" applyFont="1" applyFill="1" applyBorder="1"/>
    <xf numFmtId="0" fontId="2" fillId="19" borderId="31" xfId="0" applyFont="1" applyFill="1" applyBorder="1" applyAlignment="1">
      <alignment horizontal="center" wrapText="1"/>
    </xf>
    <xf numFmtId="0" fontId="2" fillId="18" borderId="0" xfId="41" applyFont="1" applyFill="1" applyBorder="1" applyAlignment="1">
      <alignment horizontal="left" wrapText="1"/>
    </xf>
    <xf numFmtId="0" fontId="2" fillId="18" borderId="0" xfId="41" applyFont="1" applyFill="1" applyBorder="1" applyAlignment="1">
      <alignment horizontal="left"/>
    </xf>
    <xf numFmtId="0" fontId="1" fillId="19" borderId="0" xfId="41" applyFont="1" applyFill="1" applyBorder="1"/>
    <xf numFmtId="0" fontId="1" fillId="19" borderId="13" xfId="41" applyFont="1" applyFill="1" applyBorder="1"/>
    <xf numFmtId="0" fontId="2" fillId="19" borderId="0" xfId="41" applyFont="1" applyFill="1" applyBorder="1" applyAlignment="1">
      <alignment wrapText="1"/>
    </xf>
    <xf numFmtId="0" fontId="2" fillId="19" borderId="0" xfId="0" applyFont="1" applyFill="1" applyBorder="1" applyAlignment="1">
      <alignment wrapText="1"/>
    </xf>
    <xf numFmtId="0" fontId="2" fillId="18" borderId="0" xfId="0" applyFont="1" applyFill="1"/>
    <xf numFmtId="0" fontId="2" fillId="20" borderId="22" xfId="0" applyFont="1" applyFill="1" applyBorder="1"/>
    <xf numFmtId="0" fontId="2" fillId="21" borderId="0" xfId="0" applyFont="1" applyFill="1"/>
    <xf numFmtId="2" fontId="34" fillId="24" borderId="29" xfId="42" applyNumberFormat="1" applyFont="1" applyFill="1" applyBorder="1" applyAlignment="1">
      <alignment horizontal="center"/>
    </xf>
    <xf numFmtId="0" fontId="1" fillId="20" borderId="0" xfId="0" applyFont="1" applyFill="1"/>
    <xf numFmtId="0" fontId="2" fillId="18" borderId="0" xfId="0" applyFont="1" applyFill="1" applyBorder="1" applyAlignment="1">
      <alignment horizontal="left"/>
    </xf>
    <xf numFmtId="0" fontId="38" fillId="18" borderId="0" xfId="41" applyFont="1" applyFill="1"/>
    <xf numFmtId="0" fontId="1" fillId="18" borderId="0" xfId="0" applyFont="1" applyFill="1" applyBorder="1"/>
    <xf numFmtId="0" fontId="1" fillId="19" borderId="0" xfId="0" applyFont="1" applyFill="1" applyBorder="1"/>
    <xf numFmtId="0" fontId="1" fillId="21" borderId="25" xfId="41" applyFont="1" applyFill="1" applyBorder="1" applyAlignment="1">
      <alignment wrapText="1"/>
    </xf>
    <xf numFmtId="0" fontId="2" fillId="19" borderId="0" xfId="0" applyFont="1" applyFill="1" applyBorder="1" applyAlignment="1">
      <alignment horizontal="center" wrapText="1"/>
    </xf>
    <xf numFmtId="0" fontId="1" fillId="18" borderId="22" xfId="41" applyFont="1" applyFill="1" applyBorder="1"/>
    <xf numFmtId="0" fontId="1" fillId="21" borderId="25" xfId="42" applyFont="1" applyFill="1" applyBorder="1" applyAlignment="1">
      <alignment wrapText="1"/>
    </xf>
    <xf numFmtId="0" fontId="2" fillId="19" borderId="12" xfId="0" applyFont="1" applyFill="1" applyBorder="1" applyAlignment="1"/>
    <xf numFmtId="10" fontId="1" fillId="19" borderId="13" xfId="0" applyNumberFormat="1" applyFont="1" applyFill="1" applyBorder="1" applyAlignment="1">
      <alignment horizontal="center"/>
    </xf>
    <xf numFmtId="0" fontId="2" fillId="20" borderId="0" xfId="0" applyFont="1" applyFill="1" applyBorder="1" applyAlignment="1">
      <alignment horizontal="left" wrapText="1"/>
    </xf>
    <xf numFmtId="0" fontId="50" fillId="18" borderId="0" xfId="0" applyFont="1" applyFill="1" applyBorder="1"/>
    <xf numFmtId="0" fontId="1" fillId="0" borderId="0" xfId="0" applyFont="1" applyFill="1"/>
    <xf numFmtId="0" fontId="1" fillId="25" borderId="32" xfId="0" applyFont="1" applyFill="1" applyBorder="1" applyAlignment="1">
      <alignment horizontal="left"/>
    </xf>
    <xf numFmtId="0" fontId="1" fillId="25" borderId="33" xfId="0" applyFont="1" applyFill="1" applyBorder="1" applyAlignment="1">
      <alignment horizontal="left"/>
    </xf>
    <xf numFmtId="0" fontId="1" fillId="25" borderId="34" xfId="0" applyFont="1" applyFill="1" applyBorder="1" applyAlignment="1">
      <alignment horizontal="left"/>
    </xf>
    <xf numFmtId="0" fontId="1" fillId="25" borderId="35" xfId="0" applyFont="1" applyFill="1" applyBorder="1" applyAlignment="1">
      <alignment horizontal="left"/>
    </xf>
    <xf numFmtId="0" fontId="1" fillId="21" borderId="25" xfId="0" quotePrefix="1" applyFont="1" applyFill="1" applyBorder="1" applyAlignment="1">
      <alignment horizontal="left" wrapText="1"/>
    </xf>
    <xf numFmtId="0" fontId="1" fillId="25" borderId="36" xfId="0" applyFont="1" applyFill="1" applyBorder="1" applyAlignment="1">
      <alignment horizontal="left"/>
    </xf>
    <xf numFmtId="0" fontId="1" fillId="18" borderId="0" xfId="0" applyFont="1" applyFill="1"/>
    <xf numFmtId="0" fontId="1" fillId="20" borderId="10" xfId="0" applyFont="1" applyFill="1" applyBorder="1" applyAlignment="1">
      <alignment horizontal="center" vertical="center"/>
    </xf>
    <xf numFmtId="0" fontId="43" fillId="20" borderId="12" xfId="0" applyFont="1" applyFill="1" applyBorder="1" applyAlignment="1"/>
    <xf numFmtId="0" fontId="1" fillId="20" borderId="12" xfId="0" applyFont="1" applyFill="1" applyBorder="1" applyAlignment="1">
      <alignment horizontal="center"/>
    </xf>
    <xf numFmtId="0" fontId="1" fillId="20" borderId="22" xfId="0" applyFont="1" applyFill="1" applyBorder="1" applyAlignment="1">
      <alignment horizontal="center"/>
    </xf>
    <xf numFmtId="0" fontId="1" fillId="18" borderId="0" xfId="0" applyFont="1" applyFill="1" applyBorder="1" applyAlignment="1">
      <alignment horizontal="center"/>
    </xf>
    <xf numFmtId="0" fontId="1" fillId="20" borderId="0" xfId="0" applyFont="1" applyFill="1" applyBorder="1" applyAlignment="1">
      <alignment horizontal="center"/>
    </xf>
    <xf numFmtId="0" fontId="1" fillId="18" borderId="0" xfId="0" applyFont="1" applyFill="1" applyAlignment="1">
      <alignment horizontal="center"/>
    </xf>
    <xf numFmtId="0" fontId="1" fillId="21" borderId="0" xfId="0" applyFont="1" applyFill="1"/>
    <xf numFmtId="0" fontId="1" fillId="20" borderId="11" xfId="0" applyFont="1" applyFill="1" applyBorder="1" applyAlignment="1">
      <alignment horizontal="center" vertical="center"/>
    </xf>
    <xf numFmtId="0" fontId="2" fillId="20" borderId="0" xfId="0" applyFont="1" applyFill="1" applyBorder="1" applyAlignment="1">
      <alignment horizontal="right"/>
    </xf>
    <xf numFmtId="0" fontId="1" fillId="23" borderId="37" xfId="0" applyFont="1" applyFill="1" applyBorder="1" applyAlignment="1">
      <alignment horizontal="center"/>
    </xf>
    <xf numFmtId="0" fontId="1" fillId="20" borderId="13" xfId="0" applyFont="1" applyFill="1" applyBorder="1" applyAlignment="1">
      <alignment horizontal="center"/>
    </xf>
    <xf numFmtId="0" fontId="2" fillId="20" borderId="0" xfId="0" applyFont="1" applyFill="1" applyBorder="1" applyAlignment="1">
      <alignment horizontal="center"/>
    </xf>
    <xf numFmtId="0" fontId="1" fillId="21" borderId="25" xfId="0" applyFont="1" applyFill="1" applyBorder="1"/>
    <xf numFmtId="0" fontId="1" fillId="0" borderId="0" xfId="0" applyFont="1" applyBorder="1"/>
    <xf numFmtId="0" fontId="1" fillId="20" borderId="15" xfId="0" applyFont="1" applyFill="1" applyBorder="1" applyAlignment="1">
      <alignment horizontal="center" vertical="center"/>
    </xf>
    <xf numFmtId="0" fontId="2" fillId="20" borderId="16" xfId="0" applyFont="1" applyFill="1" applyBorder="1" applyAlignment="1">
      <alignment horizontal="right"/>
    </xf>
    <xf numFmtId="0" fontId="1" fillId="20" borderId="16" xfId="0" applyFont="1" applyFill="1" applyBorder="1" applyAlignment="1">
      <alignment horizontal="center"/>
    </xf>
    <xf numFmtId="0" fontId="2" fillId="20" borderId="0" xfId="0" applyFont="1" applyFill="1" applyBorder="1" applyAlignment="1">
      <alignment horizontal="right" wrapText="1"/>
    </xf>
    <xf numFmtId="0" fontId="1" fillId="20" borderId="0" xfId="0" applyFont="1" applyFill="1" applyBorder="1"/>
    <xf numFmtId="0" fontId="1" fillId="21" borderId="0" xfId="0" applyFont="1" applyFill="1" applyBorder="1" applyAlignment="1">
      <alignment horizontal="center"/>
    </xf>
    <xf numFmtId="0" fontId="1" fillId="21" borderId="0" xfId="0" applyFont="1" applyFill="1" applyBorder="1"/>
    <xf numFmtId="0" fontId="2" fillId="21" borderId="0" xfId="0" applyFont="1" applyFill="1" applyBorder="1" applyAlignment="1">
      <alignment horizontal="center"/>
    </xf>
    <xf numFmtId="0" fontId="2" fillId="18" borderId="0" xfId="0" applyFont="1" applyFill="1" applyBorder="1" applyAlignment="1"/>
    <xf numFmtId="0" fontId="2" fillId="26" borderId="0" xfId="0" applyFont="1" applyFill="1" applyBorder="1" applyAlignment="1">
      <alignment horizontal="center"/>
    </xf>
    <xf numFmtId="0" fontId="1" fillId="27" borderId="0" xfId="0" applyFont="1" applyFill="1" applyBorder="1"/>
    <xf numFmtId="0" fontId="1" fillId="28" borderId="0" xfId="0" applyFont="1" applyFill="1" applyBorder="1" applyAlignment="1">
      <alignment horizontal="center"/>
    </xf>
    <xf numFmtId="0" fontId="1" fillId="29" borderId="0" xfId="0" applyFont="1" applyFill="1" applyBorder="1" applyAlignment="1">
      <alignment horizontal="center"/>
    </xf>
    <xf numFmtId="0" fontId="1" fillId="0" borderId="11" xfId="0" applyFont="1" applyBorder="1"/>
    <xf numFmtId="0" fontId="2" fillId="30" borderId="0" xfId="0" applyFont="1" applyFill="1" applyBorder="1" applyAlignment="1">
      <alignment horizontal="right"/>
    </xf>
    <xf numFmtId="0" fontId="1" fillId="30" borderId="0" xfId="0" applyFont="1" applyFill="1" applyBorder="1" applyAlignment="1">
      <alignment horizontal="center"/>
    </xf>
    <xf numFmtId="0" fontId="2" fillId="0" borderId="0" xfId="0" applyNumberFormat="1" applyFont="1" applyBorder="1" applyAlignment="1">
      <alignment wrapText="1"/>
    </xf>
    <xf numFmtId="0" fontId="1" fillId="30" borderId="13" xfId="0" applyFont="1" applyFill="1" applyBorder="1" applyAlignment="1">
      <alignment horizontal="center"/>
    </xf>
    <xf numFmtId="165" fontId="1" fillId="18" borderId="0" xfId="0" applyNumberFormat="1" applyFont="1" applyFill="1" applyBorder="1"/>
    <xf numFmtId="0" fontId="1" fillId="30" borderId="15" xfId="0" applyFont="1" applyFill="1" applyBorder="1" applyAlignment="1">
      <alignment horizontal="center"/>
    </xf>
    <xf numFmtId="0" fontId="1" fillId="0" borderId="16" xfId="0" applyFont="1" applyBorder="1"/>
    <xf numFmtId="0" fontId="1" fillId="0" borderId="17" xfId="0" applyFont="1" applyBorder="1"/>
    <xf numFmtId="0" fontId="1" fillId="29" borderId="10" xfId="0" applyFont="1" applyFill="1" applyBorder="1" applyAlignment="1">
      <alignment horizontal="center"/>
    </xf>
    <xf numFmtId="0" fontId="2" fillId="29" borderId="12" xfId="0" applyFont="1" applyFill="1" applyBorder="1" applyAlignment="1"/>
    <xf numFmtId="0" fontId="1" fillId="29" borderId="12" xfId="0" applyFont="1" applyFill="1" applyBorder="1" applyAlignment="1">
      <alignment horizontal="center"/>
    </xf>
    <xf numFmtId="0" fontId="1" fillId="0" borderId="12" xfId="0" applyFont="1" applyBorder="1"/>
    <xf numFmtId="0" fontId="2" fillId="29" borderId="12" xfId="0" applyFont="1" applyFill="1" applyBorder="1" applyAlignment="1">
      <alignment horizontal="center"/>
    </xf>
    <xf numFmtId="0" fontId="1" fillId="29" borderId="11" xfId="0" applyFont="1" applyFill="1" applyBorder="1" applyAlignment="1">
      <alignment horizontal="center"/>
    </xf>
    <xf numFmtId="0" fontId="1" fillId="29" borderId="13" xfId="0" applyFont="1" applyFill="1" applyBorder="1" applyAlignment="1">
      <alignment horizontal="center"/>
    </xf>
    <xf numFmtId="0" fontId="1" fillId="31" borderId="0" xfId="0" applyFont="1" applyFill="1" applyBorder="1" applyAlignment="1">
      <alignment horizontal="center"/>
    </xf>
    <xf numFmtId="0" fontId="2" fillId="20" borderId="0" xfId="41" applyFont="1" applyFill="1" applyBorder="1" applyAlignment="1">
      <alignment horizontal="right" wrapText="1"/>
    </xf>
    <xf numFmtId="0" fontId="1" fillId="29" borderId="15" xfId="0" applyFont="1" applyFill="1" applyBorder="1" applyAlignment="1">
      <alignment horizontal="center"/>
    </xf>
    <xf numFmtId="0" fontId="2" fillId="29" borderId="16" xfId="0" applyFont="1" applyFill="1" applyBorder="1" applyAlignment="1"/>
    <xf numFmtId="0" fontId="1" fillId="29" borderId="16" xfId="0" applyFont="1" applyFill="1" applyBorder="1" applyAlignment="1">
      <alignment horizontal="center"/>
    </xf>
    <xf numFmtId="0" fontId="1" fillId="30" borderId="11" xfId="0" applyFont="1" applyFill="1" applyBorder="1" applyAlignment="1">
      <alignment horizontal="center"/>
    </xf>
    <xf numFmtId="0" fontId="2" fillId="30" borderId="0" xfId="0" applyFont="1" applyFill="1" applyBorder="1" applyAlignment="1"/>
    <xf numFmtId="0" fontId="1" fillId="32" borderId="0" xfId="0" applyFont="1" applyFill="1" applyBorder="1" applyAlignment="1">
      <alignment horizontal="center"/>
    </xf>
    <xf numFmtId="9" fontId="38" fillId="33" borderId="0" xfId="0" applyNumberFormat="1" applyFont="1" applyFill="1" applyBorder="1" applyAlignment="1">
      <alignment horizontal="left"/>
    </xf>
    <xf numFmtId="0" fontId="1" fillId="34" borderId="10" xfId="0" applyFont="1" applyFill="1" applyBorder="1" applyAlignment="1">
      <alignment horizontal="center" vertical="center" wrapText="1"/>
    </xf>
    <xf numFmtId="0" fontId="1" fillId="34" borderId="12" xfId="0" applyFont="1" applyFill="1" applyBorder="1" applyAlignment="1">
      <alignment horizontal="right" wrapText="1"/>
    </xf>
    <xf numFmtId="0" fontId="2" fillId="34" borderId="12" xfId="0" applyFont="1" applyFill="1" applyBorder="1" applyAlignment="1">
      <alignment horizontal="center" wrapText="1"/>
    </xf>
    <xf numFmtId="0" fontId="1" fillId="20" borderId="12" xfId="0" applyFont="1" applyFill="1" applyBorder="1" applyAlignment="1"/>
    <xf numFmtId="0" fontId="2" fillId="21" borderId="25" xfId="0" applyFont="1" applyFill="1" applyBorder="1" applyAlignment="1"/>
    <xf numFmtId="0" fontId="2" fillId="35" borderId="25" xfId="0" applyFont="1" applyFill="1" applyBorder="1" applyAlignment="1">
      <alignment horizontal="center"/>
    </xf>
    <xf numFmtId="0" fontId="1" fillId="34" borderId="11" xfId="0" applyFont="1" applyFill="1" applyBorder="1" applyAlignment="1">
      <alignment horizontal="center" vertical="center"/>
    </xf>
    <xf numFmtId="0" fontId="1" fillId="0" borderId="13" xfId="0" applyFont="1" applyBorder="1"/>
    <xf numFmtId="0" fontId="1" fillId="36" borderId="24" xfId="0" applyFont="1" applyFill="1" applyBorder="1" applyAlignment="1">
      <alignment horizontal="center" vertical="center"/>
    </xf>
    <xf numFmtId="0" fontId="1" fillId="27" borderId="25" xfId="0" applyFont="1" applyFill="1" applyBorder="1"/>
    <xf numFmtId="0" fontId="2" fillId="21" borderId="0" xfId="0" applyFont="1" applyFill="1" applyBorder="1"/>
    <xf numFmtId="0" fontId="1" fillId="36" borderId="0" xfId="0" applyFont="1" applyFill="1" applyBorder="1" applyAlignment="1">
      <alignment horizontal="center"/>
    </xf>
    <xf numFmtId="0" fontId="1" fillId="34" borderId="15" xfId="0" applyFont="1" applyFill="1" applyBorder="1" applyAlignment="1">
      <alignment horizontal="center" vertical="center"/>
    </xf>
    <xf numFmtId="0" fontId="1" fillId="34" borderId="16" xfId="0" applyFont="1" applyFill="1" applyBorder="1" applyAlignment="1">
      <alignment horizontal="right"/>
    </xf>
    <xf numFmtId="0" fontId="1" fillId="34" borderId="16" xfId="0" applyFont="1" applyFill="1" applyBorder="1" applyAlignment="1">
      <alignment horizontal="center"/>
    </xf>
    <xf numFmtId="0" fontId="2" fillId="27" borderId="0" xfId="0" applyFont="1" applyFill="1" applyBorder="1"/>
    <xf numFmtId="165" fontId="2" fillId="18" borderId="0" xfId="0" applyNumberFormat="1" applyFont="1" applyFill="1" applyBorder="1"/>
    <xf numFmtId="0" fontId="1" fillId="34" borderId="11" xfId="0" applyFont="1" applyFill="1" applyBorder="1" applyAlignment="1">
      <alignment horizontal="center" vertical="center" wrapText="1"/>
    </xf>
    <xf numFmtId="0" fontId="1" fillId="20" borderId="0" xfId="0" applyFont="1" applyFill="1" applyBorder="1" applyAlignment="1">
      <alignment horizontal="right"/>
    </xf>
    <xf numFmtId="0" fontId="1" fillId="37" borderId="24" xfId="0" applyFont="1" applyFill="1" applyBorder="1" applyAlignment="1">
      <alignment horizontal="center" vertical="center"/>
    </xf>
    <xf numFmtId="0" fontId="1" fillId="21" borderId="16" xfId="0" applyFont="1" applyFill="1" applyBorder="1"/>
    <xf numFmtId="0" fontId="1" fillId="38" borderId="11" xfId="0" applyFont="1" applyFill="1" applyBorder="1" applyAlignment="1">
      <alignment horizontal="center" vertical="center"/>
    </xf>
    <xf numFmtId="172" fontId="1" fillId="20" borderId="0" xfId="0" applyNumberFormat="1" applyFont="1" applyFill="1" applyBorder="1" applyAlignment="1">
      <alignment horizontal="center"/>
    </xf>
    <xf numFmtId="0" fontId="1" fillId="33" borderId="0" xfId="0" applyFont="1" applyFill="1" applyBorder="1"/>
    <xf numFmtId="0" fontId="2" fillId="39" borderId="11" xfId="0" applyFont="1" applyFill="1" applyBorder="1" applyAlignment="1">
      <alignment vertical="center" wrapText="1"/>
    </xf>
    <xf numFmtId="0" fontId="1" fillId="39" borderId="0" xfId="0" applyFont="1" applyFill="1" applyBorder="1" applyAlignment="1">
      <alignment horizontal="right" vertical="top" wrapText="1"/>
    </xf>
    <xf numFmtId="3" fontId="1" fillId="39" borderId="0" xfId="0" applyNumberFormat="1" applyFont="1" applyFill="1" applyBorder="1" applyAlignment="1" applyProtection="1">
      <alignment horizontal="left"/>
      <protection locked="0"/>
    </xf>
    <xf numFmtId="3" fontId="1" fillId="39" borderId="0" xfId="0" applyNumberFormat="1" applyFont="1" applyFill="1" applyBorder="1" applyAlignment="1">
      <alignment horizontal="left" vertical="top"/>
    </xf>
    <xf numFmtId="3" fontId="1" fillId="20" borderId="0" xfId="0" applyNumberFormat="1" applyFont="1" applyFill="1" applyBorder="1" applyAlignment="1">
      <alignment horizontal="left"/>
    </xf>
    <xf numFmtId="0" fontId="1" fillId="20" borderId="10" xfId="0" applyFont="1" applyFill="1" applyBorder="1" applyAlignment="1"/>
    <xf numFmtId="0" fontId="1" fillId="20" borderId="12" xfId="0" applyFont="1" applyFill="1" applyBorder="1" applyAlignment="1">
      <alignment horizontal="right"/>
    </xf>
    <xf numFmtId="0" fontId="2" fillId="0" borderId="12" xfId="0" applyFont="1" applyBorder="1"/>
    <xf numFmtId="0" fontId="1" fillId="18" borderId="24" xfId="0" applyFont="1" applyFill="1" applyBorder="1" applyAlignment="1">
      <alignment horizontal="center" wrapText="1"/>
    </xf>
    <xf numFmtId="0" fontId="1" fillId="18" borderId="0" xfId="0" applyFont="1" applyFill="1" applyAlignment="1">
      <alignment wrapText="1"/>
    </xf>
    <xf numFmtId="0" fontId="1" fillId="23" borderId="25" xfId="0" applyFont="1" applyFill="1" applyBorder="1"/>
    <xf numFmtId="0" fontId="2" fillId="0" borderId="0" xfId="0" applyFont="1" applyBorder="1"/>
    <xf numFmtId="0" fontId="2" fillId="20" borderId="13" xfId="0" applyFont="1" applyFill="1" applyBorder="1" applyAlignment="1">
      <alignment horizontal="center"/>
    </xf>
    <xf numFmtId="0" fontId="1" fillId="18" borderId="24" xfId="0" applyFont="1" applyFill="1" applyBorder="1" applyAlignment="1">
      <alignment horizontal="center"/>
    </xf>
    <xf numFmtId="0" fontId="1" fillId="21" borderId="0" xfId="0" applyFont="1" applyFill="1" applyBorder="1" applyAlignment="1">
      <alignment wrapText="1"/>
    </xf>
    <xf numFmtId="0" fontId="1" fillId="18" borderId="0" xfId="0" applyFont="1" applyFill="1" applyBorder="1" applyAlignment="1">
      <alignment wrapText="1"/>
    </xf>
    <xf numFmtId="1" fontId="1" fillId="20" borderId="0" xfId="0" applyNumberFormat="1" applyFont="1" applyFill="1" applyBorder="1" applyAlignment="1">
      <alignment horizontal="center"/>
    </xf>
    <xf numFmtId="172" fontId="1" fillId="20" borderId="13" xfId="0" applyNumberFormat="1" applyFont="1" applyFill="1" applyBorder="1" applyAlignment="1">
      <alignment horizontal="center"/>
    </xf>
    <xf numFmtId="172" fontId="1" fillId="18" borderId="24" xfId="0" applyNumberFormat="1" applyFont="1" applyFill="1" applyBorder="1" applyAlignment="1">
      <alignment horizontal="center"/>
    </xf>
    <xf numFmtId="3" fontId="1" fillId="18" borderId="0" xfId="0" applyNumberFormat="1" applyFont="1" applyFill="1" applyBorder="1" applyAlignment="1">
      <alignment horizontal="left" wrapText="1"/>
    </xf>
    <xf numFmtId="0" fontId="1" fillId="0" borderId="15" xfId="0" applyFont="1" applyBorder="1"/>
    <xf numFmtId="1" fontId="1" fillId="20" borderId="16" xfId="0" applyNumberFormat="1" applyFont="1" applyFill="1" applyBorder="1" applyAlignment="1">
      <alignment horizontal="center" wrapText="1"/>
    </xf>
    <xf numFmtId="172" fontId="1" fillId="20" borderId="16" xfId="0" applyNumberFormat="1" applyFont="1" applyFill="1" applyBorder="1" applyAlignment="1">
      <alignment horizontal="center" wrapText="1"/>
    </xf>
    <xf numFmtId="172" fontId="1" fillId="20" borderId="17" xfId="0" applyNumberFormat="1" applyFont="1" applyFill="1" applyBorder="1" applyAlignment="1">
      <alignment horizontal="center" wrapText="1"/>
    </xf>
    <xf numFmtId="172" fontId="1" fillId="18" borderId="23" xfId="0" applyNumberFormat="1" applyFont="1" applyFill="1" applyBorder="1" applyAlignment="1">
      <alignment horizontal="center" wrapText="1"/>
    </xf>
    <xf numFmtId="0" fontId="2" fillId="18" borderId="0" xfId="0" applyFont="1" applyFill="1" applyBorder="1" applyAlignment="1">
      <alignment horizontal="center"/>
    </xf>
    <xf numFmtId="0" fontId="1" fillId="21" borderId="25" xfId="0" applyFont="1" applyFill="1" applyBorder="1" applyAlignment="1">
      <alignment wrapText="1"/>
    </xf>
    <xf numFmtId="1" fontId="1" fillId="18" borderId="0" xfId="0" applyNumberFormat="1" applyFont="1" applyFill="1" applyBorder="1" applyAlignment="1">
      <alignment horizontal="center"/>
    </xf>
    <xf numFmtId="172" fontId="1" fillId="18" borderId="0" xfId="0" applyNumberFormat="1" applyFont="1" applyFill="1" applyBorder="1" applyAlignment="1">
      <alignment horizontal="center"/>
    </xf>
    <xf numFmtId="0" fontId="2" fillId="0" borderId="10" xfId="0" applyFont="1" applyBorder="1" applyAlignment="1">
      <alignment wrapText="1"/>
    </xf>
    <xf numFmtId="0" fontId="1" fillId="0" borderId="0" xfId="0" applyFont="1" applyAlignment="1">
      <alignment wrapText="1"/>
    </xf>
    <xf numFmtId="172" fontId="1" fillId="20" borderId="12" xfId="0" applyNumberFormat="1" applyFont="1" applyFill="1" applyBorder="1" applyAlignment="1">
      <alignment horizontal="center" wrapText="1"/>
    </xf>
    <xf numFmtId="172" fontId="1" fillId="20" borderId="22" xfId="0" applyNumberFormat="1" applyFont="1" applyFill="1" applyBorder="1" applyAlignment="1">
      <alignment horizontal="center" wrapText="1"/>
    </xf>
    <xf numFmtId="1" fontId="1" fillId="18" borderId="0" xfId="0" applyNumberFormat="1" applyFont="1" applyFill="1" applyBorder="1"/>
    <xf numFmtId="172" fontId="1" fillId="18" borderId="0" xfId="0" applyNumberFormat="1" applyFont="1" applyFill="1" applyBorder="1"/>
    <xf numFmtId="1" fontId="1" fillId="18" borderId="0" xfId="0" applyNumberFormat="1" applyFont="1" applyFill="1"/>
    <xf numFmtId="1" fontId="1" fillId="20" borderId="13" xfId="0" applyNumberFormat="1" applyFont="1" applyFill="1" applyBorder="1" applyAlignment="1">
      <alignment horizontal="center"/>
    </xf>
    <xf numFmtId="1" fontId="2" fillId="18" borderId="0" xfId="0" applyNumberFormat="1" applyFont="1" applyFill="1" applyBorder="1" applyAlignment="1">
      <alignment horizontal="center"/>
    </xf>
    <xf numFmtId="172" fontId="1" fillId="18" borderId="0" xfId="0" applyNumberFormat="1" applyFont="1" applyFill="1"/>
    <xf numFmtId="0" fontId="43" fillId="21" borderId="25" xfId="0" applyFont="1" applyFill="1" applyBorder="1"/>
    <xf numFmtId="172" fontId="2" fillId="18" borderId="0" xfId="0" applyNumberFormat="1" applyFont="1" applyFill="1" applyBorder="1" applyAlignment="1">
      <alignment horizontal="center"/>
    </xf>
    <xf numFmtId="172" fontId="1" fillId="20" borderId="17" xfId="0" applyNumberFormat="1" applyFont="1" applyFill="1" applyBorder="1" applyAlignment="1">
      <alignment horizontal="center"/>
    </xf>
    <xf numFmtId="169" fontId="1" fillId="18" borderId="0" xfId="0" applyNumberFormat="1" applyFont="1" applyFill="1" applyBorder="1" applyAlignment="1">
      <alignment horizontal="center"/>
    </xf>
    <xf numFmtId="0" fontId="1" fillId="19" borderId="0" xfId="0" applyFont="1" applyFill="1"/>
    <xf numFmtId="0" fontId="2" fillId="40" borderId="25" xfId="0" applyFont="1" applyFill="1" applyBorder="1"/>
    <xf numFmtId="0" fontId="1" fillId="19" borderId="25" xfId="0" applyFont="1" applyFill="1" applyBorder="1"/>
    <xf numFmtId="2" fontId="1" fillId="21" borderId="25" xfId="0" applyNumberFormat="1" applyFont="1" applyFill="1" applyBorder="1"/>
    <xf numFmtId="0" fontId="1" fillId="0" borderId="0" xfId="0" applyFont="1" applyFill="1" applyBorder="1"/>
    <xf numFmtId="0" fontId="1" fillId="0" borderId="0" xfId="0" applyFont="1" applyFill="1" applyAlignment="1">
      <alignment horizontal="left"/>
    </xf>
    <xf numFmtId="0" fontId="1" fillId="0" borderId="0" xfId="0" applyFont="1" applyAlignment="1">
      <alignment horizontal="left"/>
    </xf>
    <xf numFmtId="0" fontId="43" fillId="40" borderId="25" xfId="0" applyFont="1" applyFill="1" applyBorder="1" applyAlignment="1">
      <alignment horizontal="left"/>
    </xf>
    <xf numFmtId="0" fontId="1" fillId="40" borderId="25" xfId="0" applyFont="1" applyFill="1" applyBorder="1" applyAlignment="1">
      <alignment horizontal="left"/>
    </xf>
    <xf numFmtId="0" fontId="1" fillId="21" borderId="25" xfId="0" applyFont="1" applyFill="1" applyBorder="1" applyAlignment="1">
      <alignment horizontal="left"/>
    </xf>
    <xf numFmtId="3" fontId="1" fillId="18" borderId="0" xfId="0" applyNumberFormat="1" applyFont="1" applyFill="1" applyBorder="1" applyAlignment="1">
      <alignment horizontal="left"/>
    </xf>
    <xf numFmtId="0" fontId="1" fillId="35" borderId="25" xfId="0" applyFont="1" applyFill="1" applyBorder="1" applyAlignment="1">
      <alignment horizontal="left"/>
    </xf>
    <xf numFmtId="0" fontId="1" fillId="41" borderId="25" xfId="0" applyFont="1" applyFill="1" applyBorder="1" applyAlignment="1">
      <alignment horizontal="left"/>
    </xf>
    <xf numFmtId="0" fontId="1" fillId="18" borderId="0" xfId="42" applyFont="1" applyFill="1" applyBorder="1"/>
    <xf numFmtId="0" fontId="1" fillId="18" borderId="0" xfId="42" applyFont="1" applyFill="1"/>
    <xf numFmtId="0" fontId="1" fillId="20" borderId="0" xfId="42" applyFont="1" applyFill="1"/>
    <xf numFmtId="0" fontId="1" fillId="0" borderId="0" xfId="42" applyFont="1"/>
    <xf numFmtId="0" fontId="1" fillId="20" borderId="0" xfId="42" applyFont="1" applyFill="1" applyBorder="1"/>
    <xf numFmtId="0" fontId="1" fillId="20" borderId="12" xfId="42" applyFont="1" applyFill="1" applyBorder="1"/>
    <xf numFmtId="0" fontId="1" fillId="21" borderId="25" xfId="42" applyFont="1" applyFill="1" applyBorder="1"/>
    <xf numFmtId="0" fontId="1" fillId="20" borderId="13" xfId="42" applyFont="1" applyFill="1" applyBorder="1"/>
    <xf numFmtId="165" fontId="1" fillId="21" borderId="25" xfId="42" applyNumberFormat="1" applyFont="1" applyFill="1" applyBorder="1"/>
    <xf numFmtId="0" fontId="1" fillId="20" borderId="16" xfId="42" applyFont="1" applyFill="1" applyBorder="1"/>
    <xf numFmtId="0" fontId="1" fillId="20" borderId="17" xfId="42" applyFont="1" applyFill="1" applyBorder="1"/>
    <xf numFmtId="0" fontId="1" fillId="20" borderId="0" xfId="42" applyFont="1" applyFill="1" applyBorder="1" applyAlignment="1">
      <alignment horizontal="center"/>
    </xf>
    <xf numFmtId="0" fontId="1" fillId="18" borderId="0" xfId="42" applyFont="1" applyFill="1" applyBorder="1" applyAlignment="1">
      <alignment horizontal="left" wrapText="1"/>
    </xf>
    <xf numFmtId="0" fontId="1" fillId="20" borderId="0" xfId="42" applyFont="1" applyFill="1" applyBorder="1" applyAlignment="1">
      <alignment horizontal="left" wrapText="1"/>
    </xf>
    <xf numFmtId="0" fontId="1" fillId="0" borderId="0" xfId="42" applyFont="1" applyFill="1"/>
    <xf numFmtId="0" fontId="1" fillId="18" borderId="0" xfId="42" applyFont="1" applyFill="1" applyBorder="1" applyAlignment="1">
      <alignment horizontal="center" wrapText="1"/>
    </xf>
    <xf numFmtId="0" fontId="1" fillId="0" borderId="0" xfId="42" applyFont="1" applyFill="1" applyBorder="1"/>
    <xf numFmtId="2" fontId="1" fillId="20" borderId="18" xfId="42" applyNumberFormat="1" applyFont="1" applyFill="1" applyBorder="1" applyAlignment="1">
      <alignment horizontal="center"/>
    </xf>
    <xf numFmtId="2" fontId="1" fillId="20" borderId="24" xfId="42" applyNumberFormat="1" applyFont="1" applyFill="1" applyBorder="1" applyAlignment="1">
      <alignment horizontal="center"/>
    </xf>
    <xf numFmtId="0" fontId="1" fillId="20" borderId="13" xfId="42" applyFont="1" applyFill="1" applyBorder="1" applyAlignment="1">
      <alignment horizontal="center"/>
    </xf>
    <xf numFmtId="0" fontId="1" fillId="0" borderId="0" xfId="42" applyFont="1" applyBorder="1"/>
    <xf numFmtId="0" fontId="1" fillId="0" borderId="0" xfId="42" applyFont="1" applyFill="1" applyBorder="1" applyAlignment="1"/>
    <xf numFmtId="0" fontId="1" fillId="42" borderId="12" xfId="42" applyFont="1" applyFill="1" applyBorder="1" applyAlignment="1">
      <alignment horizontal="center" vertical="center" wrapText="1"/>
    </xf>
    <xf numFmtId="0" fontId="2" fillId="42" borderId="12" xfId="42" applyFont="1" applyFill="1" applyBorder="1" applyAlignment="1">
      <alignment horizontal="center"/>
    </xf>
    <xf numFmtId="0" fontId="2" fillId="42" borderId="12" xfId="42" applyFont="1" applyFill="1" applyBorder="1" applyAlignment="1">
      <alignment wrapText="1"/>
    </xf>
    <xf numFmtId="0" fontId="2" fillId="42" borderId="22" xfId="42" applyFont="1" applyFill="1" applyBorder="1" applyAlignment="1">
      <alignment horizontal="center"/>
    </xf>
    <xf numFmtId="0" fontId="2" fillId="27" borderId="25" xfId="0" applyFont="1" applyFill="1" applyBorder="1"/>
    <xf numFmtId="0" fontId="1" fillId="20" borderId="0" xfId="42" applyFont="1" applyFill="1" applyBorder="1" applyAlignment="1"/>
    <xf numFmtId="165" fontId="1" fillId="21" borderId="25" xfId="0" applyNumberFormat="1" applyFont="1" applyFill="1" applyBorder="1"/>
    <xf numFmtId="2" fontId="1" fillId="27" borderId="25" xfId="0" applyNumberFormat="1" applyFont="1" applyFill="1" applyBorder="1"/>
    <xf numFmtId="0" fontId="2" fillId="20" borderId="0" xfId="42" applyFont="1" applyFill="1" applyBorder="1" applyAlignment="1">
      <alignment horizontal="center"/>
    </xf>
    <xf numFmtId="0" fontId="1" fillId="20" borderId="0" xfId="42" applyFont="1" applyFill="1" applyBorder="1" applyAlignment="1">
      <alignment horizontal="center" wrapText="1"/>
    </xf>
    <xf numFmtId="169" fontId="1" fillId="27" borderId="25" xfId="0" applyNumberFormat="1" applyFont="1" applyFill="1" applyBorder="1"/>
    <xf numFmtId="165" fontId="1" fillId="27" borderId="25" xfId="0" applyNumberFormat="1" applyFont="1" applyFill="1" applyBorder="1"/>
    <xf numFmtId="0" fontId="1" fillId="42" borderId="16" xfId="42" applyFont="1" applyFill="1" applyBorder="1" applyAlignment="1">
      <alignment horizontal="center" vertical="center" wrapText="1"/>
    </xf>
    <xf numFmtId="0" fontId="2" fillId="42" borderId="16" xfId="42" applyFont="1" applyFill="1" applyBorder="1" applyAlignment="1"/>
    <xf numFmtId="0" fontId="1" fillId="42" borderId="16" xfId="42" applyFont="1" applyFill="1" applyBorder="1" applyAlignment="1">
      <alignment horizontal="center"/>
    </xf>
    <xf numFmtId="0" fontId="1" fillId="18" borderId="0" xfId="41" applyFont="1" applyFill="1" applyBorder="1" applyAlignment="1">
      <alignment horizontal="left" wrapText="1"/>
    </xf>
    <xf numFmtId="0" fontId="1" fillId="18" borderId="0" xfId="41" applyFont="1" applyFill="1" applyBorder="1" applyAlignment="1">
      <alignment horizontal="left"/>
    </xf>
    <xf numFmtId="0" fontId="1" fillId="0" borderId="0" xfId="41" applyFont="1" applyBorder="1"/>
    <xf numFmtId="0" fontId="1" fillId="0" borderId="0" xfId="41" applyFont="1" applyBorder="1" applyAlignment="1">
      <alignment horizontal="left"/>
    </xf>
    <xf numFmtId="0" fontId="1" fillId="0" borderId="13" xfId="41" applyFont="1" applyBorder="1"/>
    <xf numFmtId="0" fontId="1" fillId="20" borderId="13" xfId="41" applyFont="1" applyFill="1" applyBorder="1"/>
    <xf numFmtId="0" fontId="1" fillId="18" borderId="13" xfId="41" applyFont="1" applyFill="1" applyBorder="1"/>
    <xf numFmtId="0" fontId="1" fillId="18" borderId="0" xfId="41" applyFont="1" applyFill="1" applyAlignment="1">
      <alignment wrapText="1"/>
    </xf>
    <xf numFmtId="0" fontId="1" fillId="20" borderId="13" xfId="41" applyFont="1" applyFill="1" applyBorder="1" applyAlignment="1">
      <alignment wrapText="1"/>
    </xf>
    <xf numFmtId="0" fontId="1" fillId="20" borderId="12" xfId="0" applyFont="1" applyFill="1" applyBorder="1"/>
    <xf numFmtId="0" fontId="1" fillId="20" borderId="22" xfId="0" applyFont="1" applyFill="1" applyBorder="1"/>
    <xf numFmtId="0" fontId="1" fillId="43" borderId="12" xfId="0" applyFont="1" applyFill="1" applyBorder="1"/>
    <xf numFmtId="0" fontId="1" fillId="43" borderId="22" xfId="0" applyFont="1" applyFill="1" applyBorder="1"/>
    <xf numFmtId="0" fontId="1" fillId="18" borderId="10" xfId="41" applyFont="1" applyFill="1" applyBorder="1"/>
    <xf numFmtId="0" fontId="1" fillId="18" borderId="12" xfId="41" applyFont="1" applyFill="1" applyBorder="1"/>
    <xf numFmtId="0" fontId="1" fillId="18" borderId="12" xfId="0" applyFont="1" applyFill="1" applyBorder="1"/>
    <xf numFmtId="0" fontId="1" fillId="18" borderId="22" xfId="0" applyFont="1" applyFill="1" applyBorder="1"/>
    <xf numFmtId="0" fontId="1" fillId="19" borderId="0" xfId="41" applyFont="1" applyFill="1" applyBorder="1" applyAlignment="1">
      <alignment horizontal="left"/>
    </xf>
    <xf numFmtId="0" fontId="1" fillId="19" borderId="13" xfId="41" applyFont="1" applyFill="1" applyBorder="1" applyAlignment="1">
      <alignment horizontal="left"/>
    </xf>
    <xf numFmtId="0" fontId="1" fillId="18" borderId="13" xfId="0" applyFont="1" applyFill="1" applyBorder="1"/>
    <xf numFmtId="0" fontId="1" fillId="19" borderId="13" xfId="0" applyFont="1" applyFill="1" applyBorder="1"/>
    <xf numFmtId="0" fontId="1" fillId="18" borderId="11" xfId="41" applyFont="1" applyFill="1" applyBorder="1" applyAlignment="1">
      <alignment wrapText="1"/>
    </xf>
    <xf numFmtId="10" fontId="1" fillId="18" borderId="0" xfId="0" applyNumberFormat="1" applyFont="1" applyFill="1" applyBorder="1"/>
    <xf numFmtId="0" fontId="1" fillId="18" borderId="0" xfId="41" applyFont="1" applyFill="1" applyBorder="1" applyAlignment="1">
      <alignment wrapText="1"/>
    </xf>
    <xf numFmtId="0" fontId="1" fillId="18" borderId="13" xfId="41" applyFont="1" applyFill="1" applyBorder="1" applyAlignment="1">
      <alignment wrapText="1"/>
    </xf>
    <xf numFmtId="0" fontId="1" fillId="20" borderId="0" xfId="41" applyFont="1" applyFill="1" applyBorder="1" applyAlignment="1">
      <alignment horizontal="center"/>
    </xf>
    <xf numFmtId="0" fontId="1" fillId="19" borderId="11" xfId="0" applyFont="1" applyFill="1" applyBorder="1"/>
    <xf numFmtId="0" fontId="1" fillId="20" borderId="0" xfId="0" applyFont="1" applyFill="1" applyBorder="1" applyAlignment="1">
      <alignment horizontal="center" wrapText="1"/>
    </xf>
    <xf numFmtId="0" fontId="1" fillId="21" borderId="38" xfId="41" applyFont="1" applyFill="1" applyBorder="1"/>
    <xf numFmtId="0" fontId="1" fillId="21" borderId="39" xfId="41" applyFont="1" applyFill="1" applyBorder="1"/>
    <xf numFmtId="2" fontId="1" fillId="21" borderId="25" xfId="41" applyNumberFormat="1" applyFont="1" applyFill="1" applyBorder="1" applyAlignment="1">
      <alignment horizontal="left" wrapText="1"/>
    </xf>
    <xf numFmtId="0" fontId="1" fillId="21" borderId="30" xfId="0" applyFont="1" applyFill="1" applyBorder="1" applyAlignment="1">
      <alignment horizontal="center"/>
    </xf>
    <xf numFmtId="0" fontId="1" fillId="20" borderId="16" xfId="41" applyFont="1" applyFill="1" applyBorder="1" applyAlignment="1">
      <alignment horizontal="left" wrapText="1"/>
    </xf>
    <xf numFmtId="0" fontId="1" fillId="20" borderId="16" xfId="41" applyFont="1" applyFill="1" applyBorder="1" applyAlignment="1">
      <alignment horizontal="left"/>
    </xf>
    <xf numFmtId="0" fontId="1" fillId="20" borderId="15" xfId="41" applyFont="1" applyFill="1" applyBorder="1"/>
    <xf numFmtId="0" fontId="1" fillId="19" borderId="15" xfId="0" applyFont="1" applyFill="1" applyBorder="1"/>
    <xf numFmtId="0" fontId="1" fillId="19" borderId="16" xfId="0" applyFont="1" applyFill="1" applyBorder="1"/>
    <xf numFmtId="0" fontId="1" fillId="19" borderId="17" xfId="0" applyFont="1" applyFill="1" applyBorder="1"/>
    <xf numFmtId="0" fontId="1" fillId="20" borderId="12" xfId="41" applyFont="1" applyFill="1" applyBorder="1"/>
    <xf numFmtId="0" fontId="1" fillId="20" borderId="12" xfId="41" applyFont="1" applyFill="1" applyBorder="1" applyAlignment="1">
      <alignment horizontal="left" wrapText="1"/>
    </xf>
    <xf numFmtId="0" fontId="1" fillId="20" borderId="12" xfId="41" applyFont="1" applyFill="1" applyBorder="1" applyAlignment="1">
      <alignment horizontal="left"/>
    </xf>
    <xf numFmtId="0" fontId="1" fillId="20" borderId="0" xfId="41" applyFont="1" applyFill="1" applyBorder="1" applyAlignment="1">
      <alignment horizontal="left"/>
    </xf>
    <xf numFmtId="0" fontId="1" fillId="20" borderId="11" xfId="41" applyFont="1" applyFill="1" applyBorder="1"/>
    <xf numFmtId="0" fontId="1" fillId="19" borderId="13" xfId="0" applyFont="1" applyFill="1" applyBorder="1" applyAlignment="1">
      <alignment wrapText="1"/>
    </xf>
    <xf numFmtId="0" fontId="1" fillId="20" borderId="11" xfId="0" applyFont="1" applyFill="1" applyBorder="1"/>
    <xf numFmtId="0" fontId="1" fillId="21" borderId="30" xfId="0" applyFont="1" applyFill="1" applyBorder="1"/>
    <xf numFmtId="0" fontId="1" fillId="18" borderId="15" xfId="41" applyFont="1" applyFill="1" applyBorder="1"/>
    <xf numFmtId="0" fontId="1" fillId="18" borderId="17" xfId="41" applyFont="1" applyFill="1" applyBorder="1"/>
    <xf numFmtId="0" fontId="1" fillId="18" borderId="16" xfId="0" applyFont="1" applyFill="1" applyBorder="1"/>
    <xf numFmtId="0" fontId="1" fillId="18" borderId="17" xfId="0" applyFont="1" applyFill="1" applyBorder="1"/>
    <xf numFmtId="0" fontId="1" fillId="19" borderId="12" xfId="0" applyFont="1" applyFill="1" applyBorder="1"/>
    <xf numFmtId="0" fontId="1" fillId="19" borderId="22" xfId="0" applyFont="1" applyFill="1" applyBorder="1"/>
    <xf numFmtId="0" fontId="1" fillId="21" borderId="0" xfId="41" applyFont="1" applyFill="1" applyAlignment="1">
      <alignment wrapText="1"/>
    </xf>
    <xf numFmtId="0" fontId="1" fillId="19" borderId="0" xfId="41" applyFont="1" applyFill="1" applyBorder="1" applyAlignment="1">
      <alignment horizontal="right" wrapText="1"/>
    </xf>
    <xf numFmtId="0" fontId="38" fillId="19" borderId="0" xfId="41" applyFont="1" applyFill="1" applyBorder="1"/>
    <xf numFmtId="0" fontId="1" fillId="20" borderId="17" xfId="41" applyFont="1" applyFill="1" applyBorder="1"/>
    <xf numFmtId="0" fontId="1" fillId="18" borderId="0" xfId="41" applyFont="1" applyFill="1" applyAlignment="1">
      <alignment horizontal="left" wrapText="1"/>
    </xf>
    <xf numFmtId="0" fontId="1" fillId="18" borderId="0" xfId="41" applyFont="1" applyFill="1" applyAlignment="1">
      <alignment horizontal="left"/>
    </xf>
    <xf numFmtId="0" fontId="1" fillId="18" borderId="0" xfId="41" applyFont="1" applyFill="1" applyBorder="1" applyAlignment="1">
      <alignment horizontal="center"/>
    </xf>
    <xf numFmtId="172" fontId="1" fillId="18" borderId="0" xfId="41" applyNumberFormat="1" applyFont="1" applyFill="1" applyBorder="1" applyAlignment="1">
      <alignment horizontal="center"/>
    </xf>
    <xf numFmtId="0" fontId="1" fillId="20" borderId="0" xfId="41" applyFont="1" applyFill="1" applyBorder="1" applyAlignment="1">
      <alignment wrapText="1"/>
    </xf>
    <xf numFmtId="2" fontId="1" fillId="20" borderId="0" xfId="0" applyNumberFormat="1" applyFont="1" applyFill="1" applyBorder="1" applyAlignment="1">
      <alignment horizontal="center"/>
    </xf>
    <xf numFmtId="0" fontId="34" fillId="18" borderId="0" xfId="0" applyFont="1" applyFill="1" applyBorder="1"/>
    <xf numFmtId="2" fontId="1" fillId="18" borderId="0" xfId="0" applyNumberFormat="1" applyFont="1" applyFill="1" applyBorder="1" applyAlignment="1">
      <alignment horizontal="center"/>
    </xf>
    <xf numFmtId="2" fontId="1" fillId="20" borderId="0" xfId="41" applyNumberFormat="1" applyFont="1" applyFill="1" applyBorder="1"/>
    <xf numFmtId="0" fontId="1" fillId="20" borderId="0" xfId="41" applyFont="1" applyFill="1" applyAlignment="1">
      <alignment horizontal="left" wrapText="1"/>
    </xf>
    <xf numFmtId="0" fontId="1" fillId="20" borderId="0" xfId="41" applyFont="1" applyFill="1" applyAlignment="1">
      <alignment horizontal="left"/>
    </xf>
    <xf numFmtId="164" fontId="1" fillId="0" borderId="0" xfId="28" applyFont="1" applyAlignment="1">
      <alignment wrapText="1"/>
    </xf>
    <xf numFmtId="0" fontId="1" fillId="18" borderId="25" xfId="0" applyFont="1" applyFill="1" applyBorder="1"/>
    <xf numFmtId="0" fontId="34" fillId="18" borderId="0" xfId="41" applyFont="1" applyFill="1" applyBorder="1" applyAlignment="1">
      <alignment vertical="center"/>
    </xf>
    <xf numFmtId="0" fontId="47" fillId="20" borderId="0" xfId="41" applyFont="1" applyFill="1" applyBorder="1" applyAlignment="1">
      <alignment vertical="center"/>
    </xf>
    <xf numFmtId="0" fontId="35" fillId="20" borderId="0" xfId="41" applyFont="1" applyFill="1" applyBorder="1" applyAlignment="1">
      <alignment vertical="center"/>
    </xf>
    <xf numFmtId="0" fontId="34" fillId="20" borderId="0" xfId="41" applyFont="1" applyFill="1" applyBorder="1" applyAlignment="1">
      <alignment vertical="center"/>
    </xf>
    <xf numFmtId="0" fontId="34" fillId="20" borderId="13" xfId="41" applyFont="1" applyFill="1" applyBorder="1" applyAlignment="1">
      <alignment vertical="center"/>
    </xf>
    <xf numFmtId="0" fontId="34" fillId="20" borderId="0" xfId="41" applyFont="1" applyFill="1" applyBorder="1"/>
    <xf numFmtId="0" fontId="34" fillId="20" borderId="0" xfId="41" applyFont="1" applyFill="1" applyBorder="1" applyAlignment="1">
      <alignment horizontal="left" wrapText="1"/>
    </xf>
    <xf numFmtId="0" fontId="34" fillId="20" borderId="0" xfId="41" applyFont="1" applyFill="1" applyBorder="1" applyAlignment="1">
      <alignment horizontal="left"/>
    </xf>
    <xf numFmtId="0" fontId="34" fillId="20" borderId="13" xfId="41" applyFont="1" applyFill="1" applyBorder="1"/>
    <xf numFmtId="0" fontId="34" fillId="18" borderId="0" xfId="41" applyFont="1" applyFill="1" applyBorder="1"/>
    <xf numFmtId="0" fontId="2" fillId="43" borderId="10" xfId="0" applyFont="1" applyFill="1" applyBorder="1"/>
    <xf numFmtId="0" fontId="2" fillId="43" borderId="10" xfId="0" applyFont="1" applyFill="1" applyBorder="1" applyAlignment="1"/>
    <xf numFmtId="0" fontId="2" fillId="43" borderId="12" xfId="0" applyFont="1" applyFill="1" applyBorder="1" applyAlignment="1">
      <alignment wrapText="1"/>
    </xf>
    <xf numFmtId="0" fontId="2" fillId="19" borderId="11" xfId="0" applyFont="1" applyFill="1" applyBorder="1" applyAlignment="1">
      <alignment wrapText="1"/>
    </xf>
    <xf numFmtId="1" fontId="1" fillId="18" borderId="0" xfId="41" applyNumberFormat="1" applyFont="1" applyFill="1" applyBorder="1"/>
    <xf numFmtId="172" fontId="1" fillId="18" borderId="0" xfId="41" applyNumberFormat="1" applyFont="1" applyFill="1" applyBorder="1"/>
    <xf numFmtId="165" fontId="1" fillId="18" borderId="0" xfId="41" applyNumberFormat="1" applyFont="1" applyFill="1" applyBorder="1"/>
    <xf numFmtId="165" fontId="1" fillId="21" borderId="25" xfId="41" applyNumberFormat="1" applyFont="1" applyFill="1" applyBorder="1"/>
    <xf numFmtId="167" fontId="1" fillId="18" borderId="0" xfId="41" applyNumberFormat="1" applyFont="1" applyFill="1" applyBorder="1"/>
    <xf numFmtId="2" fontId="1" fillId="18" borderId="0" xfId="41" applyNumberFormat="1" applyFont="1" applyFill="1" applyBorder="1"/>
    <xf numFmtId="0" fontId="2" fillId="19" borderId="10" xfId="0" applyFont="1" applyFill="1" applyBorder="1" applyAlignment="1"/>
    <xf numFmtId="0" fontId="2" fillId="19" borderId="12" xfId="0" applyFont="1" applyFill="1" applyBorder="1" applyAlignment="1">
      <alignment wrapText="1"/>
    </xf>
    <xf numFmtId="1" fontId="1" fillId="18" borderId="0" xfId="0" applyNumberFormat="1" applyFont="1" applyFill="1" applyBorder="1" applyAlignment="1"/>
    <xf numFmtId="0" fontId="1" fillId="21" borderId="0" xfId="41" applyFont="1" applyFill="1" applyBorder="1" applyAlignment="1"/>
    <xf numFmtId="0" fontId="1" fillId="18" borderId="0" xfId="41" applyFont="1" applyFill="1" applyBorder="1" applyAlignment="1">
      <alignment horizontal="center" wrapText="1"/>
    </xf>
    <xf numFmtId="165" fontId="1" fillId="18" borderId="0" xfId="0" applyNumberFormat="1" applyFont="1" applyFill="1" applyBorder="1" applyAlignment="1">
      <alignment horizontal="center"/>
    </xf>
    <xf numFmtId="0" fontId="2" fillId="20" borderId="0" xfId="0" applyFont="1" applyFill="1" applyBorder="1" applyAlignment="1">
      <alignment wrapText="1"/>
    </xf>
    <xf numFmtId="165" fontId="1" fillId="20" borderId="0" xfId="0" applyNumberFormat="1" applyFont="1" applyFill="1" applyBorder="1" applyAlignment="1">
      <alignment horizontal="center"/>
    </xf>
    <xf numFmtId="0" fontId="1" fillId="18" borderId="0" xfId="0" applyFont="1" applyFill="1" applyAlignment="1">
      <alignment horizontal="left"/>
    </xf>
    <xf numFmtId="0" fontId="1" fillId="18" borderId="0" xfId="0" applyFont="1" applyFill="1" applyAlignment="1">
      <alignment horizontal="left" wrapText="1"/>
    </xf>
    <xf numFmtId="0" fontId="1" fillId="18" borderId="0" xfId="0" applyFont="1" applyFill="1" applyBorder="1" applyAlignment="1">
      <alignment horizontal="left"/>
    </xf>
    <xf numFmtId="4" fontId="2" fillId="18" borderId="0" xfId="0" applyNumberFormat="1" applyFont="1" applyFill="1" applyBorder="1" applyAlignment="1">
      <alignment horizontal="left"/>
    </xf>
    <xf numFmtId="0" fontId="1" fillId="21" borderId="0" xfId="0" applyFont="1" applyFill="1" applyBorder="1" applyAlignment="1">
      <alignment horizontal="left"/>
    </xf>
    <xf numFmtId="3" fontId="1" fillId="18" borderId="0" xfId="0" applyNumberFormat="1" applyFont="1" applyFill="1" applyBorder="1" applyAlignment="1">
      <alignment horizontal="left" vertical="top"/>
    </xf>
    <xf numFmtId="0" fontId="1" fillId="0" borderId="0" xfId="0" applyFont="1" applyFill="1" applyBorder="1" applyAlignment="1">
      <alignment horizontal="left" vertical="center"/>
    </xf>
    <xf numFmtId="0" fontId="1" fillId="18" borderId="0" xfId="0" applyFont="1" applyFill="1" applyBorder="1" applyAlignment="1">
      <alignment horizontal="left" vertical="center"/>
    </xf>
    <xf numFmtId="0" fontId="1" fillId="18" borderId="0" xfId="0" applyFont="1" applyFill="1" applyAlignment="1">
      <alignment horizontal="left" vertical="center"/>
    </xf>
    <xf numFmtId="0" fontId="1" fillId="0" borderId="0" xfId="0" applyFont="1" applyFill="1" applyAlignment="1">
      <alignment horizontal="left" vertical="center"/>
    </xf>
    <xf numFmtId="3" fontId="1" fillId="21" borderId="0" xfId="0" applyNumberFormat="1" applyFont="1" applyFill="1" applyBorder="1" applyAlignment="1">
      <alignment horizontal="left"/>
    </xf>
    <xf numFmtId="0" fontId="1" fillId="0" borderId="0" xfId="0" applyFont="1" applyAlignment="1">
      <alignment horizontal="left" vertical="center"/>
    </xf>
    <xf numFmtId="0" fontId="1" fillId="44" borderId="0" xfId="0" applyFont="1" applyFill="1" applyAlignment="1">
      <alignment horizontal="left"/>
    </xf>
    <xf numFmtId="0" fontId="1" fillId="45" borderId="0" xfId="0" applyFont="1" applyFill="1" applyAlignment="1">
      <alignment horizontal="left"/>
    </xf>
    <xf numFmtId="0" fontId="1" fillId="0" borderId="0" xfId="0" applyFont="1" applyFill="1" applyBorder="1" applyAlignment="1">
      <alignment horizontal="left"/>
    </xf>
    <xf numFmtId="3" fontId="1" fillId="18" borderId="0" xfId="0" applyNumberFormat="1" applyFont="1" applyFill="1" applyBorder="1" applyAlignment="1">
      <alignment horizontal="left" vertical="top" wrapText="1"/>
    </xf>
    <xf numFmtId="172" fontId="1" fillId="18" borderId="0" xfId="0" applyNumberFormat="1" applyFont="1" applyFill="1" applyBorder="1" applyAlignment="1">
      <alignment horizontal="left"/>
    </xf>
    <xf numFmtId="0" fontId="1" fillId="18" borderId="0" xfId="0" applyFont="1" applyFill="1" applyBorder="1" applyAlignment="1">
      <alignment horizontal="left" vertical="center" wrapText="1"/>
    </xf>
    <xf numFmtId="3" fontId="1" fillId="18" borderId="0" xfId="0" applyNumberFormat="1" applyFont="1" applyFill="1" applyBorder="1" applyAlignment="1">
      <alignment horizontal="left" vertical="center"/>
    </xf>
    <xf numFmtId="3" fontId="1" fillId="18" borderId="0" xfId="0" applyNumberFormat="1" applyFont="1" applyFill="1" applyBorder="1" applyAlignment="1">
      <alignment horizontal="left" vertical="center" wrapText="1"/>
    </xf>
    <xf numFmtId="0" fontId="1" fillId="20" borderId="0" xfId="0" applyFont="1" applyFill="1" applyBorder="1" applyAlignment="1">
      <alignment horizontal="left"/>
    </xf>
    <xf numFmtId="0" fontId="1" fillId="0" borderId="0" xfId="0" applyFont="1" applyBorder="1" applyAlignment="1">
      <alignment horizontal="left"/>
    </xf>
    <xf numFmtId="0" fontId="1" fillId="29" borderId="0" xfId="0" applyFont="1" applyFill="1" applyBorder="1"/>
    <xf numFmtId="3" fontId="1" fillId="0" borderId="0" xfId="0" applyNumberFormat="1" applyFont="1" applyFill="1" applyBorder="1" applyAlignment="1">
      <alignment horizontal="left"/>
    </xf>
    <xf numFmtId="0" fontId="2" fillId="18" borderId="0" xfId="0" applyFont="1" applyFill="1" applyAlignment="1">
      <alignment horizontal="left"/>
    </xf>
    <xf numFmtId="0" fontId="2" fillId="45" borderId="12" xfId="0" applyFont="1" applyFill="1" applyBorder="1" applyAlignment="1">
      <alignment horizontal="center" wrapText="1"/>
    </xf>
    <xf numFmtId="0" fontId="2" fillId="45" borderId="12" xfId="0" applyFont="1" applyFill="1" applyBorder="1" applyAlignment="1">
      <alignment horizontal="left" wrapText="1"/>
    </xf>
    <xf numFmtId="0" fontId="1" fillId="18" borderId="10" xfId="0" applyFont="1" applyFill="1" applyBorder="1" applyAlignment="1">
      <alignment horizontal="left"/>
    </xf>
    <xf numFmtId="0" fontId="2" fillId="18" borderId="22" xfId="0" applyFont="1" applyFill="1" applyBorder="1" applyAlignment="1">
      <alignment horizontal="left" wrapText="1"/>
    </xf>
    <xf numFmtId="0" fontId="2" fillId="45" borderId="0" xfId="0" applyFont="1" applyFill="1" applyBorder="1" applyAlignment="1">
      <alignment horizontal="center" wrapText="1"/>
    </xf>
    <xf numFmtId="0" fontId="2" fillId="45" borderId="13" xfId="0" applyFont="1" applyFill="1" applyBorder="1" applyAlignment="1">
      <alignment horizontal="left" wrapText="1"/>
    </xf>
    <xf numFmtId="3" fontId="1" fillId="45" borderId="13" xfId="0" applyNumberFormat="1" applyFont="1" applyFill="1" applyBorder="1" applyAlignment="1" applyProtection="1">
      <alignment horizontal="left" vertical="center"/>
      <protection locked="0"/>
    </xf>
    <xf numFmtId="3" fontId="1" fillId="39" borderId="0" xfId="0" applyNumberFormat="1" applyFont="1" applyFill="1" applyBorder="1" applyAlignment="1">
      <alignment horizontal="center" vertical="top" wrapText="1"/>
    </xf>
    <xf numFmtId="3" fontId="1" fillId="39" borderId="0" xfId="0" applyNumberFormat="1" applyFont="1" applyFill="1" applyBorder="1" applyAlignment="1">
      <alignment horizontal="left" vertical="center"/>
    </xf>
    <xf numFmtId="3" fontId="1" fillId="39" borderId="13" xfId="0" applyNumberFormat="1" applyFont="1" applyFill="1" applyBorder="1" applyAlignment="1">
      <alignment horizontal="left" vertical="center"/>
    </xf>
    <xf numFmtId="3" fontId="1" fillId="38" borderId="0" xfId="0" applyNumberFormat="1" applyFont="1" applyFill="1" applyBorder="1" applyAlignment="1">
      <alignment horizontal="center"/>
    </xf>
    <xf numFmtId="3" fontId="1" fillId="38" borderId="0" xfId="0" applyNumberFormat="1" applyFont="1" applyFill="1" applyBorder="1" applyAlignment="1">
      <alignment horizontal="left"/>
    </xf>
    <xf numFmtId="3" fontId="1" fillId="38" borderId="13" xfId="0" applyNumberFormat="1" applyFont="1" applyFill="1" applyBorder="1" applyAlignment="1">
      <alignment horizontal="left"/>
    </xf>
    <xf numFmtId="3" fontId="1" fillId="45" borderId="13" xfId="0" applyNumberFormat="1" applyFont="1" applyFill="1" applyBorder="1" applyAlignment="1" applyProtection="1">
      <alignment horizontal="left" wrapText="1"/>
      <protection locked="0"/>
    </xf>
    <xf numFmtId="0" fontId="1" fillId="20" borderId="13" xfId="0" applyFont="1" applyFill="1" applyBorder="1" applyAlignment="1">
      <alignment horizontal="left"/>
    </xf>
    <xf numFmtId="171" fontId="1" fillId="44" borderId="0" xfId="0" applyNumberFormat="1" applyFont="1" applyFill="1" applyBorder="1" applyAlignment="1">
      <alignment horizontal="left"/>
    </xf>
    <xf numFmtId="0" fontId="1" fillId="20" borderId="16" xfId="0" applyFont="1" applyFill="1" applyBorder="1" applyAlignment="1">
      <alignment horizontal="left"/>
    </xf>
    <xf numFmtId="0" fontId="1" fillId="20" borderId="17" xfId="0" applyFont="1" applyFill="1" applyBorder="1" applyAlignment="1">
      <alignment horizontal="left"/>
    </xf>
    <xf numFmtId="0" fontId="1" fillId="18" borderId="15" xfId="0" applyFont="1" applyFill="1" applyBorder="1" applyAlignment="1">
      <alignment horizontal="left"/>
    </xf>
    <xf numFmtId="0" fontId="35" fillId="18" borderId="0" xfId="0" applyFont="1" applyFill="1" applyBorder="1" applyAlignment="1">
      <alignment horizontal="center"/>
    </xf>
    <xf numFmtId="0" fontId="35" fillId="18" borderId="0" xfId="0" applyFont="1" applyFill="1" applyBorder="1" applyAlignment="1">
      <alignment horizontal="left"/>
    </xf>
    <xf numFmtId="0" fontId="35" fillId="18" borderId="0" xfId="0" applyFont="1" applyFill="1" applyBorder="1" applyAlignment="1">
      <alignment horizontal="left" wrapText="1"/>
    </xf>
    <xf numFmtId="0" fontId="1" fillId="29" borderId="13" xfId="0" applyFont="1" applyFill="1" applyBorder="1"/>
    <xf numFmtId="0" fontId="1" fillId="28" borderId="0" xfId="0" applyFont="1" applyFill="1" applyBorder="1"/>
    <xf numFmtId="0" fontId="1" fillId="20" borderId="10" xfId="0" applyFont="1" applyFill="1" applyBorder="1"/>
    <xf numFmtId="0" fontId="1" fillId="20" borderId="12" xfId="0" applyFont="1" applyFill="1" applyBorder="1" applyAlignment="1">
      <alignment horizontal="left"/>
    </xf>
    <xf numFmtId="0" fontId="1" fillId="46" borderId="11" xfId="0" applyFont="1" applyFill="1" applyBorder="1"/>
    <xf numFmtId="0" fontId="2" fillId="46" borderId="0" xfId="0" applyFont="1" applyFill="1" applyBorder="1" applyAlignment="1">
      <alignment horizontal="center" wrapText="1"/>
    </xf>
    <xf numFmtId="0" fontId="1" fillId="46" borderId="13" xfId="0" applyFont="1" applyFill="1" applyBorder="1"/>
    <xf numFmtId="0" fontId="1" fillId="47" borderId="0" xfId="0" applyFont="1" applyFill="1" applyBorder="1"/>
    <xf numFmtId="0" fontId="1" fillId="46" borderId="11" xfId="0" applyFont="1" applyFill="1" applyBorder="1" applyAlignment="1">
      <alignment horizontal="right"/>
    </xf>
    <xf numFmtId="0" fontId="38" fillId="46" borderId="13" xfId="0" applyFont="1" applyFill="1" applyBorder="1"/>
    <xf numFmtId="172" fontId="1" fillId="46" borderId="0" xfId="0" applyNumberFormat="1" applyFont="1" applyFill="1" applyBorder="1"/>
    <xf numFmtId="0" fontId="1" fillId="46" borderId="15" xfId="0" applyFont="1" applyFill="1" applyBorder="1"/>
    <xf numFmtId="0" fontId="1" fillId="20" borderId="16" xfId="0" applyFont="1" applyFill="1" applyBorder="1"/>
    <xf numFmtId="172" fontId="1" fillId="46" borderId="16" xfId="0" applyNumberFormat="1" applyFont="1" applyFill="1" applyBorder="1"/>
    <xf numFmtId="0" fontId="1" fillId="46" borderId="17" xfId="0" applyFont="1" applyFill="1" applyBorder="1"/>
    <xf numFmtId="0" fontId="1" fillId="46" borderId="0" xfId="0" applyFont="1" applyFill="1" applyBorder="1"/>
    <xf numFmtId="0" fontId="1" fillId="46" borderId="0" xfId="0" applyFont="1" applyFill="1" applyBorder="1" applyAlignment="1">
      <alignment horizontal="right"/>
    </xf>
    <xf numFmtId="172" fontId="1" fillId="20" borderId="0" xfId="0" applyNumberFormat="1" applyFont="1" applyFill="1" applyBorder="1"/>
    <xf numFmtId="0" fontId="1" fillId="20" borderId="13" xfId="0" applyFont="1" applyFill="1" applyBorder="1"/>
    <xf numFmtId="0" fontId="1" fillId="38" borderId="12" xfId="0" applyFont="1" applyFill="1" applyBorder="1" applyAlignment="1">
      <alignment horizontal="right"/>
    </xf>
    <xf numFmtId="0" fontId="1" fillId="38" borderId="12" xfId="0" applyFont="1" applyFill="1" applyBorder="1"/>
    <xf numFmtId="172" fontId="1" fillId="38" borderId="12" xfId="0" applyNumberFormat="1" applyFont="1" applyFill="1" applyBorder="1"/>
    <xf numFmtId="0" fontId="38" fillId="46" borderId="22" xfId="0" applyFont="1" applyFill="1" applyBorder="1"/>
    <xf numFmtId="0" fontId="1" fillId="37" borderId="0" xfId="0" applyFont="1" applyFill="1" applyBorder="1"/>
    <xf numFmtId="0" fontId="1" fillId="38" borderId="0" xfId="0" applyFont="1" applyFill="1" applyBorder="1" applyAlignment="1">
      <alignment horizontal="right"/>
    </xf>
    <xf numFmtId="0" fontId="1" fillId="38" borderId="16" xfId="0" applyFont="1" applyFill="1" applyBorder="1"/>
    <xf numFmtId="2" fontId="1" fillId="38" borderId="16" xfId="0" applyNumberFormat="1" applyFont="1" applyFill="1" applyBorder="1"/>
    <xf numFmtId="0" fontId="1" fillId="38" borderId="17" xfId="0" applyFont="1" applyFill="1" applyBorder="1"/>
    <xf numFmtId="0" fontId="1" fillId="48" borderId="0" xfId="0" applyFont="1" applyFill="1" applyBorder="1"/>
    <xf numFmtId="0" fontId="2" fillId="18" borderId="0" xfId="0" applyFont="1" applyFill="1" applyBorder="1" applyAlignment="1">
      <alignment vertical="top"/>
    </xf>
    <xf numFmtId="1" fontId="1" fillId="45" borderId="10" xfId="0" applyNumberFormat="1" applyFont="1" applyFill="1" applyBorder="1" applyAlignment="1">
      <alignment horizontal="center"/>
    </xf>
    <xf numFmtId="1" fontId="1" fillId="44" borderId="0" xfId="0" applyNumberFormat="1" applyFont="1" applyFill="1" applyBorder="1" applyAlignment="1">
      <alignment horizontal="left"/>
    </xf>
    <xf numFmtId="1" fontId="1" fillId="45" borderId="11" xfId="0" applyNumberFormat="1" applyFont="1" applyFill="1" applyBorder="1" applyAlignment="1">
      <alignment horizontal="center"/>
    </xf>
    <xf numFmtId="1" fontId="2" fillId="44" borderId="0" xfId="0" applyNumberFormat="1" applyFont="1" applyFill="1" applyBorder="1" applyAlignment="1">
      <alignment horizontal="left"/>
    </xf>
    <xf numFmtId="1" fontId="2" fillId="18" borderId="0" xfId="0" applyNumberFormat="1" applyFont="1" applyFill="1" applyBorder="1" applyAlignment="1">
      <alignment horizontal="left"/>
    </xf>
    <xf numFmtId="0" fontId="1" fillId="18" borderId="0" xfId="0" applyFont="1" applyFill="1" applyBorder="1" applyAlignment="1">
      <alignment horizontal="left" wrapText="1"/>
    </xf>
    <xf numFmtId="0" fontId="1" fillId="44" borderId="0" xfId="0" applyFont="1" applyFill="1" applyBorder="1" applyAlignment="1">
      <alignment horizontal="left"/>
    </xf>
    <xf numFmtId="0" fontId="2" fillId="18" borderId="0" xfId="0" applyFont="1" applyFill="1" applyBorder="1" applyAlignment="1">
      <alignment horizontal="left" wrapText="1"/>
    </xf>
    <xf numFmtId="0" fontId="1" fillId="18" borderId="0" xfId="0" applyFont="1" applyFill="1" applyBorder="1" applyAlignment="1">
      <alignment horizontal="left" vertical="top" wrapText="1"/>
    </xf>
    <xf numFmtId="0" fontId="1" fillId="45" borderId="13" xfId="0" applyFont="1" applyFill="1" applyBorder="1" applyAlignment="1">
      <alignment horizontal="left"/>
    </xf>
    <xf numFmtId="3" fontId="2" fillId="18" borderId="0" xfId="0" applyNumberFormat="1" applyFont="1" applyFill="1" applyBorder="1" applyAlignment="1">
      <alignment horizontal="left" vertical="top"/>
    </xf>
    <xf numFmtId="0" fontId="2" fillId="18" borderId="0" xfId="0" applyFont="1" applyFill="1" applyBorder="1" applyAlignment="1">
      <alignment horizontal="left" vertical="top"/>
    </xf>
    <xf numFmtId="172" fontId="2" fillId="18" borderId="0" xfId="0" applyNumberFormat="1" applyFont="1" applyFill="1" applyBorder="1" applyAlignment="1">
      <alignment horizontal="left"/>
    </xf>
    <xf numFmtId="2" fontId="1" fillId="18" borderId="0" xfId="0" applyNumberFormat="1" applyFont="1" applyFill="1" applyBorder="1" applyAlignment="1">
      <alignment horizontal="left"/>
    </xf>
    <xf numFmtId="3" fontId="2" fillId="18" borderId="0" xfId="0" applyNumberFormat="1" applyFont="1" applyFill="1" applyBorder="1" applyAlignment="1">
      <alignment horizontal="left" vertical="top" wrapText="1"/>
    </xf>
    <xf numFmtId="0" fontId="2" fillId="38" borderId="10" xfId="0" applyFont="1" applyFill="1" applyBorder="1" applyAlignment="1">
      <alignment horizontal="left"/>
    </xf>
    <xf numFmtId="3" fontId="1" fillId="39" borderId="12" xfId="0" applyNumberFormat="1" applyFont="1" applyFill="1" applyBorder="1" applyAlignment="1">
      <alignment horizontal="left"/>
    </xf>
    <xf numFmtId="3" fontId="1" fillId="45" borderId="22" xfId="0" applyNumberFormat="1" applyFont="1" applyFill="1" applyBorder="1" applyAlignment="1">
      <alignment horizontal="left"/>
    </xf>
    <xf numFmtId="3" fontId="2" fillId="44" borderId="0" xfId="0" applyNumberFormat="1" applyFont="1" applyFill="1" applyBorder="1" applyAlignment="1">
      <alignment horizontal="left"/>
    </xf>
    <xf numFmtId="3" fontId="1" fillId="44" borderId="0" xfId="0" applyNumberFormat="1" applyFont="1" applyFill="1" applyBorder="1" applyAlignment="1">
      <alignment horizontal="left"/>
    </xf>
    <xf numFmtId="0" fontId="2" fillId="38" borderId="11" xfId="0" applyFont="1" applyFill="1" applyBorder="1" applyAlignment="1">
      <alignment horizontal="left"/>
    </xf>
    <xf numFmtId="0" fontId="2" fillId="39" borderId="0" xfId="0" applyFont="1" applyFill="1" applyBorder="1" applyAlignment="1">
      <alignment horizontal="left" wrapText="1"/>
    </xf>
    <xf numFmtId="0" fontId="2" fillId="45" borderId="0" xfId="0" applyFont="1" applyFill="1" applyBorder="1" applyAlignment="1">
      <alignment horizontal="left" wrapText="1"/>
    </xf>
    <xf numFmtId="3" fontId="1" fillId="39" borderId="0" xfId="0" applyNumberFormat="1" applyFont="1" applyFill="1" applyBorder="1" applyAlignment="1">
      <alignment horizontal="left"/>
    </xf>
    <xf numFmtId="3" fontId="1" fillId="45" borderId="13" xfId="0" applyNumberFormat="1" applyFont="1" applyFill="1" applyBorder="1" applyAlignment="1">
      <alignment horizontal="left"/>
    </xf>
    <xf numFmtId="0" fontId="2" fillId="39" borderId="11" xfId="0" applyFont="1" applyFill="1" applyBorder="1" applyAlignment="1">
      <alignment horizontal="left"/>
    </xf>
    <xf numFmtId="0" fontId="1" fillId="39" borderId="0" xfId="0" applyFont="1" applyFill="1" applyBorder="1" applyAlignment="1">
      <alignment horizontal="right" vertical="center" wrapText="1"/>
    </xf>
    <xf numFmtId="3" fontId="1" fillId="45" borderId="13" xfId="0" applyNumberFormat="1" applyFont="1" applyFill="1" applyBorder="1" applyAlignment="1">
      <alignment horizontal="left" vertical="center"/>
    </xf>
    <xf numFmtId="3" fontId="1" fillId="44" borderId="0" xfId="0" applyNumberFormat="1" applyFont="1" applyFill="1" applyBorder="1" applyAlignment="1">
      <alignment horizontal="left" vertical="center"/>
    </xf>
    <xf numFmtId="0" fontId="1" fillId="39" borderId="11" xfId="0" applyFont="1" applyFill="1" applyBorder="1" applyAlignment="1">
      <alignment horizontal="left" vertical="center"/>
    </xf>
    <xf numFmtId="0" fontId="1" fillId="20" borderId="11" xfId="0" applyFont="1" applyFill="1" applyBorder="1" applyAlignment="1">
      <alignment horizontal="left"/>
    </xf>
    <xf numFmtId="0" fontId="1" fillId="38" borderId="0" xfId="0" applyFont="1" applyFill="1" applyBorder="1" applyAlignment="1">
      <alignment horizontal="right" vertical="top" wrapText="1"/>
    </xf>
    <xf numFmtId="0" fontId="2" fillId="39" borderId="0" xfId="0" applyFont="1" applyFill="1" applyBorder="1" applyAlignment="1">
      <alignment horizontal="right" wrapText="1"/>
    </xf>
    <xf numFmtId="0" fontId="2" fillId="38" borderId="11" xfId="0" applyFont="1" applyFill="1" applyBorder="1" applyAlignment="1">
      <alignment horizontal="left" vertical="top" wrapText="1"/>
    </xf>
    <xf numFmtId="3" fontId="1" fillId="39" borderId="0" xfId="0" applyNumberFormat="1" applyFont="1" applyFill="1" applyBorder="1" applyAlignment="1">
      <alignment horizontal="left" vertical="top" wrapText="1"/>
    </xf>
    <xf numFmtId="3" fontId="1" fillId="39" borderId="0" xfId="0" applyNumberFormat="1" applyFont="1" applyFill="1" applyBorder="1" applyAlignment="1">
      <alignment horizontal="center"/>
    </xf>
    <xf numFmtId="3" fontId="1" fillId="39" borderId="13" xfId="0" applyNumberFormat="1" applyFont="1" applyFill="1" applyBorder="1" applyAlignment="1">
      <alignment horizontal="left" vertical="top"/>
    </xf>
    <xf numFmtId="3" fontId="1" fillId="26" borderId="0" xfId="0" applyNumberFormat="1" applyFont="1" applyFill="1" applyBorder="1" applyAlignment="1">
      <alignment horizontal="left" vertical="top"/>
    </xf>
    <xf numFmtId="0" fontId="1" fillId="20" borderId="0" xfId="0" applyFont="1" applyFill="1" applyBorder="1" applyAlignment="1">
      <alignment horizontal="right" wrapText="1"/>
    </xf>
    <xf numFmtId="0" fontId="1" fillId="39" borderId="0" xfId="0" applyFont="1" applyFill="1" applyBorder="1" applyAlignment="1">
      <alignment horizontal="right" wrapText="1"/>
    </xf>
    <xf numFmtId="3" fontId="1" fillId="45" borderId="0" xfId="0" applyNumberFormat="1" applyFont="1" applyFill="1" applyBorder="1" applyAlignment="1" applyProtection="1">
      <alignment horizontal="center" wrapText="1"/>
      <protection locked="0"/>
    </xf>
    <xf numFmtId="3" fontId="1" fillId="20" borderId="0" xfId="0" applyNumberFormat="1" applyFont="1" applyFill="1" applyBorder="1" applyAlignment="1" applyProtection="1">
      <alignment horizontal="left"/>
      <protection locked="0"/>
    </xf>
    <xf numFmtId="3" fontId="1" fillId="20" borderId="13" xfId="0" applyNumberFormat="1" applyFont="1" applyFill="1" applyBorder="1" applyAlignment="1">
      <alignment horizontal="left"/>
    </xf>
    <xf numFmtId="0" fontId="1" fillId="39" borderId="15" xfId="0" applyFont="1" applyFill="1" applyBorder="1" applyAlignment="1">
      <alignment horizontal="left"/>
    </xf>
    <xf numFmtId="3" fontId="1" fillId="39" borderId="16" xfId="0" applyNumberFormat="1" applyFont="1" applyFill="1" applyBorder="1" applyAlignment="1">
      <alignment horizontal="center"/>
    </xf>
    <xf numFmtId="3" fontId="1" fillId="39" borderId="16" xfId="0" applyNumberFormat="1" applyFont="1" applyFill="1" applyBorder="1" applyAlignment="1">
      <alignment horizontal="left"/>
    </xf>
    <xf numFmtId="3" fontId="1" fillId="20" borderId="17" xfId="0" applyNumberFormat="1" applyFont="1" applyFill="1" applyBorder="1" applyAlignment="1">
      <alignment horizontal="left"/>
    </xf>
    <xf numFmtId="0" fontId="1" fillId="20" borderId="12" xfId="0" applyFont="1" applyFill="1" applyBorder="1" applyAlignment="1">
      <alignment horizontal="right" wrapText="1"/>
    </xf>
    <xf numFmtId="0" fontId="1" fillId="20" borderId="22" xfId="0" applyFont="1" applyFill="1" applyBorder="1" applyAlignment="1">
      <alignment horizontal="left"/>
    </xf>
    <xf numFmtId="0" fontId="38" fillId="0" borderId="0" xfId="0" applyFont="1" applyBorder="1" applyAlignment="1">
      <alignment horizontal="left" wrapText="1"/>
    </xf>
    <xf numFmtId="0" fontId="1" fillId="20" borderId="17" xfId="0" applyFont="1" applyFill="1" applyBorder="1"/>
    <xf numFmtId="172" fontId="1" fillId="20" borderId="24" xfId="0" applyNumberFormat="1" applyFont="1" applyFill="1" applyBorder="1" applyAlignment="1">
      <alignment horizontal="center"/>
    </xf>
    <xf numFmtId="0" fontId="1" fillId="0" borderId="0" xfId="0" applyFont="1" applyFill="1" applyBorder="1" applyAlignment="1">
      <alignment wrapText="1"/>
    </xf>
    <xf numFmtId="172" fontId="1" fillId="20" borderId="10" xfId="0" applyNumberFormat="1" applyFont="1" applyFill="1" applyBorder="1" applyAlignment="1">
      <alignment horizontal="center"/>
    </xf>
    <xf numFmtId="172" fontId="1" fillId="20" borderId="18" xfId="0" applyNumberFormat="1" applyFont="1" applyFill="1" applyBorder="1" applyAlignment="1">
      <alignment horizontal="center"/>
    </xf>
    <xf numFmtId="1" fontId="1" fillId="18" borderId="0" xfId="0" applyNumberFormat="1" applyFont="1" applyFill="1" applyAlignment="1">
      <alignment horizontal="right"/>
    </xf>
    <xf numFmtId="172" fontId="1" fillId="20" borderId="11" xfId="0" applyNumberFormat="1" applyFont="1" applyFill="1" applyBorder="1" applyAlignment="1">
      <alignment horizontal="center"/>
    </xf>
    <xf numFmtId="0" fontId="1" fillId="20" borderId="11" xfId="0" applyFont="1" applyFill="1" applyBorder="1" applyAlignment="1">
      <alignment wrapText="1"/>
    </xf>
    <xf numFmtId="0" fontId="1" fillId="20" borderId="0" xfId="0" applyFont="1" applyFill="1" applyBorder="1" applyAlignment="1">
      <alignment wrapText="1"/>
    </xf>
    <xf numFmtId="1" fontId="1" fillId="0" borderId="0" xfId="0" applyNumberFormat="1" applyFont="1" applyFill="1" applyBorder="1" applyAlignment="1">
      <alignment wrapText="1"/>
    </xf>
    <xf numFmtId="172" fontId="1" fillId="20" borderId="23" xfId="0" applyNumberFormat="1" applyFont="1" applyFill="1" applyBorder="1" applyAlignment="1">
      <alignment horizontal="center"/>
    </xf>
    <xf numFmtId="1" fontId="1" fillId="19" borderId="0" xfId="0" applyNumberFormat="1" applyFont="1" applyFill="1" applyBorder="1" applyAlignment="1">
      <alignment wrapText="1"/>
    </xf>
    <xf numFmtId="0" fontId="1" fillId="20" borderId="15" xfId="0" applyFont="1" applyFill="1" applyBorder="1" applyAlignment="1">
      <alignment wrapText="1"/>
    </xf>
    <xf numFmtId="0" fontId="1" fillId="20" borderId="16" xfId="0" applyFont="1" applyFill="1" applyBorder="1" applyAlignment="1">
      <alignment wrapText="1"/>
    </xf>
    <xf numFmtId="172" fontId="1" fillId="20" borderId="10" xfId="0" applyNumberFormat="1" applyFont="1" applyFill="1" applyBorder="1" applyAlignment="1">
      <alignment horizontal="center" wrapText="1"/>
    </xf>
    <xf numFmtId="172" fontId="1" fillId="20" borderId="18" xfId="0" applyNumberFormat="1" applyFont="1" applyFill="1" applyBorder="1" applyAlignment="1">
      <alignment horizontal="center" wrapText="1"/>
    </xf>
    <xf numFmtId="172" fontId="1" fillId="20" borderId="11" xfId="0" applyNumberFormat="1" applyFont="1" applyFill="1" applyBorder="1" applyAlignment="1">
      <alignment horizontal="center" wrapText="1"/>
    </xf>
    <xf numFmtId="172" fontId="1" fillId="20" borderId="0" xfId="0" applyNumberFormat="1" applyFont="1" applyFill="1" applyBorder="1" applyAlignment="1">
      <alignment horizontal="center" wrapText="1"/>
    </xf>
    <xf numFmtId="172" fontId="1" fillId="20" borderId="13" xfId="0" applyNumberFormat="1" applyFont="1" applyFill="1" applyBorder="1" applyAlignment="1">
      <alignment horizontal="center" wrapText="1"/>
    </xf>
    <xf numFmtId="172" fontId="1" fillId="20" borderId="24" xfId="0" applyNumberFormat="1" applyFont="1" applyFill="1" applyBorder="1" applyAlignment="1">
      <alignment horizontal="center" wrapText="1"/>
    </xf>
    <xf numFmtId="172" fontId="1" fillId="20" borderId="15" xfId="0" applyNumberFormat="1" applyFont="1" applyFill="1" applyBorder="1" applyAlignment="1">
      <alignment horizontal="center" wrapText="1"/>
    </xf>
    <xf numFmtId="172" fontId="1" fillId="20" borderId="23" xfId="0" applyNumberFormat="1" applyFont="1" applyFill="1" applyBorder="1" applyAlignment="1">
      <alignment horizontal="center" wrapText="1"/>
    </xf>
    <xf numFmtId="1" fontId="1" fillId="20" borderId="0" xfId="0" applyNumberFormat="1" applyFont="1" applyFill="1" applyBorder="1" applyAlignment="1">
      <alignment wrapText="1"/>
    </xf>
    <xf numFmtId="0" fontId="1" fillId="20" borderId="0" xfId="0" applyFont="1" applyFill="1" applyAlignment="1">
      <alignment wrapText="1"/>
    </xf>
    <xf numFmtId="1" fontId="1" fillId="20" borderId="0" xfId="0" applyNumberFormat="1" applyFont="1" applyFill="1" applyBorder="1"/>
    <xf numFmtId="172" fontId="1" fillId="20" borderId="12" xfId="0" applyNumberFormat="1" applyFont="1" applyFill="1" applyBorder="1" applyAlignment="1">
      <alignment horizontal="center"/>
    </xf>
    <xf numFmtId="172" fontId="1" fillId="20" borderId="22" xfId="0" applyNumberFormat="1" applyFont="1" applyFill="1" applyBorder="1" applyAlignment="1">
      <alignment horizontal="center"/>
    </xf>
    <xf numFmtId="172" fontId="1" fillId="20" borderId="22" xfId="0" applyNumberFormat="1" applyFont="1" applyFill="1" applyBorder="1"/>
    <xf numFmtId="172" fontId="1" fillId="20" borderId="13" xfId="0" applyNumberFormat="1" applyFont="1" applyFill="1" applyBorder="1"/>
    <xf numFmtId="172" fontId="1" fillId="20" borderId="15" xfId="0" applyNumberFormat="1" applyFont="1" applyFill="1" applyBorder="1" applyAlignment="1">
      <alignment horizontal="center"/>
    </xf>
    <xf numFmtId="172" fontId="1" fillId="20" borderId="16" xfId="0" applyNumberFormat="1" applyFont="1" applyFill="1" applyBorder="1" applyAlignment="1">
      <alignment horizontal="center"/>
    </xf>
    <xf numFmtId="172" fontId="1" fillId="20" borderId="17" xfId="0" applyNumberFormat="1" applyFont="1" applyFill="1" applyBorder="1"/>
    <xf numFmtId="172" fontId="1" fillId="20" borderId="0" xfId="0" applyNumberFormat="1" applyFont="1" applyFill="1"/>
    <xf numFmtId="0" fontId="1" fillId="20" borderId="0" xfId="0" applyFont="1" applyFill="1" applyBorder="1" applyAlignment="1">
      <alignment horizontal="center" vertical="center" wrapText="1"/>
    </xf>
    <xf numFmtId="0" fontId="1" fillId="20" borderId="0" xfId="0" applyFont="1" applyFill="1" applyBorder="1" applyAlignment="1">
      <alignment horizontal="center" vertical="center"/>
    </xf>
    <xf numFmtId="0" fontId="1" fillId="20" borderId="15" xfId="0" applyFont="1" applyFill="1" applyBorder="1"/>
    <xf numFmtId="3" fontId="1" fillId="0" borderId="0" xfId="0" applyNumberFormat="1" applyFont="1" applyFill="1"/>
    <xf numFmtId="0" fontId="6" fillId="18" borderId="0" xfId="0" applyFont="1" applyFill="1" applyBorder="1" applyAlignment="1">
      <alignment horizontal="left"/>
    </xf>
    <xf numFmtId="0" fontId="2" fillId="0" borderId="0" xfId="0" applyFont="1" applyFill="1" applyBorder="1"/>
    <xf numFmtId="1" fontId="1" fillId="0" borderId="0" xfId="0" applyNumberFormat="1" applyFont="1" applyFill="1" applyBorder="1" applyAlignment="1">
      <alignment horizontal="center" shrinkToFit="1"/>
    </xf>
    <xf numFmtId="165" fontId="1" fillId="0" borderId="0" xfId="0" applyNumberFormat="1" applyFont="1" applyFill="1" applyBorder="1" applyAlignment="1">
      <alignment horizontal="center" shrinkToFit="1"/>
    </xf>
    <xf numFmtId="172" fontId="1" fillId="0" borderId="0" xfId="0" applyNumberFormat="1" applyFont="1" applyFill="1" applyBorder="1" applyAlignment="1">
      <alignment horizontal="center" shrinkToFit="1"/>
    </xf>
    <xf numFmtId="1" fontId="1" fillId="19" borderId="0" xfId="0" applyNumberFormat="1" applyFont="1" applyFill="1" applyBorder="1" applyAlignment="1">
      <alignment horizontal="center" wrapText="1"/>
    </xf>
    <xf numFmtId="1" fontId="1" fillId="19" borderId="0" xfId="0" applyNumberFormat="1" applyFont="1" applyFill="1" applyBorder="1" applyAlignment="1">
      <alignment horizontal="center" shrinkToFit="1"/>
    </xf>
    <xf numFmtId="0" fontId="1" fillId="18" borderId="0" xfId="0" applyNumberFormat="1" applyFont="1" applyFill="1" applyBorder="1" applyAlignment="1">
      <alignment wrapText="1"/>
    </xf>
    <xf numFmtId="1" fontId="1" fillId="19" borderId="10" xfId="0" applyNumberFormat="1" applyFont="1" applyFill="1" applyBorder="1" applyAlignment="1">
      <alignment horizontal="center" shrinkToFit="1"/>
    </xf>
    <xf numFmtId="165" fontId="1" fillId="19" borderId="12" xfId="0" applyNumberFormat="1" applyFont="1" applyFill="1" applyBorder="1" applyAlignment="1">
      <alignment horizontal="center" shrinkToFit="1"/>
    </xf>
    <xf numFmtId="172" fontId="1" fillId="19" borderId="18" xfId="0" applyNumberFormat="1" applyFont="1" applyFill="1" applyBorder="1" applyAlignment="1">
      <alignment horizontal="center" shrinkToFit="1"/>
    </xf>
    <xf numFmtId="4" fontId="1" fillId="18" borderId="0" xfId="0" applyNumberFormat="1" applyFont="1" applyFill="1" applyBorder="1" applyAlignment="1">
      <alignment wrapText="1"/>
    </xf>
    <xf numFmtId="165" fontId="1" fillId="19" borderId="0" xfId="0" applyNumberFormat="1" applyFont="1" applyFill="1" applyBorder="1" applyAlignment="1">
      <alignment horizontal="center" shrinkToFit="1"/>
    </xf>
    <xf numFmtId="172" fontId="1" fillId="19" borderId="24" xfId="0" applyNumberFormat="1" applyFont="1" applyFill="1" applyBorder="1" applyAlignment="1">
      <alignment horizontal="center" shrinkToFit="1"/>
    </xf>
    <xf numFmtId="4" fontId="1" fillId="18" borderId="0" xfId="0" applyNumberFormat="1" applyFont="1" applyFill="1"/>
    <xf numFmtId="4" fontId="1" fillId="20" borderId="0" xfId="0" applyNumberFormat="1" applyFont="1" applyFill="1"/>
    <xf numFmtId="1" fontId="1" fillId="18" borderId="0" xfId="0" applyNumberFormat="1" applyFont="1" applyFill="1" applyBorder="1" applyAlignment="1">
      <alignment horizontal="right"/>
    </xf>
    <xf numFmtId="1" fontId="6" fillId="18" borderId="0" xfId="0" applyNumberFormat="1" applyFont="1" applyFill="1" applyBorder="1" applyAlignment="1">
      <alignment horizontal="right"/>
    </xf>
    <xf numFmtId="3" fontId="1" fillId="18" borderId="0" xfId="0" applyNumberFormat="1" applyFont="1" applyFill="1" applyBorder="1" applyAlignment="1">
      <alignment wrapText="1"/>
    </xf>
    <xf numFmtId="1" fontId="1" fillId="18" borderId="0" xfId="0" applyNumberFormat="1" applyFont="1" applyFill="1" applyBorder="1" applyAlignment="1">
      <alignment horizontal="right" wrapText="1"/>
    </xf>
    <xf numFmtId="4" fontId="1" fillId="18" borderId="0" xfId="0" applyNumberFormat="1" applyFont="1" applyFill="1" applyBorder="1" applyAlignment="1">
      <alignment horizontal="right" wrapText="1"/>
    </xf>
    <xf numFmtId="0" fontId="1" fillId="20" borderId="0" xfId="0" applyNumberFormat="1" applyFont="1" applyFill="1" applyBorder="1" applyAlignment="1">
      <alignment wrapText="1"/>
    </xf>
    <xf numFmtId="172" fontId="1" fillId="19" borderId="29" xfId="0" applyNumberFormat="1" applyFont="1" applyFill="1" applyBorder="1" applyAlignment="1">
      <alignment horizontal="center" shrinkToFit="1"/>
    </xf>
    <xf numFmtId="4" fontId="1" fillId="18" borderId="0" xfId="0" applyNumberFormat="1" applyFont="1" applyFill="1" applyBorder="1"/>
    <xf numFmtId="166" fontId="1" fillId="18" borderId="0" xfId="0" applyNumberFormat="1" applyFont="1" applyFill="1" applyBorder="1"/>
    <xf numFmtId="2" fontId="1" fillId="20" borderId="10" xfId="0" applyNumberFormat="1" applyFont="1" applyFill="1" applyBorder="1"/>
    <xf numFmtId="2" fontId="1" fillId="20" borderId="11" xfId="0" applyNumberFormat="1" applyFont="1" applyFill="1" applyBorder="1"/>
    <xf numFmtId="0" fontId="6" fillId="18" borderId="0" xfId="0" applyFont="1" applyFill="1" applyBorder="1"/>
    <xf numFmtId="0" fontId="1" fillId="20" borderId="18" xfId="0" applyFont="1" applyFill="1" applyBorder="1"/>
    <xf numFmtId="0" fontId="1" fillId="20" borderId="24" xfId="0" applyFont="1" applyFill="1" applyBorder="1"/>
    <xf numFmtId="0" fontId="1" fillId="20" borderId="23" xfId="0" applyFont="1" applyFill="1" applyBorder="1"/>
    <xf numFmtId="0" fontId="2" fillId="20" borderId="0" xfId="0" applyFont="1" applyFill="1" applyBorder="1" applyAlignment="1">
      <alignment vertical="center" textRotation="90"/>
    </xf>
    <xf numFmtId="172" fontId="2" fillId="20" borderId="0" xfId="0" applyNumberFormat="1" applyFont="1" applyFill="1" applyBorder="1"/>
    <xf numFmtId="0" fontId="34" fillId="24" borderId="26" xfId="0" applyFont="1" applyFill="1" applyBorder="1"/>
    <xf numFmtId="0" fontId="35" fillId="24" borderId="28" xfId="0" applyFont="1" applyFill="1" applyBorder="1" applyAlignment="1">
      <alignment vertical="center"/>
    </xf>
    <xf numFmtId="0" fontId="34" fillId="24" borderId="28" xfId="0" applyFont="1" applyFill="1" applyBorder="1"/>
    <xf numFmtId="0" fontId="34" fillId="24" borderId="27" xfId="0" applyFont="1" applyFill="1" applyBorder="1"/>
    <xf numFmtId="0" fontId="1" fillId="20" borderId="0" xfId="0" applyFont="1" applyFill="1" applyBorder="1" applyAlignment="1">
      <alignment horizontal="right" vertical="center" wrapText="1"/>
    </xf>
    <xf numFmtId="0" fontId="1" fillId="20" borderId="0" xfId="0" applyFont="1" applyFill="1" applyBorder="1" applyAlignment="1">
      <alignment horizontal="right" vertical="center"/>
    </xf>
    <xf numFmtId="172" fontId="1" fillId="20" borderId="0" xfId="0" applyNumberFormat="1" applyFont="1" applyFill="1" applyBorder="1" applyAlignment="1">
      <alignment horizontal="center" vertical="center"/>
    </xf>
    <xf numFmtId="0" fontId="2" fillId="20" borderId="10" xfId="0" applyFont="1" applyFill="1" applyBorder="1" applyAlignment="1">
      <alignment vertical="center" textRotation="90"/>
    </xf>
    <xf numFmtId="172" fontId="1" fillId="20" borderId="12" xfId="0" applyNumberFormat="1" applyFont="1" applyFill="1" applyBorder="1"/>
    <xf numFmtId="0" fontId="2" fillId="20" borderId="11" xfId="0" applyFont="1" applyFill="1" applyBorder="1" applyAlignment="1">
      <alignment vertical="center" textRotation="90"/>
    </xf>
    <xf numFmtId="1" fontId="2" fillId="20" borderId="0" xfId="0" applyNumberFormat="1" applyFont="1" applyFill="1" applyBorder="1"/>
    <xf numFmtId="172" fontId="2" fillId="20" borderId="13" xfId="0" applyNumberFormat="1" applyFont="1" applyFill="1" applyBorder="1"/>
    <xf numFmtId="0" fontId="2" fillId="20" borderId="15" xfId="0" applyFont="1" applyFill="1" applyBorder="1" applyAlignment="1">
      <alignment vertical="center" textRotation="90"/>
    </xf>
    <xf numFmtId="0" fontId="2" fillId="20" borderId="16" xfId="0" applyFont="1" applyFill="1" applyBorder="1" applyAlignment="1">
      <alignment horizontal="right" wrapText="1"/>
    </xf>
    <xf numFmtId="172" fontId="2" fillId="20" borderId="16" xfId="0" applyNumberFormat="1" applyFont="1" applyFill="1" applyBorder="1"/>
    <xf numFmtId="172" fontId="2" fillId="20" borderId="17" xfId="0" applyNumberFormat="1" applyFont="1" applyFill="1" applyBorder="1"/>
    <xf numFmtId="0" fontId="2" fillId="20" borderId="12" xfId="0" applyFont="1" applyFill="1" applyBorder="1" applyAlignment="1">
      <alignment horizontal="right" wrapText="1"/>
    </xf>
    <xf numFmtId="1" fontId="2" fillId="20" borderId="12" xfId="0" applyNumberFormat="1" applyFont="1" applyFill="1" applyBorder="1"/>
    <xf numFmtId="1" fontId="2" fillId="20" borderId="22" xfId="0" applyNumberFormat="1" applyFont="1" applyFill="1" applyBorder="1"/>
    <xf numFmtId="1" fontId="2" fillId="20" borderId="16" xfId="0" applyNumberFormat="1" applyFont="1" applyFill="1" applyBorder="1"/>
    <xf numFmtId="1" fontId="2" fillId="20" borderId="17" xfId="0" applyNumberFormat="1" applyFont="1" applyFill="1" applyBorder="1"/>
    <xf numFmtId="0" fontId="1" fillId="22" borderId="0" xfId="0" applyFont="1" applyFill="1"/>
    <xf numFmtId="0" fontId="1" fillId="22" borderId="0" xfId="0" applyFont="1" applyFill="1" applyAlignment="1">
      <alignment horizontal="left"/>
    </xf>
    <xf numFmtId="0" fontId="1" fillId="22" borderId="40" xfId="0" applyFont="1" applyFill="1" applyBorder="1"/>
    <xf numFmtId="0" fontId="1" fillId="22" borderId="10" xfId="0" applyFont="1" applyFill="1" applyBorder="1" applyAlignment="1">
      <alignment horizontal="left"/>
    </xf>
    <xf numFmtId="2" fontId="1" fillId="19" borderId="22" xfId="0" applyNumberFormat="1" applyFont="1" applyFill="1" applyBorder="1" applyAlignment="1">
      <alignment horizontal="center"/>
    </xf>
    <xf numFmtId="0" fontId="1" fillId="22" borderId="38" xfId="0" applyFont="1" applyFill="1" applyBorder="1" applyAlignment="1">
      <alignment horizontal="left"/>
    </xf>
    <xf numFmtId="0" fontId="1" fillId="19" borderId="41" xfId="0" applyFont="1" applyFill="1" applyBorder="1" applyAlignment="1">
      <alignment horizontal="center"/>
    </xf>
    <xf numFmtId="0" fontId="1" fillId="22" borderId="11" xfId="0" applyFont="1" applyFill="1" applyBorder="1"/>
    <xf numFmtId="0" fontId="1" fillId="22" borderId="11" xfId="0" applyFont="1" applyFill="1" applyBorder="1" applyAlignment="1">
      <alignment horizontal="left"/>
    </xf>
    <xf numFmtId="2" fontId="1" fillId="19" borderId="13" xfId="0" applyNumberFormat="1" applyFont="1" applyFill="1" applyBorder="1" applyAlignment="1">
      <alignment horizontal="center"/>
    </xf>
    <xf numFmtId="0" fontId="1" fillId="22" borderId="0" xfId="0" applyFont="1" applyFill="1" applyBorder="1" applyAlignment="1" applyProtection="1">
      <alignment horizontal="left" vertical="center"/>
    </xf>
    <xf numFmtId="0" fontId="1" fillId="19" borderId="42" xfId="0" applyFont="1" applyFill="1" applyBorder="1" applyAlignment="1">
      <alignment horizontal="center"/>
    </xf>
    <xf numFmtId="0" fontId="1" fillId="22" borderId="15" xfId="0" applyFont="1" applyFill="1" applyBorder="1"/>
    <xf numFmtId="0" fontId="1" fillId="22" borderId="43" xfId="0" applyFont="1" applyFill="1" applyBorder="1" applyAlignment="1" applyProtection="1">
      <alignment horizontal="left" vertical="center" wrapText="1"/>
    </xf>
    <xf numFmtId="0" fontId="1" fillId="19" borderId="44" xfId="0" applyFont="1" applyFill="1" applyBorder="1" applyAlignment="1">
      <alignment horizontal="center"/>
    </xf>
    <xf numFmtId="0" fontId="1" fillId="22" borderId="10" xfId="0" applyFont="1" applyFill="1" applyBorder="1"/>
    <xf numFmtId="0" fontId="1" fillId="22" borderId="19" xfId="0" applyFont="1" applyFill="1" applyBorder="1" applyAlignment="1">
      <alignment horizontal="left"/>
    </xf>
    <xf numFmtId="2" fontId="1" fillId="19" borderId="18" xfId="0" applyNumberFormat="1" applyFont="1" applyFill="1" applyBorder="1" applyAlignment="1">
      <alignment horizontal="center"/>
    </xf>
    <xf numFmtId="0" fontId="1" fillId="19" borderId="21" xfId="0" applyFont="1" applyFill="1" applyBorder="1" applyAlignment="1">
      <alignment horizontal="center"/>
    </xf>
    <xf numFmtId="0" fontId="1" fillId="22" borderId="43" xfId="0" applyFont="1" applyFill="1" applyBorder="1" applyAlignment="1">
      <alignment horizontal="left"/>
    </xf>
    <xf numFmtId="2" fontId="1" fillId="19" borderId="23" xfId="0" applyNumberFormat="1" applyFont="1" applyFill="1" applyBorder="1" applyAlignment="1">
      <alignment horizontal="center"/>
    </xf>
    <xf numFmtId="0" fontId="1" fillId="49" borderId="19" xfId="0" applyFont="1" applyFill="1" applyBorder="1" applyAlignment="1">
      <alignment horizontal="left" wrapText="1"/>
    </xf>
    <xf numFmtId="0" fontId="1" fillId="49" borderId="21" xfId="0" applyFont="1" applyFill="1" applyBorder="1" applyAlignment="1">
      <alignment horizontal="left" wrapText="1"/>
    </xf>
    <xf numFmtId="3" fontId="1" fillId="49" borderId="10" xfId="0" applyNumberFormat="1" applyFont="1" applyFill="1" applyBorder="1" applyAlignment="1">
      <alignment horizontal="left"/>
    </xf>
    <xf numFmtId="0" fontId="4" fillId="50" borderId="0" xfId="36" applyNumberFormat="1" applyFont="1" applyFill="1" applyBorder="1" applyAlignment="1" applyProtection="1">
      <alignment horizontal="left"/>
    </xf>
    <xf numFmtId="3" fontId="1" fillId="51" borderId="0" xfId="0" applyNumberFormat="1" applyFont="1" applyFill="1" applyBorder="1" applyAlignment="1">
      <alignment horizontal="left" wrapText="1"/>
    </xf>
    <xf numFmtId="3" fontId="1" fillId="52" borderId="21" xfId="0" applyNumberFormat="1" applyFont="1" applyFill="1" applyBorder="1" applyAlignment="1">
      <alignment horizontal="center" wrapText="1"/>
    </xf>
    <xf numFmtId="0" fontId="1" fillId="49" borderId="45" xfId="0" applyFont="1" applyFill="1" applyBorder="1" applyAlignment="1">
      <alignment horizontal="left" wrapText="1"/>
    </xf>
    <xf numFmtId="0" fontId="1" fillId="49" borderId="42" xfId="0" applyFont="1" applyFill="1" applyBorder="1" applyAlignment="1">
      <alignment horizontal="left" wrapText="1"/>
    </xf>
    <xf numFmtId="3" fontId="1" fillId="49" borderId="11" xfId="0" applyNumberFormat="1" applyFont="1" applyFill="1" applyBorder="1" applyAlignment="1">
      <alignment horizontal="left"/>
    </xf>
    <xf numFmtId="3" fontId="1" fillId="52" borderId="42" xfId="0" applyNumberFormat="1" applyFont="1" applyFill="1" applyBorder="1" applyAlignment="1">
      <alignment horizontal="center" wrapText="1"/>
    </xf>
    <xf numFmtId="0" fontId="1" fillId="49" borderId="43" xfId="0" applyFont="1" applyFill="1" applyBorder="1" applyAlignment="1">
      <alignment horizontal="left" vertical="top" wrapText="1"/>
    </xf>
    <xf numFmtId="0" fontId="1" fillId="49" borderId="44" xfId="0" applyFont="1" applyFill="1" applyBorder="1" applyAlignment="1">
      <alignment horizontal="left" wrapText="1"/>
    </xf>
    <xf numFmtId="3" fontId="1" fillId="49" borderId="15" xfId="0" applyNumberFormat="1" applyFont="1" applyFill="1" applyBorder="1" applyAlignment="1">
      <alignment horizontal="left"/>
    </xf>
    <xf numFmtId="2" fontId="1" fillId="19" borderId="17" xfId="0" applyNumberFormat="1" applyFont="1" applyFill="1" applyBorder="1" applyAlignment="1">
      <alignment horizontal="center"/>
    </xf>
    <xf numFmtId="3" fontId="1" fillId="52" borderId="44" xfId="0" applyNumberFormat="1" applyFont="1" applyFill="1" applyBorder="1" applyAlignment="1">
      <alignment horizontal="center" wrapText="1"/>
    </xf>
    <xf numFmtId="1" fontId="1" fillId="22" borderId="0" xfId="0" applyNumberFormat="1" applyFont="1" applyFill="1" applyBorder="1" applyAlignment="1">
      <alignment horizontal="left" vertical="center"/>
    </xf>
    <xf numFmtId="1" fontId="1" fillId="19" borderId="21" xfId="0" applyNumberFormat="1" applyFont="1" applyFill="1" applyBorder="1" applyAlignment="1">
      <alignment horizontal="center" vertical="center"/>
    </xf>
    <xf numFmtId="1" fontId="1" fillId="19" borderId="44" xfId="0" applyNumberFormat="1" applyFont="1" applyFill="1" applyBorder="1" applyAlignment="1">
      <alignment horizontal="center" vertical="center"/>
    </xf>
    <xf numFmtId="0" fontId="1" fillId="22" borderId="12" xfId="0" applyFont="1" applyFill="1" applyBorder="1" applyAlignment="1">
      <alignment horizontal="left"/>
    </xf>
    <xf numFmtId="0" fontId="1" fillId="53" borderId="22" xfId="0" applyFont="1" applyFill="1" applyBorder="1" applyAlignment="1">
      <alignment horizontal="center"/>
    </xf>
    <xf numFmtId="0" fontId="1" fillId="22" borderId="0" xfId="0" applyFont="1" applyFill="1" applyBorder="1" applyAlignment="1">
      <alignment horizontal="left"/>
    </xf>
    <xf numFmtId="0" fontId="1" fillId="53" borderId="13" xfId="0" applyFont="1" applyFill="1" applyBorder="1" applyAlignment="1">
      <alignment horizontal="center"/>
    </xf>
    <xf numFmtId="0" fontId="1" fillId="22" borderId="16" xfId="0" applyFont="1" applyFill="1" applyBorder="1" applyAlignment="1">
      <alignment horizontal="left"/>
    </xf>
    <xf numFmtId="0" fontId="1" fillId="53" borderId="17" xfId="0" applyFont="1" applyFill="1" applyBorder="1" applyAlignment="1">
      <alignment horizontal="center"/>
    </xf>
    <xf numFmtId="0" fontId="1" fillId="19" borderId="13" xfId="0" applyFont="1" applyFill="1" applyBorder="1" applyAlignment="1">
      <alignment horizontal="center"/>
    </xf>
    <xf numFmtId="0" fontId="1" fillId="22" borderId="19" xfId="0" applyFont="1" applyFill="1" applyBorder="1"/>
    <xf numFmtId="0" fontId="1" fillId="19" borderId="22" xfId="0" applyFont="1" applyFill="1" applyBorder="1" applyAlignment="1">
      <alignment horizontal="center"/>
    </xf>
    <xf numFmtId="0" fontId="1" fillId="22" borderId="45" xfId="0" applyFont="1" applyFill="1" applyBorder="1" applyAlignment="1">
      <alignment horizontal="left"/>
    </xf>
    <xf numFmtId="0" fontId="1" fillId="19" borderId="17" xfId="0" applyFont="1" applyFill="1" applyBorder="1" applyAlignment="1">
      <alignment horizontal="center"/>
    </xf>
    <xf numFmtId="0" fontId="1" fillId="22" borderId="0" xfId="0" applyFont="1" applyFill="1" applyBorder="1" applyAlignment="1" applyProtection="1">
      <alignment horizontal="left" vertical="center" wrapText="1"/>
    </xf>
    <xf numFmtId="0" fontId="1" fillId="22" borderId="0" xfId="0" applyFont="1" applyFill="1" applyBorder="1"/>
    <xf numFmtId="0" fontId="1" fillId="22" borderId="0" xfId="0" applyFont="1" applyFill="1" applyBorder="1" applyAlignment="1" applyProtection="1">
      <alignment horizontal="center" vertical="center" wrapText="1"/>
    </xf>
    <xf numFmtId="0" fontId="1" fillId="22" borderId="0" xfId="0" applyFont="1" applyFill="1" applyBorder="1" applyAlignment="1">
      <alignment horizontal="left" wrapText="1"/>
    </xf>
    <xf numFmtId="0" fontId="1" fillId="22" borderId="0" xfId="0" applyFont="1" applyFill="1" applyBorder="1" applyAlignment="1">
      <alignment horizontal="center"/>
    </xf>
    <xf numFmtId="3" fontId="1" fillId="49" borderId="0" xfId="0" applyNumberFormat="1" applyFont="1" applyFill="1" applyBorder="1" applyAlignment="1">
      <alignment horizontal="left"/>
    </xf>
    <xf numFmtId="3" fontId="1" fillId="50" borderId="0" xfId="0" applyNumberFormat="1" applyFont="1" applyFill="1" applyBorder="1" applyAlignment="1">
      <alignment horizontal="left"/>
    </xf>
    <xf numFmtId="3" fontId="1" fillId="54" borderId="0" xfId="0" applyNumberFormat="1" applyFont="1" applyFill="1" applyBorder="1" applyAlignment="1">
      <alignment horizontal="left"/>
    </xf>
    <xf numFmtId="3" fontId="1" fillId="22" borderId="0" xfId="0" applyNumberFormat="1" applyFont="1" applyFill="1" applyBorder="1" applyAlignment="1">
      <alignment horizontal="left"/>
    </xf>
    <xf numFmtId="0" fontId="1" fillId="50" borderId="0" xfId="0" applyFont="1" applyFill="1" applyBorder="1" applyAlignment="1">
      <alignment horizontal="left"/>
    </xf>
    <xf numFmtId="169" fontId="1" fillId="22" borderId="0" xfId="0" applyNumberFormat="1" applyFont="1" applyFill="1" applyBorder="1"/>
    <xf numFmtId="2" fontId="1" fillId="22" borderId="0" xfId="0" applyNumberFormat="1" applyFont="1" applyFill="1" applyBorder="1" applyAlignment="1" applyProtection="1">
      <alignment horizontal="center" vertical="center"/>
    </xf>
    <xf numFmtId="0" fontId="2" fillId="22" borderId="0" xfId="0" applyFont="1" applyFill="1" applyBorder="1" applyAlignment="1" applyProtection="1">
      <alignment horizontal="center" vertical="center"/>
    </xf>
    <xf numFmtId="0" fontId="2" fillId="22" borderId="0" xfId="0" applyFont="1" applyFill="1" applyBorder="1" applyAlignment="1" applyProtection="1">
      <alignment horizontal="center" vertical="center" wrapText="1"/>
    </xf>
    <xf numFmtId="2" fontId="1" fillId="22" borderId="0" xfId="0" applyNumberFormat="1" applyFont="1" applyFill="1" applyBorder="1" applyAlignment="1">
      <alignment horizontal="center" vertical="center"/>
    </xf>
    <xf numFmtId="0" fontId="2" fillId="22" borderId="0" xfId="0" applyFont="1" applyFill="1" applyBorder="1" applyAlignment="1" applyProtection="1">
      <alignment horizontal="left" vertical="center"/>
    </xf>
    <xf numFmtId="0" fontId="4" fillId="22" borderId="0" xfId="36" applyFont="1" applyFill="1" applyBorder="1" applyAlignment="1">
      <alignment horizontal="left"/>
    </xf>
    <xf numFmtId="0" fontId="1" fillId="22" borderId="46" xfId="0" applyFont="1" applyFill="1" applyBorder="1" applyAlignment="1">
      <alignment horizontal="left" wrapText="1"/>
    </xf>
    <xf numFmtId="0" fontId="1" fillId="22" borderId="41" xfId="0" applyFont="1" applyFill="1" applyBorder="1" applyAlignment="1">
      <alignment horizontal="left" wrapText="1"/>
    </xf>
    <xf numFmtId="172" fontId="1" fillId="22" borderId="45" xfId="0" applyNumberFormat="1" applyFont="1" applyFill="1" applyBorder="1" applyAlignment="1">
      <alignment horizontal="left"/>
    </xf>
    <xf numFmtId="172" fontId="1" fillId="22" borderId="42" xfId="0" applyNumberFormat="1" applyFont="1" applyFill="1" applyBorder="1" applyAlignment="1">
      <alignment horizontal="left"/>
    </xf>
    <xf numFmtId="172" fontId="1" fillId="22" borderId="44" xfId="0" applyNumberFormat="1" applyFont="1" applyFill="1" applyBorder="1" applyAlignment="1">
      <alignment horizontal="left"/>
    </xf>
    <xf numFmtId="172" fontId="1" fillId="22" borderId="21" xfId="0" applyNumberFormat="1" applyFont="1" applyFill="1" applyBorder="1" applyAlignment="1">
      <alignment horizontal="left"/>
    </xf>
    <xf numFmtId="0" fontId="1" fillId="49" borderId="19" xfId="0" applyFont="1" applyFill="1" applyBorder="1" applyAlignment="1">
      <alignment horizontal="left" vertical="top" wrapText="1"/>
    </xf>
    <xf numFmtId="0" fontId="1" fillId="22" borderId="43" xfId="0" applyFont="1" applyFill="1" applyBorder="1" applyAlignment="1">
      <alignment horizontal="left" wrapText="1"/>
    </xf>
    <xf numFmtId="0" fontId="1" fillId="22" borderId="45" xfId="0" applyFont="1" applyFill="1" applyBorder="1" applyAlignment="1">
      <alignment horizontal="left" wrapText="1"/>
    </xf>
    <xf numFmtId="172" fontId="1" fillId="22" borderId="0" xfId="0" applyNumberFormat="1" applyFont="1" applyFill="1" applyBorder="1" applyAlignment="1">
      <alignment horizontal="center"/>
    </xf>
    <xf numFmtId="0" fontId="1" fillId="0" borderId="10" xfId="0" applyFont="1" applyBorder="1"/>
    <xf numFmtId="169" fontId="1" fillId="0" borderId="12" xfId="0" applyNumberFormat="1" applyFont="1" applyBorder="1"/>
    <xf numFmtId="0" fontId="1" fillId="0" borderId="12" xfId="0" applyFont="1" applyFill="1" applyBorder="1"/>
    <xf numFmtId="0" fontId="1" fillId="0" borderId="22" xfId="0" applyFont="1" applyBorder="1"/>
    <xf numFmtId="0" fontId="1" fillId="23" borderId="0" xfId="0" applyFont="1" applyFill="1"/>
    <xf numFmtId="169" fontId="1" fillId="0" borderId="0" xfId="0" applyNumberFormat="1" applyFont="1" applyBorder="1"/>
    <xf numFmtId="10" fontId="1" fillId="23" borderId="0" xfId="0" applyNumberFormat="1" applyFont="1" applyFill="1"/>
    <xf numFmtId="169" fontId="1" fillId="0" borderId="16" xfId="0" applyNumberFormat="1" applyFont="1" applyBorder="1"/>
    <xf numFmtId="0" fontId="1" fillId="0" borderId="16" xfId="0" applyFont="1" applyFill="1" applyBorder="1"/>
    <xf numFmtId="0" fontId="1" fillId="19" borderId="10" xfId="0" applyFont="1" applyFill="1" applyBorder="1"/>
    <xf numFmtId="0" fontId="1" fillId="19" borderId="23" xfId="0" applyFont="1" applyFill="1" applyBorder="1"/>
    <xf numFmtId="0" fontId="1" fillId="19" borderId="24" xfId="0" applyFont="1" applyFill="1" applyBorder="1"/>
    <xf numFmtId="0" fontId="1" fillId="19" borderId="0" xfId="0" applyFont="1" applyFill="1" applyBorder="1" applyAlignment="1">
      <alignment horizontal="left"/>
    </xf>
    <xf numFmtId="0" fontId="1" fillId="19" borderId="13" xfId="0" applyFont="1" applyFill="1" applyBorder="1" applyAlignment="1">
      <alignment horizontal="left"/>
    </xf>
    <xf numFmtId="0" fontId="1" fillId="19" borderId="0" xfId="0" applyFont="1" applyFill="1" applyBorder="1" applyAlignment="1">
      <alignment horizontal="center"/>
    </xf>
    <xf numFmtId="168" fontId="1" fillId="19" borderId="0" xfId="0" applyNumberFormat="1" applyFont="1" applyFill="1" applyBorder="1"/>
    <xf numFmtId="10" fontId="1" fillId="19" borderId="24" xfId="0" applyNumberFormat="1" applyFont="1" applyFill="1" applyBorder="1" applyAlignment="1">
      <alignment horizontal="center"/>
    </xf>
    <xf numFmtId="0" fontId="1" fillId="23" borderId="0" xfId="0" applyFont="1" applyFill="1" applyBorder="1"/>
    <xf numFmtId="0" fontId="1" fillId="55" borderId="11" xfId="0" applyFont="1" applyFill="1" applyBorder="1" applyAlignment="1"/>
    <xf numFmtId="0" fontId="1" fillId="55" borderId="0" xfId="0" applyFont="1" applyFill="1" applyBorder="1" applyAlignment="1"/>
    <xf numFmtId="0" fontId="1" fillId="55" borderId="13" xfId="0" applyFont="1" applyFill="1" applyBorder="1" applyAlignment="1"/>
    <xf numFmtId="0" fontId="1" fillId="56" borderId="0" xfId="0" applyFont="1" applyFill="1" applyBorder="1"/>
    <xf numFmtId="0" fontId="1" fillId="19" borderId="0" xfId="0" applyNumberFormat="1" applyFont="1" applyFill="1" applyBorder="1" applyAlignment="1">
      <alignment horizontal="center"/>
    </xf>
    <xf numFmtId="0" fontId="1" fillId="0" borderId="0" xfId="0" applyNumberFormat="1" applyFont="1"/>
    <xf numFmtId="0" fontId="1" fillId="19" borderId="0" xfId="0" applyNumberFormat="1" applyFont="1" applyFill="1"/>
    <xf numFmtId="0" fontId="1" fillId="19" borderId="11" xfId="0" applyFont="1" applyFill="1" applyBorder="1" applyAlignment="1"/>
    <xf numFmtId="0" fontId="1" fillId="19" borderId="0" xfId="0" applyFont="1" applyFill="1" applyBorder="1" applyAlignment="1"/>
    <xf numFmtId="0" fontId="1" fillId="19" borderId="13" xfId="0" applyFont="1" applyFill="1" applyBorder="1" applyAlignment="1"/>
    <xf numFmtId="0" fontId="1" fillId="43" borderId="0" xfId="0" applyNumberFormat="1" applyFont="1" applyFill="1" applyBorder="1" applyAlignment="1">
      <alignment horizontal="left"/>
    </xf>
    <xf numFmtId="0" fontId="1" fillId="23" borderId="0" xfId="0" applyNumberFormat="1" applyFont="1" applyFill="1" applyBorder="1" applyAlignment="1">
      <alignment horizontal="left"/>
    </xf>
    <xf numFmtId="0" fontId="1" fillId="19" borderId="24" xfId="0" applyFont="1" applyFill="1" applyBorder="1" applyAlignment="1">
      <alignment horizontal="center"/>
    </xf>
    <xf numFmtId="0" fontId="1" fillId="43" borderId="0" xfId="0" applyNumberFormat="1" applyFont="1" applyFill="1" applyBorder="1" applyAlignment="1">
      <alignment horizontal="center"/>
    </xf>
    <xf numFmtId="0" fontId="1" fillId="19" borderId="11" xfId="0" applyNumberFormat="1" applyFont="1" applyFill="1" applyBorder="1" applyAlignment="1">
      <alignment horizontal="center"/>
    </xf>
    <xf numFmtId="0" fontId="1" fillId="56" borderId="0" xfId="0" applyNumberFormat="1" applyFont="1" applyFill="1" applyBorder="1" applyAlignment="1">
      <alignment horizontal="center"/>
    </xf>
    <xf numFmtId="0" fontId="1" fillId="21" borderId="0" xfId="0" applyNumberFormat="1" applyFont="1" applyFill="1" applyBorder="1" applyAlignment="1">
      <alignment horizontal="center"/>
    </xf>
    <xf numFmtId="10" fontId="1" fillId="19" borderId="15" xfId="0" applyNumberFormat="1" applyFont="1" applyFill="1" applyBorder="1"/>
    <xf numFmtId="10" fontId="1" fillId="19" borderId="16" xfId="0" applyNumberFormat="1" applyFont="1" applyFill="1" applyBorder="1"/>
    <xf numFmtId="10" fontId="1" fillId="19" borderId="17" xfId="0" applyNumberFormat="1" applyFont="1" applyFill="1" applyBorder="1"/>
    <xf numFmtId="10" fontId="1" fillId="19" borderId="0" xfId="0" applyNumberFormat="1" applyFont="1" applyFill="1"/>
    <xf numFmtId="10" fontId="1" fillId="19" borderId="0" xfId="0" applyNumberFormat="1" applyFont="1" applyFill="1" applyBorder="1" applyAlignment="1">
      <alignment horizontal="left"/>
    </xf>
    <xf numFmtId="169" fontId="1" fillId="0" borderId="0" xfId="0" applyNumberFormat="1" applyFont="1"/>
    <xf numFmtId="169" fontId="1" fillId="0" borderId="0" xfId="0" applyNumberFormat="1" applyFont="1" applyFill="1" applyBorder="1"/>
    <xf numFmtId="169" fontId="1" fillId="19" borderId="12" xfId="0" applyNumberFormat="1" applyFont="1" applyFill="1" applyBorder="1"/>
    <xf numFmtId="0" fontId="1" fillId="0" borderId="0" xfId="0" applyFont="1" applyFill="1" applyBorder="1" applyAlignment="1"/>
    <xf numFmtId="167" fontId="5" fillId="0" borderId="0" xfId="30" applyNumberFormat="1" applyFont="1" applyFill="1" applyBorder="1" applyAlignment="1">
      <alignment horizontal="right"/>
    </xf>
    <xf numFmtId="167" fontId="1" fillId="0" borderId="0" xfId="0" applyNumberFormat="1" applyFont="1" applyFill="1" applyBorder="1" applyAlignment="1">
      <alignment horizontal="right"/>
    </xf>
    <xf numFmtId="0" fontId="1" fillId="0" borderId="0" xfId="0" applyFont="1" applyFill="1" applyBorder="1" applyAlignment="1">
      <alignment vertical="top"/>
    </xf>
    <xf numFmtId="169" fontId="1" fillId="19" borderId="0" xfId="0" applyNumberFormat="1" applyFont="1" applyFill="1" applyBorder="1"/>
    <xf numFmtId="169" fontId="1" fillId="19" borderId="16" xfId="0" applyNumberFormat="1" applyFont="1" applyFill="1" applyBorder="1"/>
    <xf numFmtId="0" fontId="1" fillId="57" borderId="0" xfId="0" applyFont="1" applyFill="1" applyBorder="1"/>
    <xf numFmtId="0" fontId="1" fillId="58" borderId="0" xfId="0" applyFont="1" applyFill="1" applyBorder="1"/>
    <xf numFmtId="0" fontId="1" fillId="59" borderId="0" xfId="0" applyFont="1" applyFill="1" applyBorder="1"/>
    <xf numFmtId="0" fontId="1" fillId="60" borderId="0" xfId="0" applyFont="1" applyFill="1" applyBorder="1"/>
    <xf numFmtId="0" fontId="1" fillId="61" borderId="0" xfId="0" applyFont="1" applyFill="1" applyBorder="1"/>
    <xf numFmtId="0" fontId="1" fillId="61" borderId="13" xfId="0" applyFont="1" applyFill="1" applyBorder="1"/>
    <xf numFmtId="0" fontId="1" fillId="18" borderId="13" xfId="0" applyFont="1" applyFill="1" applyBorder="1" applyAlignment="1">
      <alignment wrapText="1"/>
    </xf>
    <xf numFmtId="0" fontId="1" fillId="62" borderId="11" xfId="0" applyFont="1" applyFill="1" applyBorder="1"/>
    <xf numFmtId="0" fontId="1" fillId="62" borderId="0" xfId="0" applyFont="1" applyFill="1" applyBorder="1"/>
    <xf numFmtId="0" fontId="1" fillId="63" borderId="25" xfId="0" applyFont="1" applyFill="1" applyBorder="1"/>
    <xf numFmtId="0" fontId="1" fillId="64" borderId="25" xfId="0" applyFont="1" applyFill="1" applyBorder="1"/>
    <xf numFmtId="0" fontId="1" fillId="19" borderId="10" xfId="0" applyFont="1" applyFill="1" applyBorder="1" applyAlignment="1">
      <alignment horizontal="left"/>
    </xf>
    <xf numFmtId="3" fontId="1" fillId="65" borderId="12" xfId="0" applyNumberFormat="1" applyFont="1" applyFill="1" applyBorder="1" applyAlignment="1">
      <alignment horizontal="left"/>
    </xf>
    <xf numFmtId="3" fontId="1" fillId="55" borderId="12" xfId="0" applyNumberFormat="1" applyFont="1" applyFill="1" applyBorder="1" applyAlignment="1">
      <alignment horizontal="left"/>
    </xf>
    <xf numFmtId="0" fontId="1" fillId="19" borderId="12" xfId="0" applyFont="1" applyFill="1" applyBorder="1" applyAlignment="1">
      <alignment horizontal="left"/>
    </xf>
    <xf numFmtId="0" fontId="2" fillId="66" borderId="11" xfId="0" applyFont="1" applyFill="1" applyBorder="1" applyAlignment="1">
      <alignment horizontal="left"/>
    </xf>
    <xf numFmtId="0" fontId="1" fillId="53" borderId="0" xfId="0" applyFont="1" applyFill="1" applyBorder="1" applyAlignment="1">
      <alignment horizontal="left" vertical="top" wrapText="1"/>
    </xf>
    <xf numFmtId="3" fontId="1" fillId="52" borderId="0" xfId="0" applyNumberFormat="1" applyFont="1" applyFill="1" applyBorder="1" applyAlignment="1">
      <alignment horizontal="left" wrapText="1"/>
    </xf>
    <xf numFmtId="3" fontId="1" fillId="53" borderId="0" xfId="0" applyNumberFormat="1" applyFont="1" applyFill="1" applyBorder="1" applyAlignment="1">
      <alignment horizontal="left"/>
    </xf>
    <xf numFmtId="0" fontId="4" fillId="55" borderId="0" xfId="36" applyNumberFormat="1" applyFont="1" applyFill="1" applyBorder="1" applyAlignment="1" applyProtection="1">
      <alignment horizontal="left"/>
    </xf>
    <xf numFmtId="3" fontId="1" fillId="55" borderId="0" xfId="0" applyNumberFormat="1" applyFont="1" applyFill="1" applyBorder="1" applyAlignment="1">
      <alignment horizontal="left"/>
    </xf>
    <xf numFmtId="2" fontId="1" fillId="19" borderId="47" xfId="0" applyNumberFormat="1" applyFont="1" applyFill="1" applyBorder="1" applyAlignment="1">
      <alignment horizontal="right"/>
    </xf>
    <xf numFmtId="3" fontId="1" fillId="52" borderId="0" xfId="0" applyNumberFormat="1" applyFont="1" applyFill="1" applyBorder="1" applyAlignment="1">
      <alignment horizontal="left"/>
    </xf>
    <xf numFmtId="3" fontId="1" fillId="19" borderId="0" xfId="0" applyNumberFormat="1" applyFont="1" applyFill="1" applyBorder="1" applyAlignment="1">
      <alignment horizontal="left"/>
    </xf>
    <xf numFmtId="0" fontId="1" fillId="53" borderId="0" xfId="0" applyFont="1" applyFill="1" applyBorder="1" applyAlignment="1">
      <alignment horizontal="left" wrapText="1"/>
    </xf>
    <xf numFmtId="3" fontId="1" fillId="52" borderId="0" xfId="0" applyNumberFormat="1" applyFont="1" applyFill="1" applyBorder="1" applyAlignment="1">
      <alignment horizontal="left" vertical="center" wrapText="1"/>
    </xf>
    <xf numFmtId="2" fontId="1" fillId="55" borderId="47" xfId="0" applyNumberFormat="1" applyFont="1" applyFill="1" applyBorder="1" applyAlignment="1">
      <alignment horizontal="right"/>
    </xf>
    <xf numFmtId="2" fontId="1" fillId="55" borderId="0" xfId="0" applyNumberFormat="1" applyFont="1" applyFill="1" applyBorder="1" applyAlignment="1">
      <alignment horizontal="right"/>
    </xf>
    <xf numFmtId="0" fontId="1" fillId="55" borderId="0" xfId="0" applyFont="1" applyFill="1" applyBorder="1" applyAlignment="1">
      <alignment horizontal="left"/>
    </xf>
    <xf numFmtId="0" fontId="1" fillId="53" borderId="0" xfId="0" applyFont="1" applyFill="1" applyBorder="1" applyAlignment="1">
      <alignment horizontal="left"/>
    </xf>
    <xf numFmtId="0" fontId="1" fillId="66" borderId="0" xfId="0" applyFont="1" applyFill="1" applyBorder="1" applyAlignment="1">
      <alignment horizontal="left"/>
    </xf>
    <xf numFmtId="0" fontId="1" fillId="67" borderId="0" xfId="0" applyFont="1" applyFill="1" applyBorder="1" applyAlignment="1">
      <alignment horizontal="left"/>
    </xf>
    <xf numFmtId="2" fontId="1" fillId="19" borderId="48" xfId="0" applyNumberFormat="1" applyFont="1" applyFill="1" applyBorder="1" applyAlignment="1">
      <alignment horizontal="right"/>
    </xf>
    <xf numFmtId="2" fontId="1" fillId="55" borderId="25" xfId="0" applyNumberFormat="1" applyFont="1" applyFill="1" applyBorder="1" applyAlignment="1">
      <alignment horizontal="right"/>
    </xf>
    <xf numFmtId="2" fontId="1" fillId="19" borderId="25" xfId="0" applyNumberFormat="1" applyFont="1" applyFill="1" applyBorder="1" applyAlignment="1">
      <alignment horizontal="right"/>
    </xf>
    <xf numFmtId="2" fontId="1" fillId="55" borderId="49" xfId="0" applyNumberFormat="1" applyFont="1" applyFill="1" applyBorder="1" applyAlignment="1">
      <alignment horizontal="right"/>
    </xf>
    <xf numFmtId="2" fontId="1" fillId="19" borderId="50" xfId="0" applyNumberFormat="1" applyFont="1" applyFill="1" applyBorder="1" applyAlignment="1">
      <alignment horizontal="right"/>
    </xf>
    <xf numFmtId="0" fontId="1" fillId="19" borderId="25" xfId="0" applyFont="1" applyFill="1" applyBorder="1" applyAlignment="1">
      <alignment horizontal="left"/>
    </xf>
    <xf numFmtId="167" fontId="1" fillId="23" borderId="25" xfId="0" applyNumberFormat="1" applyFont="1" applyFill="1" applyBorder="1"/>
    <xf numFmtId="0" fontId="1" fillId="43" borderId="25" xfId="0" applyFont="1" applyFill="1" applyBorder="1"/>
    <xf numFmtId="167" fontId="1" fillId="19" borderId="25" xfId="0" applyNumberFormat="1" applyFont="1" applyFill="1" applyBorder="1"/>
    <xf numFmtId="0" fontId="1" fillId="20" borderId="15" xfId="0" applyFont="1" applyFill="1" applyBorder="1" applyAlignment="1">
      <alignment horizontal="left"/>
    </xf>
    <xf numFmtId="0" fontId="2" fillId="0" borderId="11" xfId="0" applyFont="1" applyBorder="1" applyAlignment="1">
      <alignment horizontal="left"/>
    </xf>
    <xf numFmtId="0" fontId="2" fillId="0" borderId="0" xfId="0" applyFont="1" applyBorder="1" applyAlignment="1">
      <alignment horizontal="left"/>
    </xf>
    <xf numFmtId="0" fontId="1" fillId="19" borderId="11" xfId="0" applyFont="1" applyFill="1" applyBorder="1" applyAlignment="1">
      <alignment wrapText="1"/>
    </xf>
    <xf numFmtId="0" fontId="43" fillId="25" borderId="32" xfId="0" applyFont="1" applyFill="1" applyBorder="1" applyAlignment="1">
      <alignment horizontal="left"/>
    </xf>
    <xf numFmtId="0" fontId="2" fillId="19" borderId="25" xfId="0" applyFont="1" applyFill="1" applyBorder="1" applyAlignment="1">
      <alignment horizontal="left" wrapText="1"/>
    </xf>
    <xf numFmtId="0" fontId="1" fillId="19" borderId="25" xfId="0" applyFont="1" applyFill="1" applyBorder="1" applyAlignment="1">
      <alignment horizontal="center"/>
    </xf>
    <xf numFmtId="0" fontId="1" fillId="19" borderId="12" xfId="41" applyFont="1" applyFill="1" applyBorder="1"/>
    <xf numFmtId="0" fontId="1" fillId="19" borderId="22" xfId="41" applyFont="1" applyFill="1" applyBorder="1"/>
    <xf numFmtId="0" fontId="1" fillId="0" borderId="0" xfId="41" applyFont="1" applyFill="1"/>
    <xf numFmtId="0" fontId="1" fillId="19" borderId="0" xfId="41" applyFont="1" applyFill="1" applyAlignment="1">
      <alignment wrapText="1"/>
    </xf>
    <xf numFmtId="10" fontId="1" fillId="0" borderId="0" xfId="41" applyNumberFormat="1" applyFont="1" applyFill="1"/>
    <xf numFmtId="0" fontId="1" fillId="19" borderId="15" xfId="41" applyFont="1" applyFill="1" applyBorder="1"/>
    <xf numFmtId="0" fontId="1" fillId="19" borderId="16" xfId="41" applyFont="1" applyFill="1" applyBorder="1"/>
    <xf numFmtId="0" fontId="1" fillId="19" borderId="17" xfId="41" applyFont="1" applyFill="1" applyBorder="1"/>
    <xf numFmtId="0" fontId="1" fillId="19" borderId="11" xfId="41" applyFont="1" applyFill="1" applyBorder="1" applyAlignment="1">
      <alignment wrapText="1"/>
    </xf>
    <xf numFmtId="0" fontId="1" fillId="19" borderId="13" xfId="41" applyFont="1" applyFill="1" applyBorder="1" applyAlignment="1">
      <alignment wrapText="1"/>
    </xf>
    <xf numFmtId="0" fontId="1" fillId="68" borderId="25" xfId="41" applyFont="1" applyFill="1" applyBorder="1"/>
    <xf numFmtId="0" fontId="1" fillId="0" borderId="0" xfId="41" applyFont="1" applyFill="1" applyBorder="1"/>
    <xf numFmtId="10" fontId="1" fillId="19" borderId="25" xfId="41" applyNumberFormat="1" applyFont="1" applyFill="1" applyBorder="1"/>
    <xf numFmtId="0" fontId="1" fillId="19" borderId="25" xfId="41" applyFont="1" applyFill="1" applyBorder="1" applyAlignment="1">
      <alignment wrapText="1"/>
    </xf>
    <xf numFmtId="0" fontId="1" fillId="18" borderId="25" xfId="0" applyFont="1" applyFill="1" applyBorder="1" applyAlignment="1">
      <alignment horizontal="left"/>
    </xf>
    <xf numFmtId="0" fontId="1" fillId="69" borderId="25" xfId="0" applyFont="1" applyFill="1" applyBorder="1" applyAlignment="1">
      <alignment horizontal="left" vertical="top"/>
    </xf>
    <xf numFmtId="0" fontId="1" fillId="69" borderId="25" xfId="0" applyFont="1" applyFill="1" applyBorder="1" applyAlignment="1">
      <alignment horizontal="left"/>
    </xf>
    <xf numFmtId="0" fontId="1" fillId="18" borderId="25" xfId="0" applyFont="1" applyFill="1" applyBorder="1" applyAlignment="1">
      <alignment horizontal="left" vertical="center"/>
    </xf>
    <xf numFmtId="0" fontId="43" fillId="69" borderId="25" xfId="0" applyFont="1" applyFill="1" applyBorder="1" applyAlignment="1">
      <alignment horizontal="left"/>
    </xf>
    <xf numFmtId="1" fontId="1" fillId="19" borderId="0" xfId="0" applyNumberFormat="1" applyFont="1" applyFill="1"/>
    <xf numFmtId="0" fontId="1" fillId="19" borderId="31" xfId="0" applyFont="1" applyFill="1" applyBorder="1"/>
    <xf numFmtId="10" fontId="1" fillId="0" borderId="12" xfId="0" applyNumberFormat="1" applyFont="1" applyBorder="1"/>
    <xf numFmtId="10" fontId="1" fillId="0" borderId="0" xfId="0" applyNumberFormat="1" applyFont="1" applyBorder="1"/>
    <xf numFmtId="0" fontId="1" fillId="18" borderId="0" xfId="0" applyFont="1" applyFill="1" applyBorder="1" applyAlignment="1"/>
    <xf numFmtId="0" fontId="35" fillId="20" borderId="12" xfId="0" applyFont="1" applyFill="1" applyBorder="1" applyAlignment="1">
      <alignment horizontal="center" vertical="center"/>
    </xf>
    <xf numFmtId="0" fontId="1" fillId="39" borderId="0" xfId="0" applyFont="1" applyFill="1" applyBorder="1" applyAlignment="1">
      <alignment horizontal="right" vertical="top"/>
    </xf>
    <xf numFmtId="0" fontId="1" fillId="20" borderId="16" xfId="0" applyFont="1" applyFill="1" applyBorder="1" applyAlignment="1">
      <alignment horizontal="right" wrapText="1"/>
    </xf>
    <xf numFmtId="0" fontId="34" fillId="18" borderId="0" xfId="42" applyFont="1" applyFill="1" applyBorder="1"/>
    <xf numFmtId="0" fontId="34" fillId="18" borderId="0" xfId="0" applyFont="1" applyFill="1" applyBorder="1" applyAlignment="1"/>
    <xf numFmtId="0" fontId="46" fillId="18" borderId="0" xfId="0" applyFont="1" applyFill="1" applyBorder="1" applyAlignment="1">
      <alignment horizontal="left"/>
    </xf>
    <xf numFmtId="0" fontId="51" fillId="70" borderId="26" xfId="0" applyFont="1" applyFill="1" applyBorder="1" applyAlignment="1">
      <alignment horizontal="center" vertical="center" wrapText="1"/>
    </xf>
    <xf numFmtId="0" fontId="35" fillId="18" borderId="16" xfId="0" applyFont="1" applyFill="1" applyBorder="1" applyAlignment="1">
      <alignment horizontal="left"/>
    </xf>
    <xf numFmtId="0" fontId="37" fillId="71" borderId="10" xfId="0" applyFont="1" applyFill="1" applyBorder="1"/>
    <xf numFmtId="0" fontId="37" fillId="72" borderId="12" xfId="0" applyFont="1" applyFill="1" applyBorder="1" applyAlignment="1">
      <alignment horizontal="right"/>
    </xf>
    <xf numFmtId="0" fontId="37" fillId="72" borderId="12" xfId="0" applyFont="1" applyFill="1" applyBorder="1"/>
    <xf numFmtId="2" fontId="37" fillId="72" borderId="12" xfId="0" applyNumberFormat="1" applyFont="1" applyFill="1" applyBorder="1"/>
    <xf numFmtId="0" fontId="37" fillId="71" borderId="11" xfId="0" applyFont="1" applyFill="1" applyBorder="1"/>
    <xf numFmtId="0" fontId="37" fillId="71" borderId="0" xfId="0" applyFont="1" applyFill="1" applyBorder="1"/>
    <xf numFmtId="0" fontId="37" fillId="71" borderId="0" xfId="0" applyFont="1" applyFill="1" applyBorder="1" applyAlignment="1">
      <alignment horizontal="left"/>
    </xf>
    <xf numFmtId="0" fontId="37" fillId="71" borderId="15" xfId="0" applyFont="1" applyFill="1" applyBorder="1"/>
    <xf numFmtId="0" fontId="37" fillId="72" borderId="16" xfId="0" applyFont="1" applyFill="1" applyBorder="1" applyAlignment="1">
      <alignment horizontal="right" wrapText="1"/>
    </xf>
    <xf numFmtId="0" fontId="37" fillId="71" borderId="16" xfId="0" applyFont="1" applyFill="1" applyBorder="1"/>
    <xf numFmtId="172" fontId="37" fillId="71" borderId="16" xfId="0" applyNumberFormat="1" applyFont="1" applyFill="1" applyBorder="1"/>
    <xf numFmtId="0" fontId="37" fillId="71" borderId="16" xfId="0" applyFont="1" applyFill="1" applyBorder="1" applyAlignment="1">
      <alignment horizontal="left"/>
    </xf>
    <xf numFmtId="0" fontId="37" fillId="73" borderId="15" xfId="0" applyFont="1" applyFill="1" applyBorder="1" applyAlignment="1">
      <alignment horizontal="right" wrapText="1"/>
    </xf>
    <xf numFmtId="0" fontId="1" fillId="45" borderId="12" xfId="0" applyFont="1" applyFill="1" applyBorder="1" applyAlignment="1">
      <alignment horizontal="left" wrapText="1"/>
    </xf>
    <xf numFmtId="0" fontId="37" fillId="73" borderId="10" xfId="0" applyFont="1" applyFill="1" applyBorder="1" applyAlignment="1">
      <alignment horizontal="right" wrapText="1"/>
    </xf>
    <xf numFmtId="0" fontId="1" fillId="18" borderId="0" xfId="0" applyFont="1" applyFill="1" applyAlignment="1">
      <alignment vertical="center"/>
    </xf>
    <xf numFmtId="0" fontId="1" fillId="20" borderId="11" xfId="0" applyFont="1" applyFill="1" applyBorder="1" applyAlignment="1">
      <alignment vertical="center"/>
    </xf>
    <xf numFmtId="0" fontId="1" fillId="20" borderId="0" xfId="0" applyFont="1" applyFill="1" applyBorder="1" applyAlignment="1">
      <alignment vertical="center"/>
    </xf>
    <xf numFmtId="0" fontId="1" fillId="18" borderId="0" xfId="0" applyFont="1" applyFill="1" applyBorder="1" applyAlignment="1">
      <alignment vertical="center"/>
    </xf>
    <xf numFmtId="169" fontId="1" fillId="18" borderId="0" xfId="0" applyNumberFormat="1" applyFont="1" applyFill="1" applyBorder="1" applyAlignment="1">
      <alignment horizontal="center" vertical="center"/>
    </xf>
    <xf numFmtId="0" fontId="1" fillId="0" borderId="0" xfId="0" applyFont="1" applyFill="1" applyBorder="1" applyAlignment="1">
      <alignment vertical="center"/>
    </xf>
    <xf numFmtId="0" fontId="1" fillId="0" borderId="0" xfId="0" applyFont="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wrapText="1"/>
    </xf>
    <xf numFmtId="0" fontId="2" fillId="0" borderId="0" xfId="0" applyFont="1" applyFill="1" applyBorder="1" applyAlignment="1">
      <alignment vertical="center" wrapText="1"/>
    </xf>
    <xf numFmtId="0" fontId="1" fillId="19" borderId="0" xfId="41" applyFont="1" applyFill="1" applyBorder="1" applyAlignment="1">
      <alignment vertical="center"/>
    </xf>
    <xf numFmtId="0" fontId="1" fillId="20" borderId="0" xfId="0" applyFont="1" applyFill="1" applyAlignment="1">
      <alignment vertical="center"/>
    </xf>
    <xf numFmtId="0" fontId="1" fillId="0" borderId="0" xfId="0" applyFont="1" applyFill="1" applyBorder="1" applyAlignment="1">
      <alignment vertical="center" wrapText="1"/>
    </xf>
    <xf numFmtId="1" fontId="1" fillId="0" borderId="0" xfId="0" applyNumberFormat="1" applyFont="1" applyFill="1" applyBorder="1" applyAlignment="1">
      <alignment horizontal="center" vertical="center" shrinkToFit="1"/>
    </xf>
    <xf numFmtId="165" fontId="1" fillId="0" borderId="0" xfId="0" applyNumberFormat="1" applyFont="1" applyFill="1" applyBorder="1" applyAlignment="1">
      <alignment horizontal="center" vertical="center" shrinkToFit="1"/>
    </xf>
    <xf numFmtId="172" fontId="1" fillId="0" borderId="0" xfId="0" applyNumberFormat="1" applyFont="1" applyFill="1" applyBorder="1" applyAlignment="1">
      <alignment horizontal="center" vertical="center" shrinkToFit="1"/>
    </xf>
    <xf numFmtId="0" fontId="51" fillId="71" borderId="29" xfId="0" applyFont="1" applyFill="1" applyBorder="1" applyAlignment="1">
      <alignment wrapText="1"/>
    </xf>
    <xf numFmtId="0" fontId="36" fillId="74" borderId="26" xfId="0" applyNumberFormat="1" applyFont="1" applyFill="1" applyBorder="1"/>
    <xf numFmtId="0" fontId="36" fillId="74" borderId="28" xfId="0" applyFont="1" applyFill="1" applyBorder="1"/>
    <xf numFmtId="0" fontId="33" fillId="74" borderId="28" xfId="0" applyFont="1" applyFill="1" applyBorder="1"/>
    <xf numFmtId="0" fontId="33" fillId="74" borderId="27" xfId="0" applyFont="1" applyFill="1" applyBorder="1"/>
    <xf numFmtId="0" fontId="53" fillId="74" borderId="18" xfId="0" applyFont="1" applyFill="1" applyBorder="1" applyAlignment="1">
      <alignment vertical="center"/>
    </xf>
    <xf numFmtId="0" fontId="53" fillId="74" borderId="24" xfId="0" applyFont="1" applyFill="1" applyBorder="1" applyAlignment="1">
      <alignment horizontal="left" vertical="center"/>
    </xf>
    <xf numFmtId="0" fontId="53" fillId="74" borderId="23" xfId="0" applyFont="1" applyFill="1" applyBorder="1" applyAlignment="1">
      <alignment horizontal="left" vertical="center"/>
    </xf>
    <xf numFmtId="0" fontId="53" fillId="75" borderId="18" xfId="0" applyFont="1" applyFill="1" applyBorder="1" applyAlignment="1">
      <alignment vertical="center" wrapText="1"/>
    </xf>
    <xf numFmtId="0" fontId="53" fillId="75" borderId="24" xfId="0" applyFont="1" applyFill="1" applyBorder="1" applyAlignment="1">
      <alignment vertical="center" wrapText="1"/>
    </xf>
    <xf numFmtId="0" fontId="53" fillId="76" borderId="23" xfId="42" applyFont="1" applyFill="1" applyBorder="1" applyAlignment="1">
      <alignment horizontal="left" vertical="center" wrapText="1"/>
    </xf>
    <xf numFmtId="0" fontId="53" fillId="74" borderId="24" xfId="42" applyFont="1" applyFill="1" applyBorder="1" applyAlignment="1">
      <alignment wrapText="1"/>
    </xf>
    <xf numFmtId="0" fontId="53" fillId="77" borderId="10" xfId="0" applyFont="1" applyFill="1" applyBorder="1" applyAlignment="1">
      <alignment horizontal="left"/>
    </xf>
    <xf numFmtId="0" fontId="54" fillId="78" borderId="11" xfId="0" applyFont="1" applyFill="1" applyBorder="1" applyAlignment="1">
      <alignment horizontal="left"/>
    </xf>
    <xf numFmtId="0" fontId="55" fillId="79" borderId="13" xfId="0" applyFont="1" applyFill="1" applyBorder="1" applyAlignment="1">
      <alignment vertical="top"/>
    </xf>
    <xf numFmtId="0" fontId="54" fillId="79" borderId="13" xfId="0" applyFont="1" applyFill="1" applyBorder="1" applyAlignment="1">
      <alignment horizontal="left" vertical="center"/>
    </xf>
    <xf numFmtId="0" fontId="54" fillId="74" borderId="13" xfId="0" applyFont="1" applyFill="1" applyBorder="1" applyAlignment="1">
      <alignment horizontal="left"/>
    </xf>
    <xf numFmtId="0" fontId="53" fillId="79" borderId="13" xfId="0" applyFont="1" applyFill="1" applyBorder="1" applyAlignment="1">
      <alignment vertical="top" wrapText="1"/>
    </xf>
    <xf numFmtId="0" fontId="53" fillId="79" borderId="13" xfId="0" applyFont="1" applyFill="1" applyBorder="1" applyAlignment="1">
      <alignment vertical="top"/>
    </xf>
    <xf numFmtId="0" fontId="53" fillId="77" borderId="11" xfId="0" applyFont="1" applyFill="1" applyBorder="1" applyAlignment="1">
      <alignment horizontal="left" vertical="top" wrapText="1"/>
    </xf>
    <xf numFmtId="0" fontId="54" fillId="79" borderId="13" xfId="0" applyFont="1" applyFill="1" applyBorder="1" applyAlignment="1">
      <alignment vertical="top"/>
    </xf>
    <xf numFmtId="0" fontId="53" fillId="79" borderId="13" xfId="0" applyFont="1" applyFill="1" applyBorder="1" applyAlignment="1"/>
    <xf numFmtId="0" fontId="54" fillId="78" borderId="15" xfId="0" applyFont="1" applyFill="1" applyBorder="1" applyAlignment="1">
      <alignment horizontal="left"/>
    </xf>
    <xf numFmtId="0" fontId="53" fillId="79" borderId="17" xfId="0" applyFont="1" applyFill="1" applyBorder="1" applyAlignment="1">
      <alignment vertical="top"/>
    </xf>
    <xf numFmtId="0" fontId="35" fillId="74" borderId="10" xfId="0" applyFont="1" applyFill="1" applyBorder="1" applyAlignment="1">
      <alignment horizontal="left"/>
    </xf>
    <xf numFmtId="0" fontId="35" fillId="74" borderId="16" xfId="0" applyFont="1" applyFill="1" applyBorder="1"/>
    <xf numFmtId="0" fontId="1" fillId="74" borderId="16" xfId="0" applyFont="1" applyFill="1" applyBorder="1" applyAlignment="1">
      <alignment horizontal="left"/>
    </xf>
    <xf numFmtId="0" fontId="54" fillId="74" borderId="11" xfId="0" applyFont="1" applyFill="1" applyBorder="1"/>
    <xf numFmtId="0" fontId="54" fillId="80" borderId="13" xfId="0" applyFont="1" applyFill="1" applyBorder="1" applyAlignment="1">
      <alignment horizontal="right"/>
    </xf>
    <xf numFmtId="0" fontId="54" fillId="74" borderId="15" xfId="0" applyFont="1" applyFill="1" applyBorder="1"/>
    <xf numFmtId="0" fontId="54" fillId="80" borderId="17" xfId="0" applyFont="1" applyFill="1" applyBorder="1" applyAlignment="1">
      <alignment horizontal="right"/>
    </xf>
    <xf numFmtId="0" fontId="54" fillId="74" borderId="10" xfId="0" applyFont="1" applyFill="1" applyBorder="1"/>
    <xf numFmtId="0" fontId="54" fillId="74" borderId="22" xfId="0" applyFont="1" applyFill="1" applyBorder="1" applyAlignment="1">
      <alignment horizontal="right"/>
    </xf>
    <xf numFmtId="0" fontId="54" fillId="81" borderId="13" xfId="0" applyFont="1" applyFill="1" applyBorder="1" applyAlignment="1">
      <alignment horizontal="right"/>
    </xf>
    <xf numFmtId="0" fontId="54" fillId="81" borderId="17" xfId="0" applyFont="1" applyFill="1" applyBorder="1" applyAlignment="1">
      <alignment horizontal="right"/>
    </xf>
    <xf numFmtId="0" fontId="54" fillId="74" borderId="13" xfId="0" applyFont="1" applyFill="1" applyBorder="1" applyAlignment="1">
      <alignment horizontal="right"/>
    </xf>
    <xf numFmtId="0" fontId="54" fillId="77" borderId="22" xfId="0" applyFont="1" applyFill="1" applyBorder="1" applyAlignment="1">
      <alignment horizontal="right"/>
    </xf>
    <xf numFmtId="0" fontId="54" fillId="77" borderId="13" xfId="0" applyFont="1" applyFill="1" applyBorder="1" applyAlignment="1">
      <alignment horizontal="right"/>
    </xf>
    <xf numFmtId="0" fontId="54" fillId="77" borderId="17" xfId="0" applyFont="1" applyFill="1" applyBorder="1" applyAlignment="1">
      <alignment horizontal="right"/>
    </xf>
    <xf numFmtId="0" fontId="54" fillId="74" borderId="10" xfId="0" applyFont="1" applyFill="1" applyBorder="1" applyAlignment="1">
      <alignment horizontal="left" wrapText="1"/>
    </xf>
    <xf numFmtId="0" fontId="54" fillId="78" borderId="10" xfId="0" applyFont="1" applyFill="1" applyBorder="1" applyAlignment="1">
      <alignment horizontal="left"/>
    </xf>
    <xf numFmtId="0" fontId="54" fillId="74" borderId="12" xfId="0" applyFont="1" applyFill="1" applyBorder="1" applyAlignment="1">
      <alignment horizontal="left"/>
    </xf>
    <xf numFmtId="0" fontId="54" fillId="74" borderId="0" xfId="0" applyFont="1" applyFill="1" applyBorder="1" applyAlignment="1">
      <alignment horizontal="left"/>
    </xf>
    <xf numFmtId="0" fontId="54" fillId="79" borderId="0" xfId="0" applyFont="1" applyFill="1" applyBorder="1" applyAlignment="1">
      <alignment horizontal="left" vertical="center"/>
    </xf>
    <xf numFmtId="0" fontId="53" fillId="79" borderId="0" xfId="0" applyFont="1" applyFill="1" applyBorder="1" applyAlignment="1">
      <alignment horizontal="left"/>
    </xf>
    <xf numFmtId="0" fontId="53" fillId="77" borderId="0" xfId="0" applyFont="1" applyFill="1" applyBorder="1" applyAlignment="1">
      <alignment horizontal="left" vertical="top" wrapText="1"/>
    </xf>
    <xf numFmtId="0" fontId="54" fillId="79" borderId="16" xfId="0" applyFont="1" applyFill="1" applyBorder="1" applyAlignment="1">
      <alignment horizontal="left"/>
    </xf>
    <xf numFmtId="0" fontId="54" fillId="78" borderId="22" xfId="0" applyFont="1" applyFill="1" applyBorder="1" applyAlignment="1">
      <alignment horizontal="left"/>
    </xf>
    <xf numFmtId="0" fontId="54" fillId="74" borderId="11" xfId="0" applyFont="1" applyFill="1" applyBorder="1" applyAlignment="1">
      <alignment horizontal="left"/>
    </xf>
    <xf numFmtId="0" fontId="54" fillId="74" borderId="15" xfId="0" applyFont="1" applyFill="1" applyBorder="1" applyAlignment="1">
      <alignment horizontal="left"/>
    </xf>
    <xf numFmtId="0" fontId="54" fillId="74" borderId="17" xfId="0" applyFont="1" applyFill="1" applyBorder="1" applyAlignment="1">
      <alignment horizontal="left"/>
    </xf>
    <xf numFmtId="0" fontId="54" fillId="74" borderId="10" xfId="0" applyFont="1" applyFill="1" applyBorder="1" applyAlignment="1">
      <alignment horizontal="center" vertical="center"/>
    </xf>
    <xf numFmtId="0" fontId="54" fillId="74" borderId="12" xfId="0" applyFont="1" applyFill="1" applyBorder="1" applyAlignment="1">
      <alignment horizontal="center" vertical="center"/>
    </xf>
    <xf numFmtId="0" fontId="53" fillId="74" borderId="11" xfId="0" applyFont="1" applyFill="1" applyBorder="1" applyAlignment="1">
      <alignment horizontal="center" vertical="center"/>
    </xf>
    <xf numFmtId="0" fontId="54" fillId="74" borderId="0" xfId="0" applyFont="1" applyFill="1" applyBorder="1" applyAlignment="1">
      <alignment horizontal="center" vertical="center"/>
    </xf>
    <xf numFmtId="0" fontId="54" fillId="74" borderId="11" xfId="0" applyFont="1" applyFill="1" applyBorder="1" applyAlignment="1">
      <alignment horizontal="center" vertical="center"/>
    </xf>
    <xf numFmtId="0" fontId="54" fillId="74" borderId="15" xfId="0" applyFont="1" applyFill="1" applyBorder="1" applyAlignment="1">
      <alignment horizontal="center" vertical="center"/>
    </xf>
    <xf numFmtId="0" fontId="54" fillId="74" borderId="16" xfId="0" applyFont="1" applyFill="1" applyBorder="1" applyAlignment="1">
      <alignment horizontal="center" vertical="center"/>
    </xf>
    <xf numFmtId="0" fontId="53" fillId="74" borderId="10" xfId="0" applyFont="1" applyFill="1" applyBorder="1" applyAlignment="1">
      <alignment horizontal="center" vertical="center"/>
    </xf>
    <xf numFmtId="0" fontId="53" fillId="74" borderId="12" xfId="0" applyFont="1" applyFill="1" applyBorder="1" applyAlignment="1">
      <alignment horizontal="center" vertical="center"/>
    </xf>
    <xf numFmtId="0" fontId="54" fillId="74" borderId="12" xfId="0" applyFont="1" applyFill="1" applyBorder="1"/>
    <xf numFmtId="0" fontId="54" fillId="74" borderId="0" xfId="0" applyFont="1" applyFill="1" applyBorder="1"/>
    <xf numFmtId="0" fontId="54" fillId="74" borderId="16" xfId="0" applyFont="1" applyFill="1" applyBorder="1"/>
    <xf numFmtId="0" fontId="34" fillId="74" borderId="11" xfId="0" applyFont="1" applyFill="1" applyBorder="1" applyAlignment="1">
      <alignment wrapText="1"/>
    </xf>
    <xf numFmtId="0" fontId="34" fillId="74" borderId="0" xfId="0" applyFont="1" applyFill="1" applyBorder="1" applyAlignment="1">
      <alignment wrapText="1"/>
    </xf>
    <xf numFmtId="0" fontId="34" fillId="74" borderId="13" xfId="0" applyFont="1" applyFill="1" applyBorder="1" applyAlignment="1">
      <alignment wrapText="1"/>
    </xf>
    <xf numFmtId="0" fontId="34" fillId="74" borderId="26" xfId="0" applyFont="1" applyFill="1" applyBorder="1"/>
    <xf numFmtId="0" fontId="34" fillId="74" borderId="28" xfId="0" applyFont="1" applyFill="1" applyBorder="1"/>
    <xf numFmtId="0" fontId="34" fillId="74" borderId="27" xfId="0" applyFont="1" applyFill="1" applyBorder="1"/>
    <xf numFmtId="0" fontId="1" fillId="74" borderId="26" xfId="0" applyFont="1" applyFill="1" applyBorder="1"/>
    <xf numFmtId="0" fontId="1" fillId="74" borderId="28" xfId="0" applyFont="1" applyFill="1" applyBorder="1"/>
    <xf numFmtId="0" fontId="1" fillId="74" borderId="27" xfId="0" applyFont="1" applyFill="1" applyBorder="1"/>
    <xf numFmtId="0" fontId="1" fillId="38" borderId="0" xfId="0" applyFont="1" applyFill="1" applyBorder="1" applyAlignment="1">
      <alignment horizontal="right" vertical="top"/>
    </xf>
    <xf numFmtId="0" fontId="2" fillId="39" borderId="0" xfId="0" applyFont="1" applyFill="1" applyBorder="1" applyAlignment="1">
      <alignment horizontal="right"/>
    </xf>
    <xf numFmtId="0" fontId="1" fillId="39" borderId="0" xfId="0" applyFont="1" applyFill="1" applyBorder="1" applyAlignment="1">
      <alignment horizontal="right"/>
    </xf>
    <xf numFmtId="0" fontId="1" fillId="39" borderId="16" xfId="0" applyFont="1" applyFill="1" applyBorder="1" applyAlignment="1">
      <alignment horizontal="right" vertical="top"/>
    </xf>
    <xf numFmtId="0" fontId="2" fillId="39" borderId="12" xfId="0" applyFont="1" applyFill="1" applyBorder="1" applyAlignment="1">
      <alignment horizontal="left"/>
    </xf>
    <xf numFmtId="0" fontId="2" fillId="39" borderId="0" xfId="0" applyFont="1" applyFill="1" applyBorder="1" applyAlignment="1">
      <alignment horizontal="left"/>
    </xf>
    <xf numFmtId="0" fontId="2" fillId="20" borderId="0" xfId="42" applyFont="1" applyFill="1" applyBorder="1" applyAlignment="1">
      <alignment horizontal="right"/>
    </xf>
    <xf numFmtId="0" fontId="2" fillId="42" borderId="0" xfId="42" applyFont="1" applyFill="1" applyBorder="1" applyAlignment="1">
      <alignment horizontal="right"/>
    </xf>
    <xf numFmtId="0" fontId="2" fillId="20" borderId="0" xfId="42" applyFont="1" applyFill="1" applyBorder="1" applyAlignment="1">
      <alignment horizontal="center" wrapText="1"/>
    </xf>
    <xf numFmtId="0" fontId="53" fillId="74" borderId="10" xfId="41" applyFont="1" applyFill="1" applyBorder="1" applyAlignment="1">
      <alignment vertical="center" wrapText="1"/>
    </xf>
    <xf numFmtId="0" fontId="53" fillId="74" borderId="22" xfId="41" applyFont="1" applyFill="1" applyBorder="1" applyAlignment="1">
      <alignment vertical="center" wrapText="1"/>
    </xf>
    <xf numFmtId="0" fontId="53" fillId="74" borderId="13" xfId="41" applyFont="1" applyFill="1" applyBorder="1" applyAlignment="1">
      <alignment vertical="center" wrapText="1"/>
    </xf>
    <xf numFmtId="0" fontId="53" fillId="74" borderId="15" xfId="41" applyFont="1" applyFill="1" applyBorder="1" applyAlignment="1">
      <alignment vertical="center" wrapText="1"/>
    </xf>
    <xf numFmtId="0" fontId="53" fillId="74" borderId="17" xfId="41" applyFont="1" applyFill="1" applyBorder="1" applyAlignment="1">
      <alignment vertical="center" wrapText="1"/>
    </xf>
    <xf numFmtId="0" fontId="53" fillId="74" borderId="13" xfId="0" applyFont="1" applyFill="1" applyBorder="1" applyAlignment="1">
      <alignment vertical="center" wrapText="1"/>
    </xf>
    <xf numFmtId="0" fontId="53" fillId="74" borderId="15" xfId="0" applyFont="1" applyFill="1" applyBorder="1" applyAlignment="1">
      <alignment vertical="center" wrapText="1"/>
    </xf>
    <xf numFmtId="0" fontId="53" fillId="74" borderId="17" xfId="0" applyFont="1" applyFill="1" applyBorder="1" applyAlignment="1">
      <alignment vertical="center" wrapText="1"/>
    </xf>
    <xf numFmtId="0" fontId="53" fillId="74" borderId="10" xfId="0" applyFont="1" applyFill="1" applyBorder="1" applyAlignment="1">
      <alignment vertical="center" wrapText="1"/>
    </xf>
    <xf numFmtId="0" fontId="53" fillId="74" borderId="22" xfId="0" applyFont="1" applyFill="1" applyBorder="1" applyAlignment="1">
      <alignment vertical="center" wrapText="1"/>
    </xf>
    <xf numFmtId="0" fontId="2" fillId="18" borderId="0" xfId="41" applyFont="1" applyFill="1" applyAlignment="1">
      <alignment wrapText="1"/>
    </xf>
    <xf numFmtId="0" fontId="1" fillId="18" borderId="10" xfId="0" applyFont="1" applyFill="1" applyBorder="1" applyAlignment="1">
      <alignment wrapText="1"/>
    </xf>
    <xf numFmtId="0" fontId="1" fillId="18" borderId="22" xfId="41" applyFont="1" applyFill="1" applyBorder="1" applyAlignment="1">
      <alignment wrapText="1"/>
    </xf>
    <xf numFmtId="0" fontId="2" fillId="18" borderId="10" xfId="0" applyFont="1" applyFill="1" applyBorder="1" applyAlignment="1">
      <alignment horizontal="left" wrapText="1"/>
    </xf>
    <xf numFmtId="0" fontId="1" fillId="20" borderId="12" xfId="0" applyFont="1" applyFill="1" applyBorder="1" applyAlignment="1">
      <alignment wrapText="1"/>
    </xf>
    <xf numFmtId="0" fontId="1" fillId="20" borderId="12" xfId="41" applyFont="1" applyFill="1" applyBorder="1" applyAlignment="1">
      <alignment wrapText="1"/>
    </xf>
    <xf numFmtId="0" fontId="2" fillId="20" borderId="11" xfId="0" applyFont="1" applyFill="1" applyBorder="1" applyAlignment="1">
      <alignment wrapText="1"/>
    </xf>
    <xf numFmtId="0" fontId="1" fillId="20" borderId="10" xfId="41" applyFont="1" applyFill="1" applyBorder="1" applyAlignment="1">
      <alignment wrapText="1"/>
    </xf>
    <xf numFmtId="0" fontId="1" fillId="20" borderId="11" xfId="41" applyFont="1" applyFill="1" applyBorder="1" applyAlignment="1">
      <alignment wrapText="1"/>
    </xf>
    <xf numFmtId="0" fontId="1" fillId="20" borderId="15" xfId="41" applyFont="1" applyFill="1" applyBorder="1" applyAlignment="1">
      <alignment wrapText="1"/>
    </xf>
    <xf numFmtId="172" fontId="1" fillId="18" borderId="0" xfId="0" applyNumberFormat="1" applyFont="1" applyFill="1" applyBorder="1" applyAlignment="1">
      <alignment horizontal="center" wrapText="1"/>
    </xf>
    <xf numFmtId="0" fontId="2" fillId="0" borderId="0" xfId="41" applyFont="1" applyBorder="1" applyAlignment="1">
      <alignment horizontal="right"/>
    </xf>
    <xf numFmtId="0" fontId="1" fillId="0" borderId="0" xfId="41" applyFont="1" applyBorder="1" applyAlignment="1">
      <alignment horizontal="right"/>
    </xf>
    <xf numFmtId="0" fontId="54" fillId="81" borderId="13" xfId="0" applyFont="1" applyFill="1" applyBorder="1" applyAlignment="1">
      <alignment horizontal="right" wrapText="1"/>
    </xf>
    <xf numFmtId="0" fontId="53" fillId="74" borderId="22" xfId="0" applyFont="1" applyFill="1" applyBorder="1" applyAlignment="1">
      <alignment horizontal="right" wrapText="1"/>
    </xf>
    <xf numFmtId="0" fontId="53" fillId="74" borderId="13" xfId="0" applyFont="1" applyFill="1" applyBorder="1" applyAlignment="1">
      <alignment horizontal="right" wrapText="1"/>
    </xf>
    <xf numFmtId="0" fontId="37" fillId="73" borderId="12" xfId="0" applyFont="1" applyFill="1" applyBorder="1" applyAlignment="1">
      <alignment horizontal="right" wrapText="1"/>
    </xf>
    <xf numFmtId="0" fontId="37" fillId="73" borderId="16" xfId="0" applyFont="1" applyFill="1" applyBorder="1" applyAlignment="1">
      <alignment horizontal="right" wrapText="1"/>
    </xf>
    <xf numFmtId="0" fontId="54" fillId="74" borderId="10" xfId="0" applyFont="1" applyFill="1" applyBorder="1" applyAlignment="1">
      <alignment horizontal="right"/>
    </xf>
    <xf numFmtId="0" fontId="54" fillId="74" borderId="11" xfId="0" applyFont="1" applyFill="1" applyBorder="1" applyAlignment="1">
      <alignment horizontal="right"/>
    </xf>
    <xf numFmtId="0" fontId="54" fillId="74" borderId="15" xfId="0" applyFont="1" applyFill="1" applyBorder="1" applyAlignment="1">
      <alignment horizontal="right"/>
    </xf>
    <xf numFmtId="0" fontId="49" fillId="20" borderId="0" xfId="0" applyFont="1" applyFill="1" applyBorder="1"/>
    <xf numFmtId="0" fontId="14" fillId="20" borderId="13" xfId="0" applyFont="1" applyFill="1" applyBorder="1" applyAlignment="1">
      <alignment wrapText="1"/>
    </xf>
    <xf numFmtId="0" fontId="14" fillId="20" borderId="16" xfId="0" applyFont="1" applyFill="1" applyBorder="1" applyAlignment="1">
      <alignment wrapText="1"/>
    </xf>
    <xf numFmtId="0" fontId="14" fillId="20" borderId="17" xfId="0" applyFont="1" applyFill="1" applyBorder="1" applyAlignment="1">
      <alignment wrapText="1"/>
    </xf>
    <xf numFmtId="0" fontId="1" fillId="82" borderId="37" xfId="0" applyFont="1" applyFill="1" applyBorder="1" applyAlignment="1">
      <alignment horizontal="center"/>
    </xf>
    <xf numFmtId="0" fontId="54" fillId="78" borderId="11" xfId="0" applyFont="1" applyFill="1" applyBorder="1" applyAlignment="1">
      <alignment horizontal="left" wrapText="1"/>
    </xf>
    <xf numFmtId="0" fontId="2" fillId="39" borderId="11" xfId="0" applyFont="1" applyFill="1" applyBorder="1" applyAlignment="1">
      <alignment horizontal="left" wrapText="1"/>
    </xf>
    <xf numFmtId="3" fontId="1" fillId="39" borderId="0" xfId="0" applyNumberFormat="1" applyFont="1" applyFill="1" applyBorder="1" applyAlignment="1">
      <alignment horizontal="left" wrapText="1"/>
    </xf>
    <xf numFmtId="171" fontId="1" fillId="45" borderId="13" xfId="0" applyNumberFormat="1" applyFont="1" applyFill="1" applyBorder="1" applyAlignment="1">
      <alignment horizontal="left" wrapText="1"/>
    </xf>
    <xf numFmtId="171" fontId="1" fillId="44" borderId="0" xfId="0" applyNumberFormat="1" applyFont="1" applyFill="1" applyBorder="1" applyAlignment="1">
      <alignment horizontal="left" wrapText="1"/>
    </xf>
    <xf numFmtId="0" fontId="1" fillId="0" borderId="0" xfId="0" applyFont="1" applyFill="1" applyAlignment="1">
      <alignment horizontal="left" wrapText="1"/>
    </xf>
    <xf numFmtId="0" fontId="2" fillId="39" borderId="11" xfId="0" applyFont="1" applyFill="1" applyBorder="1" applyAlignment="1">
      <alignment horizontal="left" vertical="top" wrapText="1"/>
    </xf>
    <xf numFmtId="3" fontId="1" fillId="45" borderId="13" xfId="0" applyNumberFormat="1" applyFont="1" applyFill="1" applyBorder="1" applyAlignment="1">
      <alignment horizontal="left" vertical="center" wrapText="1"/>
    </xf>
    <xf numFmtId="3" fontId="1" fillId="44" borderId="0" xfId="0" applyNumberFormat="1" applyFont="1" applyFill="1" applyBorder="1" applyAlignment="1">
      <alignment horizontal="left" vertical="center" wrapText="1"/>
    </xf>
    <xf numFmtId="0" fontId="1" fillId="0" borderId="0" xfId="0" applyFont="1" applyFill="1" applyBorder="1" applyAlignment="1">
      <alignment horizontal="left" vertical="center" wrapText="1"/>
    </xf>
    <xf numFmtId="0" fontId="2" fillId="20" borderId="51" xfId="41" applyFont="1" applyFill="1" applyBorder="1" applyAlignment="1">
      <alignment horizontal="right" vertical="center" wrapText="1"/>
    </xf>
    <xf numFmtId="0" fontId="56" fillId="71" borderId="0" xfId="0" applyFont="1" applyFill="1" applyBorder="1" applyAlignment="1">
      <alignment horizontal="right"/>
    </xf>
    <xf numFmtId="0" fontId="56" fillId="72" borderId="16" xfId="0" applyFont="1" applyFill="1" applyBorder="1" applyAlignment="1">
      <alignment horizontal="right" wrapText="1"/>
    </xf>
    <xf numFmtId="0" fontId="1" fillId="23" borderId="37" xfId="41" applyFont="1" applyFill="1" applyBorder="1" applyAlignment="1">
      <alignment horizontal="left"/>
    </xf>
    <xf numFmtId="0" fontId="42" fillId="20" borderId="10" xfId="0" applyFont="1" applyFill="1" applyBorder="1"/>
    <xf numFmtId="0" fontId="1" fillId="20" borderId="16" xfId="0" applyFont="1" applyFill="1" applyBorder="1" applyAlignment="1"/>
    <xf numFmtId="0" fontId="1" fillId="20" borderId="17" xfId="0" applyFont="1" applyFill="1" applyBorder="1" applyAlignment="1"/>
    <xf numFmtId="0" fontId="35" fillId="74" borderId="28" xfId="0" applyFont="1" applyFill="1" applyBorder="1" applyAlignment="1"/>
    <xf numFmtId="0" fontId="35" fillId="74" borderId="27" xfId="0" applyFont="1" applyFill="1" applyBorder="1" applyAlignment="1"/>
    <xf numFmtId="0" fontId="1" fillId="20" borderId="10" xfId="0" applyFont="1" applyFill="1" applyBorder="1" applyAlignment="1">
      <alignment wrapText="1"/>
    </xf>
    <xf numFmtId="0" fontId="35" fillId="20" borderId="12" xfId="0" applyFont="1" applyFill="1" applyBorder="1" applyAlignment="1">
      <alignment wrapText="1"/>
    </xf>
    <xf numFmtId="0" fontId="1" fillId="20" borderId="22" xfId="0" applyFont="1" applyFill="1" applyBorder="1" applyAlignment="1">
      <alignment wrapText="1"/>
    </xf>
    <xf numFmtId="0" fontId="1" fillId="20" borderId="13" xfId="0" applyFont="1" applyFill="1" applyBorder="1" applyAlignment="1">
      <alignment vertical="center"/>
    </xf>
    <xf numFmtId="0" fontId="1" fillId="20" borderId="13" xfId="0" applyFont="1" applyFill="1" applyBorder="1" applyAlignment="1">
      <alignment wrapText="1"/>
    </xf>
    <xf numFmtId="0" fontId="1" fillId="20" borderId="17" xfId="0" applyFont="1" applyFill="1" applyBorder="1" applyAlignment="1">
      <alignment wrapText="1"/>
    </xf>
    <xf numFmtId="0" fontId="35" fillId="20" borderId="10" xfId="0" applyFont="1" applyFill="1" applyBorder="1" applyAlignment="1">
      <alignment wrapText="1"/>
    </xf>
    <xf numFmtId="0" fontId="42" fillId="20" borderId="11" xfId="0" applyFont="1" applyFill="1" applyBorder="1"/>
    <xf numFmtId="0" fontId="37" fillId="74" borderId="28" xfId="0" applyFont="1" applyFill="1" applyBorder="1" applyAlignment="1">
      <alignment vertical="center"/>
    </xf>
    <xf numFmtId="0" fontId="1" fillId="20" borderId="26" xfId="0" applyFont="1" applyFill="1" applyBorder="1"/>
    <xf numFmtId="172" fontId="1" fillId="20" borderId="27" xfId="0" applyNumberFormat="1" applyFont="1" applyFill="1" applyBorder="1"/>
    <xf numFmtId="0" fontId="2" fillId="20" borderId="0" xfId="0" applyFont="1" applyFill="1" applyBorder="1" applyAlignment="1"/>
    <xf numFmtId="0" fontId="34" fillId="18" borderId="0" xfId="42" applyFont="1" applyFill="1" applyBorder="1" applyAlignment="1">
      <alignment vertical="center"/>
    </xf>
    <xf numFmtId="0" fontId="1" fillId="18" borderId="52" xfId="42" applyFont="1" applyFill="1" applyBorder="1"/>
    <xf numFmtId="0" fontId="1" fillId="20" borderId="52" xfId="42" applyFont="1" applyFill="1" applyBorder="1"/>
    <xf numFmtId="0" fontId="1" fillId="0" borderId="52" xfId="42" applyFont="1" applyBorder="1"/>
    <xf numFmtId="0" fontId="35" fillId="18" borderId="0" xfId="0" applyFont="1" applyFill="1" applyBorder="1" applyAlignment="1"/>
    <xf numFmtId="0" fontId="1" fillId="30" borderId="16" xfId="0" applyFont="1" applyFill="1" applyBorder="1" applyAlignment="1">
      <alignment horizontal="center"/>
    </xf>
    <xf numFmtId="0" fontId="1" fillId="30" borderId="17" xfId="0" applyFont="1" applyFill="1" applyBorder="1" applyAlignment="1">
      <alignment horizontal="center"/>
    </xf>
    <xf numFmtId="0" fontId="1" fillId="20" borderId="16" xfId="0" applyFont="1" applyFill="1" applyBorder="1" applyAlignment="1">
      <alignment horizontal="right"/>
    </xf>
    <xf numFmtId="0" fontId="58" fillId="20" borderId="12" xfId="0" applyFont="1" applyFill="1" applyBorder="1"/>
    <xf numFmtId="0" fontId="2" fillId="18" borderId="0" xfId="0" applyFont="1" applyFill="1" applyBorder="1" applyAlignment="1">
      <alignment horizontal="center" wrapText="1"/>
    </xf>
    <xf numFmtId="0" fontId="54" fillId="74" borderId="11" xfId="0" applyFont="1" applyFill="1" applyBorder="1" applyAlignment="1">
      <alignment horizontal="right" wrapText="1"/>
    </xf>
    <xf numFmtId="3" fontId="59" fillId="39" borderId="0" xfId="0" applyNumberFormat="1" applyFont="1" applyFill="1" applyBorder="1" applyAlignment="1">
      <alignment horizontal="left" wrapText="1"/>
    </xf>
    <xf numFmtId="0" fontId="37" fillId="71" borderId="26" xfId="42" applyFont="1" applyFill="1" applyBorder="1" applyAlignment="1">
      <alignment horizontal="right" vertical="center"/>
    </xf>
    <xf numFmtId="0" fontId="62" fillId="29" borderId="0" xfId="0" applyFont="1" applyFill="1" applyBorder="1" applyAlignment="1">
      <alignment horizontal="center"/>
    </xf>
    <xf numFmtId="0" fontId="2" fillId="31" borderId="0" xfId="0" applyFont="1" applyFill="1" applyBorder="1" applyAlignment="1"/>
    <xf numFmtId="165" fontId="1" fillId="33" borderId="0" xfId="0" applyNumberFormat="1" applyFont="1" applyFill="1" applyBorder="1"/>
    <xf numFmtId="0" fontId="2" fillId="31" borderId="0" xfId="0" applyFont="1" applyFill="1" applyBorder="1" applyAlignment="1">
      <alignment horizontal="right"/>
    </xf>
    <xf numFmtId="0" fontId="2" fillId="18" borderId="0" xfId="0" applyFont="1" applyFill="1" applyBorder="1" applyAlignment="1">
      <alignment horizontal="right"/>
    </xf>
    <xf numFmtId="9" fontId="1" fillId="33" borderId="0" xfId="0" applyNumberFormat="1" applyFont="1" applyFill="1" applyBorder="1" applyAlignment="1">
      <alignment horizontal="right"/>
    </xf>
    <xf numFmtId="0" fontId="2" fillId="36" borderId="0" xfId="0" applyFont="1" applyFill="1" applyBorder="1" applyAlignment="1">
      <alignment horizontal="right" wrapText="1"/>
    </xf>
    <xf numFmtId="0" fontId="38" fillId="18" borderId="0" xfId="0" applyFont="1" applyFill="1" applyBorder="1"/>
    <xf numFmtId="0" fontId="2" fillId="33" borderId="0" xfId="0" applyFont="1" applyFill="1" applyBorder="1"/>
    <xf numFmtId="0" fontId="1" fillId="18" borderId="0" xfId="0" applyFont="1" applyFill="1" applyBorder="1" applyAlignment="1">
      <alignment horizontal="right"/>
    </xf>
    <xf numFmtId="0" fontId="1" fillId="26" borderId="0" xfId="0" applyFont="1" applyFill="1" applyBorder="1" applyAlignment="1">
      <alignment horizontal="right" vertical="top" wrapText="1"/>
    </xf>
    <xf numFmtId="3" fontId="1" fillId="26" borderId="0" xfId="0" applyNumberFormat="1" applyFont="1" applyFill="1" applyBorder="1" applyAlignment="1" applyProtection="1">
      <alignment horizontal="left"/>
      <protection locked="0"/>
    </xf>
    <xf numFmtId="0" fontId="43" fillId="69" borderId="0" xfId="0" applyFont="1" applyFill="1" applyBorder="1" applyAlignment="1">
      <alignment horizontal="left"/>
    </xf>
    <xf numFmtId="0" fontId="1" fillId="18" borderId="0" xfId="0" quotePrefix="1" applyFont="1" applyFill="1"/>
    <xf numFmtId="0" fontId="2" fillId="29" borderId="0" xfId="0" applyFont="1" applyFill="1" applyBorder="1" applyAlignment="1"/>
    <xf numFmtId="0" fontId="2" fillId="36" borderId="0" xfId="0" applyFont="1" applyFill="1" applyBorder="1" applyAlignment="1">
      <alignment vertical="center" wrapText="1"/>
    </xf>
    <xf numFmtId="0" fontId="1" fillId="36" borderId="0" xfId="0" applyFont="1" applyFill="1" applyBorder="1" applyAlignment="1">
      <alignment horizontal="center" vertical="center" wrapText="1"/>
    </xf>
    <xf numFmtId="0" fontId="1" fillId="36" borderId="0" xfId="0" applyFont="1" applyFill="1" applyBorder="1" applyAlignment="1">
      <alignment horizontal="right" wrapText="1"/>
    </xf>
    <xf numFmtId="0" fontId="2" fillId="36" borderId="0" xfId="0" applyFont="1" applyFill="1" applyBorder="1" applyAlignment="1">
      <alignment horizontal="center" wrapText="1"/>
    </xf>
    <xf numFmtId="0" fontId="1" fillId="36" borderId="0" xfId="0" applyFont="1" applyFill="1" applyBorder="1" applyAlignment="1">
      <alignment horizontal="center" vertical="center"/>
    </xf>
    <xf numFmtId="0" fontId="1" fillId="18" borderId="0" xfId="0" applyFont="1" applyFill="1" applyBorder="1" applyAlignment="1">
      <alignment horizontal="center" wrapText="1"/>
    </xf>
    <xf numFmtId="0" fontId="1" fillId="36" borderId="0" xfId="0" applyFont="1" applyFill="1" applyBorder="1" applyAlignment="1">
      <alignment horizontal="right"/>
    </xf>
    <xf numFmtId="0" fontId="2" fillId="37" borderId="0" xfId="0" applyFont="1" applyFill="1" applyBorder="1" applyAlignment="1">
      <alignment horizontal="left" vertical="center"/>
    </xf>
    <xf numFmtId="0" fontId="1" fillId="37" borderId="0" xfId="0" applyFont="1" applyFill="1" applyBorder="1" applyAlignment="1">
      <alignment horizontal="center" vertical="center"/>
    </xf>
    <xf numFmtId="0" fontId="2" fillId="26" borderId="0" xfId="0" applyFont="1" applyFill="1" applyBorder="1" applyAlignment="1">
      <alignment horizontal="left" vertical="center" wrapText="1"/>
    </xf>
    <xf numFmtId="0" fontId="2" fillId="26" borderId="0" xfId="0" applyFont="1" applyFill="1" applyBorder="1" applyAlignment="1">
      <alignment vertical="center" wrapText="1"/>
    </xf>
    <xf numFmtId="1" fontId="1" fillId="18" borderId="0" xfId="0" applyNumberFormat="1" applyFont="1" applyFill="1" applyBorder="1" applyAlignment="1">
      <alignment horizontal="center" wrapText="1"/>
    </xf>
    <xf numFmtId="172" fontId="2" fillId="18" borderId="0" xfId="0" applyNumberFormat="1" applyFont="1" applyFill="1" applyBorder="1" applyAlignment="1">
      <alignment horizontal="center" wrapText="1"/>
    </xf>
    <xf numFmtId="0" fontId="35" fillId="18" borderId="0" xfId="0" applyFont="1" applyFill="1" applyBorder="1" applyAlignment="1">
      <alignment horizontal="center" vertical="center"/>
    </xf>
    <xf numFmtId="0" fontId="35" fillId="36" borderId="0" xfId="0" applyFont="1" applyFill="1" applyBorder="1" applyAlignment="1">
      <alignment horizontal="center" vertical="center" wrapText="1"/>
    </xf>
    <xf numFmtId="172" fontId="35" fillId="36" borderId="0" xfId="0" applyNumberFormat="1" applyFont="1" applyFill="1" applyBorder="1" applyAlignment="1">
      <alignment horizontal="center" vertical="center" wrapText="1"/>
    </xf>
    <xf numFmtId="2" fontId="34" fillId="18" borderId="0" xfId="0" applyNumberFormat="1" applyFont="1" applyFill="1" applyBorder="1" applyAlignment="1">
      <alignment horizontal="center"/>
    </xf>
    <xf numFmtId="0" fontId="2" fillId="20" borderId="12" xfId="0" applyFont="1" applyFill="1" applyBorder="1" applyAlignment="1">
      <alignment horizontal="center"/>
    </xf>
    <xf numFmtId="0" fontId="38" fillId="20" borderId="0" xfId="0" applyFont="1" applyFill="1" applyBorder="1"/>
    <xf numFmtId="0" fontId="53" fillId="80" borderId="11" xfId="0" applyFont="1" applyFill="1" applyBorder="1" applyAlignment="1">
      <alignment vertical="center"/>
    </xf>
    <xf numFmtId="0" fontId="53" fillId="80" borderId="15" xfId="0" applyFont="1" applyFill="1" applyBorder="1" applyAlignment="1">
      <alignment vertical="center"/>
    </xf>
    <xf numFmtId="0" fontId="53" fillId="74" borderId="10" xfId="0" applyFont="1" applyFill="1" applyBorder="1" applyAlignment="1">
      <alignment horizontal="left" vertical="center"/>
    </xf>
    <xf numFmtId="0" fontId="53" fillId="74" borderId="11" xfId="0" applyFont="1" applyFill="1" applyBorder="1" applyAlignment="1">
      <alignment horizontal="left" vertical="center"/>
    </xf>
    <xf numFmtId="0" fontId="53" fillId="80" borderId="10" xfId="0" applyFont="1" applyFill="1" applyBorder="1" applyAlignment="1">
      <alignment vertical="center"/>
    </xf>
    <xf numFmtId="0" fontId="2" fillId="30" borderId="11" xfId="0" applyFont="1" applyFill="1" applyBorder="1" applyAlignment="1">
      <alignment horizontal="right"/>
    </xf>
    <xf numFmtId="0" fontId="2" fillId="30" borderId="16" xfId="0" applyFont="1" applyFill="1" applyBorder="1" applyAlignment="1"/>
    <xf numFmtId="0" fontId="1" fillId="18" borderId="22" xfId="0" applyFont="1" applyFill="1" applyBorder="1" applyAlignment="1">
      <alignment horizontal="center" vertical="center"/>
    </xf>
    <xf numFmtId="0" fontId="1" fillId="31" borderId="13" xfId="0" applyFont="1" applyFill="1" applyBorder="1" applyAlignment="1">
      <alignment horizontal="center"/>
    </xf>
    <xf numFmtId="0" fontId="1" fillId="28" borderId="22" xfId="0" applyFont="1" applyFill="1" applyBorder="1" applyAlignment="1">
      <alignment horizontal="center"/>
    </xf>
    <xf numFmtId="0" fontId="1" fillId="31" borderId="17" xfId="0" applyFont="1" applyFill="1" applyBorder="1" applyAlignment="1">
      <alignment horizontal="center"/>
    </xf>
    <xf numFmtId="167" fontId="1" fillId="33" borderId="0" xfId="0" applyNumberFormat="1" applyFont="1" applyFill="1" applyBorder="1"/>
    <xf numFmtId="167" fontId="1" fillId="18" borderId="0" xfId="0" applyNumberFormat="1" applyFont="1" applyFill="1" applyBorder="1"/>
    <xf numFmtId="167" fontId="2" fillId="18" borderId="0" xfId="0" applyNumberFormat="1" applyFont="1" applyFill="1" applyBorder="1"/>
    <xf numFmtId="0" fontId="1" fillId="69" borderId="0" xfId="0" applyFont="1" applyFill="1" applyBorder="1" applyAlignment="1">
      <alignment horizontal="left"/>
    </xf>
    <xf numFmtId="2" fontId="1" fillId="28" borderId="0" xfId="0" applyNumberFormat="1" applyFont="1" applyFill="1" applyBorder="1" applyAlignment="1">
      <alignment horizontal="center"/>
    </xf>
    <xf numFmtId="0" fontId="43" fillId="18" borderId="0" xfId="0" applyFont="1" applyFill="1" applyBorder="1"/>
    <xf numFmtId="0" fontId="1" fillId="26" borderId="0" xfId="0" applyFont="1" applyFill="1" applyBorder="1" applyAlignment="1">
      <alignment horizontal="left"/>
    </xf>
    <xf numFmtId="2" fontId="1" fillId="18" borderId="0" xfId="0" applyNumberFormat="1" applyFont="1" applyFill="1" applyBorder="1"/>
    <xf numFmtId="0" fontId="53" fillId="74" borderId="10" xfId="0" applyFont="1" applyFill="1" applyBorder="1" applyAlignment="1">
      <alignment horizontal="right" wrapText="1"/>
    </xf>
    <xf numFmtId="0" fontId="48" fillId="71" borderId="28" xfId="42" applyFont="1" applyFill="1" applyBorder="1" applyAlignment="1">
      <alignment horizontal="right" vertical="center"/>
    </xf>
    <xf numFmtId="0" fontId="54" fillId="74" borderId="10" xfId="0" applyFont="1" applyFill="1" applyBorder="1" applyAlignment="1">
      <alignment horizontal="right" wrapText="1"/>
    </xf>
    <xf numFmtId="0" fontId="54" fillId="74" borderId="15" xfId="0" applyFont="1" applyFill="1" applyBorder="1" applyAlignment="1">
      <alignment horizontal="right" wrapText="1"/>
    </xf>
    <xf numFmtId="0" fontId="37" fillId="20" borderId="12" xfId="0" applyFont="1" applyFill="1" applyBorder="1" applyAlignment="1">
      <alignment horizontal="left" vertical="center"/>
    </xf>
    <xf numFmtId="0" fontId="34" fillId="20" borderId="10" xfId="0" applyFont="1" applyFill="1" applyBorder="1"/>
    <xf numFmtId="0" fontId="35" fillId="20" borderId="12" xfId="0" applyFont="1" applyFill="1" applyBorder="1" applyAlignment="1"/>
    <xf numFmtId="0" fontId="35" fillId="20" borderId="22" xfId="0" applyFont="1" applyFill="1" applyBorder="1" applyAlignment="1"/>
    <xf numFmtId="0" fontId="2" fillId="20" borderId="0" xfId="0" applyFont="1" applyFill="1" applyBorder="1" applyAlignment="1">
      <alignment horizontal="right" vertical="center" wrapText="1"/>
    </xf>
    <xf numFmtId="172" fontId="1" fillId="20" borderId="24" xfId="0" applyNumberFormat="1" applyFont="1" applyFill="1" applyBorder="1"/>
    <xf numFmtId="172" fontId="2" fillId="20" borderId="23" xfId="0" applyNumberFormat="1" applyFont="1" applyFill="1" applyBorder="1"/>
    <xf numFmtId="0" fontId="60" fillId="20" borderId="11" xfId="0" applyFont="1" applyFill="1" applyBorder="1"/>
    <xf numFmtId="0" fontId="60" fillId="20" borderId="0" xfId="0" applyFont="1" applyFill="1" applyBorder="1"/>
    <xf numFmtId="0" fontId="60" fillId="20" borderId="13" xfId="0" applyFont="1" applyFill="1" applyBorder="1"/>
    <xf numFmtId="0" fontId="60" fillId="20" borderId="15" xfId="0" applyFont="1" applyFill="1" applyBorder="1"/>
    <xf numFmtId="0" fontId="60" fillId="20" borderId="16" xfId="0" applyFont="1" applyFill="1" applyBorder="1"/>
    <xf numFmtId="0" fontId="60" fillId="20" borderId="17" xfId="0" applyFont="1" applyFill="1" applyBorder="1"/>
    <xf numFmtId="0" fontId="60" fillId="20" borderId="11" xfId="0" applyFont="1" applyFill="1" applyBorder="1" applyAlignment="1">
      <alignment vertical="center"/>
    </xf>
    <xf numFmtId="0" fontId="60" fillId="20" borderId="0" xfId="0" applyFont="1" applyFill="1" applyBorder="1" applyAlignment="1">
      <alignment vertical="center"/>
    </xf>
    <xf numFmtId="0" fontId="60" fillId="20" borderId="13" xfId="0" applyFont="1" applyFill="1" applyBorder="1" applyAlignment="1">
      <alignment vertical="center"/>
    </xf>
    <xf numFmtId="0" fontId="1" fillId="20" borderId="15" xfId="0" applyFont="1" applyFill="1" applyBorder="1" applyAlignment="1">
      <alignment vertical="center"/>
    </xf>
    <xf numFmtId="9" fontId="38" fillId="27" borderId="0" xfId="0" applyNumberFormat="1" applyFont="1" applyFill="1" applyBorder="1" applyAlignment="1">
      <alignment horizontal="left"/>
    </xf>
    <xf numFmtId="0" fontId="1" fillId="83" borderId="0" xfId="0" applyFont="1" applyFill="1" applyBorder="1" applyAlignment="1">
      <alignment horizontal="center"/>
    </xf>
    <xf numFmtId="0" fontId="1" fillId="84" borderId="0" xfId="0" applyFont="1" applyFill="1" applyBorder="1" applyAlignment="1">
      <alignment horizontal="center"/>
    </xf>
    <xf numFmtId="0" fontId="1" fillId="21" borderId="12" xfId="0" applyFont="1" applyFill="1" applyBorder="1"/>
    <xf numFmtId="0" fontId="1" fillId="21" borderId="22" xfId="0" applyFont="1" applyFill="1" applyBorder="1"/>
    <xf numFmtId="0" fontId="1" fillId="21" borderId="11" xfId="0" applyFont="1" applyFill="1" applyBorder="1"/>
    <xf numFmtId="0" fontId="1" fillId="21" borderId="13" xfId="0" applyFont="1" applyFill="1" applyBorder="1"/>
    <xf numFmtId="0" fontId="1" fillId="21" borderId="15" xfId="0" applyFont="1" applyFill="1" applyBorder="1"/>
    <xf numFmtId="0" fontId="1" fillId="21" borderId="17" xfId="0" applyFont="1" applyFill="1" applyBorder="1"/>
    <xf numFmtId="172" fontId="1" fillId="21" borderId="25" xfId="0" applyNumberFormat="1" applyFont="1" applyFill="1" applyBorder="1" applyAlignment="1">
      <alignment horizontal="center"/>
    </xf>
    <xf numFmtId="169" fontId="1" fillId="21" borderId="25" xfId="0" applyNumberFormat="1" applyFont="1" applyFill="1" applyBorder="1" applyAlignment="1">
      <alignment horizontal="center"/>
    </xf>
    <xf numFmtId="172" fontId="1" fillId="21" borderId="25" xfId="0" applyNumberFormat="1" applyFont="1" applyFill="1" applyBorder="1"/>
    <xf numFmtId="9" fontId="0" fillId="85" borderId="0" xfId="0" applyNumberFormat="1" applyFont="1" applyFill="1" applyBorder="1" applyAlignment="1">
      <alignment horizontal="right"/>
    </xf>
    <xf numFmtId="0" fontId="1" fillId="86" borderId="0" xfId="0" applyFont="1" applyFill="1"/>
    <xf numFmtId="0" fontId="53" fillId="74" borderId="23" xfId="42" applyFont="1" applyFill="1" applyBorder="1" applyAlignment="1">
      <alignment wrapText="1"/>
    </xf>
    <xf numFmtId="0" fontId="1" fillId="0" borderId="0" xfId="41" applyFont="1" applyBorder="1" applyAlignment="1">
      <alignment vertical="top" wrapText="1"/>
    </xf>
    <xf numFmtId="0" fontId="1" fillId="0" borderId="0" xfId="41" applyFont="1" applyBorder="1" applyAlignment="1">
      <alignment horizontal="left" vertical="center" wrapText="1"/>
    </xf>
    <xf numFmtId="0" fontId="2" fillId="20" borderId="53" xfId="0" applyFont="1" applyFill="1" applyBorder="1" applyAlignment="1">
      <alignment horizontal="center" wrapText="1"/>
    </xf>
    <xf numFmtId="0" fontId="2" fillId="20" borderId="0" xfId="41" applyFont="1" applyFill="1" applyBorder="1" applyAlignment="1">
      <alignment horizontal="center"/>
    </xf>
    <xf numFmtId="0" fontId="2" fillId="42" borderId="51" xfId="42" applyFont="1" applyFill="1" applyBorder="1" applyAlignment="1">
      <alignment horizontal="center"/>
    </xf>
    <xf numFmtId="0" fontId="53" fillId="79" borderId="13" xfId="0" applyFont="1" applyFill="1" applyBorder="1" applyAlignment="1">
      <alignment horizontal="center" vertical="top" wrapText="1"/>
    </xf>
    <xf numFmtId="0" fontId="2" fillId="0" borderId="0" xfId="40" applyFont="1" applyAlignment="1"/>
    <xf numFmtId="0" fontId="2" fillId="0" borderId="0" xfId="40" applyFont="1" applyAlignment="1">
      <alignment wrapText="1"/>
    </xf>
    <xf numFmtId="0" fontId="2" fillId="0" borderId="0" xfId="40" applyFont="1"/>
    <xf numFmtId="0" fontId="1" fillId="0" borderId="0" xfId="40" applyAlignment="1"/>
    <xf numFmtId="0" fontId="2" fillId="0" borderId="0" xfId="40" quotePrefix="1" applyFont="1" applyAlignment="1">
      <alignment wrapText="1"/>
    </xf>
    <xf numFmtId="0" fontId="2" fillId="0" borderId="0" xfId="40" quotePrefix="1" applyFont="1"/>
    <xf numFmtId="0" fontId="1" fillId="0" borderId="0" xfId="40" quotePrefix="1" applyFont="1" applyAlignment="1">
      <alignment wrapText="1"/>
    </xf>
    <xf numFmtId="0" fontId="1" fillId="0" borderId="0" xfId="40" quotePrefix="1"/>
    <xf numFmtId="0" fontId="1" fillId="0" borderId="0" xfId="40"/>
    <xf numFmtId="0" fontId="1" fillId="0" borderId="0" xfId="40" applyAlignment="1">
      <alignment wrapText="1"/>
    </xf>
    <xf numFmtId="2" fontId="1" fillId="0" borderId="0" xfId="40" quotePrefix="1" applyNumberFormat="1" applyFont="1" applyAlignment="1">
      <alignment wrapText="1"/>
    </xf>
    <xf numFmtId="0" fontId="1" fillId="0" borderId="0" xfId="40" quotePrefix="1" applyAlignment="1">
      <alignment wrapText="1"/>
    </xf>
    <xf numFmtId="2" fontId="1" fillId="0" borderId="0" xfId="40" quotePrefix="1" applyNumberFormat="1" applyAlignment="1">
      <alignment wrapText="1"/>
    </xf>
    <xf numFmtId="0" fontId="4" fillId="0" borderId="0" xfId="36" applyAlignment="1">
      <alignment wrapText="1"/>
    </xf>
    <xf numFmtId="0" fontId="1" fillId="0" borderId="0" xfId="40" quotePrefix="1" applyFont="1"/>
    <xf numFmtId="0" fontId="64" fillId="0" borderId="0" xfId="40" applyFont="1"/>
    <xf numFmtId="0" fontId="1" fillId="0" borderId="0" xfId="40" quotePrefix="1" applyFont="1" applyAlignment="1">
      <alignment horizontal="right" wrapText="1"/>
    </xf>
    <xf numFmtId="0" fontId="65" fillId="0" borderId="0" xfId="40" quotePrefix="1" applyFont="1"/>
    <xf numFmtId="2" fontId="1" fillId="0" borderId="0" xfId="40" applyNumberFormat="1" applyAlignment="1">
      <alignment wrapText="1"/>
    </xf>
    <xf numFmtId="0" fontId="66" fillId="0" borderId="0" xfId="40" applyFont="1" applyAlignment="1">
      <alignment wrapText="1"/>
    </xf>
    <xf numFmtId="0" fontId="66" fillId="0" borderId="0" xfId="40" applyFont="1"/>
    <xf numFmtId="2" fontId="66" fillId="0" borderId="0" xfId="40" applyNumberFormat="1" applyFont="1" applyAlignment="1">
      <alignment wrapText="1"/>
    </xf>
    <xf numFmtId="0" fontId="1" fillId="0" borderId="0" xfId="40" applyFont="1"/>
    <xf numFmtId="0" fontId="64" fillId="0" borderId="0" xfId="40" quotePrefix="1" applyFont="1" applyAlignment="1">
      <alignment wrapText="1"/>
    </xf>
    <xf numFmtId="0" fontId="65" fillId="0" borderId="0" xfId="40" applyFont="1"/>
    <xf numFmtId="0" fontId="65" fillId="0" borderId="0" xfId="40" quotePrefix="1" applyFont="1" applyAlignment="1">
      <alignment wrapText="1"/>
    </xf>
    <xf numFmtId="0" fontId="4" fillId="0" borderId="0" xfId="36" applyAlignment="1"/>
    <xf numFmtId="2" fontId="64" fillId="0" borderId="0" xfId="40" quotePrefix="1" applyNumberFormat="1" applyFont="1"/>
    <xf numFmtId="2" fontId="65" fillId="0" borderId="0" xfId="40" quotePrefix="1" applyNumberFormat="1" applyFont="1"/>
    <xf numFmtId="0" fontId="64" fillId="0" borderId="0" xfId="40" applyFont="1" applyAlignment="1">
      <alignment wrapText="1"/>
    </xf>
    <xf numFmtId="2" fontId="2" fillId="0" borderId="0" xfId="40" quotePrefix="1" applyNumberFormat="1" applyFont="1"/>
    <xf numFmtId="2" fontId="2" fillId="0" borderId="0" xfId="40" quotePrefix="1" applyNumberFormat="1" applyFont="1" applyAlignment="1">
      <alignment wrapText="1"/>
    </xf>
    <xf numFmtId="2" fontId="2" fillId="0" borderId="0" xfId="40" applyNumberFormat="1" applyFont="1" applyAlignment="1">
      <alignment wrapText="1"/>
    </xf>
    <xf numFmtId="2" fontId="2" fillId="0" borderId="0" xfId="40" applyNumberFormat="1" applyFont="1"/>
    <xf numFmtId="2" fontId="1" fillId="0" borderId="0" xfId="40" quotePrefix="1" applyNumberFormat="1" applyFont="1"/>
    <xf numFmtId="2" fontId="64" fillId="0" borderId="0" xfId="40" applyNumberFormat="1" applyFont="1"/>
    <xf numFmtId="0" fontId="66" fillId="0" borderId="0" xfId="40" applyFont="1" applyAlignment="1"/>
    <xf numFmtId="2" fontId="66" fillId="0" borderId="0" xfId="40" quotePrefix="1" applyNumberFormat="1" applyFont="1" applyAlignment="1">
      <alignment wrapText="1"/>
    </xf>
    <xf numFmtId="2" fontId="66" fillId="0" borderId="0" xfId="40" quotePrefix="1" applyNumberFormat="1" applyFont="1"/>
    <xf numFmtId="0" fontId="1" fillId="23" borderId="37" xfId="0" applyFont="1" applyFill="1" applyBorder="1" applyAlignment="1" applyProtection="1">
      <alignment horizontal="center" wrapText="1"/>
      <protection locked="0"/>
    </xf>
    <xf numFmtId="0" fontId="1" fillId="36" borderId="18" xfId="0" applyFont="1" applyFill="1" applyBorder="1" applyAlignment="1">
      <alignment horizontal="center" vertical="center" wrapText="1"/>
    </xf>
    <xf numFmtId="0" fontId="0" fillId="18" borderId="23" xfId="0" applyFill="1" applyBorder="1"/>
    <xf numFmtId="0" fontId="2" fillId="42" borderId="12" xfId="42" applyFont="1" applyFill="1" applyBorder="1" applyAlignment="1"/>
    <xf numFmtId="0" fontId="1" fillId="20" borderId="12" xfId="42" applyFont="1" applyFill="1" applyBorder="1" applyAlignment="1">
      <alignment horizontal="center"/>
    </xf>
    <xf numFmtId="0" fontId="1" fillId="20" borderId="22" xfId="42" applyFont="1" applyFill="1" applyBorder="1"/>
    <xf numFmtId="0" fontId="2" fillId="20" borderId="54" xfId="42" applyFont="1" applyFill="1" applyBorder="1" applyAlignment="1">
      <alignment horizontal="center" wrapText="1"/>
    </xf>
    <xf numFmtId="0" fontId="1" fillId="20" borderId="55" xfId="42" applyFont="1" applyFill="1" applyBorder="1"/>
    <xf numFmtId="1" fontId="1" fillId="45" borderId="15" xfId="0" applyNumberFormat="1" applyFont="1" applyFill="1" applyBorder="1" applyAlignment="1">
      <alignment horizontal="center"/>
    </xf>
    <xf numFmtId="0" fontId="1" fillId="23" borderId="37" xfId="0" applyFont="1" applyFill="1" applyBorder="1" applyAlignment="1" applyProtection="1">
      <alignment horizontal="center"/>
      <protection locked="0"/>
    </xf>
    <xf numFmtId="0" fontId="1" fillId="82" borderId="37" xfId="0" applyFont="1" applyFill="1" applyBorder="1" applyAlignment="1" applyProtection="1">
      <alignment horizontal="center"/>
      <protection locked="0"/>
    </xf>
    <xf numFmtId="0" fontId="1" fillId="82" borderId="56" xfId="0" applyFont="1" applyFill="1" applyBorder="1" applyAlignment="1" applyProtection="1">
      <alignment horizontal="center"/>
      <protection locked="0"/>
    </xf>
    <xf numFmtId="0" fontId="59" fillId="87" borderId="47" xfId="0" applyFont="1" applyFill="1" applyBorder="1" applyAlignment="1" applyProtection="1">
      <alignment horizontal="center"/>
      <protection locked="0"/>
    </xf>
    <xf numFmtId="2" fontId="61" fillId="23" borderId="25" xfId="0" applyNumberFormat="1" applyFont="1" applyFill="1" applyBorder="1" applyAlignment="1" applyProtection="1">
      <alignment horizontal="center" wrapText="1"/>
      <protection locked="0"/>
    </xf>
    <xf numFmtId="0" fontId="59" fillId="23" borderId="25" xfId="0" applyFont="1" applyFill="1" applyBorder="1" applyAlignment="1" applyProtection="1">
      <alignment horizontal="center"/>
      <protection locked="0"/>
    </xf>
    <xf numFmtId="0" fontId="1" fillId="23" borderId="37" xfId="0" applyNumberFormat="1" applyFont="1" applyFill="1" applyBorder="1" applyAlignment="1" applyProtection="1">
      <alignment horizontal="center"/>
      <protection locked="0"/>
    </xf>
    <xf numFmtId="172" fontId="1" fillId="23" borderId="18" xfId="42" applyNumberFormat="1" applyFont="1" applyFill="1" applyBorder="1" applyAlignment="1" applyProtection="1">
      <alignment horizontal="center" vertical="center"/>
      <protection locked="0"/>
    </xf>
    <xf numFmtId="0" fontId="1" fillId="23" borderId="57" xfId="0" applyFont="1" applyFill="1" applyBorder="1" applyAlignment="1" applyProtection="1">
      <alignment horizontal="center"/>
      <protection locked="0"/>
    </xf>
    <xf numFmtId="0" fontId="1" fillId="82" borderId="37" xfId="41" applyFont="1" applyFill="1" applyBorder="1" applyAlignment="1" applyProtection="1">
      <alignment horizontal="center" wrapText="1"/>
      <protection locked="0"/>
    </xf>
    <xf numFmtId="0" fontId="1" fillId="23" borderId="37" xfId="41" applyFont="1" applyFill="1" applyBorder="1" applyAlignment="1" applyProtection="1">
      <alignment horizontal="left" wrapText="1"/>
      <protection locked="0"/>
    </xf>
    <xf numFmtId="0" fontId="1" fillId="23" borderId="37" xfId="0" applyFont="1" applyFill="1" applyBorder="1" applyProtection="1">
      <protection locked="0"/>
    </xf>
    <xf numFmtId="167" fontId="38" fillId="19" borderId="25" xfId="41" applyNumberFormat="1" applyFont="1" applyFill="1" applyBorder="1" applyProtection="1">
      <protection locked="0"/>
    </xf>
    <xf numFmtId="167" fontId="38" fillId="19" borderId="25" xfId="0" applyNumberFormat="1" applyFont="1" applyFill="1" applyBorder="1" applyProtection="1">
      <protection locked="0"/>
    </xf>
    <xf numFmtId="0" fontId="1" fillId="23" borderId="37" xfId="41" applyFont="1" applyFill="1" applyBorder="1" applyProtection="1">
      <protection locked="0"/>
    </xf>
    <xf numFmtId="0" fontId="1" fillId="23" borderId="38" xfId="0" applyFont="1" applyFill="1" applyBorder="1" applyProtection="1">
      <protection locked="0"/>
    </xf>
    <xf numFmtId="0" fontId="1" fillId="23" borderId="37" xfId="0" applyFont="1" applyFill="1" applyBorder="1" applyAlignment="1" applyProtection="1">
      <alignment horizontal="left" wrapText="1"/>
      <protection locked="0"/>
    </xf>
    <xf numFmtId="0" fontId="1" fillId="23" borderId="37" xfId="0" applyFont="1" applyFill="1" applyBorder="1" applyAlignment="1" applyProtection="1">
      <alignment horizontal="left"/>
      <protection locked="0"/>
    </xf>
    <xf numFmtId="0" fontId="1" fillId="23" borderId="37" xfId="41" applyFont="1" applyFill="1" applyBorder="1" applyAlignment="1" applyProtection="1">
      <alignment horizontal="center"/>
      <protection locked="0"/>
    </xf>
    <xf numFmtId="0" fontId="1" fillId="0" borderId="29" xfId="0" applyFont="1" applyFill="1" applyBorder="1" applyProtection="1">
      <protection locked="0"/>
    </xf>
    <xf numFmtId="2" fontId="1" fillId="20" borderId="18" xfId="0" applyNumberFormat="1" applyFont="1" applyFill="1" applyBorder="1" applyAlignment="1" applyProtection="1">
      <alignment horizontal="center"/>
      <protection locked="0"/>
    </xf>
    <xf numFmtId="2" fontId="1" fillId="20" borderId="24" xfId="0" applyNumberFormat="1" applyFont="1" applyFill="1" applyBorder="1" applyAlignment="1" applyProtection="1">
      <alignment horizontal="center"/>
      <protection locked="0"/>
    </xf>
    <xf numFmtId="2" fontId="1" fillId="20" borderId="23" xfId="0" applyNumberFormat="1" applyFont="1" applyFill="1" applyBorder="1" applyAlignment="1" applyProtection="1">
      <alignment horizontal="center"/>
      <protection locked="0"/>
    </xf>
    <xf numFmtId="0" fontId="1" fillId="39" borderId="18" xfId="0" applyFont="1" applyFill="1" applyBorder="1" applyAlignment="1" applyProtection="1">
      <alignment horizontal="center"/>
      <protection locked="0"/>
    </xf>
    <xf numFmtId="0" fontId="1" fillId="39" borderId="24" xfId="0" applyFont="1" applyFill="1" applyBorder="1" applyAlignment="1" applyProtection="1">
      <alignment horizontal="center"/>
      <protection locked="0"/>
    </xf>
    <xf numFmtId="0" fontId="1" fillId="39" borderId="23" xfId="0" applyFont="1" applyFill="1" applyBorder="1" applyAlignment="1" applyProtection="1">
      <alignment horizontal="center"/>
      <protection locked="0"/>
    </xf>
    <xf numFmtId="0" fontId="1" fillId="20" borderId="24" xfId="0" applyFont="1" applyFill="1" applyBorder="1" applyAlignment="1" applyProtection="1">
      <alignment horizontal="center"/>
      <protection locked="0"/>
    </xf>
    <xf numFmtId="0" fontId="1" fillId="20" borderId="18" xfId="0" applyFont="1" applyFill="1" applyBorder="1" applyAlignment="1" applyProtection="1">
      <alignment horizontal="center"/>
      <protection locked="0"/>
    </xf>
    <xf numFmtId="0" fontId="1" fillId="20" borderId="23" xfId="0" applyFont="1" applyFill="1" applyBorder="1" applyAlignment="1" applyProtection="1">
      <alignment horizontal="center"/>
      <protection locked="0"/>
    </xf>
    <xf numFmtId="0" fontId="2" fillId="20" borderId="0" xfId="42" applyFont="1" applyFill="1" applyBorder="1" applyAlignment="1">
      <alignment horizontal="left"/>
    </xf>
    <xf numFmtId="0" fontId="2" fillId="20" borderId="51" xfId="0" applyFont="1" applyFill="1" applyBorder="1" applyAlignment="1" applyProtection="1">
      <alignment horizontal="right" wrapText="1"/>
      <protection locked="0"/>
    </xf>
    <xf numFmtId="0" fontId="2" fillId="20" borderId="58" xfId="0" applyFont="1" applyFill="1" applyBorder="1" applyAlignment="1" applyProtection="1">
      <alignment horizontal="right" wrapText="1"/>
      <protection locked="0"/>
    </xf>
    <xf numFmtId="0" fontId="2" fillId="20" borderId="51" xfId="0" applyFont="1" applyFill="1" applyBorder="1" applyAlignment="1" applyProtection="1">
      <alignment horizontal="right"/>
      <protection locked="0"/>
    </xf>
    <xf numFmtId="0" fontId="2" fillId="42" borderId="51" xfId="42" applyFont="1" applyFill="1" applyBorder="1" applyAlignment="1" applyProtection="1">
      <alignment horizontal="right"/>
      <protection locked="0"/>
    </xf>
    <xf numFmtId="0" fontId="2" fillId="42" borderId="51" xfId="42" applyFont="1" applyFill="1" applyBorder="1" applyAlignment="1" applyProtection="1">
      <alignment horizontal="center" wrapText="1"/>
      <protection locked="0"/>
    </xf>
    <xf numFmtId="0" fontId="1" fillId="20" borderId="51" xfId="0" applyFont="1" applyFill="1" applyBorder="1" applyAlignment="1" applyProtection="1">
      <alignment horizontal="right"/>
      <protection locked="0"/>
    </xf>
    <xf numFmtId="0" fontId="47" fillId="20" borderId="10" xfId="41" applyFont="1" applyFill="1" applyBorder="1" applyAlignment="1">
      <alignment vertical="center" wrapText="1"/>
    </xf>
    <xf numFmtId="0" fontId="47" fillId="20" borderId="12" xfId="41" applyFont="1" applyFill="1" applyBorder="1" applyAlignment="1">
      <alignment vertical="center"/>
    </xf>
    <xf numFmtId="0" fontId="47" fillId="20" borderId="22" xfId="41" applyFont="1" applyFill="1" applyBorder="1" applyAlignment="1">
      <alignment vertical="center"/>
    </xf>
    <xf numFmtId="0" fontId="47" fillId="20" borderId="13" xfId="41" applyFont="1" applyFill="1" applyBorder="1" applyAlignment="1">
      <alignment vertical="center"/>
    </xf>
    <xf numFmtId="0" fontId="34" fillId="20" borderId="11" xfId="41" applyFont="1" applyFill="1" applyBorder="1" applyAlignment="1">
      <alignment horizontal="right" wrapText="1"/>
    </xf>
    <xf numFmtId="0" fontId="2" fillId="20" borderId="11" xfId="41" applyFont="1" applyFill="1" applyBorder="1" applyAlignment="1">
      <alignment horizontal="right" wrapText="1"/>
    </xf>
    <xf numFmtId="0" fontId="1" fillId="0" borderId="11" xfId="41" applyFont="1" applyBorder="1" applyAlignment="1">
      <alignment horizontal="right" wrapText="1"/>
    </xf>
    <xf numFmtId="0" fontId="1" fillId="0" borderId="11" xfId="41" applyFont="1" applyBorder="1" applyAlignment="1">
      <alignment wrapText="1"/>
    </xf>
    <xf numFmtId="0" fontId="2" fillId="0" borderId="59" xfId="41" applyFont="1" applyBorder="1" applyAlignment="1" applyProtection="1">
      <alignment horizontal="right" wrapText="1"/>
      <protection locked="0"/>
    </xf>
    <xf numFmtId="0" fontId="2" fillId="0" borderId="60" xfId="41" applyFont="1" applyBorder="1" applyAlignment="1">
      <alignment horizontal="right" wrapText="1"/>
    </xf>
    <xf numFmtId="0" fontId="35" fillId="81" borderId="13" xfId="0" applyFont="1" applyFill="1" applyBorder="1"/>
    <xf numFmtId="0" fontId="35" fillId="74" borderId="11" xfId="0" applyFont="1" applyFill="1" applyBorder="1"/>
    <xf numFmtId="0" fontId="54" fillId="80" borderId="22" xfId="0" applyFont="1" applyFill="1" applyBorder="1"/>
    <xf numFmtId="0" fontId="2" fillId="0" borderId="60" xfId="41" applyFont="1" applyBorder="1" applyAlignment="1">
      <alignment horizontal="right" vertical="center" wrapText="1"/>
    </xf>
    <xf numFmtId="0" fontId="56" fillId="74" borderId="11" xfId="41" applyFont="1" applyFill="1" applyBorder="1" applyAlignment="1">
      <alignment vertical="center" wrapText="1"/>
    </xf>
    <xf numFmtId="172" fontId="1" fillId="0" borderId="0" xfId="40" quotePrefix="1" applyNumberFormat="1" applyFont="1" applyAlignment="1">
      <alignment wrapText="1"/>
    </xf>
    <xf numFmtId="173" fontId="1" fillId="0" borderId="0" xfId="40" quotePrefix="1" applyNumberFormat="1" applyFont="1" applyAlignment="1">
      <alignment wrapText="1"/>
    </xf>
    <xf numFmtId="173" fontId="1" fillId="0" borderId="0" xfId="40" applyNumberFormat="1" applyAlignment="1">
      <alignment wrapText="1"/>
    </xf>
    <xf numFmtId="1" fontId="1" fillId="0" borderId="0" xfId="40" quotePrefix="1" applyNumberFormat="1" applyFont="1" applyAlignment="1">
      <alignment wrapText="1"/>
    </xf>
    <xf numFmtId="173" fontId="1" fillId="0" borderId="0" xfId="28" quotePrefix="1" applyNumberFormat="1" applyAlignment="1">
      <alignment wrapText="1"/>
    </xf>
    <xf numFmtId="173" fontId="65" fillId="0" borderId="0" xfId="28" quotePrefix="1" applyNumberFormat="1" applyFont="1"/>
    <xf numFmtId="173" fontId="1" fillId="0" borderId="0" xfId="28" quotePrefix="1" applyNumberFormat="1"/>
    <xf numFmtId="173" fontId="1" fillId="0" borderId="0" xfId="28" applyNumberFormat="1"/>
    <xf numFmtId="173" fontId="1" fillId="0" borderId="0" xfId="28" applyNumberFormat="1" applyAlignment="1">
      <alignment wrapText="1"/>
    </xf>
    <xf numFmtId="0" fontId="1" fillId="20" borderId="0" xfId="42" applyFont="1" applyFill="1" applyBorder="1" applyAlignment="1">
      <alignment horizontal="right" wrapText="1"/>
    </xf>
    <xf numFmtId="167" fontId="1" fillId="0" borderId="0" xfId="40" quotePrefix="1" applyNumberFormat="1" applyFont="1"/>
    <xf numFmtId="173" fontId="2" fillId="0" borderId="0" xfId="40" quotePrefix="1" applyNumberFormat="1" applyFont="1"/>
    <xf numFmtId="173" fontId="1" fillId="0" borderId="0" xfId="40" quotePrefix="1" applyNumberFormat="1" applyFont="1"/>
    <xf numFmtId="0" fontId="1" fillId="19" borderId="0" xfId="41" applyFont="1" applyFill="1" applyBorder="1" applyAlignment="1" applyProtection="1">
      <alignment horizontal="right" wrapText="1"/>
      <protection locked="0"/>
    </xf>
    <xf numFmtId="0" fontId="1" fillId="19" borderId="0" xfId="0" applyFont="1" applyFill="1" applyBorder="1" applyProtection="1">
      <protection locked="0"/>
    </xf>
    <xf numFmtId="0" fontId="63" fillId="0" borderId="0" xfId="40" applyFont="1" applyAlignment="1">
      <alignment vertical="center"/>
    </xf>
    <xf numFmtId="0" fontId="1" fillId="20" borderId="12" xfId="0" applyFont="1" applyFill="1" applyBorder="1" applyAlignment="1">
      <alignment horizontal="left" vertical="top"/>
    </xf>
    <xf numFmtId="0" fontId="2" fillId="20" borderId="0" xfId="0" applyFont="1" applyFill="1" applyAlignment="1">
      <alignment wrapText="1"/>
    </xf>
    <xf numFmtId="0" fontId="69" fillId="0" borderId="0" xfId="40" applyFont="1" applyAlignment="1">
      <alignment wrapText="1"/>
    </xf>
    <xf numFmtId="0" fontId="69" fillId="0" borderId="0" xfId="40" applyFont="1"/>
    <xf numFmtId="0" fontId="70" fillId="0" borderId="0" xfId="40" applyFont="1" applyAlignment="1">
      <alignment wrapText="1"/>
    </xf>
    <xf numFmtId="2" fontId="69" fillId="0" borderId="0" xfId="40" applyNumberFormat="1" applyFont="1" applyAlignment="1">
      <alignment wrapText="1"/>
    </xf>
    <xf numFmtId="0" fontId="1" fillId="0" borderId="0" xfId="40" applyFont="1" applyFill="1" applyAlignment="1"/>
    <xf numFmtId="0" fontId="1" fillId="0" borderId="0" xfId="40" applyFont="1" applyFill="1" applyAlignment="1">
      <alignment wrapText="1"/>
    </xf>
    <xf numFmtId="0" fontId="2" fillId="0" borderId="0" xfId="40" applyFont="1" applyFill="1" applyAlignment="1"/>
    <xf numFmtId="0" fontId="2" fillId="0" borderId="0" xfId="40" applyFont="1" applyFill="1"/>
    <xf numFmtId="0" fontId="2" fillId="0" borderId="0" xfId="40" applyFont="1" applyFill="1" applyAlignment="1">
      <alignment wrapText="1"/>
    </xf>
    <xf numFmtId="2" fontId="1" fillId="0" borderId="0" xfId="40" applyNumberFormat="1" applyFont="1" applyFill="1" applyAlignment="1">
      <alignment wrapText="1"/>
    </xf>
    <xf numFmtId="2" fontId="2" fillId="0" borderId="0" xfId="40" applyNumberFormat="1" applyFont="1" applyFill="1"/>
    <xf numFmtId="2" fontId="1" fillId="0" borderId="0" xfId="40" applyNumberFormat="1" applyFont="1" applyFill="1" applyAlignment="1">
      <alignment horizontal="center" vertical="center" wrapText="1"/>
    </xf>
    <xf numFmtId="2" fontId="1" fillId="0" borderId="0" xfId="40" quotePrefix="1" applyNumberFormat="1" applyFont="1" applyFill="1"/>
    <xf numFmtId="0" fontId="1" fillId="0" borderId="0" xfId="40" applyFont="1" applyFill="1"/>
    <xf numFmtId="2" fontId="1" fillId="0" borderId="0" xfId="40" applyNumberFormat="1" applyFont="1" applyFill="1"/>
    <xf numFmtId="173" fontId="1" fillId="0" borderId="0" xfId="40" applyNumberFormat="1" applyFont="1" applyFill="1" applyAlignment="1">
      <alignment wrapText="1"/>
    </xf>
    <xf numFmtId="0" fontId="1" fillId="0" borderId="0" xfId="40" applyFont="1" applyAlignment="1"/>
    <xf numFmtId="0" fontId="2" fillId="0" borderId="0" xfId="40" applyFont="1" applyFill="1" applyAlignment="1">
      <alignment horizontal="center" vertical="center" wrapText="1"/>
    </xf>
    <xf numFmtId="0" fontId="1" fillId="0" borderId="0" xfId="40" applyFont="1" applyAlignment="1">
      <alignment wrapText="1"/>
    </xf>
    <xf numFmtId="2" fontId="1" fillId="0" borderId="0" xfId="40" applyNumberFormat="1" applyFont="1" applyAlignment="1">
      <alignment wrapText="1"/>
    </xf>
    <xf numFmtId="0" fontId="2" fillId="0" borderId="29" xfId="40" applyFont="1" applyBorder="1" applyAlignment="1"/>
    <xf numFmtId="0" fontId="71" fillId="0" borderId="0" xfId="40" applyFont="1" applyAlignment="1">
      <alignment wrapText="1"/>
    </xf>
    <xf numFmtId="0" fontId="72" fillId="0" borderId="0" xfId="40" applyFont="1" applyAlignment="1">
      <alignment wrapText="1"/>
    </xf>
    <xf numFmtId="173" fontId="1" fillId="0" borderId="0" xfId="28" applyNumberFormat="1" applyFont="1" applyAlignment="1">
      <alignment wrapText="1"/>
    </xf>
    <xf numFmtId="173" fontId="1" fillId="0" borderId="0" xfId="28" applyNumberFormat="1" applyFont="1"/>
    <xf numFmtId="9" fontId="1" fillId="0" borderId="0" xfId="45" applyFont="1"/>
    <xf numFmtId="0" fontId="0" fillId="23" borderId="37" xfId="0" applyFill="1" applyBorder="1" applyProtection="1">
      <protection locked="0"/>
    </xf>
    <xf numFmtId="0" fontId="69" fillId="0" borderId="0" xfId="40" applyFont="1" applyAlignment="1"/>
    <xf numFmtId="2" fontId="70" fillId="0" borderId="0" xfId="40" applyNumberFormat="1" applyFont="1" applyFill="1"/>
    <xf numFmtId="0" fontId="1" fillId="43" borderId="0" xfId="41" applyFont="1" applyFill="1" applyBorder="1"/>
    <xf numFmtId="2" fontId="1" fillId="43" borderId="0" xfId="41" applyNumberFormat="1" applyFont="1" applyFill="1" applyBorder="1"/>
    <xf numFmtId="0" fontId="1" fillId="19" borderId="10" xfId="41" applyFont="1" applyFill="1" applyBorder="1"/>
    <xf numFmtId="0" fontId="1" fillId="20" borderId="51" xfId="0" applyFont="1" applyFill="1" applyBorder="1" applyAlignment="1" applyProtection="1">
      <alignment horizontal="right" wrapText="1"/>
      <protection locked="0"/>
    </xf>
    <xf numFmtId="0" fontId="2" fillId="23" borderId="37" xfId="0" applyFont="1" applyFill="1" applyBorder="1" applyAlignment="1" applyProtection="1">
      <alignment vertical="top"/>
      <protection locked="0"/>
    </xf>
    <xf numFmtId="0" fontId="0" fillId="23" borderId="37" xfId="0" applyFill="1" applyBorder="1" applyAlignment="1" applyProtection="1">
      <alignment vertical="top"/>
      <protection locked="0"/>
    </xf>
    <xf numFmtId="0" fontId="43" fillId="23" borderId="37" xfId="0" applyFont="1" applyFill="1" applyBorder="1" applyAlignment="1" applyProtection="1">
      <alignment vertical="top"/>
      <protection locked="0"/>
    </xf>
    <xf numFmtId="0" fontId="0" fillId="0" borderId="16" xfId="0" applyBorder="1"/>
    <xf numFmtId="0" fontId="2" fillId="23" borderId="61" xfId="0" applyFont="1" applyFill="1" applyBorder="1" applyAlignment="1" applyProtection="1">
      <alignment vertical="top"/>
      <protection locked="0"/>
    </xf>
    <xf numFmtId="0" fontId="0" fillId="23" borderId="61" xfId="0" applyFill="1" applyBorder="1" applyAlignment="1" applyProtection="1">
      <alignment vertical="top"/>
      <protection locked="0"/>
    </xf>
    <xf numFmtId="0" fontId="43" fillId="23" borderId="61" xfId="0" applyFont="1" applyFill="1" applyBorder="1" applyAlignment="1" applyProtection="1">
      <alignment vertical="top"/>
      <protection locked="0"/>
    </xf>
    <xf numFmtId="0" fontId="0" fillId="0" borderId="0" xfId="0" applyAlignment="1">
      <alignment wrapText="1"/>
    </xf>
    <xf numFmtId="0" fontId="74" fillId="0" borderId="0" xfId="36" applyFont="1" applyAlignment="1" applyProtection="1"/>
    <xf numFmtId="174" fontId="0" fillId="0" borderId="0" xfId="28" applyNumberFormat="1" applyFont="1"/>
    <xf numFmtId="174" fontId="25" fillId="0" borderId="0" xfId="28" applyNumberFormat="1" applyFont="1"/>
    <xf numFmtId="0" fontId="75" fillId="0" borderId="62" xfId="0" applyFont="1" applyBorder="1" applyAlignment="1">
      <alignment wrapText="1"/>
    </xf>
    <xf numFmtId="0" fontId="75" fillId="0" borderId="63" xfId="0" applyFont="1" applyBorder="1" applyAlignment="1">
      <alignment wrapText="1"/>
    </xf>
    <xf numFmtId="0" fontId="0" fillId="0" borderId="63" xfId="0" applyBorder="1" applyAlignment="1">
      <alignment wrapText="1"/>
    </xf>
    <xf numFmtId="0" fontId="0" fillId="0" borderId="46" xfId="0" applyBorder="1" applyAlignment="1">
      <alignment wrapText="1"/>
    </xf>
    <xf numFmtId="0" fontId="0" fillId="0" borderId="62" xfId="0" applyBorder="1" applyAlignment="1">
      <alignment wrapText="1"/>
    </xf>
    <xf numFmtId="0" fontId="0" fillId="0" borderId="46" xfId="0" applyFill="1" applyBorder="1" applyAlignment="1">
      <alignment wrapText="1"/>
    </xf>
    <xf numFmtId="0" fontId="0" fillId="0" borderId="64" xfId="0" applyBorder="1"/>
    <xf numFmtId="0" fontId="75" fillId="0" borderId="0" xfId="0" applyFont="1" applyBorder="1"/>
    <xf numFmtId="0" fontId="75" fillId="0" borderId="45" xfId="0" applyFont="1" applyBorder="1"/>
    <xf numFmtId="0" fontId="0" fillId="0" borderId="65" xfId="0" applyBorder="1" applyAlignment="1">
      <alignment wrapText="1"/>
    </xf>
    <xf numFmtId="0" fontId="0" fillId="0" borderId="64" xfId="0" applyBorder="1" applyAlignment="1">
      <alignment wrapText="1"/>
    </xf>
    <xf numFmtId="0" fontId="0" fillId="0" borderId="45" xfId="0" applyBorder="1"/>
    <xf numFmtId="0" fontId="75" fillId="0" borderId="64" xfId="0" applyFont="1" applyBorder="1"/>
    <xf numFmtId="0" fontId="0" fillId="0" borderId="0" xfId="0" applyBorder="1"/>
    <xf numFmtId="0" fontId="0" fillId="0" borderId="66" xfId="0" applyBorder="1" applyAlignment="1">
      <alignment wrapText="1"/>
    </xf>
    <xf numFmtId="0" fontId="0" fillId="0" borderId="65" xfId="0" applyBorder="1"/>
    <xf numFmtId="0" fontId="75" fillId="0" borderId="66" xfId="0" applyFont="1" applyBorder="1"/>
    <xf numFmtId="0" fontId="0" fillId="0" borderId="52" xfId="0" applyBorder="1"/>
    <xf numFmtId="0" fontId="0" fillId="0" borderId="0" xfId="0" applyBorder="1" applyAlignment="1">
      <alignment wrapText="1"/>
    </xf>
    <xf numFmtId="174" fontId="0" fillId="0" borderId="25" xfId="28" applyNumberFormat="1" applyFont="1" applyBorder="1" applyAlignment="1">
      <alignment wrapText="1"/>
    </xf>
    <xf numFmtId="174" fontId="77" fillId="0" borderId="25" xfId="28" applyNumberFormat="1" applyFont="1" applyBorder="1" applyAlignment="1">
      <alignment wrapText="1"/>
    </xf>
    <xf numFmtId="0" fontId="78" fillId="0" borderId="25" xfId="0" applyFont="1" applyBorder="1" applyAlignment="1">
      <alignment wrapText="1"/>
    </xf>
    <xf numFmtId="0" fontId="75" fillId="0" borderId="25" xfId="0" applyFont="1" applyBorder="1" applyAlignment="1">
      <alignment wrapText="1"/>
    </xf>
    <xf numFmtId="0" fontId="75" fillId="0" borderId="39" xfId="0" applyFont="1" applyBorder="1"/>
    <xf numFmtId="174" fontId="75" fillId="0" borderId="0" xfId="28" applyNumberFormat="1" applyFont="1" applyBorder="1"/>
    <xf numFmtId="174" fontId="77" fillId="0" borderId="0" xfId="28" applyNumberFormat="1" applyFont="1" applyBorder="1"/>
    <xf numFmtId="0" fontId="78" fillId="0" borderId="0" xfId="0" applyFont="1"/>
    <xf numFmtId="0" fontId="0" fillId="0" borderId="0" xfId="0" applyAlignment="1">
      <alignment horizontal="center"/>
    </xf>
    <xf numFmtId="164" fontId="0" fillId="0" borderId="0" xfId="28" applyFont="1" applyAlignment="1">
      <alignment wrapText="1"/>
    </xf>
    <xf numFmtId="164" fontId="0" fillId="0" borderId="0" xfId="28" applyFont="1"/>
    <xf numFmtId="174" fontId="77" fillId="0" borderId="0" xfId="28" applyNumberFormat="1" applyFont="1"/>
    <xf numFmtId="174" fontId="78" fillId="0" borderId="0" xfId="28" applyNumberFormat="1" applyFont="1"/>
    <xf numFmtId="1" fontId="0" fillId="0" borderId="0" xfId="28" applyNumberFormat="1" applyFont="1" applyAlignment="1">
      <alignment horizontal="center"/>
    </xf>
    <xf numFmtId="0" fontId="75" fillId="0" borderId="25" xfId="0" applyFont="1" applyBorder="1"/>
    <xf numFmtId="0" fontId="1" fillId="0" borderId="25" xfId="0" applyFont="1" applyBorder="1" applyAlignment="1">
      <alignment wrapText="1"/>
    </xf>
    <xf numFmtId="174" fontId="2" fillId="0" borderId="25" xfId="0" applyNumberFormat="1" applyFont="1" applyBorder="1"/>
    <xf numFmtId="0" fontId="2" fillId="19" borderId="67" xfId="0" applyFont="1" applyFill="1" applyBorder="1"/>
    <xf numFmtId="0" fontId="1" fillId="19" borderId="31" xfId="0" applyFont="1" applyFill="1" applyBorder="1" applyAlignment="1">
      <alignment wrapText="1"/>
    </xf>
    <xf numFmtId="0" fontId="1" fillId="20" borderId="51" xfId="0" applyFont="1" applyFill="1" applyBorder="1" applyAlignment="1" applyProtection="1">
      <alignment horizontal="center"/>
      <protection locked="0"/>
    </xf>
    <xf numFmtId="0" fontId="2" fillId="0" borderId="39" xfId="0" applyFont="1" applyBorder="1" applyAlignment="1">
      <alignment horizontal="center" vertical="center"/>
    </xf>
    <xf numFmtId="0" fontId="1" fillId="20" borderId="68" xfId="0" applyFont="1" applyFill="1" applyBorder="1" applyAlignment="1" applyProtection="1">
      <alignment horizontal="center"/>
      <protection locked="0"/>
    </xf>
    <xf numFmtId="10" fontId="1" fillId="0" borderId="0" xfId="0" applyNumberFormat="1" applyFont="1"/>
    <xf numFmtId="0" fontId="1" fillId="23" borderId="25" xfId="0" applyFont="1" applyFill="1" applyBorder="1" applyProtection="1">
      <protection locked="0"/>
    </xf>
    <xf numFmtId="0" fontId="0" fillId="0" borderId="52" xfId="0" applyFill="1" applyBorder="1"/>
    <xf numFmtId="0" fontId="76" fillId="0" borderId="25" xfId="0" applyFont="1" applyBorder="1"/>
    <xf numFmtId="0" fontId="2" fillId="42" borderId="68" xfId="42" applyFont="1" applyFill="1" applyBorder="1" applyAlignment="1">
      <alignment horizontal="center"/>
    </xf>
    <xf numFmtId="2" fontId="69" fillId="0" borderId="0" xfId="40" applyNumberFormat="1" applyFont="1" applyFill="1" applyAlignment="1">
      <alignment wrapText="1"/>
    </xf>
    <xf numFmtId="0" fontId="38" fillId="20" borderId="0" xfId="41" applyFont="1" applyFill="1" applyBorder="1" applyAlignment="1">
      <alignment horizontal="left"/>
    </xf>
    <xf numFmtId="0" fontId="1" fillId="19" borderId="13" xfId="0" applyNumberFormat="1" applyFont="1" applyFill="1" applyBorder="1" applyAlignment="1">
      <alignment horizontal="center"/>
    </xf>
    <xf numFmtId="0" fontId="1" fillId="19" borderId="10" xfId="0" applyFont="1" applyFill="1" applyBorder="1" applyAlignment="1">
      <alignment horizontal="right"/>
    </xf>
    <xf numFmtId="0" fontId="1" fillId="19" borderId="12" xfId="0" applyFont="1" applyFill="1" applyBorder="1" applyAlignment="1">
      <alignment horizontal="right"/>
    </xf>
    <xf numFmtId="0" fontId="1" fillId="19" borderId="22" xfId="0" applyFont="1" applyFill="1" applyBorder="1" applyAlignment="1">
      <alignment horizontal="right"/>
    </xf>
    <xf numFmtId="0" fontId="1" fillId="55" borderId="11" xfId="0" applyFont="1" applyFill="1" applyBorder="1" applyAlignment="1">
      <alignment horizontal="right"/>
    </xf>
    <xf numFmtId="0" fontId="1" fillId="55" borderId="0" xfId="0" applyFont="1" applyFill="1" applyBorder="1" applyAlignment="1">
      <alignment horizontal="right"/>
    </xf>
    <xf numFmtId="0" fontId="1" fillId="55" borderId="13" xfId="0" applyFont="1" applyFill="1" applyBorder="1" applyAlignment="1">
      <alignment horizontal="right"/>
    </xf>
    <xf numFmtId="0" fontId="1" fillId="55" borderId="11" xfId="0" applyNumberFormat="1" applyFont="1" applyFill="1" applyBorder="1" applyAlignment="1">
      <alignment horizontal="right"/>
    </xf>
    <xf numFmtId="0" fontId="1" fillId="55" borderId="0" xfId="0" applyNumberFormat="1" applyFont="1" applyFill="1" applyBorder="1" applyAlignment="1">
      <alignment horizontal="right"/>
    </xf>
    <xf numFmtId="0" fontId="79" fillId="0" borderId="0" xfId="0" applyFont="1"/>
    <xf numFmtId="0" fontId="80" fillId="0" borderId="0" xfId="0" applyFont="1" applyBorder="1" applyAlignment="1">
      <alignment wrapText="1"/>
    </xf>
    <xf numFmtId="0" fontId="0" fillId="23" borderId="61" xfId="0" applyFill="1" applyBorder="1" applyAlignment="1" applyProtection="1">
      <alignment vertical="top"/>
    </xf>
    <xf numFmtId="0" fontId="43" fillId="23" borderId="61" xfId="0" applyFont="1" applyFill="1" applyBorder="1" applyAlignment="1" applyProtection="1">
      <alignment vertical="top"/>
    </xf>
    <xf numFmtId="0" fontId="65" fillId="20" borderId="61" xfId="0" applyFont="1" applyFill="1" applyBorder="1" applyAlignment="1" applyProtection="1">
      <alignment vertical="top" wrapText="1"/>
      <protection locked="0"/>
    </xf>
    <xf numFmtId="0" fontId="1" fillId="20" borderId="25" xfId="0" applyFont="1" applyFill="1" applyBorder="1"/>
    <xf numFmtId="0" fontId="0" fillId="18" borderId="25" xfId="0" applyFont="1" applyFill="1" applyBorder="1" applyAlignment="1">
      <alignment horizontal="left" vertical="center"/>
    </xf>
    <xf numFmtId="0" fontId="0" fillId="18" borderId="25" xfId="0" applyFont="1" applyFill="1" applyBorder="1" applyAlignment="1">
      <alignment horizontal="left"/>
    </xf>
    <xf numFmtId="0" fontId="0" fillId="0" borderId="0" xfId="0" applyFont="1"/>
    <xf numFmtId="0" fontId="0" fillId="0" borderId="0" xfId="0" applyFont="1" applyFill="1" applyBorder="1" applyAlignment="1">
      <alignment horizontal="left"/>
    </xf>
    <xf numFmtId="0" fontId="0" fillId="0" borderId="0" xfId="0" applyFont="1" applyFill="1" applyAlignment="1">
      <alignment horizontal="left"/>
    </xf>
    <xf numFmtId="173" fontId="0" fillId="18" borderId="25" xfId="0" applyNumberFormat="1" applyFont="1" applyFill="1" applyBorder="1" applyAlignment="1">
      <alignment horizontal="center"/>
    </xf>
    <xf numFmtId="3" fontId="0" fillId="0" borderId="0" xfId="0" applyNumberFormat="1" applyFont="1"/>
    <xf numFmtId="0" fontId="0" fillId="21" borderId="25" xfId="0" applyFont="1" applyFill="1" applyBorder="1"/>
    <xf numFmtId="0" fontId="0" fillId="18" borderId="0" xfId="0" applyFont="1" applyFill="1" applyBorder="1" applyAlignment="1">
      <alignment horizontal="left"/>
    </xf>
    <xf numFmtId="0" fontId="0" fillId="18" borderId="0" xfId="0" applyFont="1" applyFill="1" applyBorder="1" applyAlignment="1">
      <alignment horizontal="left" vertical="center"/>
    </xf>
    <xf numFmtId="0" fontId="34" fillId="74" borderId="11" xfId="0" applyFont="1" applyFill="1" applyBorder="1" applyAlignment="1">
      <alignment horizontal="center" vertical="center" wrapText="1"/>
    </xf>
    <xf numFmtId="0" fontId="34" fillId="74" borderId="13" xfId="0" applyFont="1" applyFill="1" applyBorder="1" applyAlignment="1">
      <alignment horizontal="center" vertical="center" wrapText="1"/>
    </xf>
    <xf numFmtId="0" fontId="54" fillId="74" borderId="13" xfId="0" applyFont="1" applyFill="1" applyBorder="1" applyAlignment="1">
      <alignment horizontal="center" vertical="center" wrapText="1"/>
    </xf>
    <xf numFmtId="0" fontId="54" fillId="74" borderId="11" xfId="0" applyFont="1" applyFill="1" applyBorder="1" applyAlignment="1">
      <alignment horizontal="center" vertical="center" wrapText="1"/>
    </xf>
    <xf numFmtId="0" fontId="1" fillId="0" borderId="10" xfId="0" applyFont="1" applyFill="1" applyBorder="1" applyAlignment="1">
      <alignment wrapText="1"/>
    </xf>
    <xf numFmtId="0" fontId="2" fillId="0" borderId="11" xfId="0" applyFont="1" applyFill="1" applyBorder="1" applyAlignment="1">
      <alignment wrapText="1"/>
    </xf>
    <xf numFmtId="0" fontId="1" fillId="0" borderId="0" xfId="41" applyFont="1" applyFill="1" applyBorder="1" applyAlignment="1">
      <alignment horizontal="left"/>
    </xf>
    <xf numFmtId="0" fontId="1" fillId="0" borderId="11" xfId="41" applyFont="1" applyFill="1" applyBorder="1"/>
    <xf numFmtId="0" fontId="2" fillId="0" borderId="0" xfId="41" applyFont="1" applyFill="1" applyBorder="1"/>
    <xf numFmtId="0" fontId="1" fillId="0" borderId="11" xfId="41" applyFont="1" applyFill="1" applyBorder="1" applyAlignment="1">
      <alignment wrapText="1"/>
    </xf>
    <xf numFmtId="0" fontId="1" fillId="0" borderId="0" xfId="41" applyFont="1" applyFill="1" applyBorder="1" applyAlignment="1">
      <alignment horizontal="left" wrapText="1"/>
    </xf>
    <xf numFmtId="0" fontId="1" fillId="0" borderId="0" xfId="41" applyFont="1" applyFill="1" applyBorder="1" applyAlignment="1">
      <alignment wrapText="1"/>
    </xf>
    <xf numFmtId="0" fontId="2" fillId="0" borderId="59" xfId="41" applyFont="1" applyFill="1" applyBorder="1" applyAlignment="1" applyProtection="1">
      <alignment horizontal="right" wrapText="1"/>
      <protection locked="0"/>
    </xf>
    <xf numFmtId="0" fontId="1" fillId="0" borderId="0" xfId="41" applyFont="1" applyFill="1" applyBorder="1" applyAlignment="1">
      <alignment vertical="center" wrapText="1"/>
    </xf>
    <xf numFmtId="0" fontId="2" fillId="0" borderId="11" xfId="41" applyFont="1" applyFill="1" applyBorder="1" applyAlignment="1">
      <alignment horizontal="right" wrapText="1"/>
    </xf>
    <xf numFmtId="0" fontId="1" fillId="0" borderId="0" xfId="41" applyFont="1" applyFill="1" applyBorder="1" applyAlignment="1">
      <alignment vertical="top" wrapText="1"/>
    </xf>
    <xf numFmtId="0" fontId="2" fillId="0" borderId="0" xfId="41" applyFont="1" applyFill="1" applyBorder="1" applyAlignment="1">
      <alignment horizontal="center"/>
    </xf>
    <xf numFmtId="0" fontId="2" fillId="0" borderId="0" xfId="41" applyFont="1" applyFill="1" applyBorder="1" applyAlignment="1">
      <alignment horizontal="left" wrapText="1"/>
    </xf>
    <xf numFmtId="0" fontId="2" fillId="0" borderId="0" xfId="41" applyFont="1" applyFill="1" applyBorder="1" applyAlignment="1">
      <alignment horizontal="left"/>
    </xf>
    <xf numFmtId="0" fontId="2" fillId="0" borderId="11" xfId="41" applyFont="1" applyFill="1" applyBorder="1"/>
    <xf numFmtId="0" fontId="1" fillId="0" borderId="11" xfId="0" applyFont="1" applyFill="1" applyBorder="1" applyAlignment="1">
      <alignment horizontal="center" wrapText="1"/>
    </xf>
    <xf numFmtId="0" fontId="1" fillId="0" borderId="0" xfId="0" applyFont="1" applyFill="1" applyBorder="1" applyAlignment="1">
      <alignment horizontal="center"/>
    </xf>
    <xf numFmtId="0" fontId="2" fillId="0" borderId="11" xfId="41" applyFont="1" applyFill="1" applyBorder="1" applyAlignment="1">
      <alignment wrapText="1"/>
    </xf>
    <xf numFmtId="0" fontId="2" fillId="0" borderId="51" xfId="42" applyFont="1" applyFill="1" applyBorder="1" applyAlignment="1">
      <alignment horizontal="center"/>
    </xf>
    <xf numFmtId="0" fontId="1" fillId="0" borderId="16" xfId="41" applyFont="1" applyFill="1" applyBorder="1"/>
    <xf numFmtId="0" fontId="1" fillId="0" borderId="16" xfId="41" applyFont="1" applyFill="1" applyBorder="1" applyAlignment="1">
      <alignment horizontal="left"/>
    </xf>
    <xf numFmtId="0" fontId="1" fillId="0" borderId="15" xfId="41" applyFont="1" applyFill="1" applyBorder="1"/>
    <xf numFmtId="2" fontId="2" fillId="18" borderId="0" xfId="0" applyNumberFormat="1" applyFont="1" applyFill="1" applyBorder="1" applyAlignment="1">
      <alignment wrapText="1"/>
    </xf>
    <xf numFmtId="2" fontId="1" fillId="18" borderId="0" xfId="0" applyNumberFormat="1" applyFont="1" applyFill="1" applyBorder="1" applyAlignment="1">
      <alignment wrapText="1"/>
    </xf>
    <xf numFmtId="0" fontId="3" fillId="0" borderId="11" xfId="41" applyFont="1" applyFill="1" applyBorder="1" applyAlignment="1">
      <alignment vertical="top" wrapText="1"/>
    </xf>
    <xf numFmtId="0" fontId="1" fillId="20" borderId="0" xfId="0" applyFont="1" applyFill="1" applyBorder="1" applyAlignment="1"/>
    <xf numFmtId="0" fontId="81" fillId="0" borderId="0" xfId="40" applyFont="1"/>
    <xf numFmtId="0" fontId="81" fillId="0" borderId="0" xfId="40" applyFont="1" applyFill="1"/>
    <xf numFmtId="2" fontId="81" fillId="0" borderId="0" xfId="40" applyNumberFormat="1" applyFont="1" applyFill="1" applyAlignment="1">
      <alignment horizontal="center" vertical="center" wrapText="1"/>
    </xf>
    <xf numFmtId="0" fontId="0" fillId="23" borderId="37" xfId="28" applyNumberFormat="1" applyFont="1" applyFill="1" applyBorder="1" applyAlignment="1" applyProtection="1">
      <alignment horizontal="center" wrapText="1"/>
      <protection locked="0"/>
    </xf>
    <xf numFmtId="0" fontId="82" fillId="0" borderId="0" xfId="40" applyFont="1"/>
    <xf numFmtId="0" fontId="1" fillId="0" borderId="63" xfId="0" applyFont="1" applyBorder="1" applyAlignment="1">
      <alignment wrapText="1"/>
    </xf>
    <xf numFmtId="0" fontId="1" fillId="20" borderId="25" xfId="0" applyFont="1" applyFill="1" applyBorder="1" applyAlignment="1">
      <alignment wrapText="1"/>
    </xf>
    <xf numFmtId="0" fontId="83" fillId="0" borderId="0" xfId="40" applyFont="1"/>
    <xf numFmtId="0" fontId="83" fillId="0" borderId="0" xfId="40" applyFont="1" applyAlignment="1"/>
    <xf numFmtId="0" fontId="83" fillId="0" borderId="0" xfId="40" applyFont="1" applyAlignment="1">
      <alignment wrapText="1"/>
    </xf>
    <xf numFmtId="0" fontId="2" fillId="20" borderId="18" xfId="0" applyFont="1" applyFill="1" applyBorder="1" applyAlignment="1">
      <alignment horizontal="center" wrapText="1"/>
    </xf>
    <xf numFmtId="1" fontId="1" fillId="20" borderId="24" xfId="0" applyNumberFormat="1" applyFont="1" applyFill="1" applyBorder="1" applyAlignment="1">
      <alignment horizontal="center"/>
    </xf>
    <xf numFmtId="1" fontId="1" fillId="20" borderId="23" xfId="0" applyNumberFormat="1" applyFont="1" applyFill="1" applyBorder="1" applyAlignment="1">
      <alignment horizontal="center"/>
    </xf>
    <xf numFmtId="0" fontId="1" fillId="23" borderId="0" xfId="0" applyFont="1" applyFill="1" applyBorder="1" applyProtection="1">
      <protection locked="0"/>
    </xf>
    <xf numFmtId="0" fontId="1" fillId="82" borderId="37" xfId="0" applyFont="1" applyFill="1" applyBorder="1" applyAlignment="1" applyProtection="1">
      <alignment horizontal="center" wrapText="1"/>
      <protection locked="0"/>
    </xf>
    <xf numFmtId="175" fontId="2" fillId="20" borderId="28" xfId="28" applyNumberFormat="1" applyFont="1" applyFill="1" applyBorder="1" applyAlignment="1">
      <alignment horizontal="center" wrapText="1"/>
    </xf>
    <xf numFmtId="175" fontId="2" fillId="20" borderId="12" xfId="28" applyNumberFormat="1" applyFont="1" applyFill="1" applyBorder="1" applyAlignment="1">
      <alignment horizontal="center" wrapText="1"/>
    </xf>
    <xf numFmtId="175" fontId="2" fillId="20" borderId="22" xfId="28" applyNumberFormat="1" applyFont="1" applyFill="1" applyBorder="1" applyAlignment="1">
      <alignment horizontal="center" wrapText="1"/>
    </xf>
    <xf numFmtId="175" fontId="2" fillId="20" borderId="29" xfId="28" applyNumberFormat="1" applyFont="1" applyFill="1" applyBorder="1" applyAlignment="1">
      <alignment horizontal="center" wrapText="1"/>
    </xf>
    <xf numFmtId="175" fontId="1" fillId="20" borderId="10" xfId="28" applyNumberFormat="1" applyFont="1" applyFill="1" applyBorder="1" applyAlignment="1">
      <alignment horizontal="center"/>
    </xf>
    <xf numFmtId="175" fontId="1" fillId="18" borderId="12" xfId="28" applyNumberFormat="1" applyFont="1" applyFill="1" applyBorder="1" applyAlignment="1">
      <alignment horizontal="center"/>
    </xf>
    <xf numFmtId="175" fontId="1" fillId="20" borderId="18" xfId="28" applyNumberFormat="1" applyFont="1" applyFill="1" applyBorder="1" applyAlignment="1">
      <alignment horizontal="center"/>
    </xf>
    <xf numFmtId="175" fontId="1" fillId="20" borderId="22" xfId="28" applyNumberFormat="1" applyFont="1" applyFill="1" applyBorder="1" applyAlignment="1">
      <alignment horizontal="center"/>
    </xf>
    <xf numFmtId="175" fontId="1" fillId="20" borderId="13" xfId="28" applyNumberFormat="1" applyFont="1" applyFill="1" applyBorder="1" applyAlignment="1">
      <alignment horizontal="center"/>
    </xf>
    <xf numFmtId="175" fontId="1" fillId="20" borderId="11" xfId="28" applyNumberFormat="1" applyFont="1" applyFill="1" applyBorder="1" applyAlignment="1">
      <alignment horizontal="center"/>
    </xf>
    <xf numFmtId="175" fontId="1" fillId="20" borderId="0" xfId="28" applyNumberFormat="1" applyFont="1" applyFill="1" applyBorder="1" applyAlignment="1">
      <alignment horizontal="center"/>
    </xf>
    <xf numFmtId="175" fontId="1" fillId="18" borderId="0" xfId="28" applyNumberFormat="1" applyFont="1" applyFill="1" applyBorder="1" applyAlignment="1">
      <alignment horizontal="center"/>
    </xf>
    <xf numFmtId="175" fontId="1" fillId="20" borderId="24" xfId="28" applyNumberFormat="1" applyFont="1" applyFill="1" applyBorder="1" applyAlignment="1">
      <alignment horizontal="center"/>
    </xf>
    <xf numFmtId="175" fontId="1" fillId="18" borderId="11" xfId="28" applyNumberFormat="1" applyFont="1" applyFill="1" applyBorder="1" applyAlignment="1">
      <alignment horizontal="center"/>
    </xf>
    <xf numFmtId="175" fontId="1" fillId="18" borderId="15" xfId="28" applyNumberFormat="1" applyFont="1" applyFill="1" applyBorder="1" applyAlignment="1">
      <alignment horizontal="center"/>
    </xf>
    <xf numFmtId="175" fontId="1" fillId="18" borderId="16" xfId="28" applyNumberFormat="1" applyFont="1" applyFill="1" applyBorder="1" applyAlignment="1">
      <alignment horizontal="center"/>
    </xf>
    <xf numFmtId="175" fontId="1" fillId="20" borderId="15" xfId="28" applyNumberFormat="1" applyFont="1" applyFill="1" applyBorder="1" applyAlignment="1">
      <alignment horizontal="center"/>
    </xf>
    <xf numFmtId="175" fontId="1" fillId="20" borderId="23" xfId="28" applyNumberFormat="1" applyFont="1" applyFill="1" applyBorder="1" applyAlignment="1">
      <alignment horizontal="center"/>
    </xf>
    <xf numFmtId="175" fontId="1" fillId="20" borderId="17" xfId="28" applyNumberFormat="1" applyFont="1" applyFill="1" applyBorder="1" applyAlignment="1">
      <alignment horizontal="center"/>
    </xf>
    <xf numFmtId="175" fontId="56" fillId="71" borderId="26" xfId="28" applyNumberFormat="1" applyFont="1" applyFill="1" applyBorder="1" applyAlignment="1">
      <alignment horizontal="center" wrapText="1"/>
    </xf>
    <xf numFmtId="175" fontId="56" fillId="71" borderId="28" xfId="28" applyNumberFormat="1" applyFont="1" applyFill="1" applyBorder="1" applyAlignment="1">
      <alignment horizontal="center" wrapText="1"/>
    </xf>
    <xf numFmtId="175" fontId="56" fillId="71" borderId="28" xfId="28" applyNumberFormat="1" applyFont="1" applyFill="1" applyBorder="1" applyAlignment="1">
      <alignment horizontal="center"/>
    </xf>
    <xf numFmtId="175" fontId="56" fillId="71" borderId="16" xfId="28" applyNumberFormat="1" applyFont="1" applyFill="1" applyBorder="1" applyAlignment="1">
      <alignment horizontal="center" wrapText="1"/>
    </xf>
    <xf numFmtId="175" fontId="56" fillId="71" borderId="17" xfId="28" applyNumberFormat="1" applyFont="1" applyFill="1" applyBorder="1" applyAlignment="1">
      <alignment horizontal="center" wrapText="1"/>
    </xf>
    <xf numFmtId="175" fontId="56" fillId="71" borderId="29" xfId="28" applyNumberFormat="1" applyFont="1" applyFill="1" applyBorder="1" applyAlignment="1">
      <alignment horizontal="center"/>
    </xf>
    <xf numFmtId="0" fontId="1" fillId="23" borderId="0" xfId="0" applyFont="1" applyFill="1" applyBorder="1" applyAlignment="1" applyProtection="1">
      <alignment horizontal="center"/>
      <protection locked="0"/>
    </xf>
    <xf numFmtId="164" fontId="2" fillId="20" borderId="12" xfId="28" applyFont="1" applyFill="1" applyBorder="1" applyAlignment="1">
      <alignment horizontal="right" wrapText="1"/>
    </xf>
    <xf numFmtId="164" fontId="2" fillId="20" borderId="22" xfId="28" applyFont="1" applyFill="1" applyBorder="1" applyAlignment="1">
      <alignment horizontal="right" wrapText="1"/>
    </xf>
    <xf numFmtId="164" fontId="2" fillId="23" borderId="29" xfId="28" applyFont="1" applyFill="1" applyBorder="1" applyAlignment="1" applyProtection="1">
      <alignment horizontal="right" wrapText="1"/>
      <protection locked="0"/>
    </xf>
    <xf numFmtId="0" fontId="2" fillId="20" borderId="10" xfId="41" applyFont="1" applyFill="1" applyBorder="1" applyAlignment="1">
      <alignment horizontal="right" wrapText="1"/>
    </xf>
    <xf numFmtId="0" fontId="2" fillId="20" borderId="12" xfId="41" applyFont="1" applyFill="1" applyBorder="1" applyAlignment="1">
      <alignment horizontal="right" wrapText="1"/>
    </xf>
    <xf numFmtId="0" fontId="2" fillId="20" borderId="22" xfId="41" applyFont="1" applyFill="1" applyBorder="1" applyAlignment="1">
      <alignment horizontal="right" wrapText="1"/>
    </xf>
    <xf numFmtId="0" fontId="2" fillId="23" borderId="29" xfId="41" applyFont="1" applyFill="1" applyBorder="1" applyAlignment="1" applyProtection="1">
      <alignment horizontal="right"/>
      <protection locked="0"/>
    </xf>
    <xf numFmtId="0" fontId="2" fillId="18" borderId="10" xfId="0" applyFont="1" applyFill="1" applyBorder="1" applyAlignment="1">
      <alignment horizontal="right" wrapText="1"/>
    </xf>
    <xf numFmtId="0" fontId="2" fillId="18" borderId="12" xfId="0" applyFont="1" applyFill="1" applyBorder="1" applyAlignment="1">
      <alignment horizontal="right" wrapText="1"/>
    </xf>
    <xf numFmtId="0" fontId="2" fillId="0" borderId="29" xfId="41" applyFont="1" applyBorder="1" applyAlignment="1">
      <alignment horizontal="right"/>
    </xf>
    <xf numFmtId="164" fontId="37" fillId="71" borderId="0" xfId="28" applyFont="1" applyFill="1" applyBorder="1" applyAlignment="1">
      <alignment horizontal="right"/>
    </xf>
    <xf numFmtId="0" fontId="1" fillId="45" borderId="26" xfId="0" applyFont="1" applyFill="1" applyBorder="1" applyAlignment="1">
      <alignment horizontal="right" wrapText="1"/>
    </xf>
    <xf numFmtId="0" fontId="1" fillId="23" borderId="29" xfId="0" applyFont="1" applyFill="1" applyBorder="1" applyAlignment="1" applyProtection="1">
      <alignment horizontal="right"/>
      <protection locked="0"/>
    </xf>
    <xf numFmtId="164" fontId="1" fillId="45" borderId="12" xfId="28" applyFont="1" applyFill="1" applyBorder="1" applyAlignment="1">
      <alignment horizontal="right" vertical="center" wrapText="1"/>
    </xf>
    <xf numFmtId="164" fontId="1" fillId="23" borderId="29" xfId="28" applyFont="1" applyFill="1" applyBorder="1" applyAlignment="1" applyProtection="1">
      <alignment horizontal="right" vertical="center"/>
      <protection locked="0"/>
    </xf>
    <xf numFmtId="175" fontId="1" fillId="20" borderId="12" xfId="28" applyNumberFormat="1" applyFont="1" applyFill="1" applyBorder="1" applyAlignment="1">
      <alignment horizontal="right"/>
    </xf>
    <xf numFmtId="175" fontId="1" fillId="20" borderId="12" xfId="28" applyNumberFormat="1" applyFont="1" applyFill="1" applyBorder="1" applyAlignment="1">
      <alignment horizontal="right" wrapText="1"/>
    </xf>
    <xf numFmtId="175" fontId="1" fillId="20" borderId="22" xfId="28" applyNumberFormat="1" applyFont="1" applyFill="1" applyBorder="1" applyAlignment="1">
      <alignment horizontal="right" wrapText="1"/>
    </xf>
    <xf numFmtId="175" fontId="1" fillId="20" borderId="18" xfId="28" applyNumberFormat="1" applyFont="1" applyFill="1" applyBorder="1" applyAlignment="1">
      <alignment horizontal="right"/>
    </xf>
    <xf numFmtId="175" fontId="1" fillId="20" borderId="0" xfId="28" applyNumberFormat="1" applyFont="1" applyFill="1" applyBorder="1" applyAlignment="1">
      <alignment horizontal="right"/>
    </xf>
    <xf numFmtId="175" fontId="1" fillId="20" borderId="13" xfId="28" applyNumberFormat="1" applyFont="1" applyFill="1" applyBorder="1" applyAlignment="1">
      <alignment horizontal="right"/>
    </xf>
    <xf numFmtId="175" fontId="1" fillId="20" borderId="24" xfId="28" applyNumberFormat="1" applyFont="1" applyFill="1" applyBorder="1" applyAlignment="1">
      <alignment horizontal="right"/>
    </xf>
    <xf numFmtId="175" fontId="1" fillId="20" borderId="16" xfId="28" applyNumberFormat="1" applyFont="1" applyFill="1" applyBorder="1" applyAlignment="1">
      <alignment horizontal="right"/>
    </xf>
    <xf numFmtId="175" fontId="1" fillId="20" borderId="23" xfId="28" applyNumberFormat="1" applyFont="1" applyFill="1" applyBorder="1" applyAlignment="1">
      <alignment horizontal="right"/>
    </xf>
    <xf numFmtId="175" fontId="51" fillId="70" borderId="28" xfId="28" applyNumberFormat="1" applyFont="1" applyFill="1" applyBorder="1" applyAlignment="1">
      <alignment horizontal="right" vertical="center" wrapText="1"/>
    </xf>
    <xf numFmtId="175" fontId="51" fillId="70" borderId="27" xfId="28" applyNumberFormat="1" applyFont="1" applyFill="1" applyBorder="1" applyAlignment="1">
      <alignment horizontal="right" vertical="center" wrapText="1"/>
    </xf>
    <xf numFmtId="175" fontId="52" fillId="71" borderId="29" xfId="28" applyNumberFormat="1" applyFont="1" applyFill="1" applyBorder="1" applyAlignment="1">
      <alignment horizontal="right" vertical="center"/>
    </xf>
    <xf numFmtId="175" fontId="1" fillId="20" borderId="18" xfId="28" applyNumberFormat="1" applyFont="1" applyFill="1" applyBorder="1" applyAlignment="1" applyProtection="1">
      <alignment horizontal="right" vertical="center"/>
      <protection locked="0"/>
    </xf>
    <xf numFmtId="175" fontId="1" fillId="20" borderId="24" xfId="28" applyNumberFormat="1" applyFont="1" applyFill="1" applyBorder="1" applyAlignment="1" applyProtection="1">
      <alignment horizontal="right" vertical="center"/>
      <protection locked="0"/>
    </xf>
    <xf numFmtId="175" fontId="1" fillId="20" borderId="23" xfId="28" applyNumberFormat="1" applyFont="1" applyFill="1" applyBorder="1" applyAlignment="1">
      <alignment horizontal="right" vertical="center"/>
    </xf>
    <xf numFmtId="175" fontId="37" fillId="71" borderId="29" xfId="28" applyNumberFormat="1" applyFont="1" applyFill="1" applyBorder="1" applyAlignment="1">
      <alignment horizontal="right" vertical="center"/>
    </xf>
    <xf numFmtId="175" fontId="1" fillId="20" borderId="10" xfId="28" applyNumberFormat="1" applyFont="1" applyFill="1" applyBorder="1" applyAlignment="1">
      <alignment horizontal="right" wrapText="1"/>
    </xf>
    <xf numFmtId="175" fontId="1" fillId="0" borderId="22" xfId="28" applyNumberFormat="1" applyFont="1" applyBorder="1" applyAlignment="1">
      <alignment horizontal="right"/>
    </xf>
    <xf numFmtId="175" fontId="1" fillId="20" borderId="11" xfId="28" applyNumberFormat="1" applyFont="1" applyFill="1" applyBorder="1" applyAlignment="1">
      <alignment horizontal="right" wrapText="1"/>
    </xf>
    <xf numFmtId="175" fontId="1" fillId="20" borderId="0" xfId="28" applyNumberFormat="1" applyFont="1" applyFill="1" applyBorder="1" applyAlignment="1">
      <alignment horizontal="right" wrapText="1"/>
    </xf>
    <xf numFmtId="175" fontId="1" fillId="20" borderId="13" xfId="28" applyNumberFormat="1" applyFont="1" applyFill="1" applyBorder="1" applyAlignment="1">
      <alignment horizontal="right" wrapText="1"/>
    </xf>
    <xf numFmtId="175" fontId="1" fillId="0" borderId="13" xfId="28" applyNumberFormat="1" applyFont="1" applyBorder="1" applyAlignment="1">
      <alignment horizontal="right"/>
    </xf>
    <xf numFmtId="175" fontId="1" fillId="20" borderId="15" xfId="28" applyNumberFormat="1" applyFont="1" applyFill="1" applyBorder="1" applyAlignment="1">
      <alignment horizontal="right" wrapText="1"/>
    </xf>
    <xf numFmtId="175" fontId="0" fillId="0" borderId="16" xfId="28" applyNumberFormat="1" applyFont="1" applyBorder="1" applyAlignment="1">
      <alignment horizontal="right"/>
    </xf>
    <xf numFmtId="175" fontId="0" fillId="0" borderId="17" xfId="28" applyNumberFormat="1" applyFont="1" applyBorder="1" applyAlignment="1">
      <alignment horizontal="right"/>
    </xf>
    <xf numFmtId="175" fontId="1" fillId="0" borderId="17" xfId="28" applyNumberFormat="1" applyFont="1" applyBorder="1" applyAlignment="1">
      <alignment horizontal="right"/>
    </xf>
    <xf numFmtId="175" fontId="48" fillId="71" borderId="16" xfId="28" applyNumberFormat="1" applyFont="1" applyFill="1" applyBorder="1" applyAlignment="1">
      <alignment horizontal="right" vertical="center" wrapText="1"/>
    </xf>
    <xf numFmtId="175" fontId="48" fillId="71" borderId="28" xfId="28" applyNumberFormat="1" applyFont="1" applyFill="1" applyBorder="1" applyAlignment="1">
      <alignment horizontal="right" vertical="center"/>
    </xf>
    <xf numFmtId="175" fontId="1" fillId="20" borderId="16" xfId="28" applyNumberFormat="1" applyFont="1" applyFill="1" applyBorder="1" applyAlignment="1">
      <alignment horizontal="right" wrapText="1"/>
    </xf>
    <xf numFmtId="175" fontId="1" fillId="20" borderId="17" xfId="28" applyNumberFormat="1" applyFont="1" applyFill="1" applyBorder="1" applyAlignment="1">
      <alignment horizontal="right" wrapText="1"/>
    </xf>
    <xf numFmtId="175" fontId="1" fillId="88" borderId="16" xfId="28" applyNumberFormat="1" applyFont="1" applyFill="1" applyBorder="1" applyAlignment="1">
      <alignment horizontal="right" wrapText="1"/>
    </xf>
    <xf numFmtId="175" fontId="34" fillId="89" borderId="29" xfId="28" applyNumberFormat="1" applyFont="1" applyFill="1" applyBorder="1" applyAlignment="1">
      <alignment horizontal="right"/>
    </xf>
    <xf numFmtId="175" fontId="1" fillId="45" borderId="10" xfId="28" applyNumberFormat="1" applyFont="1" applyFill="1" applyBorder="1" applyAlignment="1">
      <alignment horizontal="center"/>
    </xf>
    <xf numFmtId="175" fontId="1" fillId="45" borderId="11" xfId="28" applyNumberFormat="1" applyFont="1" applyFill="1" applyBorder="1" applyAlignment="1">
      <alignment horizontal="center"/>
    </xf>
    <xf numFmtId="175" fontId="1" fillId="0" borderId="15" xfId="28" applyNumberFormat="1" applyFont="1" applyBorder="1" applyAlignment="1">
      <alignment horizontal="center"/>
    </xf>
    <xf numFmtId="175" fontId="37" fillId="72" borderId="11" xfId="28" applyNumberFormat="1" applyFont="1" applyFill="1" applyBorder="1" applyAlignment="1">
      <alignment horizontal="center"/>
    </xf>
    <xf numFmtId="175" fontId="37" fillId="71" borderId="18" xfId="28" applyNumberFormat="1" applyFont="1" applyFill="1" applyBorder="1" applyAlignment="1">
      <alignment horizontal="center"/>
    </xf>
    <xf numFmtId="175" fontId="37" fillId="72" borderId="15" xfId="28" applyNumberFormat="1" applyFont="1" applyFill="1" applyBorder="1" applyAlignment="1">
      <alignment horizontal="center"/>
    </xf>
    <xf numFmtId="175" fontId="37" fillId="71" borderId="23" xfId="28" applyNumberFormat="1" applyFont="1" applyFill="1" applyBorder="1" applyAlignment="1">
      <alignment horizontal="center"/>
    </xf>
    <xf numFmtId="175" fontId="1" fillId="45" borderId="22" xfId="28" applyNumberFormat="1" applyFont="1" applyFill="1" applyBorder="1" applyAlignment="1">
      <alignment horizontal="right" vertical="center"/>
    </xf>
    <xf numFmtId="175" fontId="1" fillId="20" borderId="24" xfId="28" applyNumberFormat="1" applyFont="1" applyFill="1" applyBorder="1" applyAlignment="1">
      <alignment horizontal="right" vertical="center"/>
    </xf>
    <xf numFmtId="175" fontId="1" fillId="45" borderId="13" xfId="28" applyNumberFormat="1" applyFont="1" applyFill="1" applyBorder="1" applyAlignment="1">
      <alignment horizontal="right" vertical="center"/>
    </xf>
    <xf numFmtId="175" fontId="1" fillId="20" borderId="13" xfId="28" applyNumberFormat="1" applyFont="1" applyFill="1" applyBorder="1" applyAlignment="1">
      <alignment horizontal="right" vertical="center"/>
    </xf>
    <xf numFmtId="175" fontId="1" fillId="20" borderId="17" xfId="28" applyNumberFormat="1" applyFont="1" applyFill="1" applyBorder="1" applyAlignment="1">
      <alignment horizontal="right" vertical="center"/>
    </xf>
    <xf numFmtId="175" fontId="37" fillId="71" borderId="22" xfId="28" applyNumberFormat="1" applyFont="1" applyFill="1" applyBorder="1" applyAlignment="1">
      <alignment horizontal="right" vertical="center"/>
    </xf>
    <xf numFmtId="175" fontId="48" fillId="71" borderId="22" xfId="28" applyNumberFormat="1" applyFont="1" applyFill="1" applyBorder="1" applyAlignment="1">
      <alignment horizontal="right" vertical="center"/>
    </xf>
    <xf numFmtId="175" fontId="37" fillId="71" borderId="17" xfId="28" applyNumberFormat="1" applyFont="1" applyFill="1" applyBorder="1" applyAlignment="1">
      <alignment horizontal="right" vertical="center"/>
    </xf>
    <xf numFmtId="175" fontId="48" fillId="71" borderId="17" xfId="28" applyNumberFormat="1" applyFont="1" applyFill="1" applyBorder="1" applyAlignment="1">
      <alignment horizontal="right" vertical="center"/>
    </xf>
    <xf numFmtId="0" fontId="1" fillId="36" borderId="11" xfId="0" applyFont="1" applyFill="1" applyBorder="1" applyAlignment="1">
      <alignment horizontal="center" vertical="center"/>
    </xf>
    <xf numFmtId="0" fontId="87" fillId="0" borderId="0" xfId="0" applyFont="1"/>
    <xf numFmtId="169" fontId="86" fillId="0" borderId="0" xfId="0" applyNumberFormat="1" applyFont="1" applyAlignment="1">
      <alignment horizontal="right"/>
    </xf>
    <xf numFmtId="2" fontId="1" fillId="0" borderId="0" xfId="40" applyNumberFormat="1" applyFont="1"/>
    <xf numFmtId="0" fontId="38" fillId="18" borderId="0" xfId="0" applyFont="1" applyFill="1" applyBorder="1" applyAlignment="1">
      <alignment horizontal="left" wrapText="1"/>
    </xf>
    <xf numFmtId="0" fontId="53" fillId="74" borderId="18" xfId="0" applyFont="1" applyFill="1" applyBorder="1" applyAlignment="1">
      <alignment horizontal="right" wrapText="1"/>
    </xf>
    <xf numFmtId="0" fontId="53" fillId="74" borderId="24" xfId="0" applyFont="1" applyFill="1" applyBorder="1" applyAlignment="1">
      <alignment horizontal="right" wrapText="1"/>
    </xf>
    <xf numFmtId="0" fontId="53" fillId="74" borderId="23" xfId="0" applyFont="1" applyFill="1" applyBorder="1" applyAlignment="1">
      <alignment horizontal="right" wrapText="1"/>
    </xf>
    <xf numFmtId="0" fontId="51" fillId="71" borderId="15" xfId="0" applyFont="1" applyFill="1" applyBorder="1" applyAlignment="1">
      <alignment horizontal="right" vertical="center" wrapText="1"/>
    </xf>
    <xf numFmtId="0" fontId="0" fillId="21" borderId="0" xfId="0" applyFill="1" applyBorder="1"/>
    <xf numFmtId="0" fontId="0" fillId="21" borderId="12" xfId="0" applyFill="1" applyBorder="1"/>
    <xf numFmtId="0" fontId="0" fillId="21" borderId="22" xfId="0" applyFill="1" applyBorder="1"/>
    <xf numFmtId="0" fontId="59" fillId="90" borderId="25" xfId="0" applyFont="1" applyFill="1" applyBorder="1" applyAlignment="1" applyProtection="1">
      <alignment horizontal="center"/>
      <protection locked="0"/>
    </xf>
    <xf numFmtId="0" fontId="2" fillId="22" borderId="0" xfId="0" applyFont="1" applyFill="1"/>
    <xf numFmtId="0" fontId="1" fillId="22" borderId="13" xfId="0" applyFont="1" applyFill="1" applyBorder="1"/>
    <xf numFmtId="0" fontId="0" fillId="23" borderId="0" xfId="0" applyFill="1" applyBorder="1"/>
    <xf numFmtId="0" fontId="0" fillId="23" borderId="0" xfId="0" applyFont="1" applyFill="1" applyBorder="1"/>
    <xf numFmtId="0" fontId="1" fillId="22" borderId="16" xfId="0" applyFont="1" applyFill="1" applyBorder="1"/>
    <xf numFmtId="169" fontId="1" fillId="22" borderId="13" xfId="0" applyNumberFormat="1" applyFont="1" applyFill="1" applyBorder="1"/>
    <xf numFmtId="0" fontId="1" fillId="23" borderId="11" xfId="0" applyFont="1" applyFill="1" applyBorder="1"/>
    <xf numFmtId="0" fontId="1" fillId="23" borderId="13" xfId="0" applyFont="1" applyFill="1" applyBorder="1"/>
    <xf numFmtId="0" fontId="0" fillId="23" borderId="11" xfId="0" applyFill="1" applyBorder="1"/>
    <xf numFmtId="0" fontId="0" fillId="23" borderId="13" xfId="0" applyFont="1" applyFill="1" applyBorder="1"/>
    <xf numFmtId="0" fontId="1" fillId="22" borderId="17" xfId="0" applyFont="1" applyFill="1" applyBorder="1"/>
    <xf numFmtId="0" fontId="1" fillId="0" borderId="10" xfId="0" applyFont="1" applyBorder="1" applyAlignment="1">
      <alignment wrapText="1"/>
    </xf>
    <xf numFmtId="0" fontId="2" fillId="19" borderId="28" xfId="0" applyFont="1" applyFill="1" applyBorder="1" applyAlignment="1">
      <alignment wrapText="1"/>
    </xf>
    <xf numFmtId="0" fontId="2" fillId="19" borderId="27" xfId="0" applyFont="1" applyFill="1" applyBorder="1" applyAlignment="1">
      <alignment wrapText="1"/>
    </xf>
    <xf numFmtId="0" fontId="2" fillId="19" borderId="22" xfId="0" applyFont="1" applyFill="1" applyBorder="1" applyAlignment="1">
      <alignment wrapText="1"/>
    </xf>
    <xf numFmtId="0" fontId="1" fillId="74" borderId="10" xfId="0" applyFont="1" applyFill="1" applyBorder="1"/>
    <xf numFmtId="0" fontId="1" fillId="74" borderId="12" xfId="0" applyFont="1" applyFill="1" applyBorder="1"/>
    <xf numFmtId="0" fontId="0" fillId="20" borderId="0" xfId="0" applyFill="1" applyBorder="1"/>
    <xf numFmtId="0" fontId="0" fillId="20" borderId="13" xfId="0" applyFill="1" applyBorder="1"/>
    <xf numFmtId="0" fontId="53" fillId="74" borderId="15" xfId="0" applyFont="1" applyFill="1" applyBorder="1" applyAlignment="1">
      <alignment horizontal="center" vertical="center"/>
    </xf>
    <xf numFmtId="0" fontId="0" fillId="20" borderId="16" xfId="0" applyFill="1" applyBorder="1"/>
    <xf numFmtId="0" fontId="0" fillId="20" borderId="17" xfId="0" applyFill="1" applyBorder="1"/>
    <xf numFmtId="0" fontId="0" fillId="20" borderId="12" xfId="0" applyFill="1" applyBorder="1"/>
    <xf numFmtId="0" fontId="0" fillId="20" borderId="22" xfId="0" applyFill="1" applyBorder="1"/>
    <xf numFmtId="0" fontId="0" fillId="74" borderId="10" xfId="0" applyFill="1" applyBorder="1"/>
    <xf numFmtId="0" fontId="0" fillId="74" borderId="12" xfId="0" applyFill="1" applyBorder="1"/>
    <xf numFmtId="0" fontId="1" fillId="39" borderId="11" xfId="0" applyFont="1" applyFill="1" applyBorder="1" applyAlignment="1">
      <alignment horizontal="left"/>
    </xf>
    <xf numFmtId="0" fontId="1" fillId="45" borderId="11" xfId="0" applyFont="1" applyFill="1" applyBorder="1" applyAlignment="1">
      <alignment horizontal="left"/>
    </xf>
    <xf numFmtId="0" fontId="1" fillId="20" borderId="69" xfId="0" applyFont="1" applyFill="1" applyBorder="1" applyAlignment="1" applyProtection="1">
      <alignment horizontal="right" wrapText="1"/>
      <protection locked="0"/>
    </xf>
    <xf numFmtId="0" fontId="54" fillId="74" borderId="11" xfId="41" applyFont="1" applyFill="1" applyBorder="1" applyAlignment="1">
      <alignment vertical="center" wrapText="1"/>
    </xf>
    <xf numFmtId="0" fontId="54" fillId="74" borderId="13" xfId="41" applyFont="1" applyFill="1" applyBorder="1" applyAlignment="1">
      <alignment vertical="center" wrapText="1"/>
    </xf>
    <xf numFmtId="0" fontId="1" fillId="23" borderId="56" xfId="0" applyFont="1" applyFill="1" applyBorder="1" applyAlignment="1" applyProtection="1">
      <alignment horizontal="center"/>
      <protection locked="0"/>
    </xf>
    <xf numFmtId="0" fontId="2" fillId="0" borderId="13" xfId="41" applyFont="1" applyFill="1" applyBorder="1"/>
    <xf numFmtId="0" fontId="2" fillId="0" borderId="17" xfId="41" applyFont="1" applyFill="1" applyBorder="1"/>
    <xf numFmtId="0" fontId="1" fillId="91" borderId="0" xfId="0" applyFont="1" applyFill="1" applyBorder="1" applyAlignment="1">
      <alignment horizontal="center"/>
    </xf>
    <xf numFmtId="0" fontId="1" fillId="92" borderId="13" xfId="0" applyFont="1" applyFill="1" applyBorder="1" applyAlignment="1">
      <alignment horizontal="center"/>
    </xf>
    <xf numFmtId="0" fontId="1" fillId="19" borderId="12" xfId="0" applyFont="1" applyFill="1" applyBorder="1" applyAlignment="1">
      <alignment horizontal="center"/>
    </xf>
    <xf numFmtId="0" fontId="0" fillId="19" borderId="12" xfId="0" applyFill="1" applyBorder="1"/>
    <xf numFmtId="0" fontId="0" fillId="19" borderId="0" xfId="0" applyFill="1" applyBorder="1"/>
    <xf numFmtId="0" fontId="0" fillId="19" borderId="16" xfId="0" applyFill="1" applyBorder="1"/>
    <xf numFmtId="0" fontId="1" fillId="91" borderId="13" xfId="0" applyFont="1" applyFill="1" applyBorder="1" applyAlignment="1">
      <alignment horizontal="center"/>
    </xf>
    <xf numFmtId="0" fontId="1" fillId="91" borderId="16" xfId="0" applyFont="1" applyFill="1" applyBorder="1" applyAlignment="1">
      <alignment horizontal="center"/>
    </xf>
    <xf numFmtId="0" fontId="1" fillId="91" borderId="17" xfId="0" applyFont="1" applyFill="1" applyBorder="1" applyAlignment="1">
      <alignment horizontal="center"/>
    </xf>
    <xf numFmtId="0" fontId="2" fillId="18" borderId="22" xfId="0" applyFont="1" applyFill="1" applyBorder="1" applyAlignment="1">
      <alignment horizontal="center" vertical="center"/>
    </xf>
    <xf numFmtId="0" fontId="1" fillId="18" borderId="13" xfId="0" applyFont="1" applyFill="1" applyBorder="1" applyAlignment="1">
      <alignment horizontal="center" vertical="center"/>
    </xf>
    <xf numFmtId="0" fontId="1" fillId="28" borderId="13" xfId="0" applyFont="1" applyFill="1" applyBorder="1" applyAlignment="1">
      <alignment horizontal="center"/>
    </xf>
    <xf numFmtId="0" fontId="1" fillId="28" borderId="17" xfId="0" applyFont="1" applyFill="1" applyBorder="1" applyAlignment="1">
      <alignment horizontal="center"/>
    </xf>
    <xf numFmtId="0" fontId="1" fillId="19" borderId="10" xfId="0" applyFont="1" applyFill="1" applyBorder="1" applyAlignment="1">
      <alignment horizontal="center"/>
    </xf>
    <xf numFmtId="0" fontId="1" fillId="19" borderId="11" xfId="0" applyFont="1" applyFill="1" applyBorder="1" applyAlignment="1">
      <alignment horizontal="center"/>
    </xf>
    <xf numFmtId="0" fontId="2" fillId="19" borderId="11" xfId="0" applyFont="1" applyFill="1" applyBorder="1" applyAlignment="1">
      <alignment horizontal="center"/>
    </xf>
    <xf numFmtId="0" fontId="2" fillId="92" borderId="11" xfId="0" applyFont="1" applyFill="1" applyBorder="1" applyAlignment="1">
      <alignment horizontal="center"/>
    </xf>
    <xf numFmtId="0" fontId="1" fillId="91" borderId="11" xfId="0" applyFont="1" applyFill="1" applyBorder="1" applyAlignment="1">
      <alignment horizontal="center"/>
    </xf>
    <xf numFmtId="0" fontId="1" fillId="91" borderId="15" xfId="0" applyFont="1" applyFill="1" applyBorder="1" applyAlignment="1">
      <alignment horizontal="center"/>
    </xf>
    <xf numFmtId="0" fontId="10" fillId="19" borderId="11" xfId="0" applyFont="1" applyFill="1" applyBorder="1" applyAlignment="1">
      <alignment horizontal="left"/>
    </xf>
    <xf numFmtId="0" fontId="37" fillId="71" borderId="29" xfId="0" applyFont="1" applyFill="1" applyBorder="1" applyAlignment="1">
      <alignment wrapText="1"/>
    </xf>
    <xf numFmtId="0" fontId="1" fillId="20" borderId="24" xfId="0" applyNumberFormat="1" applyFont="1" applyFill="1" applyBorder="1" applyAlignment="1">
      <alignment horizontal="center"/>
    </xf>
    <xf numFmtId="0" fontId="10" fillId="19" borderId="0" xfId="0" applyFont="1" applyFill="1" applyBorder="1" applyAlignment="1">
      <alignment horizontal="left"/>
    </xf>
    <xf numFmtId="0" fontId="0" fillId="19" borderId="0" xfId="0" applyFill="1" applyAlignment="1">
      <alignment horizontal="center"/>
    </xf>
    <xf numFmtId="0" fontId="90" fillId="20" borderId="0" xfId="0" applyNumberFormat="1" applyFont="1" applyFill="1" applyBorder="1" applyAlignment="1">
      <alignment wrapText="1"/>
    </xf>
    <xf numFmtId="0" fontId="62" fillId="19" borderId="70" xfId="0" applyFont="1" applyFill="1" applyBorder="1" applyAlignment="1">
      <alignment wrapText="1"/>
    </xf>
    <xf numFmtId="0" fontId="0" fillId="43" borderId="0" xfId="0" applyFill="1" applyBorder="1"/>
    <xf numFmtId="0" fontId="1" fillId="43" borderId="13" xfId="0" applyFont="1" applyFill="1" applyBorder="1" applyAlignment="1">
      <alignment horizontal="center"/>
    </xf>
    <xf numFmtId="0" fontId="82" fillId="20" borderId="0" xfId="0" applyNumberFormat="1" applyFont="1" applyFill="1" applyBorder="1"/>
    <xf numFmtId="0" fontId="37" fillId="21" borderId="26" xfId="0" applyFont="1" applyFill="1" applyBorder="1" applyAlignment="1">
      <alignment wrapText="1"/>
    </xf>
    <xf numFmtId="0" fontId="91" fillId="20" borderId="28" xfId="0" applyFont="1" applyFill="1" applyBorder="1" applyAlignment="1">
      <alignment wrapText="1"/>
    </xf>
    <xf numFmtId="0" fontId="91" fillId="20" borderId="27" xfId="0" applyFont="1" applyFill="1" applyBorder="1" applyAlignment="1">
      <alignment wrapText="1"/>
    </xf>
    <xf numFmtId="0" fontId="91" fillId="20" borderId="26" xfId="0" applyFont="1" applyFill="1" applyBorder="1" applyAlignment="1">
      <alignment wrapText="1"/>
    </xf>
    <xf numFmtId="0" fontId="82" fillId="20" borderId="11" xfId="0" applyNumberFormat="1" applyFont="1" applyFill="1" applyBorder="1"/>
    <xf numFmtId="0" fontId="82" fillId="20" borderId="13" xfId="0" applyNumberFormat="1" applyFont="1" applyFill="1" applyBorder="1"/>
    <xf numFmtId="0" fontId="91" fillId="20" borderId="12" xfId="0" applyFont="1" applyFill="1" applyBorder="1" applyAlignment="1">
      <alignment wrapText="1"/>
    </xf>
    <xf numFmtId="0" fontId="34" fillId="21" borderId="26" xfId="0" applyFont="1" applyFill="1" applyBorder="1" applyAlignment="1">
      <alignment wrapText="1"/>
    </xf>
    <xf numFmtId="0" fontId="34" fillId="21" borderId="28" xfId="0" applyFont="1" applyFill="1" applyBorder="1" applyAlignment="1">
      <alignment wrapText="1"/>
    </xf>
    <xf numFmtId="0" fontId="34" fillId="21" borderId="27" xfId="0" applyFont="1" applyFill="1" applyBorder="1" applyAlignment="1">
      <alignment wrapText="1"/>
    </xf>
    <xf numFmtId="0" fontId="0" fillId="20" borderId="10" xfId="0" applyFill="1" applyBorder="1" applyAlignment="1">
      <alignment horizontal="center"/>
    </xf>
    <xf numFmtId="0" fontId="0" fillId="20" borderId="12" xfId="0" applyFill="1" applyBorder="1" applyAlignment="1">
      <alignment horizontal="center"/>
    </xf>
    <xf numFmtId="0" fontId="0" fillId="20" borderId="22" xfId="0" applyFill="1" applyBorder="1" applyAlignment="1">
      <alignment horizontal="center"/>
    </xf>
    <xf numFmtId="0" fontId="0" fillId="20" borderId="11" xfId="0" applyFill="1" applyBorder="1" applyAlignment="1">
      <alignment horizontal="center"/>
    </xf>
    <xf numFmtId="0" fontId="0" fillId="20" borderId="0" xfId="0" applyFill="1" applyBorder="1" applyAlignment="1">
      <alignment horizontal="center"/>
    </xf>
    <xf numFmtId="0" fontId="0" fillId="20" borderId="13" xfId="0" applyFill="1" applyBorder="1" applyAlignment="1">
      <alignment horizontal="center"/>
    </xf>
    <xf numFmtId="0" fontId="1" fillId="19" borderId="0" xfId="0" applyFont="1" applyFill="1" applyAlignment="1">
      <alignment wrapText="1"/>
    </xf>
    <xf numFmtId="0" fontId="42" fillId="20" borderId="26" xfId="0" applyFont="1" applyFill="1" applyBorder="1"/>
    <xf numFmtId="0" fontId="2" fillId="18" borderId="0" xfId="0" applyFont="1" applyFill="1" applyBorder="1" applyAlignment="1">
      <alignment horizontal="left" vertical="center" wrapText="1"/>
    </xf>
    <xf numFmtId="0" fontId="53" fillId="80" borderId="18" xfId="0" applyFont="1" applyFill="1" applyBorder="1" applyAlignment="1">
      <alignment horizontal="left" vertical="center"/>
    </xf>
    <xf numFmtId="0" fontId="53" fillId="80" borderId="24" xfId="0" applyFont="1" applyFill="1" applyBorder="1" applyAlignment="1">
      <alignment horizontal="left" vertical="center"/>
    </xf>
    <xf numFmtId="0" fontId="53" fillId="80" borderId="23" xfId="0" applyFont="1" applyFill="1" applyBorder="1" applyAlignment="1">
      <alignment horizontal="left" vertical="center"/>
    </xf>
    <xf numFmtId="0" fontId="2" fillId="31" borderId="0" xfId="0" applyFont="1" applyFill="1" applyBorder="1" applyAlignment="1">
      <alignment horizontal="left" vertical="center"/>
    </xf>
    <xf numFmtId="0" fontId="1" fillId="36" borderId="0" xfId="0" applyFont="1" applyFill="1" applyBorder="1" applyAlignment="1">
      <alignment horizontal="left" vertical="center" wrapText="1"/>
    </xf>
    <xf numFmtId="0" fontId="89" fillId="19" borderId="71" xfId="0" applyFont="1" applyFill="1" applyBorder="1" applyAlignment="1">
      <alignment vertical="center"/>
    </xf>
    <xf numFmtId="0" fontId="1" fillId="0" borderId="0" xfId="0" applyFont="1" applyFill="1" applyAlignment="1">
      <alignment wrapText="1"/>
    </xf>
    <xf numFmtId="0" fontId="0" fillId="0" borderId="0" xfId="0" applyFill="1"/>
    <xf numFmtId="0" fontId="92" fillId="21" borderId="72" xfId="0" applyFont="1" applyFill="1" applyBorder="1"/>
    <xf numFmtId="0" fontId="1" fillId="21" borderId="73" xfId="0" applyFont="1" applyFill="1" applyBorder="1"/>
    <xf numFmtId="0" fontId="1" fillId="18" borderId="74" xfId="0" applyFont="1" applyFill="1" applyBorder="1"/>
    <xf numFmtId="0" fontId="0" fillId="93" borderId="0" xfId="0" applyFont="1" applyFill="1" applyBorder="1"/>
    <xf numFmtId="165" fontId="1" fillId="21" borderId="0" xfId="0" applyNumberFormat="1" applyFont="1" applyFill="1" applyBorder="1"/>
    <xf numFmtId="165" fontId="2" fillId="21" borderId="0" xfId="0" applyNumberFormat="1" applyFont="1" applyFill="1" applyBorder="1"/>
    <xf numFmtId="0" fontId="1" fillId="21" borderId="12" xfId="0" applyFont="1" applyFill="1" applyBorder="1" applyAlignment="1">
      <alignment horizontal="center"/>
    </xf>
    <xf numFmtId="0" fontId="1" fillId="21" borderId="11" xfId="0" applyFont="1" applyFill="1" applyBorder="1" applyAlignment="1">
      <alignment horizontal="center"/>
    </xf>
    <xf numFmtId="0" fontId="1" fillId="84" borderId="11" xfId="0" applyFont="1" applyFill="1" applyBorder="1" applyAlignment="1">
      <alignment horizontal="center"/>
    </xf>
    <xf numFmtId="0" fontId="1" fillId="21" borderId="11" xfId="0" applyNumberFormat="1" applyFont="1" applyFill="1" applyBorder="1" applyAlignment="1"/>
    <xf numFmtId="0" fontId="1" fillId="21" borderId="15" xfId="0" applyFont="1" applyFill="1" applyBorder="1" applyAlignment="1">
      <alignment horizontal="center"/>
    </xf>
    <xf numFmtId="0" fontId="1" fillId="21" borderId="16" xfId="0" applyFont="1" applyFill="1" applyBorder="1" applyAlignment="1">
      <alignment horizontal="center"/>
    </xf>
    <xf numFmtId="3" fontId="1" fillId="21" borderId="16" xfId="0" applyNumberFormat="1" applyFont="1" applyFill="1" applyBorder="1" applyAlignment="1">
      <alignment horizontal="left" wrapText="1"/>
    </xf>
    <xf numFmtId="0" fontId="1" fillId="21" borderId="16" xfId="0" applyFont="1" applyFill="1" applyBorder="1" applyAlignment="1">
      <alignment wrapText="1"/>
    </xf>
    <xf numFmtId="0" fontId="1" fillId="21" borderId="17" xfId="0" applyFont="1" applyFill="1" applyBorder="1" applyAlignment="1">
      <alignment wrapText="1"/>
    </xf>
    <xf numFmtId="0" fontId="0" fillId="21" borderId="10" xfId="0" applyFill="1" applyBorder="1"/>
    <xf numFmtId="0" fontId="0" fillId="21" borderId="11" xfId="0" applyFill="1" applyBorder="1"/>
    <xf numFmtId="0" fontId="0" fillId="21" borderId="16" xfId="0" applyFill="1" applyBorder="1"/>
    <xf numFmtId="0" fontId="0" fillId="18" borderId="12" xfId="0" applyFill="1" applyBorder="1"/>
    <xf numFmtId="0" fontId="0" fillId="18" borderId="22" xfId="0" applyFill="1" applyBorder="1"/>
    <xf numFmtId="0" fontId="0" fillId="18" borderId="11" xfId="0" applyFill="1" applyBorder="1"/>
    <xf numFmtId="0" fontId="0" fillId="18" borderId="13" xfId="0" applyFill="1" applyBorder="1"/>
    <xf numFmtId="0" fontId="1" fillId="18" borderId="11" xfId="0" applyFont="1" applyFill="1" applyBorder="1"/>
    <xf numFmtId="0" fontId="1" fillId="18" borderId="11" xfId="0" applyFont="1" applyFill="1" applyBorder="1" applyAlignment="1">
      <alignment wrapText="1"/>
    </xf>
    <xf numFmtId="0" fontId="0" fillId="18" borderId="15" xfId="0" applyFill="1" applyBorder="1"/>
    <xf numFmtId="0" fontId="0" fillId="18" borderId="16" xfId="0" applyFill="1" applyBorder="1"/>
    <xf numFmtId="0" fontId="0" fillId="18" borderId="17" xfId="0" applyFill="1" applyBorder="1"/>
    <xf numFmtId="0" fontId="92" fillId="21" borderId="10" xfId="0" applyFont="1" applyFill="1" applyBorder="1"/>
    <xf numFmtId="0" fontId="92" fillId="21" borderId="12" xfId="0" applyFont="1" applyFill="1" applyBorder="1"/>
    <xf numFmtId="0" fontId="92" fillId="21" borderId="11" xfId="0" applyFont="1" applyFill="1" applyBorder="1"/>
    <xf numFmtId="0" fontId="92" fillId="21" borderId="0" xfId="0" applyFont="1" applyFill="1" applyBorder="1"/>
    <xf numFmtId="0" fontId="1" fillId="21" borderId="13" xfId="0" applyFont="1" applyFill="1" applyBorder="1" applyAlignment="1">
      <alignment wrapText="1"/>
    </xf>
    <xf numFmtId="0" fontId="0" fillId="21" borderId="15" xfId="0" applyFill="1" applyBorder="1"/>
    <xf numFmtId="0" fontId="1" fillId="21" borderId="34" xfId="0" applyFont="1" applyFill="1" applyBorder="1"/>
    <xf numFmtId="0" fontId="1" fillId="21" borderId="34" xfId="0" applyFont="1" applyFill="1" applyBorder="1" applyAlignment="1">
      <alignment wrapText="1"/>
    </xf>
    <xf numFmtId="0" fontId="1" fillId="21" borderId="34" xfId="0" quotePrefix="1" applyFont="1" applyFill="1" applyBorder="1" applyAlignment="1">
      <alignment horizontal="left" wrapText="1"/>
    </xf>
    <xf numFmtId="0" fontId="1" fillId="18" borderId="73" xfId="0" applyFont="1" applyFill="1" applyBorder="1"/>
    <xf numFmtId="0" fontId="1" fillId="18" borderId="10" xfId="0" applyFont="1" applyFill="1" applyBorder="1"/>
    <xf numFmtId="0" fontId="92" fillId="18" borderId="12" xfId="0" applyFont="1" applyFill="1" applyBorder="1"/>
    <xf numFmtId="0" fontId="1" fillId="21" borderId="10" xfId="0" applyFont="1" applyFill="1" applyBorder="1"/>
    <xf numFmtId="0" fontId="1" fillId="21" borderId="18" xfId="0" applyFont="1" applyFill="1" applyBorder="1"/>
    <xf numFmtId="2" fontId="1" fillId="94" borderId="25" xfId="0" applyNumberFormat="1" applyFont="1" applyFill="1" applyBorder="1" applyAlignment="1">
      <alignment horizontal="center"/>
    </xf>
    <xf numFmtId="0" fontId="1" fillId="21" borderId="34" xfId="41" applyFont="1" applyFill="1" applyBorder="1"/>
    <xf numFmtId="0" fontId="43" fillId="93" borderId="25" xfId="0" applyFont="1" applyFill="1" applyBorder="1" applyAlignment="1">
      <alignment horizontal="left"/>
    </xf>
    <xf numFmtId="0" fontId="0" fillId="93" borderId="25" xfId="0" applyFont="1" applyFill="1" applyBorder="1" applyAlignment="1">
      <alignment horizontal="left"/>
    </xf>
    <xf numFmtId="0" fontId="0" fillId="93" borderId="25" xfId="0" applyFont="1" applyFill="1" applyBorder="1"/>
    <xf numFmtId="0" fontId="1" fillId="93" borderId="25" xfId="0" applyFont="1" applyFill="1" applyBorder="1"/>
    <xf numFmtId="165" fontId="1" fillId="27" borderId="10" xfId="0" applyNumberFormat="1" applyFont="1" applyFill="1" applyBorder="1"/>
    <xf numFmtId="165" fontId="92" fillId="27" borderId="12" xfId="0" applyNumberFormat="1" applyFont="1" applyFill="1" applyBorder="1"/>
    <xf numFmtId="0" fontId="1" fillId="27" borderId="12" xfId="0" applyFont="1" applyFill="1" applyBorder="1"/>
    <xf numFmtId="0" fontId="1" fillId="27" borderId="22" xfId="0" applyFont="1" applyFill="1" applyBorder="1"/>
    <xf numFmtId="165" fontId="1" fillId="27" borderId="11" xfId="0" applyNumberFormat="1" applyFont="1" applyFill="1" applyBorder="1"/>
    <xf numFmtId="0" fontId="1" fillId="27" borderId="13" xfId="0" applyFont="1" applyFill="1" applyBorder="1"/>
    <xf numFmtId="0" fontId="2" fillId="27" borderId="11" xfId="0" applyFont="1" applyFill="1" applyBorder="1"/>
    <xf numFmtId="9" fontId="0" fillId="93" borderId="30" xfId="0" applyNumberFormat="1" applyFill="1" applyBorder="1" applyAlignment="1">
      <alignment horizontal="right"/>
    </xf>
    <xf numFmtId="0" fontId="0" fillId="93" borderId="30" xfId="0" applyFont="1" applyFill="1" applyBorder="1"/>
    <xf numFmtId="3" fontId="1" fillId="21" borderId="11" xfId="0" applyNumberFormat="1" applyFont="1" applyFill="1" applyBorder="1" applyAlignment="1">
      <alignment horizontal="left" wrapText="1"/>
    </xf>
    <xf numFmtId="0" fontId="0" fillId="93" borderId="13" xfId="0" applyFont="1" applyFill="1" applyBorder="1"/>
    <xf numFmtId="0" fontId="0" fillId="21" borderId="13" xfId="0" applyFill="1" applyBorder="1"/>
    <xf numFmtId="0" fontId="92" fillId="27" borderId="10" xfId="0" applyFont="1" applyFill="1" applyBorder="1"/>
    <xf numFmtId="0" fontId="2" fillId="21" borderId="12" xfId="0" applyFont="1" applyFill="1" applyBorder="1" applyAlignment="1"/>
    <xf numFmtId="0" fontId="2" fillId="35" borderId="12" xfId="0" applyFont="1" applyFill="1" applyBorder="1" applyAlignment="1">
      <alignment horizontal="center"/>
    </xf>
    <xf numFmtId="0" fontId="2" fillId="21" borderId="12" xfId="0" applyFont="1" applyFill="1" applyBorder="1"/>
    <xf numFmtId="165" fontId="1" fillId="27" borderId="15" xfId="0" applyNumberFormat="1" applyFont="1" applyFill="1" applyBorder="1"/>
    <xf numFmtId="0" fontId="1" fillId="27" borderId="16" xfId="0" applyFont="1" applyFill="1" applyBorder="1"/>
    <xf numFmtId="9" fontId="38" fillId="27" borderId="10" xfId="0" applyNumberFormat="1" applyFont="1" applyFill="1" applyBorder="1" applyAlignment="1">
      <alignment horizontal="left"/>
    </xf>
    <xf numFmtId="0" fontId="93" fillId="21" borderId="12" xfId="0" applyFont="1" applyFill="1" applyBorder="1"/>
    <xf numFmtId="0" fontId="1" fillId="21" borderId="13" xfId="0" applyFont="1" applyFill="1" applyBorder="1" applyAlignment="1">
      <alignment horizontal="center"/>
    </xf>
    <xf numFmtId="3" fontId="1" fillId="21" borderId="13" xfId="0" applyNumberFormat="1" applyFont="1" applyFill="1" applyBorder="1" applyAlignment="1">
      <alignment horizontal="left" wrapText="1"/>
    </xf>
    <xf numFmtId="3" fontId="1" fillId="21" borderId="13" xfId="0" applyNumberFormat="1" applyFont="1" applyFill="1" applyBorder="1" applyAlignment="1">
      <alignment horizontal="left"/>
    </xf>
    <xf numFmtId="172" fontId="1" fillId="21" borderId="11" xfId="0" applyNumberFormat="1" applyFont="1" applyFill="1" applyBorder="1" applyAlignment="1">
      <alignment horizontal="center"/>
    </xf>
    <xf numFmtId="172" fontId="1" fillId="21" borderId="11" xfId="0" applyNumberFormat="1" applyFont="1" applyFill="1" applyBorder="1"/>
    <xf numFmtId="0" fontId="2" fillId="21" borderId="13" xfId="0" applyFont="1" applyFill="1" applyBorder="1"/>
    <xf numFmtId="172" fontId="2" fillId="21" borderId="11" xfId="0" applyNumberFormat="1" applyFont="1" applyFill="1" applyBorder="1" applyAlignment="1">
      <alignment horizontal="center"/>
    </xf>
    <xf numFmtId="0" fontId="0" fillId="21" borderId="17" xfId="0" applyFill="1" applyBorder="1"/>
    <xf numFmtId="0" fontId="2" fillId="69" borderId="0" xfId="0" applyFont="1" applyFill="1" applyBorder="1"/>
    <xf numFmtId="0" fontId="1" fillId="21" borderId="75" xfId="0" applyFont="1" applyFill="1" applyBorder="1" applyAlignment="1">
      <alignment horizontal="center"/>
    </xf>
    <xf numFmtId="0" fontId="1" fillId="21" borderId="76" xfId="0" applyFont="1" applyFill="1" applyBorder="1" applyAlignment="1">
      <alignment horizontal="center"/>
    </xf>
    <xf numFmtId="0" fontId="2" fillId="21" borderId="18" xfId="0" applyFont="1" applyFill="1" applyBorder="1" applyAlignment="1">
      <alignment horizontal="center" wrapText="1"/>
    </xf>
    <xf numFmtId="1" fontId="35" fillId="21" borderId="29" xfId="0" applyNumberFormat="1" applyFont="1" applyFill="1" applyBorder="1" applyAlignment="1">
      <alignment horizontal="center" vertical="center"/>
    </xf>
    <xf numFmtId="1" fontId="1" fillId="21" borderId="75" xfId="0" applyNumberFormat="1" applyFont="1" applyFill="1" applyBorder="1" applyAlignment="1">
      <alignment horizontal="center" wrapText="1"/>
    </xf>
    <xf numFmtId="1" fontId="1" fillId="21" borderId="75" xfId="0" applyNumberFormat="1" applyFont="1" applyFill="1" applyBorder="1" applyAlignment="1">
      <alignment horizontal="center"/>
    </xf>
    <xf numFmtId="1" fontId="1" fillId="21" borderId="77" xfId="0" applyNumberFormat="1" applyFont="1" applyFill="1" applyBorder="1" applyAlignment="1">
      <alignment horizontal="center" wrapText="1"/>
    </xf>
    <xf numFmtId="1" fontId="1" fillId="21" borderId="76" xfId="0" applyNumberFormat="1" applyFont="1" applyFill="1" applyBorder="1" applyAlignment="1">
      <alignment horizontal="center"/>
    </xf>
    <xf numFmtId="0" fontId="1" fillId="21" borderId="25" xfId="0" applyFont="1" applyFill="1" applyBorder="1" applyAlignment="1">
      <alignment horizontal="center"/>
    </xf>
    <xf numFmtId="0" fontId="1" fillId="21" borderId="73" xfId="0" applyFont="1" applyFill="1" applyBorder="1" applyAlignment="1">
      <alignment horizontal="center" wrapText="1"/>
    </xf>
    <xf numFmtId="0" fontId="1" fillId="21" borderId="67" xfId="0" applyFont="1" applyFill="1" applyBorder="1"/>
    <xf numFmtId="0" fontId="1" fillId="21" borderId="67" xfId="0" applyFont="1" applyFill="1" applyBorder="1" applyAlignment="1">
      <alignment horizontal="center"/>
    </xf>
    <xf numFmtId="0" fontId="1" fillId="21" borderId="78" xfId="0" applyFont="1" applyFill="1" applyBorder="1" applyAlignment="1">
      <alignment horizontal="center"/>
    </xf>
    <xf numFmtId="0" fontId="1" fillId="21" borderId="79" xfId="0" applyFont="1" applyFill="1" applyBorder="1" applyAlignment="1">
      <alignment horizontal="center"/>
    </xf>
    <xf numFmtId="0" fontId="1" fillId="21" borderId="29" xfId="0" applyFont="1" applyFill="1" applyBorder="1" applyAlignment="1">
      <alignment horizontal="center"/>
    </xf>
    <xf numFmtId="9" fontId="1" fillId="27" borderId="77" xfId="0" applyNumberFormat="1" applyFont="1" applyFill="1" applyBorder="1" applyAlignment="1">
      <alignment horizontal="center"/>
    </xf>
    <xf numFmtId="0" fontId="1" fillId="21" borderId="80" xfId="0" applyFont="1" applyFill="1" applyBorder="1" applyAlignment="1">
      <alignment horizontal="center"/>
    </xf>
    <xf numFmtId="0" fontId="1" fillId="21" borderId="73" xfId="0" applyFont="1" applyFill="1" applyBorder="1" applyAlignment="1">
      <alignment horizontal="center"/>
    </xf>
    <xf numFmtId="0" fontId="1" fillId="27" borderId="73" xfId="0" applyFont="1" applyFill="1" applyBorder="1" applyAlignment="1">
      <alignment horizontal="center"/>
    </xf>
    <xf numFmtId="0" fontId="1" fillId="21" borderId="74" xfId="0" applyFont="1" applyFill="1" applyBorder="1" applyAlignment="1">
      <alignment horizontal="center"/>
    </xf>
    <xf numFmtId="0" fontId="1" fillId="21" borderId="75" xfId="0" applyNumberFormat="1" applyFont="1" applyFill="1" applyBorder="1" applyAlignment="1">
      <alignment horizontal="center"/>
    </xf>
    <xf numFmtId="0" fontId="1" fillId="21" borderId="38" xfId="0" applyFont="1" applyFill="1" applyBorder="1" applyAlignment="1">
      <alignment horizontal="center"/>
    </xf>
    <xf numFmtId="0" fontId="1" fillId="27" borderId="25" xfId="0" applyFont="1" applyFill="1" applyBorder="1" applyAlignment="1">
      <alignment horizontal="center"/>
    </xf>
    <xf numFmtId="0" fontId="1" fillId="21" borderId="81" xfId="0" applyNumberFormat="1" applyFont="1" applyFill="1" applyBorder="1" applyAlignment="1">
      <alignment horizontal="center"/>
    </xf>
    <xf numFmtId="0" fontId="1" fillId="21" borderId="46" xfId="0" applyFont="1" applyFill="1" applyBorder="1" applyAlignment="1">
      <alignment horizontal="center"/>
    </xf>
    <xf numFmtId="0" fontId="1" fillId="21" borderId="31" xfId="0" applyFont="1" applyFill="1" applyBorder="1" applyAlignment="1">
      <alignment horizontal="center"/>
    </xf>
    <xf numFmtId="0" fontId="1" fillId="21" borderId="82" xfId="0" applyFont="1" applyFill="1" applyBorder="1" applyAlignment="1">
      <alignment horizontal="center"/>
    </xf>
    <xf numFmtId="0" fontId="1" fillId="21" borderId="83" xfId="0" applyFont="1" applyFill="1" applyBorder="1" applyAlignment="1">
      <alignment horizontal="center"/>
    </xf>
    <xf numFmtId="0" fontId="1" fillId="21" borderId="39" xfId="0" applyFont="1" applyFill="1" applyBorder="1" applyAlignment="1">
      <alignment horizontal="center"/>
    </xf>
    <xf numFmtId="0" fontId="1" fillId="21" borderId="84" xfId="0" applyFont="1" applyFill="1" applyBorder="1" applyAlignment="1">
      <alignment horizontal="center"/>
    </xf>
    <xf numFmtId="9" fontId="1" fillId="27" borderId="34" xfId="0" applyNumberFormat="1" applyFont="1" applyFill="1" applyBorder="1" applyAlignment="1">
      <alignment horizontal="right"/>
    </xf>
    <xf numFmtId="9" fontId="1" fillId="27" borderId="85" xfId="0" applyNumberFormat="1" applyFont="1" applyFill="1" applyBorder="1" applyAlignment="1">
      <alignment horizontal="right"/>
    </xf>
    <xf numFmtId="9" fontId="1" fillId="27" borderId="86" xfId="0" applyNumberFormat="1" applyFont="1" applyFill="1" applyBorder="1" applyAlignment="1">
      <alignment horizontal="right"/>
    </xf>
    <xf numFmtId="0" fontId="2" fillId="95" borderId="87" xfId="0" applyFont="1" applyFill="1" applyBorder="1" applyAlignment="1">
      <alignment horizontal="center" wrapText="1"/>
    </xf>
    <xf numFmtId="0" fontId="2" fillId="21" borderId="72" xfId="0" applyFont="1" applyFill="1" applyBorder="1" applyAlignment="1">
      <alignment horizontal="center"/>
    </xf>
    <xf numFmtId="0" fontId="2" fillId="21" borderId="73" xfId="0" applyFont="1" applyFill="1" applyBorder="1" applyAlignment="1">
      <alignment horizontal="center"/>
    </xf>
    <xf numFmtId="0" fontId="2" fillId="21" borderId="74" xfId="0" applyFont="1" applyFill="1" applyBorder="1" applyAlignment="1">
      <alignment horizontal="center"/>
    </xf>
    <xf numFmtId="0" fontId="1" fillId="21" borderId="34" xfId="0" applyFont="1" applyFill="1" applyBorder="1" applyAlignment="1">
      <alignment horizontal="center"/>
    </xf>
    <xf numFmtId="0" fontId="0" fillId="21" borderId="0" xfId="0" applyFill="1"/>
    <xf numFmtId="0" fontId="0" fillId="21" borderId="0" xfId="0" applyFill="1" applyBorder="1" applyAlignment="1">
      <alignment horizontal="center"/>
    </xf>
    <xf numFmtId="165" fontId="2" fillId="27" borderId="88" xfId="0" applyNumberFormat="1" applyFont="1" applyFill="1" applyBorder="1" applyAlignment="1">
      <alignment horizontal="center"/>
    </xf>
    <xf numFmtId="165" fontId="1" fillId="27" borderId="66" xfId="0" applyNumberFormat="1" applyFont="1" applyFill="1" applyBorder="1"/>
    <xf numFmtId="165" fontId="1" fillId="27" borderId="39" xfId="0" applyNumberFormat="1" applyFont="1" applyFill="1" applyBorder="1"/>
    <xf numFmtId="165" fontId="1" fillId="27" borderId="84" xfId="0" applyNumberFormat="1" applyFont="1" applyFill="1" applyBorder="1"/>
    <xf numFmtId="165" fontId="2" fillId="27" borderId="77" xfId="0" applyNumberFormat="1" applyFont="1" applyFill="1" applyBorder="1" applyAlignment="1">
      <alignment horizontal="center"/>
    </xf>
    <xf numFmtId="0" fontId="1" fillId="27" borderId="75" xfId="0" applyFont="1" applyFill="1" applyBorder="1" applyAlignment="1">
      <alignment horizontal="center"/>
    </xf>
    <xf numFmtId="0" fontId="1" fillId="27" borderId="76" xfId="0" applyFont="1" applyFill="1" applyBorder="1" applyAlignment="1">
      <alignment horizontal="center"/>
    </xf>
    <xf numFmtId="0" fontId="1" fillId="27" borderId="77" xfId="0" applyFont="1" applyFill="1" applyBorder="1" applyAlignment="1">
      <alignment horizontal="center"/>
    </xf>
    <xf numFmtId="0" fontId="0" fillId="27" borderId="75" xfId="0" applyFont="1" applyFill="1" applyBorder="1" applyAlignment="1">
      <alignment horizontal="center"/>
    </xf>
    <xf numFmtId="0" fontId="2" fillId="21" borderId="77" xfId="0" applyFont="1" applyFill="1" applyBorder="1" applyAlignment="1">
      <alignment horizontal="right"/>
    </xf>
    <xf numFmtId="0" fontId="2" fillId="21" borderId="75" xfId="0" applyFont="1" applyFill="1" applyBorder="1" applyAlignment="1">
      <alignment horizontal="right"/>
    </xf>
    <xf numFmtId="0" fontId="2" fillId="21" borderId="76" xfId="0" applyFont="1" applyFill="1" applyBorder="1" applyAlignment="1">
      <alignment horizontal="right"/>
    </xf>
    <xf numFmtId="0" fontId="2" fillId="21" borderId="29" xfId="0" applyFont="1" applyFill="1" applyBorder="1" applyAlignment="1">
      <alignment horizontal="center"/>
    </xf>
    <xf numFmtId="0" fontId="2" fillId="21" borderId="72" xfId="0" applyFont="1" applyFill="1" applyBorder="1"/>
    <xf numFmtId="0" fontId="2" fillId="21" borderId="85" xfId="0" applyFont="1" applyFill="1" applyBorder="1"/>
    <xf numFmtId="0" fontId="2" fillId="27" borderId="10" xfId="0" applyFont="1" applyFill="1" applyBorder="1"/>
    <xf numFmtId="0" fontId="2" fillId="27" borderId="12" xfId="0" applyFont="1" applyFill="1" applyBorder="1"/>
    <xf numFmtId="0" fontId="2" fillId="21" borderId="15" xfId="0" applyFont="1" applyFill="1" applyBorder="1"/>
    <xf numFmtId="167" fontId="2" fillId="21" borderId="27" xfId="0" applyNumberFormat="1" applyFont="1" applyFill="1" applyBorder="1"/>
    <xf numFmtId="0" fontId="9" fillId="27" borderId="34" xfId="0" applyFont="1" applyFill="1" applyBorder="1" applyAlignment="1">
      <alignment horizontal="center"/>
    </xf>
    <xf numFmtId="0" fontId="9" fillId="27" borderId="25" xfId="0" applyFont="1" applyFill="1" applyBorder="1" applyAlignment="1">
      <alignment horizontal="center"/>
    </xf>
    <xf numFmtId="0" fontId="9" fillId="27" borderId="30" xfId="0" applyFont="1" applyFill="1" applyBorder="1" applyAlignment="1">
      <alignment horizontal="center"/>
    </xf>
    <xf numFmtId="165" fontId="9" fillId="27" borderId="34" xfId="0" applyNumberFormat="1" applyFont="1" applyFill="1" applyBorder="1" applyAlignment="1">
      <alignment horizontal="center"/>
    </xf>
    <xf numFmtId="165" fontId="9" fillId="27" borderId="25" xfId="0" applyNumberFormat="1" applyFont="1" applyFill="1" applyBorder="1" applyAlignment="1">
      <alignment horizontal="center"/>
    </xf>
    <xf numFmtId="165" fontId="9" fillId="27" borderId="30" xfId="0" applyNumberFormat="1" applyFont="1" applyFill="1" applyBorder="1" applyAlignment="1">
      <alignment horizontal="center"/>
    </xf>
    <xf numFmtId="0" fontId="9" fillId="21" borderId="34" xfId="0" applyFont="1" applyFill="1" applyBorder="1" applyAlignment="1">
      <alignment horizontal="center"/>
    </xf>
    <xf numFmtId="0" fontId="9" fillId="21" borderId="25" xfId="0" applyFont="1" applyFill="1" applyBorder="1" applyAlignment="1">
      <alignment horizontal="center"/>
    </xf>
    <xf numFmtId="0" fontId="9" fillId="21" borderId="30" xfId="0" applyFont="1" applyFill="1" applyBorder="1" applyAlignment="1">
      <alignment horizontal="center"/>
    </xf>
    <xf numFmtId="0" fontId="9" fillId="27" borderId="89" xfId="0" applyFont="1" applyFill="1" applyBorder="1" applyAlignment="1">
      <alignment horizontal="center"/>
    </xf>
    <xf numFmtId="0" fontId="9" fillId="27" borderId="31" xfId="0" applyFont="1" applyFill="1" applyBorder="1" applyAlignment="1">
      <alignment horizontal="center"/>
    </xf>
    <xf numFmtId="165" fontId="9" fillId="27" borderId="41" xfId="0" applyNumberFormat="1" applyFont="1" applyFill="1" applyBorder="1" applyAlignment="1">
      <alignment horizontal="center"/>
    </xf>
    <xf numFmtId="167" fontId="9" fillId="27" borderId="72" xfId="0" applyNumberFormat="1" applyFont="1" applyFill="1" applyBorder="1"/>
    <xf numFmtId="167" fontId="9" fillId="27" borderId="73" xfId="0" applyNumberFormat="1" applyFont="1" applyFill="1" applyBorder="1"/>
    <xf numFmtId="0" fontId="9" fillId="21" borderId="73" xfId="0" applyFont="1" applyFill="1" applyBorder="1"/>
    <xf numFmtId="0" fontId="9" fillId="21" borderId="74" xfId="0" applyFont="1" applyFill="1" applyBorder="1"/>
    <xf numFmtId="0" fontId="9" fillId="27" borderId="34" xfId="0" applyFont="1" applyFill="1" applyBorder="1"/>
    <xf numFmtId="0" fontId="9" fillId="21" borderId="25" xfId="0" applyFont="1" applyFill="1" applyBorder="1"/>
    <xf numFmtId="167" fontId="9" fillId="27" borderId="25" xfId="0" applyNumberFormat="1" applyFont="1" applyFill="1" applyBorder="1"/>
    <xf numFmtId="167" fontId="9" fillId="27" borderId="30" xfId="0" applyNumberFormat="1" applyFont="1" applyFill="1" applyBorder="1"/>
    <xf numFmtId="167" fontId="9" fillId="21" borderId="89" xfId="0" applyNumberFormat="1" applyFont="1" applyFill="1" applyBorder="1"/>
    <xf numFmtId="167" fontId="9" fillId="21" borderId="31" xfId="0" applyNumberFormat="1" applyFont="1" applyFill="1" applyBorder="1"/>
    <xf numFmtId="167" fontId="9" fillId="21" borderId="41" xfId="0" applyNumberFormat="1" applyFont="1" applyFill="1" applyBorder="1"/>
    <xf numFmtId="0" fontId="9" fillId="21" borderId="26" xfId="0" applyFont="1" applyFill="1" applyBorder="1"/>
    <xf numFmtId="0" fontId="9" fillId="27" borderId="28" xfId="0" applyFont="1" applyFill="1" applyBorder="1"/>
    <xf numFmtId="0" fontId="9" fillId="21" borderId="28" xfId="0" applyFont="1" applyFill="1" applyBorder="1"/>
    <xf numFmtId="0" fontId="9" fillId="21" borderId="90" xfId="0" applyFont="1" applyFill="1" applyBorder="1"/>
    <xf numFmtId="0" fontId="9" fillId="21" borderId="67" xfId="0" applyFont="1" applyFill="1" applyBorder="1"/>
    <xf numFmtId="0" fontId="9" fillId="19" borderId="91" xfId="0" applyFont="1" applyFill="1" applyBorder="1"/>
    <xf numFmtId="0" fontId="9" fillId="19" borderId="82" xfId="0" applyFont="1" applyFill="1" applyBorder="1"/>
    <xf numFmtId="0" fontId="1" fillId="21" borderId="11" xfId="0" applyFont="1" applyFill="1" applyBorder="1" applyAlignment="1">
      <alignment horizontal="right"/>
    </xf>
    <xf numFmtId="0" fontId="1" fillId="21" borderId="85" xfId="0" applyFont="1" applyFill="1" applyBorder="1" applyAlignment="1">
      <alignment horizontal="center"/>
    </xf>
    <xf numFmtId="0" fontId="2" fillId="21" borderId="92" xfId="0" applyFont="1" applyFill="1" applyBorder="1" applyAlignment="1">
      <alignment horizontal="center"/>
    </xf>
    <xf numFmtId="0" fontId="1" fillId="21" borderId="93" xfId="0" applyFont="1" applyFill="1" applyBorder="1"/>
    <xf numFmtId="0" fontId="1" fillId="21" borderId="92" xfId="0" applyFont="1" applyFill="1" applyBorder="1"/>
    <xf numFmtId="0" fontId="1" fillId="21" borderId="94" xfId="0" applyFont="1" applyFill="1" applyBorder="1" applyAlignment="1">
      <alignment wrapText="1"/>
    </xf>
    <xf numFmtId="0" fontId="1" fillId="21" borderId="94" xfId="0" applyFont="1" applyFill="1" applyBorder="1"/>
    <xf numFmtId="0" fontId="1" fillId="21" borderId="95" xfId="0" applyFont="1" applyFill="1" applyBorder="1"/>
    <xf numFmtId="0" fontId="1" fillId="21" borderId="75" xfId="0" applyFont="1" applyFill="1" applyBorder="1" applyAlignment="1">
      <alignment wrapText="1"/>
    </xf>
    <xf numFmtId="0" fontId="1" fillId="21" borderId="75" xfId="0" applyFont="1" applyFill="1" applyBorder="1"/>
    <xf numFmtId="0" fontId="1" fillId="21" borderId="96" xfId="0" applyFont="1" applyFill="1" applyBorder="1" applyAlignment="1">
      <alignment horizontal="center"/>
    </xf>
    <xf numFmtId="0" fontId="1" fillId="21" borderId="44" xfId="0" applyFont="1" applyFill="1" applyBorder="1" applyAlignment="1">
      <alignment horizontal="center"/>
    </xf>
    <xf numFmtId="0" fontId="1" fillId="21" borderId="97" xfId="0" applyFont="1" applyFill="1" applyBorder="1" applyAlignment="1">
      <alignment horizontal="center" wrapText="1"/>
    </xf>
    <xf numFmtId="0" fontId="1" fillId="21" borderId="39" xfId="0" applyFont="1" applyFill="1" applyBorder="1"/>
    <xf numFmtId="0" fontId="2" fillId="21" borderId="87" xfId="0" applyFont="1" applyFill="1" applyBorder="1" applyAlignment="1">
      <alignment horizontal="right"/>
    </xf>
    <xf numFmtId="3" fontId="2" fillId="21" borderId="98" xfId="0" applyNumberFormat="1" applyFont="1" applyFill="1" applyBorder="1" applyAlignment="1">
      <alignment horizontal="center" wrapText="1"/>
    </xf>
    <xf numFmtId="3" fontId="2" fillId="21" borderId="78" xfId="0" applyNumberFormat="1" applyFont="1" applyFill="1" applyBorder="1" applyAlignment="1">
      <alignment horizontal="center" wrapText="1"/>
    </xf>
    <xf numFmtId="3" fontId="2" fillId="21" borderId="87" xfId="0" applyNumberFormat="1" applyFont="1" applyFill="1" applyBorder="1" applyAlignment="1">
      <alignment horizontal="right" wrapText="1"/>
    </xf>
    <xf numFmtId="0" fontId="2" fillId="21" borderId="77" xfId="0" applyFont="1" applyFill="1" applyBorder="1" applyAlignment="1">
      <alignment horizontal="right" wrapText="1"/>
    </xf>
    <xf numFmtId="0" fontId="2" fillId="21" borderId="75" xfId="0" applyFont="1" applyFill="1" applyBorder="1" applyAlignment="1">
      <alignment horizontal="right" wrapText="1"/>
    </xf>
    <xf numFmtId="0" fontId="2" fillId="21" borderId="87" xfId="0" applyFont="1" applyFill="1" applyBorder="1" applyAlignment="1">
      <alignment horizontal="right" wrapText="1"/>
    </xf>
    <xf numFmtId="0" fontId="1" fillId="21" borderId="99" xfId="0" applyFont="1" applyFill="1" applyBorder="1" applyAlignment="1">
      <alignment horizontal="right" wrapText="1"/>
    </xf>
    <xf numFmtId="0" fontId="2" fillId="21" borderId="81" xfId="0" applyFont="1" applyFill="1" applyBorder="1" applyAlignment="1">
      <alignment horizontal="right" wrapText="1"/>
    </xf>
    <xf numFmtId="0" fontId="2" fillId="21" borderId="76" xfId="0" applyFont="1" applyFill="1" applyBorder="1" applyAlignment="1">
      <alignment horizontal="right" wrapText="1"/>
    </xf>
    <xf numFmtId="0" fontId="1" fillId="21" borderId="0" xfId="0" applyFont="1" applyFill="1" applyBorder="1" applyAlignment="1">
      <alignment horizontal="right" wrapText="1"/>
    </xf>
    <xf numFmtId="172" fontId="2" fillId="21" borderId="0" xfId="0" applyNumberFormat="1" applyFont="1" applyFill="1" applyBorder="1" applyAlignment="1">
      <alignment horizontal="right" wrapText="1"/>
    </xf>
    <xf numFmtId="0" fontId="2" fillId="21" borderId="23" xfId="0" applyFont="1" applyFill="1" applyBorder="1" applyAlignment="1">
      <alignment horizontal="right" wrapText="1"/>
    </xf>
    <xf numFmtId="0" fontId="2" fillId="21" borderId="26" xfId="0" applyFont="1" applyFill="1" applyBorder="1"/>
    <xf numFmtId="0" fontId="2" fillId="21" borderId="14" xfId="0" applyFont="1" applyFill="1" applyBorder="1"/>
    <xf numFmtId="0" fontId="2" fillId="21" borderId="100" xfId="0" applyFont="1" applyFill="1" applyBorder="1"/>
    <xf numFmtId="0" fontId="2" fillId="21" borderId="101" xfId="0" applyFont="1" applyFill="1" applyBorder="1"/>
    <xf numFmtId="0" fontId="2" fillId="21" borderId="26" xfId="0" applyFont="1" applyFill="1" applyBorder="1" applyAlignment="1">
      <alignment wrapText="1"/>
    </xf>
    <xf numFmtId="0" fontId="2" fillId="21" borderId="27" xfId="0" applyFont="1" applyFill="1" applyBorder="1" applyAlignment="1">
      <alignment wrapText="1"/>
    </xf>
    <xf numFmtId="0" fontId="1" fillId="35" borderId="78" xfId="0" applyFont="1" applyFill="1" applyBorder="1" applyAlignment="1">
      <alignment horizontal="center" vertical="center" wrapText="1"/>
    </xf>
    <xf numFmtId="0" fontId="1" fillId="21" borderId="72" xfId="0" applyFont="1" applyFill="1" applyBorder="1" applyAlignment="1">
      <alignment horizontal="center"/>
    </xf>
    <xf numFmtId="0" fontId="2" fillId="21" borderId="29" xfId="0" applyFont="1" applyFill="1" applyBorder="1" applyAlignment="1">
      <alignment horizontal="right" wrapText="1"/>
    </xf>
    <xf numFmtId="0" fontId="1" fillId="21" borderId="102" xfId="0" applyFont="1" applyFill="1" applyBorder="1"/>
    <xf numFmtId="0" fontId="96" fillId="21" borderId="0" xfId="0" applyFont="1" applyFill="1" applyBorder="1"/>
    <xf numFmtId="0" fontId="1" fillId="19" borderId="95" xfId="0" applyFont="1" applyFill="1" applyBorder="1"/>
    <xf numFmtId="0" fontId="0" fillId="21" borderId="25" xfId="0" applyFill="1" applyBorder="1" applyAlignment="1">
      <alignment horizontal="center"/>
    </xf>
    <xf numFmtId="0" fontId="1" fillId="21" borderId="25" xfId="0" applyFont="1" applyFill="1" applyBorder="1" applyAlignment="1">
      <alignment horizontal="left" wrapText="1"/>
    </xf>
    <xf numFmtId="0" fontId="1" fillId="21" borderId="25" xfId="0" applyFont="1" applyFill="1" applyBorder="1" applyAlignment="1">
      <alignment horizontal="left" vertical="center"/>
    </xf>
    <xf numFmtId="0" fontId="0" fillId="21" borderId="25" xfId="0" applyFont="1" applyFill="1" applyBorder="1" applyAlignment="1">
      <alignment horizontal="left"/>
    </xf>
    <xf numFmtId="0" fontId="97" fillId="18" borderId="0" xfId="0" applyFont="1" applyFill="1" applyBorder="1" applyAlignment="1">
      <alignment horizontal="left"/>
    </xf>
    <xf numFmtId="1" fontId="1" fillId="41" borderId="25" xfId="0" applyNumberFormat="1" applyFont="1" applyFill="1" applyBorder="1" applyAlignment="1">
      <alignment horizontal="center"/>
    </xf>
    <xf numFmtId="1" fontId="1" fillId="21" borderId="25" xfId="0" applyNumberFormat="1" applyFont="1" applyFill="1" applyBorder="1" applyAlignment="1">
      <alignment horizontal="center"/>
    </xf>
    <xf numFmtId="0" fontId="2" fillId="21" borderId="25" xfId="0" applyFont="1" applyFill="1" applyBorder="1" applyAlignment="1">
      <alignment horizontal="left"/>
    </xf>
    <xf numFmtId="0" fontId="2" fillId="21" borderId="25" xfId="0" applyFont="1" applyFill="1" applyBorder="1" applyAlignment="1">
      <alignment horizontal="left" wrapText="1"/>
    </xf>
    <xf numFmtId="172" fontId="1" fillId="21" borderId="25" xfId="0" applyNumberFormat="1" applyFont="1" applyFill="1" applyBorder="1" applyAlignment="1">
      <alignment horizontal="left"/>
    </xf>
    <xf numFmtId="2" fontId="1" fillId="21" borderId="25" xfId="0" applyNumberFormat="1" applyFont="1" applyFill="1" applyBorder="1" applyAlignment="1">
      <alignment horizontal="left"/>
    </xf>
    <xf numFmtId="3" fontId="2" fillId="21" borderId="72" xfId="0" applyNumberFormat="1" applyFont="1" applyFill="1" applyBorder="1" applyAlignment="1">
      <alignment horizontal="left"/>
    </xf>
    <xf numFmtId="3" fontId="2" fillId="21" borderId="73" xfId="0" applyNumberFormat="1" applyFont="1" applyFill="1" applyBorder="1" applyAlignment="1">
      <alignment horizontal="left" vertical="top"/>
    </xf>
    <xf numFmtId="3" fontId="2" fillId="41" borderId="73" xfId="0" applyNumberFormat="1" applyFont="1" applyFill="1" applyBorder="1" applyAlignment="1">
      <alignment horizontal="left"/>
    </xf>
    <xf numFmtId="0" fontId="2" fillId="21" borderId="74" xfId="0" applyFont="1" applyFill="1" applyBorder="1" applyAlignment="1">
      <alignment horizontal="left"/>
    </xf>
    <xf numFmtId="0" fontId="1" fillId="21" borderId="34" xfId="0" applyFont="1" applyFill="1" applyBorder="1" applyAlignment="1">
      <alignment horizontal="left" vertical="top" wrapText="1"/>
    </xf>
    <xf numFmtId="0" fontId="1" fillId="21" borderId="30" xfId="0" applyFont="1" applyFill="1" applyBorder="1" applyAlignment="1">
      <alignment horizontal="left"/>
    </xf>
    <xf numFmtId="0" fontId="1" fillId="21" borderId="67" xfId="0" applyFont="1" applyFill="1" applyBorder="1" applyAlignment="1">
      <alignment horizontal="left"/>
    </xf>
    <xf numFmtId="0" fontId="1" fillId="21" borderId="82" xfId="0" applyFont="1" applyFill="1" applyBorder="1" applyAlignment="1">
      <alignment horizontal="left"/>
    </xf>
    <xf numFmtId="0" fontId="2" fillId="21" borderId="72" xfId="0" applyFont="1" applyFill="1" applyBorder="1" applyAlignment="1">
      <alignment horizontal="left"/>
    </xf>
    <xf numFmtId="0" fontId="2" fillId="21" borderId="73" xfId="0" applyFont="1" applyFill="1" applyBorder="1" applyAlignment="1">
      <alignment horizontal="left" wrapText="1"/>
    </xf>
    <xf numFmtId="0" fontId="1" fillId="21" borderId="73" xfId="0" applyFont="1" applyFill="1" applyBorder="1" applyAlignment="1">
      <alignment horizontal="left"/>
    </xf>
    <xf numFmtId="0" fontId="1" fillId="21" borderId="74" xfId="0" applyFont="1" applyFill="1" applyBorder="1" applyAlignment="1">
      <alignment horizontal="left"/>
    </xf>
    <xf numFmtId="0" fontId="2" fillId="21" borderId="34" xfId="0" applyFont="1" applyFill="1" applyBorder="1" applyAlignment="1">
      <alignment horizontal="left"/>
    </xf>
    <xf numFmtId="0" fontId="1" fillId="21" borderId="34" xfId="0" applyFont="1" applyFill="1" applyBorder="1" applyAlignment="1">
      <alignment horizontal="left"/>
    </xf>
    <xf numFmtId="0" fontId="1" fillId="21" borderId="85" xfId="0" applyFont="1" applyFill="1" applyBorder="1" applyAlignment="1">
      <alignment horizontal="left"/>
    </xf>
    <xf numFmtId="0" fontId="1" fillId="21" borderId="67" xfId="0" applyFont="1" applyFill="1" applyBorder="1" applyAlignment="1">
      <alignment horizontal="left" vertical="center"/>
    </xf>
    <xf numFmtId="0" fontId="1" fillId="21" borderId="89" xfId="0" applyFont="1" applyFill="1" applyBorder="1" applyAlignment="1">
      <alignment horizontal="left" vertical="top" wrapText="1"/>
    </xf>
    <xf numFmtId="0" fontId="1" fillId="21" borderId="31" xfId="0" applyFont="1" applyFill="1" applyBorder="1" applyAlignment="1">
      <alignment horizontal="left"/>
    </xf>
    <xf numFmtId="2" fontId="1" fillId="21" borderId="31" xfId="0" applyNumberFormat="1" applyFont="1" applyFill="1" applyBorder="1" applyAlignment="1">
      <alignment horizontal="left"/>
    </xf>
    <xf numFmtId="0" fontId="1" fillId="21" borderId="41" xfId="0" applyFont="1" applyFill="1" applyBorder="1" applyAlignment="1">
      <alignment horizontal="left"/>
    </xf>
    <xf numFmtId="0" fontId="2" fillId="21" borderId="85" xfId="0" applyFont="1" applyFill="1" applyBorder="1" applyAlignment="1">
      <alignment horizontal="left"/>
    </xf>
    <xf numFmtId="0" fontId="34" fillId="96" borderId="72" xfId="0" applyFont="1" applyFill="1" applyBorder="1" applyAlignment="1">
      <alignment horizontal="left" vertical="center" wrapText="1"/>
    </xf>
    <xf numFmtId="3" fontId="34" fillId="96" borderId="73" xfId="0" applyNumberFormat="1" applyFont="1" applyFill="1" applyBorder="1" applyAlignment="1">
      <alignment horizontal="left"/>
    </xf>
    <xf numFmtId="0" fontId="34" fillId="96" borderId="73" xfId="0" applyFont="1" applyFill="1" applyBorder="1" applyAlignment="1">
      <alignment horizontal="left"/>
    </xf>
    <xf numFmtId="167" fontId="34" fillId="96" borderId="73" xfId="0" applyNumberFormat="1" applyFont="1" applyFill="1" applyBorder="1" applyAlignment="1">
      <alignment horizontal="left"/>
    </xf>
    <xf numFmtId="0" fontId="34" fillId="96" borderId="74" xfId="0" applyFont="1" applyFill="1" applyBorder="1" applyAlignment="1">
      <alignment horizontal="left"/>
    </xf>
    <xf numFmtId="0" fontId="34" fillId="96" borderId="34" xfId="0" applyFont="1" applyFill="1" applyBorder="1" applyAlignment="1">
      <alignment horizontal="left" vertical="center" wrapText="1"/>
    </xf>
    <xf numFmtId="3" fontId="34" fillId="96" borderId="25" xfId="0" applyNumberFormat="1" applyFont="1" applyFill="1" applyBorder="1" applyAlignment="1">
      <alignment horizontal="left"/>
    </xf>
    <xf numFmtId="0" fontId="34" fillId="96" borderId="25" xfId="0" applyFont="1" applyFill="1" applyBorder="1" applyAlignment="1">
      <alignment horizontal="left"/>
    </xf>
    <xf numFmtId="167" fontId="34" fillId="96" borderId="25" xfId="0" applyNumberFormat="1" applyFont="1" applyFill="1" applyBorder="1" applyAlignment="1">
      <alignment horizontal="left"/>
    </xf>
    <xf numFmtId="0" fontId="34" fillId="96" borderId="30" xfId="0" applyFont="1" applyFill="1" applyBorder="1" applyAlignment="1">
      <alignment horizontal="left"/>
    </xf>
    <xf numFmtId="0" fontId="35" fillId="96" borderId="85" xfId="0" applyFont="1" applyFill="1" applyBorder="1" applyAlignment="1">
      <alignment horizontal="left"/>
    </xf>
    <xf numFmtId="0" fontId="35" fillId="96" borderId="67" xfId="0" applyFont="1" applyFill="1" applyBorder="1" applyAlignment="1">
      <alignment horizontal="left"/>
    </xf>
    <xf numFmtId="3" fontId="35" fillId="96" borderId="67" xfId="0" applyNumberFormat="1" applyFont="1" applyFill="1" applyBorder="1" applyAlignment="1">
      <alignment horizontal="left" vertical="top"/>
    </xf>
    <xf numFmtId="0" fontId="35" fillId="96" borderId="82" xfId="0" applyFont="1" applyFill="1" applyBorder="1" applyAlignment="1">
      <alignment horizontal="left" vertical="top" wrapText="1"/>
    </xf>
    <xf numFmtId="0" fontId="2" fillId="21" borderId="73" xfId="0" applyFont="1" applyFill="1" applyBorder="1" applyAlignment="1">
      <alignment horizontal="left"/>
    </xf>
    <xf numFmtId="3" fontId="1" fillId="21" borderId="74" xfId="0" applyNumberFormat="1" applyFont="1" applyFill="1" applyBorder="1" applyAlignment="1">
      <alignment horizontal="left" vertical="top"/>
    </xf>
    <xf numFmtId="3" fontId="1" fillId="21" borderId="30" xfId="0" applyNumberFormat="1" applyFont="1" applyFill="1" applyBorder="1" applyAlignment="1">
      <alignment horizontal="left" vertical="top"/>
    </xf>
    <xf numFmtId="0" fontId="1" fillId="21" borderId="30" xfId="0" applyFont="1" applyFill="1" applyBorder="1" applyAlignment="1">
      <alignment horizontal="left" vertical="center"/>
    </xf>
    <xf numFmtId="172" fontId="1" fillId="21" borderId="67" xfId="0" applyNumberFormat="1" applyFont="1" applyFill="1" applyBorder="1" applyAlignment="1">
      <alignment horizontal="left"/>
    </xf>
    <xf numFmtId="0" fontId="1" fillId="21" borderId="82" xfId="0" applyFont="1" applyFill="1" applyBorder="1" applyAlignment="1">
      <alignment horizontal="left" vertical="center"/>
    </xf>
    <xf numFmtId="2" fontId="1" fillId="21" borderId="67" xfId="0" applyNumberFormat="1" applyFont="1" applyFill="1" applyBorder="1"/>
    <xf numFmtId="2" fontId="1" fillId="27" borderId="30" xfId="0" applyNumberFormat="1" applyFont="1" applyFill="1" applyBorder="1"/>
    <xf numFmtId="2" fontId="1" fillId="27" borderId="67" xfId="0" applyNumberFormat="1" applyFont="1" applyFill="1" applyBorder="1"/>
    <xf numFmtId="2" fontId="1" fillId="27" borderId="82" xfId="0" applyNumberFormat="1" applyFont="1" applyFill="1" applyBorder="1"/>
    <xf numFmtId="2" fontId="1" fillId="21" borderId="90" xfId="0" applyNumberFormat="1" applyFont="1" applyFill="1" applyBorder="1"/>
    <xf numFmtId="0" fontId="1" fillId="21" borderId="91" xfId="0" applyFont="1" applyFill="1" applyBorder="1"/>
    <xf numFmtId="2" fontId="1" fillId="21" borderId="65" xfId="0" applyNumberFormat="1" applyFont="1" applyFill="1" applyBorder="1"/>
    <xf numFmtId="2" fontId="1" fillId="21" borderId="38" xfId="0" applyNumberFormat="1" applyFont="1" applyFill="1" applyBorder="1"/>
    <xf numFmtId="2" fontId="1" fillId="27" borderId="38" xfId="0" applyNumberFormat="1" applyFont="1" applyFill="1" applyBorder="1"/>
    <xf numFmtId="2" fontId="1" fillId="27" borderId="103" xfId="0" applyNumberFormat="1" applyFont="1" applyFill="1" applyBorder="1"/>
    <xf numFmtId="0" fontId="2" fillId="97" borderId="104" xfId="0" applyFont="1" applyFill="1" applyBorder="1"/>
    <xf numFmtId="0" fontId="2" fillId="97" borderId="75" xfId="0" applyFont="1" applyFill="1" applyBorder="1"/>
    <xf numFmtId="0" fontId="2" fillId="97" borderId="76" xfId="0" applyFont="1" applyFill="1" applyBorder="1"/>
    <xf numFmtId="2" fontId="1" fillId="43" borderId="25" xfId="0" applyNumberFormat="1" applyFont="1" applyFill="1" applyBorder="1"/>
    <xf numFmtId="2" fontId="1" fillId="21" borderId="30" xfId="0" applyNumberFormat="1" applyFont="1" applyFill="1" applyBorder="1"/>
    <xf numFmtId="2" fontId="1" fillId="43" borderId="30" xfId="0" applyNumberFormat="1" applyFont="1" applyFill="1" applyBorder="1"/>
    <xf numFmtId="2" fontId="1" fillId="21" borderId="82" xfId="0" applyNumberFormat="1" applyFont="1" applyFill="1" applyBorder="1"/>
    <xf numFmtId="0" fontId="1" fillId="21" borderId="38" xfId="0" applyFont="1" applyFill="1" applyBorder="1"/>
    <xf numFmtId="0" fontId="1" fillId="21" borderId="103" xfId="0" applyFont="1" applyFill="1" applyBorder="1"/>
    <xf numFmtId="0" fontId="2" fillId="98" borderId="75" xfId="0" applyFont="1" applyFill="1" applyBorder="1"/>
    <xf numFmtId="0" fontId="2" fillId="98" borderId="76" xfId="0" applyFont="1" applyFill="1" applyBorder="1"/>
    <xf numFmtId="0" fontId="2" fillId="98" borderId="104" xfId="0" applyFont="1" applyFill="1" applyBorder="1"/>
    <xf numFmtId="0" fontId="1" fillId="21" borderId="65" xfId="0" applyFont="1" applyFill="1" applyBorder="1"/>
    <xf numFmtId="0" fontId="1" fillId="21" borderId="90" xfId="0" applyFont="1" applyFill="1" applyBorder="1"/>
    <xf numFmtId="2" fontId="1" fillId="21" borderId="91" xfId="0" applyNumberFormat="1" applyFont="1" applyFill="1" applyBorder="1"/>
    <xf numFmtId="0" fontId="2" fillId="98" borderId="29" xfId="0" applyFont="1" applyFill="1" applyBorder="1"/>
    <xf numFmtId="0" fontId="2" fillId="27" borderId="79" xfId="0" applyFont="1" applyFill="1" applyBorder="1"/>
    <xf numFmtId="0" fontId="2" fillId="27" borderId="98" xfId="0" applyFont="1" applyFill="1" applyBorder="1"/>
    <xf numFmtId="0" fontId="2" fillId="21" borderId="98" xfId="0" applyFont="1" applyFill="1" applyBorder="1"/>
    <xf numFmtId="0" fontId="2" fillId="21" borderId="98" xfId="0" applyFont="1" applyFill="1" applyBorder="1" applyAlignment="1">
      <alignment horizontal="left"/>
    </xf>
    <xf numFmtId="0" fontId="2" fillId="21" borderId="78" xfId="0" applyFont="1" applyFill="1" applyBorder="1" applyAlignment="1">
      <alignment horizontal="left"/>
    </xf>
    <xf numFmtId="1" fontId="35" fillId="99" borderId="25" xfId="0" applyNumberFormat="1" applyFont="1" applyFill="1" applyBorder="1" applyAlignment="1">
      <alignment horizontal="center"/>
    </xf>
    <xf numFmtId="2" fontId="1" fillId="33" borderId="0" xfId="0" applyNumberFormat="1" applyFont="1" applyFill="1" applyBorder="1"/>
    <xf numFmtId="0" fontId="2" fillId="21" borderId="29" xfId="0" applyFont="1" applyFill="1" applyBorder="1"/>
    <xf numFmtId="0" fontId="2" fillId="47" borderId="75" xfId="0" applyFont="1" applyFill="1" applyBorder="1"/>
    <xf numFmtId="2" fontId="1" fillId="33" borderId="38" xfId="0" applyNumberFormat="1" applyFont="1" applyFill="1" applyBorder="1"/>
    <xf numFmtId="2" fontId="1" fillId="33" borderId="25" xfId="0" applyNumberFormat="1" applyFont="1" applyFill="1" applyBorder="1"/>
    <xf numFmtId="2" fontId="1" fillId="33" borderId="30" xfId="0" applyNumberFormat="1" applyFont="1" applyFill="1" applyBorder="1"/>
    <xf numFmtId="0" fontId="79" fillId="27" borderId="0" xfId="0" applyFont="1" applyFill="1" applyBorder="1"/>
    <xf numFmtId="0" fontId="1" fillId="94" borderId="25" xfId="0" applyFont="1" applyFill="1" applyBorder="1"/>
    <xf numFmtId="0" fontId="2" fillId="27" borderId="78" xfId="0" applyFont="1" applyFill="1" applyBorder="1"/>
    <xf numFmtId="0" fontId="1" fillId="21" borderId="72" xfId="0" applyFont="1" applyFill="1" applyBorder="1" applyAlignment="1">
      <alignment horizontal="left"/>
    </xf>
    <xf numFmtId="172" fontId="1" fillId="97" borderId="34" xfId="0" applyNumberFormat="1" applyFont="1" applyFill="1" applyBorder="1"/>
    <xf numFmtId="0" fontId="1" fillId="21" borderId="10" xfId="0" applyFont="1" applyFill="1" applyBorder="1" applyAlignment="1">
      <alignment horizontal="left"/>
    </xf>
    <xf numFmtId="0" fontId="2" fillId="21" borderId="22" xfId="0" applyFont="1" applyFill="1" applyBorder="1" applyAlignment="1">
      <alignment horizontal="left" wrapText="1"/>
    </xf>
    <xf numFmtId="3" fontId="2" fillId="41" borderId="11" xfId="0" applyNumberFormat="1" applyFont="1" applyFill="1" applyBorder="1" applyAlignment="1">
      <alignment horizontal="left"/>
    </xf>
    <xf numFmtId="0" fontId="2" fillId="21" borderId="13" xfId="0" applyFont="1" applyFill="1" applyBorder="1" applyAlignment="1">
      <alignment horizontal="left" wrapText="1"/>
    </xf>
    <xf numFmtId="171" fontId="1" fillId="41" borderId="11" xfId="0" applyNumberFormat="1" applyFont="1" applyFill="1" applyBorder="1" applyAlignment="1">
      <alignment horizontal="left"/>
    </xf>
    <xf numFmtId="172" fontId="1" fillId="21" borderId="13" xfId="0" applyNumberFormat="1" applyFont="1" applyFill="1" applyBorder="1" applyAlignment="1">
      <alignment horizontal="left"/>
    </xf>
    <xf numFmtId="3" fontId="1" fillId="41" borderId="11" xfId="0" applyNumberFormat="1" applyFont="1" applyFill="1" applyBorder="1" applyAlignment="1">
      <alignment horizontal="left" vertical="center"/>
    </xf>
    <xf numFmtId="3" fontId="1" fillId="41" borderId="11" xfId="0" applyNumberFormat="1" applyFont="1" applyFill="1" applyBorder="1" applyAlignment="1">
      <alignment horizontal="left"/>
    </xf>
    <xf numFmtId="2" fontId="1" fillId="41" borderId="11" xfId="0" applyNumberFormat="1" applyFont="1" applyFill="1" applyBorder="1" applyAlignment="1">
      <alignment horizontal="left" vertical="center"/>
    </xf>
    <xf numFmtId="2" fontId="1" fillId="21" borderId="11" xfId="0" applyNumberFormat="1" applyFont="1" applyFill="1" applyBorder="1" applyAlignment="1">
      <alignment horizontal="left"/>
    </xf>
    <xf numFmtId="167" fontId="1" fillId="21" borderId="11" xfId="0" applyNumberFormat="1" applyFont="1" applyFill="1" applyBorder="1" applyAlignment="1">
      <alignment horizontal="left"/>
    </xf>
    <xf numFmtId="0" fontId="1" fillId="21" borderId="15" xfId="0" applyFont="1" applyFill="1" applyBorder="1" applyAlignment="1">
      <alignment horizontal="left"/>
    </xf>
    <xf numFmtId="172" fontId="1" fillId="21" borderId="17" xfId="0" applyNumberFormat="1" applyFont="1" applyFill="1" applyBorder="1" applyAlignment="1">
      <alignment horizontal="left"/>
    </xf>
    <xf numFmtId="0" fontId="2" fillId="21" borderId="74" xfId="0" applyFont="1" applyFill="1" applyBorder="1" applyAlignment="1">
      <alignment horizontal="left" wrapText="1"/>
    </xf>
    <xf numFmtId="0" fontId="1" fillId="21" borderId="30" xfId="0" applyFont="1" applyFill="1" applyBorder="1" applyAlignment="1">
      <alignment horizontal="left" wrapText="1"/>
    </xf>
    <xf numFmtId="0" fontId="1" fillId="21" borderId="82" xfId="0" applyFont="1" applyFill="1" applyBorder="1" applyAlignment="1">
      <alignment horizontal="left" wrapText="1"/>
    </xf>
    <xf numFmtId="0" fontId="1" fillId="18" borderId="0" xfId="0" applyFont="1" applyFill="1" applyBorder="1" applyAlignment="1">
      <alignment horizontal="center" vertical="top" wrapText="1"/>
    </xf>
    <xf numFmtId="0" fontId="1" fillId="21" borderId="25" xfId="0" applyFont="1" applyFill="1" applyBorder="1" applyAlignment="1">
      <alignment horizontal="center" wrapText="1"/>
    </xf>
    <xf numFmtId="3" fontId="1" fillId="21" borderId="25" xfId="0" applyNumberFormat="1" applyFont="1" applyFill="1" applyBorder="1" applyAlignment="1">
      <alignment horizontal="center"/>
    </xf>
    <xf numFmtId="3" fontId="1" fillId="21" borderId="73" xfId="0" applyNumberFormat="1" applyFont="1" applyFill="1" applyBorder="1" applyAlignment="1">
      <alignment horizontal="center"/>
    </xf>
    <xf numFmtId="0" fontId="1" fillId="21" borderId="85" xfId="0" applyFont="1" applyFill="1" applyBorder="1" applyAlignment="1">
      <alignment horizontal="center" wrapText="1"/>
    </xf>
    <xf numFmtId="3" fontId="2" fillId="21" borderId="72" xfId="0" applyNumberFormat="1" applyFont="1" applyFill="1" applyBorder="1" applyAlignment="1">
      <alignment horizontal="center"/>
    </xf>
    <xf numFmtId="3" fontId="2" fillId="21" borderId="73" xfId="0" applyNumberFormat="1" applyFont="1" applyFill="1" applyBorder="1" applyAlignment="1">
      <alignment horizontal="center"/>
    </xf>
    <xf numFmtId="0" fontId="1" fillId="21" borderId="25" xfId="0" applyFont="1" applyFill="1" applyBorder="1" applyAlignment="1">
      <alignment horizontal="left" vertical="center" wrapText="1"/>
    </xf>
    <xf numFmtId="0" fontId="2" fillId="41" borderId="25" xfId="0" applyFont="1" applyFill="1" applyBorder="1" applyAlignment="1">
      <alignment horizontal="left"/>
    </xf>
    <xf numFmtId="0" fontId="1" fillId="19" borderId="82" xfId="0" applyFont="1" applyFill="1" applyBorder="1" applyAlignment="1">
      <alignment horizontal="center"/>
    </xf>
    <xf numFmtId="0" fontId="1" fillId="18" borderId="12" xfId="0" applyFont="1" applyFill="1" applyBorder="1" applyAlignment="1">
      <alignment horizontal="left"/>
    </xf>
    <xf numFmtId="0" fontId="1" fillId="18" borderId="22" xfId="0" applyFont="1" applyFill="1" applyBorder="1" applyAlignment="1">
      <alignment horizontal="left"/>
    </xf>
    <xf numFmtId="0" fontId="1" fillId="18" borderId="13" xfId="0" applyFont="1" applyFill="1" applyBorder="1" applyAlignment="1">
      <alignment horizontal="left"/>
    </xf>
    <xf numFmtId="0" fontId="1" fillId="18" borderId="11" xfId="0" applyFont="1" applyFill="1" applyBorder="1" applyAlignment="1">
      <alignment horizontal="left"/>
    </xf>
    <xf numFmtId="0" fontId="1" fillId="18" borderId="11" xfId="0" applyFont="1" applyFill="1" applyBorder="1" applyAlignment="1">
      <alignment horizontal="left" wrapText="1"/>
    </xf>
    <xf numFmtId="0" fontId="1" fillId="18" borderId="13" xfId="0" applyFont="1" applyFill="1" applyBorder="1" applyAlignment="1">
      <alignment horizontal="left" wrapText="1"/>
    </xf>
    <xf numFmtId="0" fontId="1" fillId="18" borderId="13" xfId="0" applyFont="1" applyFill="1" applyBorder="1" applyAlignment="1">
      <alignment horizontal="left" vertical="center" wrapText="1"/>
    </xf>
    <xf numFmtId="0" fontId="1" fillId="18" borderId="11" xfId="0" applyFont="1" applyFill="1" applyBorder="1" applyAlignment="1">
      <alignment horizontal="left" vertical="center"/>
    </xf>
    <xf numFmtId="0" fontId="1" fillId="18" borderId="13" xfId="0" applyFont="1" applyFill="1" applyBorder="1" applyAlignment="1">
      <alignment horizontal="left" vertical="center"/>
    </xf>
    <xf numFmtId="0" fontId="1" fillId="44" borderId="13" xfId="0" applyFont="1" applyFill="1" applyBorder="1" applyAlignment="1">
      <alignment horizontal="left"/>
    </xf>
    <xf numFmtId="0" fontId="0" fillId="21" borderId="30" xfId="0" applyFont="1" applyFill="1" applyBorder="1" applyAlignment="1">
      <alignment horizontal="left" vertical="center"/>
    </xf>
    <xf numFmtId="0" fontId="0" fillId="21" borderId="82" xfId="0" applyFont="1" applyFill="1" applyBorder="1" applyAlignment="1">
      <alignment horizontal="left" vertical="center"/>
    </xf>
    <xf numFmtId="0" fontId="1" fillId="21" borderId="74" xfId="0" applyFont="1" applyFill="1" applyBorder="1" applyAlignment="1">
      <alignment horizontal="left" vertical="center"/>
    </xf>
    <xf numFmtId="0" fontId="0" fillId="21" borderId="73" xfId="0" applyFont="1" applyFill="1" applyBorder="1" applyAlignment="1">
      <alignment horizontal="left"/>
    </xf>
    <xf numFmtId="169" fontId="1" fillId="21" borderId="74" xfId="0" applyNumberFormat="1" applyFont="1" applyFill="1" applyBorder="1" applyAlignment="1">
      <alignment horizontal="center"/>
    </xf>
    <xf numFmtId="169" fontId="1" fillId="21" borderId="30" xfId="0" applyNumberFormat="1" applyFont="1" applyFill="1" applyBorder="1" applyAlignment="1">
      <alignment horizontal="center"/>
    </xf>
    <xf numFmtId="169" fontId="1" fillId="21" borderId="82" xfId="0" applyNumberFormat="1" applyFont="1" applyFill="1" applyBorder="1" applyAlignment="1">
      <alignment horizontal="center"/>
    </xf>
    <xf numFmtId="170" fontId="1" fillId="0" borderId="0" xfId="0" applyNumberFormat="1" applyFont="1" applyFill="1" applyAlignment="1">
      <alignment horizontal="left" wrapText="1"/>
    </xf>
    <xf numFmtId="0" fontId="1" fillId="0" borderId="0" xfId="0" applyFont="1" applyFill="1" applyAlignment="1">
      <alignment horizontal="left" vertical="center" wrapText="1"/>
    </xf>
    <xf numFmtId="0" fontId="1" fillId="21" borderId="75" xfId="0" applyFont="1" applyFill="1" applyBorder="1" applyAlignment="1">
      <alignment horizontal="left"/>
    </xf>
    <xf numFmtId="0" fontId="1" fillId="21" borderId="76" xfId="0" applyFont="1" applyFill="1" applyBorder="1" applyAlignment="1">
      <alignment horizontal="left"/>
    </xf>
    <xf numFmtId="0" fontId="2" fillId="21" borderId="75" xfId="0" applyFont="1" applyFill="1" applyBorder="1" applyAlignment="1">
      <alignment horizontal="left"/>
    </xf>
    <xf numFmtId="0" fontId="2" fillId="21" borderId="76" xfId="0" applyFont="1" applyFill="1" applyBorder="1" applyAlignment="1">
      <alignment horizontal="left"/>
    </xf>
    <xf numFmtId="0" fontId="2" fillId="21" borderId="77" xfId="0" applyFont="1" applyFill="1" applyBorder="1" applyAlignment="1">
      <alignment horizontal="left"/>
    </xf>
    <xf numFmtId="0" fontId="1" fillId="21" borderId="77" xfId="0" applyFont="1" applyFill="1" applyBorder="1" applyAlignment="1">
      <alignment horizontal="left"/>
    </xf>
    <xf numFmtId="0" fontId="2" fillId="21" borderId="18" xfId="0" applyFont="1" applyFill="1" applyBorder="1"/>
    <xf numFmtId="0" fontId="2" fillId="21" borderId="34" xfId="0" applyFont="1" applyFill="1" applyBorder="1" applyAlignment="1">
      <alignment horizontal="left" wrapText="1"/>
    </xf>
    <xf numFmtId="0" fontId="2" fillId="21" borderId="85" xfId="0" applyFont="1" applyFill="1" applyBorder="1" applyAlignment="1">
      <alignment horizontal="left" wrapText="1"/>
    </xf>
    <xf numFmtId="0" fontId="2" fillId="18" borderId="0" xfId="0" applyFont="1" applyFill="1" applyBorder="1" applyAlignment="1">
      <alignment horizontal="left" vertical="center"/>
    </xf>
    <xf numFmtId="0" fontId="2" fillId="21" borderId="34" xfId="0" applyFont="1" applyFill="1" applyBorder="1" applyAlignment="1">
      <alignment horizontal="left" vertical="center"/>
    </xf>
    <xf numFmtId="0" fontId="2" fillId="21" borderId="85" xfId="0" applyFont="1" applyFill="1" applyBorder="1" applyAlignment="1">
      <alignment horizontal="left" vertical="center"/>
    </xf>
    <xf numFmtId="0" fontId="2" fillId="21" borderId="72" xfId="0" applyFont="1" applyFill="1" applyBorder="1" applyAlignment="1">
      <alignment horizontal="left" vertical="center"/>
    </xf>
    <xf numFmtId="0" fontId="2" fillId="44" borderId="0" xfId="0" applyFont="1" applyFill="1" applyBorder="1" applyAlignment="1">
      <alignment horizontal="left"/>
    </xf>
    <xf numFmtId="172" fontId="2" fillId="21" borderId="72" xfId="0" applyNumberFormat="1" applyFont="1" applyFill="1" applyBorder="1" applyAlignment="1">
      <alignment horizontal="center"/>
    </xf>
    <xf numFmtId="172" fontId="2" fillId="21" borderId="34" xfId="0" applyNumberFormat="1" applyFont="1" applyFill="1" applyBorder="1"/>
    <xf numFmtId="0" fontId="2" fillId="21" borderId="34" xfId="0" applyFont="1" applyFill="1" applyBorder="1"/>
    <xf numFmtId="0" fontId="1" fillId="18" borderId="11" xfId="0" applyFont="1" applyFill="1" applyBorder="1" applyAlignment="1">
      <alignment horizontal="left" vertical="center" wrapText="1"/>
    </xf>
    <xf numFmtId="0" fontId="1" fillId="18" borderId="16" xfId="0" applyFont="1" applyFill="1" applyBorder="1" applyAlignment="1">
      <alignment horizontal="left"/>
    </xf>
    <xf numFmtId="0" fontId="1" fillId="18" borderId="17" xfId="0" applyFont="1" applyFill="1" applyBorder="1" applyAlignment="1">
      <alignment horizontal="left"/>
    </xf>
    <xf numFmtId="0" fontId="0" fillId="18" borderId="10" xfId="0" applyFill="1" applyBorder="1"/>
    <xf numFmtId="1" fontId="35" fillId="41" borderId="75" xfId="0" applyNumberFormat="1" applyFont="1" applyFill="1" applyBorder="1" applyAlignment="1">
      <alignment horizontal="center"/>
    </xf>
    <xf numFmtId="1" fontId="35" fillId="21" borderId="76" xfId="0" applyNumberFormat="1" applyFont="1" applyFill="1" applyBorder="1" applyAlignment="1">
      <alignment horizontal="center"/>
    </xf>
    <xf numFmtId="0" fontId="0" fillId="18" borderId="0" xfId="0" applyFill="1" applyAlignment="1">
      <alignment horizontal="center"/>
    </xf>
    <xf numFmtId="1" fontId="1" fillId="21" borderId="104" xfId="0" applyNumberFormat="1" applyFont="1" applyFill="1" applyBorder="1" applyAlignment="1">
      <alignment horizontal="center"/>
    </xf>
    <xf numFmtId="167" fontId="1" fillId="21" borderId="25" xfId="0" applyNumberFormat="1" applyFont="1" applyFill="1" applyBorder="1" applyAlignment="1">
      <alignment horizontal="center"/>
    </xf>
    <xf numFmtId="3" fontId="1" fillId="21" borderId="67" xfId="0" applyNumberFormat="1" applyFont="1" applyFill="1" applyBorder="1" applyAlignment="1">
      <alignment horizontal="center"/>
    </xf>
    <xf numFmtId="0" fontId="1" fillId="19" borderId="67" xfId="0" applyFont="1" applyFill="1" applyBorder="1" applyAlignment="1">
      <alignment horizontal="center"/>
    </xf>
    <xf numFmtId="167" fontId="1" fillId="21" borderId="67" xfId="0" applyNumberFormat="1" applyFont="1" applyFill="1" applyBorder="1" applyAlignment="1">
      <alignment horizontal="center"/>
    </xf>
    <xf numFmtId="172" fontId="1" fillId="0" borderId="0" xfId="0" applyNumberFormat="1" applyFont="1" applyFill="1" applyBorder="1" applyAlignment="1">
      <alignment horizontal="left"/>
    </xf>
    <xf numFmtId="0" fontId="0" fillId="0" borderId="0" xfId="0" applyFill="1" applyBorder="1"/>
    <xf numFmtId="0" fontId="2" fillId="0" borderId="0" xfId="0" applyFont="1" applyFill="1" applyBorder="1" applyAlignment="1">
      <alignment horizontal="left" wrapText="1"/>
    </xf>
    <xf numFmtId="3" fontId="2" fillId="0" borderId="0" xfId="0" applyNumberFormat="1" applyFont="1" applyFill="1" applyBorder="1" applyAlignment="1">
      <alignment horizontal="left" wrapText="1"/>
    </xf>
    <xf numFmtId="0" fontId="1" fillId="0" borderId="0" xfId="0" applyFont="1" applyFill="1" applyBorder="1" applyAlignment="1">
      <alignment horizontal="left" wrapText="1"/>
    </xf>
    <xf numFmtId="172" fontId="1" fillId="0" borderId="0" xfId="0" applyNumberFormat="1" applyFont="1" applyFill="1" applyBorder="1" applyAlignment="1">
      <alignment horizontal="left" wrapText="1"/>
    </xf>
    <xf numFmtId="169" fontId="1" fillId="0" borderId="0" xfId="0" applyNumberFormat="1" applyFont="1" applyFill="1" applyBorder="1" applyAlignment="1">
      <alignment horizontal="left" wrapText="1"/>
    </xf>
    <xf numFmtId="2" fontId="1" fillId="0" borderId="0" xfId="0" applyNumberFormat="1" applyFont="1" applyFill="1" applyBorder="1" applyAlignment="1">
      <alignment horizontal="left" vertical="center"/>
    </xf>
    <xf numFmtId="167" fontId="1" fillId="0" borderId="0" xfId="0" applyNumberFormat="1" applyFont="1" applyFill="1" applyBorder="1" applyAlignment="1">
      <alignment horizontal="left"/>
    </xf>
    <xf numFmtId="0" fontId="1" fillId="21" borderId="34" xfId="0" applyFont="1" applyFill="1" applyBorder="1" applyAlignment="1">
      <alignment horizontal="center" wrapText="1"/>
    </xf>
    <xf numFmtId="0" fontId="1" fillId="19" borderId="25" xfId="0" applyFont="1" applyFill="1" applyBorder="1" applyAlignment="1">
      <alignment horizontal="center" wrapText="1"/>
    </xf>
    <xf numFmtId="0" fontId="1" fillId="19" borderId="30" xfId="0" applyFont="1" applyFill="1" applyBorder="1" applyAlignment="1">
      <alignment horizontal="center" wrapText="1"/>
    </xf>
    <xf numFmtId="0" fontId="1" fillId="21" borderId="67" xfId="0" applyFont="1" applyFill="1" applyBorder="1" applyAlignment="1">
      <alignment horizontal="center" wrapText="1"/>
    </xf>
    <xf numFmtId="0" fontId="1" fillId="19" borderId="67" xfId="0" applyFont="1" applyFill="1" applyBorder="1" applyAlignment="1">
      <alignment horizontal="center" wrapText="1"/>
    </xf>
    <xf numFmtId="0" fontId="1" fillId="19" borderId="82" xfId="0" applyFont="1" applyFill="1" applyBorder="1" applyAlignment="1">
      <alignment horizontal="center" wrapText="1"/>
    </xf>
    <xf numFmtId="0" fontId="2" fillId="18" borderId="0" xfId="0" applyFont="1" applyFill="1" applyBorder="1" applyAlignment="1">
      <alignment horizontal="center" vertical="top" wrapText="1"/>
    </xf>
    <xf numFmtId="0" fontId="0" fillId="21" borderId="73" xfId="0" applyFill="1" applyBorder="1" applyAlignment="1">
      <alignment horizontal="center"/>
    </xf>
    <xf numFmtId="0" fontId="0" fillId="21" borderId="67" xfId="0" applyFill="1" applyBorder="1" applyAlignment="1">
      <alignment horizontal="center"/>
    </xf>
    <xf numFmtId="0" fontId="2" fillId="21" borderId="105" xfId="0" applyFont="1" applyFill="1" applyBorder="1" applyAlignment="1">
      <alignment horizontal="center" vertical="top"/>
    </xf>
    <xf numFmtId="3" fontId="2" fillId="21" borderId="20" xfId="0" applyNumberFormat="1" applyFont="1" applyFill="1" applyBorder="1" applyAlignment="1">
      <alignment horizontal="center"/>
    </xf>
    <xf numFmtId="172" fontId="2" fillId="21" borderId="20" xfId="0" applyNumberFormat="1" applyFont="1" applyFill="1" applyBorder="1" applyAlignment="1">
      <alignment horizontal="center"/>
    </xf>
    <xf numFmtId="0" fontId="2" fillId="21" borderId="21" xfId="0" applyFont="1" applyFill="1" applyBorder="1" applyAlignment="1">
      <alignment horizontal="center"/>
    </xf>
    <xf numFmtId="0" fontId="1" fillId="21" borderId="72" xfId="0" applyFont="1" applyFill="1" applyBorder="1" applyAlignment="1">
      <alignment horizontal="center" vertical="center" wrapText="1"/>
    </xf>
    <xf numFmtId="0" fontId="1" fillId="19" borderId="73" xfId="0" applyFont="1" applyFill="1" applyBorder="1" applyAlignment="1">
      <alignment horizontal="center"/>
    </xf>
    <xf numFmtId="167" fontId="1" fillId="21" borderId="73" xfId="0" applyNumberFormat="1" applyFont="1" applyFill="1" applyBorder="1" applyAlignment="1">
      <alignment horizontal="center"/>
    </xf>
    <xf numFmtId="0" fontId="1" fillId="19" borderId="74" xfId="0" applyFont="1" applyFill="1" applyBorder="1" applyAlignment="1">
      <alignment horizontal="center"/>
    </xf>
    <xf numFmtId="0" fontId="1" fillId="21" borderId="34" xfId="0" applyFont="1" applyFill="1" applyBorder="1" applyAlignment="1">
      <alignment horizontal="center" vertical="center" wrapText="1"/>
    </xf>
    <xf numFmtId="0" fontId="1" fillId="19" borderId="30" xfId="0" applyFont="1" applyFill="1" applyBorder="1" applyAlignment="1">
      <alignment horizontal="center"/>
    </xf>
    <xf numFmtId="164" fontId="0" fillId="21" borderId="34" xfId="28" applyFont="1" applyFill="1" applyBorder="1" applyAlignment="1">
      <alignment horizontal="center" vertical="center" wrapText="1"/>
    </xf>
    <xf numFmtId="172" fontId="2" fillId="21" borderId="10" xfId="0" applyNumberFormat="1" applyFont="1" applyFill="1" applyBorder="1" applyAlignment="1">
      <alignment horizontal="center"/>
    </xf>
    <xf numFmtId="0" fontId="1" fillId="21" borderId="100" xfId="0" applyFont="1" applyFill="1" applyBorder="1"/>
    <xf numFmtId="0" fontId="1" fillId="21" borderId="100" xfId="0" applyFont="1" applyFill="1" applyBorder="1" applyAlignment="1">
      <alignment wrapText="1"/>
    </xf>
    <xf numFmtId="172" fontId="2" fillId="21" borderId="77" xfId="0" applyNumberFormat="1" applyFont="1" applyFill="1" applyBorder="1" applyAlignment="1">
      <alignment horizontal="center"/>
    </xf>
    <xf numFmtId="0" fontId="1" fillId="21" borderId="76" xfId="0" applyFont="1" applyFill="1" applyBorder="1"/>
    <xf numFmtId="0" fontId="1" fillId="19" borderId="100" xfId="0" applyFont="1" applyFill="1" applyBorder="1"/>
    <xf numFmtId="0" fontId="1" fillId="19" borderId="75" xfId="0" applyFont="1" applyFill="1" applyBorder="1"/>
    <xf numFmtId="172" fontId="1" fillId="100" borderId="34" xfId="0" applyNumberFormat="1" applyFont="1" applyFill="1" applyBorder="1"/>
    <xf numFmtId="172" fontId="1" fillId="65" borderId="34" xfId="0" applyNumberFormat="1" applyFont="1" applyFill="1" applyBorder="1"/>
    <xf numFmtId="172" fontId="1" fillId="65" borderId="85" xfId="0" applyNumberFormat="1" applyFont="1" applyFill="1" applyBorder="1"/>
    <xf numFmtId="0" fontId="0" fillId="0" borderId="22" xfId="0" applyBorder="1"/>
    <xf numFmtId="0" fontId="0" fillId="0" borderId="13" xfId="0" applyBorder="1"/>
    <xf numFmtId="0" fontId="0" fillId="0" borderId="17" xfId="0" applyBorder="1"/>
    <xf numFmtId="0" fontId="1" fillId="18" borderId="0" xfId="41" applyNumberFormat="1" applyFont="1" applyFill="1" applyBorder="1" applyAlignment="1">
      <alignment wrapText="1"/>
    </xf>
    <xf numFmtId="0" fontId="2" fillId="18" borderId="11" xfId="41" applyFont="1" applyFill="1" applyBorder="1"/>
    <xf numFmtId="0" fontId="1" fillId="18" borderId="16" xfId="41" applyFont="1" applyFill="1" applyBorder="1" applyAlignment="1">
      <alignment wrapText="1"/>
    </xf>
    <xf numFmtId="0" fontId="43" fillId="21" borderId="25" xfId="41" applyFont="1" applyFill="1" applyBorder="1"/>
    <xf numFmtId="0" fontId="2" fillId="21" borderId="39" xfId="0" applyFont="1" applyFill="1" applyBorder="1" applyAlignment="1">
      <alignment wrapText="1"/>
    </xf>
    <xf numFmtId="0" fontId="2" fillId="21" borderId="31" xfId="0" applyFont="1" applyFill="1" applyBorder="1" applyAlignment="1">
      <alignment wrapText="1"/>
    </xf>
    <xf numFmtId="0" fontId="34" fillId="21" borderId="72" xfId="0" applyFont="1" applyFill="1" applyBorder="1" applyAlignment="1">
      <alignment wrapText="1"/>
    </xf>
    <xf numFmtId="0" fontId="34" fillId="21" borderId="73" xfId="0" applyFont="1" applyFill="1" applyBorder="1" applyAlignment="1">
      <alignment wrapText="1"/>
    </xf>
    <xf numFmtId="0" fontId="34" fillId="21" borderId="74" xfId="41" applyFont="1" applyFill="1" applyBorder="1"/>
    <xf numFmtId="0" fontId="34" fillId="21" borderId="34" xfId="0" applyFont="1" applyFill="1" applyBorder="1" applyAlignment="1">
      <alignment wrapText="1"/>
    </xf>
    <xf numFmtId="0" fontId="34" fillId="21" borderId="25" xfId="0" applyFont="1" applyFill="1" applyBorder="1" applyAlignment="1">
      <alignment wrapText="1"/>
    </xf>
    <xf numFmtId="0" fontId="34" fillId="21" borderId="30" xfId="41" applyFont="1" applyFill="1" applyBorder="1"/>
    <xf numFmtId="0" fontId="34" fillId="21" borderId="85" xfId="0" applyFont="1" applyFill="1" applyBorder="1" applyAlignment="1">
      <alignment wrapText="1"/>
    </xf>
    <xf numFmtId="0" fontId="34" fillId="21" borderId="67" xfId="0" applyFont="1" applyFill="1" applyBorder="1" applyAlignment="1">
      <alignment wrapText="1"/>
    </xf>
    <xf numFmtId="0" fontId="34" fillId="21" borderId="82" xfId="41" applyFont="1" applyFill="1" applyBorder="1"/>
    <xf numFmtId="0" fontId="2" fillId="21" borderId="30" xfId="41" applyFont="1" applyFill="1" applyBorder="1"/>
    <xf numFmtId="0" fontId="2" fillId="21" borderId="41" xfId="41" applyFont="1" applyFill="1" applyBorder="1"/>
    <xf numFmtId="0" fontId="2" fillId="21" borderId="34" xfId="41" applyFont="1" applyFill="1" applyBorder="1"/>
    <xf numFmtId="0" fontId="2" fillId="21" borderId="34" xfId="41" applyFont="1" applyFill="1" applyBorder="1" applyAlignment="1">
      <alignment wrapText="1"/>
    </xf>
    <xf numFmtId="0" fontId="1" fillId="21" borderId="25" xfId="41" applyFont="1" applyFill="1" applyBorder="1" applyAlignment="1">
      <alignment horizontal="left" wrapText="1"/>
    </xf>
    <xf numFmtId="165" fontId="1" fillId="0" borderId="0" xfId="0" applyNumberFormat="1" applyFont="1" applyFill="1" applyBorder="1" applyAlignment="1">
      <alignment horizontal="center"/>
    </xf>
    <xf numFmtId="2" fontId="1" fillId="0" borderId="0" xfId="0" applyNumberFormat="1" applyFont="1" applyFill="1" applyBorder="1" applyAlignment="1">
      <alignment horizontal="center"/>
    </xf>
    <xf numFmtId="172" fontId="1" fillId="0" borderId="0" xfId="0" applyNumberFormat="1" applyFont="1" applyFill="1" applyBorder="1" applyAlignment="1">
      <alignment horizontal="center"/>
    </xf>
    <xf numFmtId="164" fontId="1" fillId="0" borderId="0" xfId="28" applyFont="1" applyFill="1" applyBorder="1" applyAlignment="1">
      <alignment wrapText="1"/>
    </xf>
    <xf numFmtId="0" fontId="97" fillId="18" borderId="11" xfId="41" applyFont="1" applyFill="1" applyBorder="1"/>
    <xf numFmtId="164" fontId="1" fillId="18" borderId="0" xfId="28" applyFont="1" applyFill="1" applyBorder="1" applyAlignment="1">
      <alignment wrapText="1"/>
    </xf>
    <xf numFmtId="0" fontId="1" fillId="21" borderId="72" xfId="41" applyFont="1" applyFill="1" applyBorder="1"/>
    <xf numFmtId="0" fontId="1" fillId="21" borderId="74" xfId="41" applyFont="1" applyFill="1" applyBorder="1"/>
    <xf numFmtId="0" fontId="1" fillId="21" borderId="85" xfId="41" applyFont="1" applyFill="1" applyBorder="1"/>
    <xf numFmtId="0" fontId="1" fillId="21" borderId="67" xfId="41" applyFont="1" applyFill="1" applyBorder="1"/>
    <xf numFmtId="10" fontId="1" fillId="21" borderId="25" xfId="0" applyNumberFormat="1" applyFont="1" applyFill="1" applyBorder="1"/>
    <xf numFmtId="0" fontId="1" fillId="18" borderId="15" xfId="0" applyFont="1" applyFill="1" applyBorder="1"/>
    <xf numFmtId="2" fontId="1" fillId="19" borderId="39" xfId="41" applyNumberFormat="1" applyFont="1" applyFill="1" applyBorder="1" applyAlignment="1">
      <alignment horizontal="center"/>
    </xf>
    <xf numFmtId="0" fontId="99" fillId="18" borderId="0" xfId="41" applyFont="1" applyFill="1" applyBorder="1" applyAlignment="1">
      <alignment horizontal="center"/>
    </xf>
    <xf numFmtId="0" fontId="2" fillId="20" borderId="29" xfId="42" applyFont="1" applyFill="1" applyBorder="1"/>
    <xf numFmtId="0" fontId="1" fillId="20" borderId="11" xfId="42" applyFont="1" applyFill="1" applyBorder="1"/>
    <xf numFmtId="0" fontId="100" fillId="33" borderId="0" xfId="0" applyFont="1" applyFill="1" applyBorder="1" applyAlignment="1">
      <alignment vertical="center"/>
    </xf>
    <xf numFmtId="0" fontId="2" fillId="21" borderId="25" xfId="0" applyFont="1" applyFill="1" applyBorder="1" applyAlignment="1">
      <alignment wrapText="1"/>
    </xf>
    <xf numFmtId="0" fontId="2" fillId="27" borderId="25" xfId="0" applyFont="1" applyFill="1" applyBorder="1" applyAlignment="1">
      <alignment wrapText="1"/>
    </xf>
    <xf numFmtId="0" fontId="1" fillId="33" borderId="0" xfId="0" applyFont="1" applyFill="1" applyBorder="1" applyAlignment="1">
      <alignment horizontal="left" wrapText="1"/>
    </xf>
    <xf numFmtId="0" fontId="0" fillId="21" borderId="25" xfId="0" applyFill="1" applyBorder="1"/>
    <xf numFmtId="0" fontId="1" fillId="18" borderId="31" xfId="42" applyFont="1" applyFill="1" applyBorder="1"/>
    <xf numFmtId="0" fontId="1" fillId="33" borderId="31" xfId="0" applyFont="1" applyFill="1" applyBorder="1"/>
    <xf numFmtId="0" fontId="1" fillId="33" borderId="31" xfId="0" applyFont="1" applyFill="1" applyBorder="1" applyAlignment="1">
      <alignment wrapText="1"/>
    </xf>
    <xf numFmtId="0" fontId="1" fillId="18" borderId="31" xfId="0" applyFont="1" applyFill="1" applyBorder="1"/>
    <xf numFmtId="0" fontId="2" fillId="18" borderId="90" xfId="0" applyFont="1" applyFill="1" applyBorder="1"/>
    <xf numFmtId="0" fontId="1" fillId="33" borderId="90" xfId="0" applyFont="1" applyFill="1" applyBorder="1"/>
    <xf numFmtId="165" fontId="1" fillId="18" borderId="90" xfId="42" applyNumberFormat="1" applyFont="1" applyFill="1" applyBorder="1"/>
    <xf numFmtId="165" fontId="1" fillId="18" borderId="90" xfId="0" applyNumberFormat="1" applyFont="1" applyFill="1" applyBorder="1"/>
    <xf numFmtId="0" fontId="1" fillId="18" borderId="90" xfId="42" applyFont="1" applyFill="1" applyBorder="1"/>
    <xf numFmtId="2" fontId="1" fillId="33" borderId="90" xfId="0" applyNumberFormat="1" applyFont="1" applyFill="1" applyBorder="1"/>
    <xf numFmtId="0" fontId="1" fillId="18" borderId="10" xfId="42" applyFont="1" applyFill="1" applyBorder="1"/>
    <xf numFmtId="0" fontId="1" fillId="18" borderId="12" xfId="42" applyFont="1" applyFill="1" applyBorder="1"/>
    <xf numFmtId="0" fontId="1" fillId="18" borderId="22" xfId="42" applyFont="1" applyFill="1" applyBorder="1"/>
    <xf numFmtId="0" fontId="1" fillId="18" borderId="11" xfId="42" applyFont="1" applyFill="1" applyBorder="1"/>
    <xf numFmtId="0" fontId="101" fillId="18" borderId="0" xfId="0" applyFont="1" applyFill="1" applyBorder="1" applyAlignment="1">
      <alignment vertical="center"/>
    </xf>
    <xf numFmtId="0" fontId="1" fillId="18" borderId="13" xfId="42" applyFont="1" applyFill="1" applyBorder="1"/>
    <xf numFmtId="0" fontId="1" fillId="18" borderId="15" xfId="42" applyFont="1" applyFill="1" applyBorder="1"/>
    <xf numFmtId="0" fontId="1" fillId="18" borderId="16" xfId="42" applyFont="1" applyFill="1" applyBorder="1"/>
    <xf numFmtId="0" fontId="2" fillId="21" borderId="67" xfId="0" applyFont="1" applyFill="1" applyBorder="1"/>
    <xf numFmtId="0" fontId="1" fillId="18" borderId="17" xfId="42" applyFont="1" applyFill="1" applyBorder="1"/>
    <xf numFmtId="0" fontId="1" fillId="101" borderId="10" xfId="42" applyFont="1" applyFill="1" applyBorder="1"/>
    <xf numFmtId="0" fontId="1" fillId="101" borderId="11" xfId="42" applyFont="1" applyFill="1" applyBorder="1"/>
    <xf numFmtId="0" fontId="1" fillId="101" borderId="15" xfId="42" applyFont="1" applyFill="1" applyBorder="1"/>
    <xf numFmtId="0" fontId="1" fillId="102" borderId="10" xfId="42" applyFont="1" applyFill="1" applyBorder="1"/>
    <xf numFmtId="0" fontId="1" fillId="102" borderId="11" xfId="42" applyFont="1" applyFill="1" applyBorder="1"/>
    <xf numFmtId="0" fontId="1" fillId="102" borderId="15" xfId="42" applyFont="1" applyFill="1" applyBorder="1"/>
    <xf numFmtId="0" fontId="1" fillId="21" borderId="25" xfId="42" applyFont="1" applyFill="1" applyBorder="1" applyAlignment="1">
      <alignment horizontal="center"/>
    </xf>
    <xf numFmtId="0" fontId="1" fillId="21" borderId="10" xfId="42" applyFont="1" applyFill="1" applyBorder="1"/>
    <xf numFmtId="0" fontId="1" fillId="21" borderId="12" xfId="42" applyFont="1" applyFill="1" applyBorder="1"/>
    <xf numFmtId="0" fontId="1" fillId="21" borderId="22" xfId="42" applyFont="1" applyFill="1" applyBorder="1"/>
    <xf numFmtId="0" fontId="1" fillId="103" borderId="11" xfId="42" applyFont="1" applyFill="1" applyBorder="1"/>
    <xf numFmtId="0" fontId="1" fillId="21" borderId="30" xfId="42" applyFont="1" applyFill="1" applyBorder="1" applyAlignment="1">
      <alignment horizontal="center"/>
    </xf>
    <xf numFmtId="0" fontId="1" fillId="104" borderId="11" xfId="42" applyFont="1" applyFill="1" applyBorder="1"/>
    <xf numFmtId="0" fontId="0" fillId="21" borderId="30" xfId="0" applyFill="1" applyBorder="1" applyAlignment="1">
      <alignment horizontal="center"/>
    </xf>
    <xf numFmtId="0" fontId="1" fillId="22" borderId="11" xfId="42" applyFont="1" applyFill="1" applyBorder="1"/>
    <xf numFmtId="0" fontId="1" fillId="105" borderId="11" xfId="42" applyFont="1" applyFill="1" applyBorder="1"/>
    <xf numFmtId="0" fontId="1" fillId="105" borderId="15" xfId="42" applyFont="1" applyFill="1" applyBorder="1"/>
    <xf numFmtId="0" fontId="1" fillId="21" borderId="67" xfId="42" applyFont="1" applyFill="1" applyBorder="1" applyAlignment="1">
      <alignment horizontal="center"/>
    </xf>
    <xf numFmtId="0" fontId="1" fillId="21" borderId="82" xfId="42" applyFont="1" applyFill="1" applyBorder="1" applyAlignment="1">
      <alignment horizontal="center"/>
    </xf>
    <xf numFmtId="0" fontId="1" fillId="21" borderId="72" xfId="42" applyFont="1" applyFill="1" applyBorder="1"/>
    <xf numFmtId="0" fontId="1" fillId="21" borderId="73" xfId="42" applyFont="1" applyFill="1" applyBorder="1"/>
    <xf numFmtId="0" fontId="1" fillId="21" borderId="74" xfId="42" applyFont="1" applyFill="1" applyBorder="1"/>
    <xf numFmtId="0" fontId="1" fillId="21" borderId="34" xfId="42" applyFont="1" applyFill="1" applyBorder="1"/>
    <xf numFmtId="0" fontId="1" fillId="21" borderId="30" xfId="42" applyFont="1" applyFill="1" applyBorder="1"/>
    <xf numFmtId="0" fontId="1" fillId="21" borderId="85" xfId="42" applyFont="1" applyFill="1" applyBorder="1"/>
    <xf numFmtId="0" fontId="1" fillId="21" borderId="67" xfId="42" applyFont="1" applyFill="1" applyBorder="1"/>
    <xf numFmtId="0" fontId="1" fillId="21" borderId="82" xfId="42" applyFont="1" applyFill="1" applyBorder="1"/>
    <xf numFmtId="0" fontId="0" fillId="21" borderId="73" xfId="0" applyFill="1" applyBorder="1"/>
    <xf numFmtId="0" fontId="0" fillId="21" borderId="67" xfId="0" applyFill="1" applyBorder="1"/>
    <xf numFmtId="172" fontId="2" fillId="18" borderId="0" xfId="41" applyNumberFormat="1" applyFont="1" applyFill="1" applyBorder="1"/>
    <xf numFmtId="10" fontId="1" fillId="18" borderId="0" xfId="41" applyNumberFormat="1" applyFont="1" applyFill="1" applyBorder="1"/>
    <xf numFmtId="0" fontId="2" fillId="18" borderId="29" xfId="41" applyFont="1" applyFill="1" applyBorder="1" applyAlignment="1">
      <alignment wrapText="1"/>
    </xf>
    <xf numFmtId="0" fontId="2" fillId="18" borderId="79" xfId="0" applyFont="1" applyFill="1" applyBorder="1"/>
    <xf numFmtId="0" fontId="2" fillId="18" borderId="98" xfId="41" applyFont="1" applyFill="1" applyBorder="1" applyAlignment="1">
      <alignment horizontal="center" wrapText="1"/>
    </xf>
    <xf numFmtId="0" fontId="2" fillId="18" borderId="78" xfId="41" applyFont="1" applyFill="1" applyBorder="1" applyAlignment="1">
      <alignment horizontal="center" wrapText="1"/>
    </xf>
    <xf numFmtId="0" fontId="2" fillId="18" borderId="104" xfId="0" applyFont="1" applyFill="1" applyBorder="1"/>
    <xf numFmtId="0" fontId="1" fillId="18" borderId="65" xfId="41" applyFont="1" applyFill="1" applyBorder="1"/>
    <xf numFmtId="2" fontId="1" fillId="18" borderId="90" xfId="41" applyNumberFormat="1" applyFont="1" applyFill="1" applyBorder="1" applyAlignment="1">
      <alignment horizontal="center"/>
    </xf>
    <xf numFmtId="2" fontId="1" fillId="18" borderId="91" xfId="41" applyNumberFormat="1" applyFont="1" applyFill="1" applyBorder="1" applyAlignment="1">
      <alignment horizontal="center"/>
    </xf>
    <xf numFmtId="0" fontId="2" fillId="18" borderId="75" xfId="0" applyFont="1" applyFill="1" applyBorder="1"/>
    <xf numFmtId="0" fontId="1" fillId="18" borderId="38" xfId="41" applyFont="1" applyFill="1" applyBorder="1"/>
    <xf numFmtId="169" fontId="1" fillId="18" borderId="25" xfId="41" applyNumberFormat="1" applyFont="1" applyFill="1" applyBorder="1" applyAlignment="1">
      <alignment horizontal="center"/>
    </xf>
    <xf numFmtId="169" fontId="1" fillId="18" borderId="30" xfId="41" applyNumberFormat="1" applyFont="1" applyFill="1" applyBorder="1" applyAlignment="1">
      <alignment horizontal="center"/>
    </xf>
    <xf numFmtId="2" fontId="1" fillId="18" borderId="25" xfId="41" applyNumberFormat="1" applyFont="1" applyFill="1" applyBorder="1" applyAlignment="1">
      <alignment horizontal="center"/>
    </xf>
    <xf numFmtId="2" fontId="1" fillId="18" borderId="30" xfId="41" applyNumberFormat="1" applyFont="1" applyFill="1" applyBorder="1" applyAlignment="1">
      <alignment horizontal="center"/>
    </xf>
    <xf numFmtId="0" fontId="1" fillId="18" borderId="76" xfId="0" applyFont="1" applyFill="1" applyBorder="1"/>
    <xf numFmtId="0" fontId="1" fillId="18" borderId="103" xfId="0" applyFont="1" applyFill="1" applyBorder="1"/>
    <xf numFmtId="2" fontId="1" fillId="18" borderId="67" xfId="0" applyNumberFormat="1" applyFont="1" applyFill="1" applyBorder="1" applyAlignment="1">
      <alignment horizontal="center"/>
    </xf>
    <xf numFmtId="2" fontId="1" fillId="18" borderId="82" xfId="0" applyNumberFormat="1" applyFont="1" applyFill="1" applyBorder="1" applyAlignment="1">
      <alignment horizontal="center"/>
    </xf>
    <xf numFmtId="0" fontId="2" fillId="18" borderId="72" xfId="0" applyFont="1" applyFill="1" applyBorder="1"/>
    <xf numFmtId="0" fontId="2" fillId="18" borderId="73" xfId="0" applyFont="1" applyFill="1" applyBorder="1"/>
    <xf numFmtId="0" fontId="2" fillId="18" borderId="74" xfId="0" applyFont="1" applyFill="1" applyBorder="1"/>
    <xf numFmtId="0" fontId="2" fillId="18" borderId="34" xfId="0" applyFont="1" applyFill="1" applyBorder="1"/>
    <xf numFmtId="0" fontId="1" fillId="18" borderId="30" xfId="0" applyFont="1" applyFill="1" applyBorder="1"/>
    <xf numFmtId="0" fontId="1" fillId="18" borderId="34" xfId="0" applyFont="1" applyFill="1" applyBorder="1"/>
    <xf numFmtId="0" fontId="1" fillId="18" borderId="85" xfId="0" applyFont="1" applyFill="1" applyBorder="1"/>
    <xf numFmtId="0" fontId="1" fillId="18" borderId="67" xfId="0" applyFont="1" applyFill="1" applyBorder="1"/>
    <xf numFmtId="0" fontId="1" fillId="18" borderId="82" xfId="0" applyFont="1" applyFill="1" applyBorder="1"/>
    <xf numFmtId="1" fontId="34" fillId="20" borderId="23" xfId="0" applyNumberFormat="1" applyFont="1" applyFill="1" applyBorder="1" applyAlignment="1">
      <alignment horizontal="center"/>
    </xf>
    <xf numFmtId="0" fontId="2" fillId="18" borderId="0" xfId="41" applyFont="1" applyFill="1" applyBorder="1" applyAlignment="1">
      <alignment horizontal="right" wrapText="1"/>
    </xf>
    <xf numFmtId="1" fontId="1" fillId="21" borderId="39" xfId="41" applyNumberFormat="1" applyFont="1" applyFill="1" applyBorder="1" applyAlignment="1">
      <alignment horizontal="left"/>
    </xf>
    <xf numFmtId="10" fontId="1" fillId="18" borderId="16" xfId="0" applyNumberFormat="1" applyFont="1" applyFill="1" applyBorder="1"/>
    <xf numFmtId="0" fontId="1" fillId="21" borderId="25" xfId="41" applyFont="1" applyFill="1" applyBorder="1" applyAlignment="1">
      <alignment horizontal="center"/>
    </xf>
    <xf numFmtId="10" fontId="1" fillId="21" borderId="100" xfId="41" applyNumberFormat="1" applyFont="1" applyFill="1" applyBorder="1"/>
    <xf numFmtId="10" fontId="1" fillId="21" borderId="101" xfId="41" applyNumberFormat="1" applyFont="1" applyFill="1" applyBorder="1"/>
    <xf numFmtId="0" fontId="1" fillId="19" borderId="30" xfId="41" applyFont="1" applyFill="1" applyBorder="1"/>
    <xf numFmtId="165" fontId="1" fillId="21" borderId="67" xfId="41" applyNumberFormat="1" applyFont="1" applyFill="1" applyBorder="1"/>
    <xf numFmtId="0" fontId="1" fillId="19" borderId="67" xfId="41" applyFont="1" applyFill="1" applyBorder="1"/>
    <xf numFmtId="0" fontId="1" fillId="19" borderId="82" xfId="41" applyFont="1" applyFill="1" applyBorder="1"/>
    <xf numFmtId="2" fontId="1" fillId="19" borderId="84" xfId="41" applyNumberFormat="1" applyFont="1" applyFill="1" applyBorder="1" applyAlignment="1">
      <alignment horizontal="center"/>
    </xf>
    <xf numFmtId="0" fontId="2" fillId="18" borderId="13" xfId="41" applyFont="1" applyFill="1" applyBorder="1"/>
    <xf numFmtId="0" fontId="1" fillId="18" borderId="13" xfId="0" applyFont="1" applyFill="1" applyBorder="1" applyAlignment="1">
      <alignment horizontal="center"/>
    </xf>
    <xf numFmtId="0" fontId="1" fillId="18" borderId="11" xfId="41" applyFont="1" applyFill="1" applyBorder="1" applyAlignment="1">
      <alignment horizontal="right"/>
    </xf>
    <xf numFmtId="0" fontId="2" fillId="18" borderId="17" xfId="41" applyFont="1" applyFill="1" applyBorder="1"/>
    <xf numFmtId="0" fontId="1" fillId="18" borderId="90" xfId="41" applyFont="1" applyFill="1" applyBorder="1" applyAlignment="1">
      <alignment wrapText="1"/>
    </xf>
    <xf numFmtId="1" fontId="1" fillId="18" borderId="90" xfId="41" applyNumberFormat="1" applyFont="1" applyFill="1" applyBorder="1" applyAlignment="1">
      <alignment wrapText="1"/>
    </xf>
    <xf numFmtId="0" fontId="1" fillId="18" borderId="91" xfId="41" applyFont="1" applyFill="1" applyBorder="1" applyAlignment="1">
      <alignment wrapText="1"/>
    </xf>
    <xf numFmtId="0" fontId="1" fillId="18" borderId="73" xfId="41" applyFont="1" applyFill="1" applyBorder="1" applyAlignment="1">
      <alignment wrapText="1"/>
    </xf>
    <xf numFmtId="0" fontId="1" fillId="18" borderId="83" xfId="41" applyFont="1" applyFill="1" applyBorder="1" applyAlignment="1">
      <alignment horizontal="center" wrapText="1"/>
    </xf>
    <xf numFmtId="0" fontId="1" fillId="18" borderId="72" xfId="41" applyFont="1" applyFill="1" applyBorder="1"/>
    <xf numFmtId="0" fontId="1" fillId="18" borderId="80" xfId="41" applyFont="1" applyFill="1" applyBorder="1"/>
    <xf numFmtId="0" fontId="1" fillId="21" borderId="82" xfId="41" applyFont="1" applyFill="1" applyBorder="1"/>
    <xf numFmtId="0" fontId="106" fillId="18" borderId="0" xfId="0" applyFont="1" applyFill="1" applyAlignment="1">
      <alignment horizontal="right"/>
    </xf>
    <xf numFmtId="0" fontId="1" fillId="18" borderId="0" xfId="41" applyFont="1" applyFill="1" applyBorder="1" applyAlignment="1">
      <alignment horizontal="right"/>
    </xf>
    <xf numFmtId="0" fontId="1" fillId="18" borderId="0" xfId="41" applyFont="1" applyFill="1" applyBorder="1" applyAlignment="1">
      <alignment horizontal="right" wrapText="1"/>
    </xf>
    <xf numFmtId="0" fontId="1" fillId="18" borderId="0" xfId="0" applyFont="1" applyFill="1" applyBorder="1" applyAlignment="1">
      <alignment horizontal="right" wrapText="1"/>
    </xf>
    <xf numFmtId="0" fontId="1" fillId="21" borderId="25" xfId="0" applyFont="1" applyFill="1" applyBorder="1" applyAlignment="1">
      <alignment horizontal="right"/>
    </xf>
    <xf numFmtId="2" fontId="1" fillId="21" borderId="38" xfId="41" applyNumberFormat="1" applyFont="1" applyFill="1" applyBorder="1" applyAlignment="1">
      <alignment horizontal="left" wrapText="1"/>
    </xf>
    <xf numFmtId="0" fontId="107" fillId="21" borderId="25" xfId="0" applyFont="1" applyFill="1" applyBorder="1"/>
    <xf numFmtId="0" fontId="1" fillId="18" borderId="13" xfId="0" applyFont="1" applyFill="1" applyBorder="1" applyAlignment="1">
      <alignment horizontal="right"/>
    </xf>
    <xf numFmtId="0" fontId="101" fillId="18" borderId="12" xfId="41" applyFont="1" applyFill="1" applyBorder="1" applyAlignment="1"/>
    <xf numFmtId="0" fontId="1" fillId="18" borderId="17" xfId="41" applyFont="1" applyFill="1" applyBorder="1" applyAlignment="1">
      <alignment wrapText="1"/>
    </xf>
    <xf numFmtId="10" fontId="1" fillId="21" borderId="86" xfId="41" applyNumberFormat="1" applyFont="1" applyFill="1" applyBorder="1"/>
    <xf numFmtId="10" fontId="1" fillId="21" borderId="34" xfId="41" applyNumberFormat="1" applyFont="1" applyFill="1" applyBorder="1"/>
    <xf numFmtId="10" fontId="1" fillId="21" borderId="85" xfId="41" applyNumberFormat="1" applyFont="1" applyFill="1" applyBorder="1"/>
    <xf numFmtId="0" fontId="1" fillId="21" borderId="103" xfId="41" applyFont="1" applyFill="1" applyBorder="1"/>
    <xf numFmtId="0" fontId="0" fillId="21" borderId="25" xfId="41" applyFont="1" applyFill="1" applyBorder="1"/>
    <xf numFmtId="2" fontId="0" fillId="21" borderId="25" xfId="41" applyNumberFormat="1" applyFont="1" applyFill="1" applyBorder="1"/>
    <xf numFmtId="2" fontId="1" fillId="43" borderId="0" xfId="0" applyNumberFormat="1" applyFont="1" applyFill="1" applyBorder="1" applyAlignment="1">
      <alignment horizontal="center"/>
    </xf>
    <xf numFmtId="2" fontId="1" fillId="23" borderId="0" xfId="0" applyNumberFormat="1" applyFont="1" applyFill="1" applyBorder="1" applyAlignment="1">
      <alignment horizontal="center"/>
    </xf>
    <xf numFmtId="0" fontId="1" fillId="56" borderId="0" xfId="0" applyFont="1" applyFill="1" applyBorder="1" applyAlignment="1">
      <alignment horizontal="center"/>
    </xf>
    <xf numFmtId="2" fontId="1" fillId="23" borderId="0" xfId="0" applyNumberFormat="1" applyFont="1" applyFill="1" applyAlignment="1">
      <alignment horizontal="center"/>
    </xf>
    <xf numFmtId="2" fontId="1" fillId="43" borderId="0" xfId="0" applyNumberFormat="1" applyFont="1" applyFill="1" applyAlignment="1">
      <alignment horizontal="center"/>
    </xf>
    <xf numFmtId="2" fontId="1" fillId="101" borderId="0" xfId="0" applyNumberFormat="1" applyFont="1" applyFill="1" applyBorder="1" applyAlignment="1">
      <alignment horizontal="center"/>
    </xf>
    <xf numFmtId="0" fontId="2" fillId="20" borderId="0" xfId="0" applyFont="1" applyFill="1" applyBorder="1" applyAlignment="1">
      <alignment horizontal="center" wrapText="1"/>
    </xf>
    <xf numFmtId="0" fontId="2" fillId="19" borderId="0" xfId="0" applyFont="1" applyFill="1" applyBorder="1" applyAlignment="1">
      <alignment horizontal="left" wrapText="1"/>
    </xf>
    <xf numFmtId="167" fontId="1" fillId="19" borderId="0" xfId="0" applyNumberFormat="1" applyFont="1" applyFill="1" applyBorder="1"/>
    <xf numFmtId="4" fontId="1" fillId="0" borderId="0" xfId="0" applyNumberFormat="1" applyFont="1" applyFill="1" applyBorder="1" applyAlignment="1">
      <alignment horizontal="left"/>
    </xf>
    <xf numFmtId="0" fontId="2" fillId="0" borderId="0" xfId="0" applyFont="1" applyFill="1" applyBorder="1" applyAlignment="1">
      <alignment horizontal="left"/>
    </xf>
    <xf numFmtId="4" fontId="1" fillId="19" borderId="11" xfId="0" applyNumberFormat="1" applyFont="1" applyFill="1" applyBorder="1" applyAlignment="1">
      <alignment horizontal="left"/>
    </xf>
    <xf numFmtId="4" fontId="1" fillId="19" borderId="11" xfId="0" applyNumberFormat="1" applyFont="1" applyFill="1" applyBorder="1" applyAlignment="1">
      <alignment horizontal="left" wrapText="1"/>
    </xf>
    <xf numFmtId="0" fontId="2" fillId="19" borderId="11" xfId="0" applyFont="1" applyFill="1" applyBorder="1" applyAlignment="1">
      <alignment horizontal="left"/>
    </xf>
    <xf numFmtId="0" fontId="2" fillId="19" borderId="15" xfId="0" applyFont="1" applyFill="1" applyBorder="1" applyAlignment="1">
      <alignment horizontal="left"/>
    </xf>
    <xf numFmtId="0" fontId="1" fillId="19" borderId="16" xfId="0" applyFont="1" applyFill="1" applyBorder="1" applyAlignment="1">
      <alignment horizontal="center"/>
    </xf>
    <xf numFmtId="167" fontId="1" fillId="19" borderId="16" xfId="0" applyNumberFormat="1" applyFont="1" applyFill="1" applyBorder="1"/>
    <xf numFmtId="0" fontId="1" fillId="19" borderId="16" xfId="0" applyFont="1" applyFill="1" applyBorder="1" applyAlignment="1">
      <alignment horizontal="left"/>
    </xf>
    <xf numFmtId="0" fontId="2" fillId="19" borderId="39" xfId="0" applyFont="1" applyFill="1" applyBorder="1" applyAlignment="1">
      <alignment horizontal="left" wrapText="1"/>
    </xf>
    <xf numFmtId="4" fontId="2" fillId="19" borderId="106" xfId="0" applyNumberFormat="1" applyFont="1" applyFill="1" applyBorder="1" applyAlignment="1">
      <alignment horizontal="left" vertical="top" wrapText="1"/>
    </xf>
    <xf numFmtId="0" fontId="2" fillId="21" borderId="72" xfId="42" applyFont="1" applyFill="1" applyBorder="1" applyAlignment="1">
      <alignment wrapText="1"/>
    </xf>
    <xf numFmtId="0" fontId="2" fillId="21" borderId="73" xfId="42" applyFont="1" applyFill="1" applyBorder="1" applyAlignment="1">
      <alignment wrapText="1"/>
    </xf>
    <xf numFmtId="0" fontId="2" fillId="21" borderId="74" xfId="42" applyFont="1" applyFill="1" applyBorder="1" applyAlignment="1">
      <alignment wrapText="1"/>
    </xf>
    <xf numFmtId="0" fontId="2" fillId="18" borderId="0" xfId="42" applyFont="1" applyFill="1" applyBorder="1"/>
    <xf numFmtId="0" fontId="0" fillId="21" borderId="72" xfId="0" applyFill="1" applyBorder="1"/>
    <xf numFmtId="0" fontId="0" fillId="21" borderId="74" xfId="0" applyFill="1" applyBorder="1"/>
    <xf numFmtId="0" fontId="2" fillId="21" borderId="74" xfId="42" applyFont="1" applyFill="1" applyBorder="1"/>
    <xf numFmtId="0" fontId="2" fillId="21" borderId="83" xfId="42" applyFont="1" applyFill="1" applyBorder="1" applyAlignment="1">
      <alignment wrapText="1"/>
    </xf>
    <xf numFmtId="0" fontId="62" fillId="21" borderId="72" xfId="0" applyFont="1" applyFill="1" applyBorder="1" applyAlignment="1">
      <alignment wrapText="1"/>
    </xf>
    <xf numFmtId="0" fontId="62" fillId="21" borderId="73" xfId="0" applyFont="1" applyFill="1" applyBorder="1" applyAlignment="1">
      <alignment wrapText="1"/>
    </xf>
    <xf numFmtId="0" fontId="2" fillId="21" borderId="30" xfId="42" applyFont="1" applyFill="1" applyBorder="1" applyAlignment="1">
      <alignment horizontal="center" wrapText="1"/>
    </xf>
    <xf numFmtId="0" fontId="1" fillId="21" borderId="39" xfId="42" applyFont="1" applyFill="1" applyBorder="1"/>
    <xf numFmtId="0" fontId="1" fillId="19" borderId="34" xfId="42" applyFont="1" applyFill="1" applyBorder="1"/>
    <xf numFmtId="0" fontId="1" fillId="19" borderId="25" xfId="42" applyFont="1" applyFill="1" applyBorder="1"/>
    <xf numFmtId="0" fontId="0" fillId="21" borderId="30" xfId="0" applyFill="1" applyBorder="1"/>
    <xf numFmtId="0" fontId="0" fillId="21" borderId="34" xfId="0" applyFill="1" applyBorder="1"/>
    <xf numFmtId="0" fontId="2" fillId="21" borderId="82" xfId="42" applyFont="1" applyFill="1" applyBorder="1" applyAlignment="1">
      <alignment horizontal="center" wrapText="1"/>
    </xf>
    <xf numFmtId="0" fontId="1" fillId="21" borderId="84" xfId="42" applyFont="1" applyFill="1" applyBorder="1"/>
    <xf numFmtId="0" fontId="1" fillId="19" borderId="85" xfId="42" applyFont="1" applyFill="1" applyBorder="1"/>
    <xf numFmtId="0" fontId="1" fillId="19" borderId="67" xfId="42" applyFont="1" applyFill="1" applyBorder="1"/>
    <xf numFmtId="0" fontId="1" fillId="19" borderId="82" xfId="42" applyFont="1" applyFill="1" applyBorder="1"/>
    <xf numFmtId="169" fontId="1" fillId="19" borderId="13" xfId="0" applyNumberFormat="1" applyFont="1" applyFill="1" applyBorder="1"/>
    <xf numFmtId="0" fontId="6" fillId="19" borderId="0" xfId="0" applyFont="1" applyFill="1" applyBorder="1"/>
    <xf numFmtId="0" fontId="1" fillId="55" borderId="25" xfId="0" applyFont="1" applyFill="1" applyBorder="1" applyAlignment="1">
      <alignment horizontal="left" vertical="top"/>
    </xf>
    <xf numFmtId="0" fontId="1" fillId="19" borderId="107" xfId="0" applyFont="1" applyFill="1" applyBorder="1" applyAlignment="1">
      <alignment horizontal="left" vertical="top"/>
    </xf>
    <xf numFmtId="0" fontId="1" fillId="19" borderId="47" xfId="0" applyFont="1" applyFill="1" applyBorder="1" applyAlignment="1">
      <alignment horizontal="left" vertical="top"/>
    </xf>
    <xf numFmtId="0" fontId="1" fillId="53" borderId="47" xfId="0" applyFont="1" applyFill="1" applyBorder="1" applyAlignment="1">
      <alignment horizontal="left"/>
    </xf>
    <xf numFmtId="0" fontId="1" fillId="55" borderId="47" xfId="0" applyFont="1" applyFill="1" applyBorder="1" applyAlignment="1">
      <alignment horizontal="left"/>
    </xf>
    <xf numFmtId="169" fontId="1" fillId="19" borderId="17" xfId="0" applyNumberFormat="1" applyFont="1" applyFill="1" applyBorder="1"/>
    <xf numFmtId="0" fontId="35" fillId="74" borderId="24" xfId="0" applyFont="1" applyFill="1" applyBorder="1" applyAlignment="1">
      <alignment horizontal="right" wrapText="1"/>
    </xf>
    <xf numFmtId="0" fontId="108" fillId="21" borderId="25" xfId="42" applyFont="1" applyFill="1" applyBorder="1" applyAlignment="1">
      <alignment wrapText="1"/>
    </xf>
    <xf numFmtId="0" fontId="1" fillId="23" borderId="57" xfId="0" applyFont="1" applyFill="1" applyBorder="1" applyProtection="1">
      <protection locked="0"/>
    </xf>
    <xf numFmtId="2" fontId="0" fillId="0" borderId="0" xfId="40" applyNumberFormat="1" applyFont="1" applyFill="1" applyAlignment="1">
      <alignment wrapText="1"/>
    </xf>
    <xf numFmtId="0" fontId="0" fillId="0" borderId="0" xfId="40" applyFont="1" applyFill="1" applyAlignment="1">
      <alignment wrapText="1"/>
    </xf>
    <xf numFmtId="0" fontId="14" fillId="107" borderId="0" xfId="0" applyFont="1" applyFill="1" applyBorder="1"/>
    <xf numFmtId="0" fontId="0" fillId="107" borderId="0" xfId="0" applyFont="1" applyFill="1"/>
    <xf numFmtId="169" fontId="14" fillId="107" borderId="0" xfId="0" applyNumberFormat="1" applyFont="1" applyFill="1" applyBorder="1"/>
    <xf numFmtId="172" fontId="14" fillId="107" borderId="0" xfId="0" applyNumberFormat="1" applyFont="1" applyFill="1" applyBorder="1"/>
    <xf numFmtId="0" fontId="14" fillId="107" borderId="0" xfId="36" applyFont="1" applyFill="1" applyBorder="1" applyAlignment="1">
      <alignment wrapText="1"/>
    </xf>
    <xf numFmtId="0" fontId="1" fillId="107" borderId="0" xfId="0" applyFont="1" applyFill="1" applyAlignment="1">
      <alignment wrapText="1"/>
    </xf>
    <xf numFmtId="0" fontId="14" fillId="20" borderId="0" xfId="0" applyFont="1" applyFill="1" applyBorder="1" applyAlignment="1">
      <alignment horizontal="left" vertical="center" wrapText="1"/>
    </xf>
    <xf numFmtId="0" fontId="14" fillId="20" borderId="0" xfId="0" applyFont="1" applyFill="1" applyBorder="1" applyAlignment="1">
      <alignment horizontal="left"/>
    </xf>
    <xf numFmtId="0" fontId="14" fillId="20" borderId="0" xfId="0" applyFont="1" applyFill="1" applyBorder="1" applyAlignment="1">
      <alignment horizontal="left" vertical="top" wrapText="1"/>
    </xf>
    <xf numFmtId="0" fontId="14" fillId="20" borderId="16" xfId="0" applyFont="1" applyFill="1" applyBorder="1" applyAlignment="1">
      <alignment horizontal="left" vertical="top" wrapText="1"/>
    </xf>
    <xf numFmtId="0" fontId="10" fillId="20" borderId="0" xfId="0" applyFont="1" applyFill="1" applyBorder="1" applyAlignment="1">
      <alignment horizontal="left" vertical="center" wrapText="1"/>
    </xf>
    <xf numFmtId="0" fontId="14" fillId="107" borderId="16" xfId="0" applyFont="1" applyFill="1" applyBorder="1" applyAlignment="1">
      <alignment horizontal="left" vertical="center" wrapText="1"/>
    </xf>
    <xf numFmtId="0" fontId="14" fillId="107" borderId="0" xfId="0" applyFont="1" applyFill="1" applyBorder="1" applyAlignment="1">
      <alignment horizontal="left" vertical="center" wrapText="1"/>
    </xf>
    <xf numFmtId="0" fontId="10" fillId="20" borderId="108" xfId="0" applyFont="1" applyFill="1" applyBorder="1" applyAlignment="1">
      <alignment horizontal="left" wrapText="1"/>
    </xf>
    <xf numFmtId="0" fontId="10" fillId="20" borderId="0" xfId="0" applyFont="1" applyFill="1" applyBorder="1" applyAlignment="1">
      <alignment horizontal="left" wrapText="1"/>
    </xf>
    <xf numFmtId="0" fontId="10" fillId="20" borderId="13" xfId="0" applyFont="1" applyFill="1" applyBorder="1" applyAlignment="1">
      <alignment horizontal="left" wrapText="1"/>
    </xf>
    <xf numFmtId="0" fontId="36" fillId="74" borderId="28" xfId="0" applyFont="1" applyFill="1" applyBorder="1" applyAlignment="1">
      <alignment wrapText="1"/>
    </xf>
    <xf numFmtId="0" fontId="36" fillId="74" borderId="27" xfId="0" applyFont="1" applyFill="1" applyBorder="1" applyAlignment="1">
      <alignment wrapText="1"/>
    </xf>
    <xf numFmtId="0" fontId="35" fillId="18" borderId="0" xfId="0" applyFont="1" applyFill="1" applyBorder="1" applyAlignment="1">
      <alignment horizontal="left" vertical="center"/>
    </xf>
    <xf numFmtId="0" fontId="2" fillId="20" borderId="109" xfId="0" applyFont="1" applyFill="1" applyBorder="1" applyAlignment="1" applyProtection="1">
      <alignment horizontal="center" wrapText="1"/>
      <protection locked="0"/>
    </xf>
    <xf numFmtId="0" fontId="2" fillId="20" borderId="110" xfId="0" applyFont="1" applyFill="1" applyBorder="1" applyAlignment="1" applyProtection="1">
      <alignment horizontal="center" wrapText="1"/>
      <protection locked="0"/>
    </xf>
    <xf numFmtId="0" fontId="2" fillId="20" borderId="111" xfId="0" applyFont="1" applyFill="1" applyBorder="1" applyAlignment="1" applyProtection="1">
      <alignment horizontal="center" wrapText="1"/>
      <protection locked="0"/>
    </xf>
    <xf numFmtId="0" fontId="2" fillId="20" borderId="0" xfId="0" applyFont="1" applyFill="1" applyBorder="1" applyAlignment="1" applyProtection="1">
      <alignment horizontal="center" wrapText="1"/>
      <protection locked="0"/>
    </xf>
    <xf numFmtId="0" fontId="2" fillId="20" borderId="112" xfId="0" applyFont="1" applyFill="1" applyBorder="1" applyAlignment="1" applyProtection="1">
      <alignment horizontal="center" wrapText="1"/>
      <protection locked="0"/>
    </xf>
    <xf numFmtId="0" fontId="2" fillId="20" borderId="16" xfId="0" applyFont="1" applyFill="1" applyBorder="1" applyAlignment="1" applyProtection="1">
      <alignment horizontal="center" wrapText="1"/>
      <protection locked="0"/>
    </xf>
    <xf numFmtId="0" fontId="42" fillId="43" borderId="11" xfId="0" applyFont="1" applyFill="1" applyBorder="1" applyAlignment="1">
      <alignment horizontal="center"/>
    </xf>
    <xf numFmtId="0" fontId="42" fillId="43" borderId="0" xfId="0" applyFont="1" applyFill="1" applyBorder="1" applyAlignment="1">
      <alignment horizontal="center"/>
    </xf>
    <xf numFmtId="0" fontId="53" fillId="74" borderId="18" xfId="0" applyFont="1" applyFill="1" applyBorder="1" applyAlignment="1">
      <alignment horizontal="center" vertical="center" wrapText="1"/>
    </xf>
    <xf numFmtId="0" fontId="53" fillId="74" borderId="24" xfId="0" applyFont="1" applyFill="1" applyBorder="1" applyAlignment="1">
      <alignment horizontal="center" vertical="center" wrapText="1"/>
    </xf>
    <xf numFmtId="0" fontId="53" fillId="74" borderId="23" xfId="0" applyFont="1" applyFill="1" applyBorder="1" applyAlignment="1">
      <alignment horizontal="center" vertical="center" wrapText="1"/>
    </xf>
    <xf numFmtId="0" fontId="35" fillId="18" borderId="16" xfId="0" applyFont="1" applyFill="1" applyBorder="1" applyAlignment="1">
      <alignment horizontal="left" vertical="center"/>
    </xf>
    <xf numFmtId="0" fontId="1" fillId="23" borderId="37" xfId="0" applyFont="1" applyFill="1" applyBorder="1" applyAlignment="1" applyProtection="1">
      <alignment horizontal="center" wrapText="1"/>
      <protection locked="0"/>
    </xf>
    <xf numFmtId="0" fontId="88" fillId="18" borderId="11" xfId="0" applyFont="1" applyFill="1" applyBorder="1" applyAlignment="1">
      <alignment horizontal="center" wrapText="1"/>
    </xf>
    <xf numFmtId="0" fontId="88" fillId="18" borderId="0" xfId="0" applyFont="1" applyFill="1" applyAlignment="1">
      <alignment horizontal="center" wrapText="1"/>
    </xf>
    <xf numFmtId="0" fontId="53" fillId="106" borderId="11" xfId="0" applyFont="1" applyFill="1" applyBorder="1" applyAlignment="1">
      <alignment horizontal="left" vertical="center"/>
    </xf>
    <xf numFmtId="0" fontId="53" fillId="106" borderId="15" xfId="0" applyFont="1" applyFill="1" applyBorder="1" applyAlignment="1">
      <alignment horizontal="left" vertical="center"/>
    </xf>
    <xf numFmtId="0" fontId="53" fillId="77" borderId="18" xfId="0" applyFont="1" applyFill="1" applyBorder="1" applyAlignment="1">
      <alignment horizontal="center" vertical="center" wrapText="1"/>
    </xf>
    <xf numFmtId="0" fontId="53" fillId="77" borderId="24" xfId="0" applyFont="1" applyFill="1" applyBorder="1" applyAlignment="1">
      <alignment horizontal="center" vertical="center" wrapText="1"/>
    </xf>
    <xf numFmtId="0" fontId="53" fillId="77" borderId="23" xfId="0" applyFont="1" applyFill="1" applyBorder="1" applyAlignment="1">
      <alignment horizontal="center" vertical="center" wrapText="1"/>
    </xf>
    <xf numFmtId="0" fontId="34" fillId="75" borderId="24" xfId="0" applyFont="1" applyFill="1" applyBorder="1" applyAlignment="1">
      <alignment horizontal="center" vertical="center" wrapText="1"/>
    </xf>
    <xf numFmtId="0" fontId="54" fillId="75" borderId="24" xfId="0" applyFont="1" applyFill="1" applyBorder="1" applyAlignment="1">
      <alignment horizontal="center" vertical="center" wrapText="1"/>
    </xf>
    <xf numFmtId="0" fontId="54" fillId="75" borderId="23" xfId="0" applyFont="1" applyFill="1" applyBorder="1" applyAlignment="1">
      <alignment horizontal="center" vertical="center" wrapText="1"/>
    </xf>
    <xf numFmtId="0" fontId="85" fillId="34" borderId="113" xfId="0" applyFont="1" applyFill="1" applyBorder="1" applyAlignment="1">
      <alignment horizontal="left" wrapText="1"/>
    </xf>
    <xf numFmtId="0" fontId="94" fillId="21" borderId="12" xfId="0" applyFont="1" applyFill="1" applyBorder="1" applyAlignment="1">
      <alignment horizontal="center"/>
    </xf>
    <xf numFmtId="0" fontId="94" fillId="21" borderId="0" xfId="0" applyFont="1" applyFill="1" applyBorder="1" applyAlignment="1">
      <alignment horizontal="center"/>
    </xf>
    <xf numFmtId="0" fontId="93" fillId="18" borderId="10" xfId="0" applyFont="1" applyFill="1" applyBorder="1" applyAlignment="1">
      <alignment horizontal="center"/>
    </xf>
    <xf numFmtId="0" fontId="93" fillId="18" borderId="12" xfId="0" applyFont="1" applyFill="1" applyBorder="1" applyAlignment="1">
      <alignment horizontal="center"/>
    </xf>
    <xf numFmtId="0" fontId="93" fillId="18" borderId="11" xfId="0" applyFont="1" applyFill="1" applyBorder="1" applyAlignment="1">
      <alignment horizontal="center"/>
    </xf>
    <xf numFmtId="0" fontId="93" fillId="18" borderId="0" xfId="0" applyFont="1" applyFill="1" applyBorder="1" applyAlignment="1">
      <alignment horizontal="center"/>
    </xf>
    <xf numFmtId="0" fontId="95" fillId="18" borderId="12" xfId="0" applyFont="1" applyFill="1" applyBorder="1" applyAlignment="1">
      <alignment horizontal="left"/>
    </xf>
    <xf numFmtId="0" fontId="95" fillId="18" borderId="0" xfId="0" applyFont="1" applyFill="1" applyBorder="1" applyAlignment="1">
      <alignment horizontal="left"/>
    </xf>
    <xf numFmtId="0" fontId="92" fillId="21" borderId="10" xfId="0" applyFont="1" applyFill="1" applyBorder="1" applyAlignment="1">
      <alignment horizontal="center"/>
    </xf>
    <xf numFmtId="0" fontId="92" fillId="21" borderId="12" xfId="0" applyFont="1" applyFill="1" applyBorder="1" applyAlignment="1">
      <alignment horizontal="center"/>
    </xf>
    <xf numFmtId="0" fontId="92" fillId="21" borderId="11" xfId="0" applyFont="1" applyFill="1" applyBorder="1" applyAlignment="1">
      <alignment horizontal="center"/>
    </xf>
    <xf numFmtId="0" fontId="92" fillId="21" borderId="0" xfId="0" applyFont="1" applyFill="1" applyBorder="1" applyAlignment="1">
      <alignment horizontal="center"/>
    </xf>
    <xf numFmtId="0" fontId="2" fillId="21" borderId="13" xfId="0" applyFont="1" applyFill="1" applyBorder="1" applyAlignment="1">
      <alignment horizontal="center" wrapText="1"/>
    </xf>
    <xf numFmtId="0" fontId="92" fillId="21" borderId="22" xfId="0" applyFont="1" applyFill="1" applyBorder="1" applyAlignment="1">
      <alignment horizontal="center"/>
    </xf>
    <xf numFmtId="0" fontId="92" fillId="21" borderId="13" xfId="0" applyFont="1" applyFill="1" applyBorder="1" applyAlignment="1">
      <alignment horizontal="center"/>
    </xf>
    <xf numFmtId="0" fontId="92" fillId="21" borderId="15" xfId="0" applyFont="1" applyFill="1" applyBorder="1" applyAlignment="1">
      <alignment horizontal="center"/>
    </xf>
    <xf numFmtId="0" fontId="92" fillId="21" borderId="16" xfId="0" applyFont="1" applyFill="1" applyBorder="1" applyAlignment="1">
      <alignment horizontal="center"/>
    </xf>
    <xf numFmtId="0" fontId="92" fillId="21" borderId="17" xfId="0" applyFont="1" applyFill="1" applyBorder="1" applyAlignment="1">
      <alignment horizontal="center"/>
    </xf>
    <xf numFmtId="0" fontId="38" fillId="20" borderId="0" xfId="42" applyFont="1" applyFill="1" applyBorder="1" applyAlignment="1">
      <alignment horizontal="left" wrapText="1"/>
    </xf>
    <xf numFmtId="0" fontId="84" fillId="20" borderId="0" xfId="42" applyFont="1" applyFill="1" applyBorder="1" applyAlignment="1">
      <alignment horizontal="left" wrapText="1"/>
    </xf>
    <xf numFmtId="0" fontId="84" fillId="20" borderId="13" xfId="42" applyFont="1" applyFill="1" applyBorder="1" applyAlignment="1">
      <alignment horizontal="left" wrapText="1"/>
    </xf>
    <xf numFmtId="0" fontId="101" fillId="18" borderId="10" xfId="42" applyFont="1" applyFill="1" applyBorder="1" applyAlignment="1">
      <alignment horizontal="center"/>
    </xf>
    <xf numFmtId="0" fontId="101" fillId="18" borderId="12" xfId="42" applyFont="1" applyFill="1" applyBorder="1" applyAlignment="1">
      <alignment horizontal="center"/>
    </xf>
    <xf numFmtId="0" fontId="101" fillId="18" borderId="11" xfId="42" applyFont="1" applyFill="1" applyBorder="1" applyAlignment="1">
      <alignment horizontal="center"/>
    </xf>
    <xf numFmtId="0" fontId="101" fillId="18" borderId="0" xfId="42" applyFont="1" applyFill="1" applyBorder="1" applyAlignment="1">
      <alignment horizontal="center"/>
    </xf>
    <xf numFmtId="0" fontId="101" fillId="18" borderId="10" xfId="42" applyFont="1" applyFill="1" applyBorder="1" applyAlignment="1">
      <alignment horizontal="center" wrapText="1"/>
    </xf>
    <xf numFmtId="0" fontId="101" fillId="18" borderId="11" xfId="42" applyFont="1" applyFill="1" applyBorder="1" applyAlignment="1">
      <alignment horizontal="center" wrapText="1"/>
    </xf>
    <xf numFmtId="0" fontId="84" fillId="20" borderId="16" xfId="42" applyFont="1" applyFill="1" applyBorder="1" applyAlignment="1">
      <alignment horizontal="left" wrapText="1"/>
    </xf>
    <xf numFmtId="0" fontId="84" fillId="20" borderId="17" xfId="42" applyFont="1" applyFill="1" applyBorder="1" applyAlignment="1">
      <alignment horizontal="left" wrapText="1"/>
    </xf>
    <xf numFmtId="0" fontId="1" fillId="18" borderId="11" xfId="42" applyFont="1" applyFill="1" applyBorder="1" applyAlignment="1">
      <alignment horizontal="left" wrapText="1"/>
    </xf>
    <xf numFmtId="0" fontId="1" fillId="18" borderId="0" xfId="42" applyFont="1" applyFill="1" applyBorder="1" applyAlignment="1">
      <alignment horizontal="left" wrapText="1"/>
    </xf>
    <xf numFmtId="0" fontId="53" fillId="76" borderId="18" xfId="42" applyFont="1" applyFill="1" applyBorder="1" applyAlignment="1">
      <alignment horizontal="left" vertical="center" wrapText="1"/>
    </xf>
    <xf numFmtId="0" fontId="53" fillId="76" borderId="24" xfId="42" applyFont="1" applyFill="1" applyBorder="1" applyAlignment="1">
      <alignment horizontal="left" vertical="center" wrapText="1"/>
    </xf>
    <xf numFmtId="0" fontId="2" fillId="42" borderId="0" xfId="42" applyFont="1" applyFill="1" applyBorder="1" applyAlignment="1">
      <alignment horizontal="right" wrapText="1"/>
    </xf>
    <xf numFmtId="0" fontId="53" fillId="74" borderId="15" xfId="42" applyFont="1" applyFill="1" applyBorder="1" applyAlignment="1">
      <alignment horizontal="right" vertical="center"/>
    </xf>
    <xf numFmtId="0" fontId="53" fillId="74" borderId="16" xfId="42" applyFont="1" applyFill="1" applyBorder="1" applyAlignment="1">
      <alignment horizontal="right" vertical="center"/>
    </xf>
    <xf numFmtId="0" fontId="53" fillId="74" borderId="17" xfId="42" applyFont="1" applyFill="1" applyBorder="1" applyAlignment="1">
      <alignment horizontal="right" vertical="center"/>
    </xf>
    <xf numFmtId="0" fontId="35" fillId="74" borderId="24" xfId="42" applyFont="1" applyFill="1" applyBorder="1" applyAlignment="1">
      <alignment horizontal="center" wrapText="1"/>
    </xf>
    <xf numFmtId="0" fontId="53" fillId="74" borderId="24" xfId="42" applyFont="1" applyFill="1" applyBorder="1" applyAlignment="1">
      <alignment horizontal="center" wrapText="1"/>
    </xf>
    <xf numFmtId="0" fontId="53" fillId="76" borderId="18" xfId="42" applyFont="1" applyFill="1" applyBorder="1" applyAlignment="1">
      <alignment horizontal="center" vertical="center" wrapText="1"/>
    </xf>
    <xf numFmtId="0" fontId="53" fillId="76" borderId="24" xfId="42" applyFont="1" applyFill="1" applyBorder="1" applyAlignment="1">
      <alignment horizontal="center" vertical="center" wrapText="1"/>
    </xf>
    <xf numFmtId="0" fontId="53" fillId="76" borderId="23" xfId="42" applyFont="1" applyFill="1" applyBorder="1" applyAlignment="1">
      <alignment horizontal="center" vertical="center" wrapText="1"/>
    </xf>
    <xf numFmtId="0" fontId="53" fillId="74" borderId="11" xfId="42" applyFont="1" applyFill="1" applyBorder="1" applyAlignment="1">
      <alignment horizontal="right" vertical="center" wrapText="1"/>
    </xf>
    <xf numFmtId="0" fontId="53" fillId="74" borderId="0" xfId="42" applyFont="1" applyFill="1" applyBorder="1" applyAlignment="1">
      <alignment horizontal="right" vertical="center" wrapText="1"/>
    </xf>
    <xf numFmtId="0" fontId="53" fillId="74" borderId="13" xfId="42" applyFont="1" applyFill="1" applyBorder="1" applyAlignment="1">
      <alignment horizontal="right" vertical="center" wrapText="1"/>
    </xf>
    <xf numFmtId="0" fontId="53" fillId="74" borderId="11" xfId="42" applyFont="1" applyFill="1" applyBorder="1" applyAlignment="1">
      <alignment horizontal="right" vertical="center"/>
    </xf>
    <xf numFmtId="0" fontId="53" fillId="74" borderId="0" xfId="42" applyFont="1" applyFill="1" applyBorder="1" applyAlignment="1">
      <alignment horizontal="right" vertical="center"/>
    </xf>
    <xf numFmtId="0" fontId="53" fillId="74" borderId="13" xfId="42" applyFont="1" applyFill="1" applyBorder="1" applyAlignment="1">
      <alignment horizontal="right" vertical="center"/>
    </xf>
    <xf numFmtId="0" fontId="53" fillId="74" borderId="10" xfId="42" applyFont="1" applyFill="1" applyBorder="1" applyAlignment="1">
      <alignment horizontal="right" vertical="center" wrapText="1"/>
    </xf>
    <xf numFmtId="0" fontId="53" fillId="74" borderId="12" xfId="42" applyFont="1" applyFill="1" applyBorder="1" applyAlignment="1">
      <alignment horizontal="right" vertical="center" wrapText="1"/>
    </xf>
    <xf numFmtId="0" fontId="53" fillId="74" borderId="22" xfId="42" applyFont="1" applyFill="1" applyBorder="1" applyAlignment="1">
      <alignment horizontal="right" vertical="center" wrapText="1"/>
    </xf>
    <xf numFmtId="0" fontId="2" fillId="21" borderId="85" xfId="42" applyFont="1" applyFill="1" applyBorder="1" applyAlignment="1">
      <alignment horizontal="center" wrapText="1"/>
    </xf>
    <xf numFmtId="0" fontId="2" fillId="21" borderId="67" xfId="42" applyFont="1" applyFill="1" applyBorder="1" applyAlignment="1">
      <alignment horizontal="center" wrapText="1"/>
    </xf>
    <xf numFmtId="0" fontId="2" fillId="21" borderId="12" xfId="42" applyFont="1" applyFill="1" applyBorder="1" applyAlignment="1">
      <alignment horizontal="center" wrapText="1"/>
    </xf>
    <xf numFmtId="0" fontId="2" fillId="21" borderId="52" xfId="42" applyFont="1" applyFill="1" applyBorder="1" applyAlignment="1">
      <alignment horizontal="center" wrapText="1"/>
    </xf>
    <xf numFmtId="0" fontId="101" fillId="18" borderId="0" xfId="0" applyFont="1" applyFill="1" applyBorder="1" applyAlignment="1">
      <alignment horizontal="center" wrapText="1"/>
    </xf>
    <xf numFmtId="0" fontId="2" fillId="21" borderId="34" xfId="42" applyFont="1" applyFill="1" applyBorder="1" applyAlignment="1">
      <alignment horizontal="center" wrapText="1"/>
    </xf>
    <xf numFmtId="0" fontId="2" fillId="21" borderId="25" xfId="42" applyFont="1" applyFill="1" applyBorder="1" applyAlignment="1">
      <alignment horizontal="center" wrapText="1"/>
    </xf>
    <xf numFmtId="0" fontId="37" fillId="71" borderId="26" xfId="42" applyFont="1" applyFill="1" applyBorder="1" applyAlignment="1">
      <alignment horizontal="right" vertical="center"/>
    </xf>
    <xf numFmtId="0" fontId="37" fillId="71" borderId="28" xfId="42" applyFont="1" applyFill="1" applyBorder="1" applyAlignment="1">
      <alignment horizontal="right" vertical="center"/>
    </xf>
    <xf numFmtId="0" fontId="37" fillId="71" borderId="27" xfId="42" applyFont="1" applyFill="1" applyBorder="1" applyAlignment="1">
      <alignment horizontal="right" vertical="center"/>
    </xf>
    <xf numFmtId="0" fontId="53" fillId="74" borderId="26" xfId="42" applyFont="1" applyFill="1" applyBorder="1" applyAlignment="1">
      <alignment horizontal="right" vertical="center" wrapText="1"/>
    </xf>
    <xf numFmtId="0" fontId="53" fillId="74" borderId="27" xfId="42" applyFont="1" applyFill="1" applyBorder="1" applyAlignment="1">
      <alignment horizontal="right" vertical="center" wrapText="1"/>
    </xf>
    <xf numFmtId="0" fontId="53" fillId="74" borderId="10" xfId="42" applyFont="1" applyFill="1" applyBorder="1" applyAlignment="1">
      <alignment horizontal="right" wrapText="1"/>
    </xf>
    <xf numFmtId="0" fontId="53" fillId="74" borderId="22" xfId="42" applyFont="1" applyFill="1" applyBorder="1" applyAlignment="1">
      <alignment horizontal="right" wrapText="1"/>
    </xf>
    <xf numFmtId="0" fontId="53" fillId="74" borderId="11" xfId="42" applyFont="1" applyFill="1" applyBorder="1" applyAlignment="1">
      <alignment horizontal="right" wrapText="1"/>
    </xf>
    <xf numFmtId="0" fontId="53" fillId="74" borderId="13" xfId="42" applyFont="1" applyFill="1" applyBorder="1" applyAlignment="1">
      <alignment horizontal="right" wrapText="1"/>
    </xf>
    <xf numFmtId="0" fontId="53" fillId="74" borderId="11" xfId="42" applyFont="1" applyFill="1" applyBorder="1" applyAlignment="1">
      <alignment horizontal="right" vertical="top" wrapText="1"/>
    </xf>
    <xf numFmtId="0" fontId="53" fillId="74" borderId="13" xfId="42" applyFont="1" applyFill="1" applyBorder="1" applyAlignment="1">
      <alignment horizontal="right" vertical="top" wrapText="1"/>
    </xf>
    <xf numFmtId="0" fontId="53" fillId="74" borderId="15" xfId="42" applyFont="1" applyFill="1" applyBorder="1" applyAlignment="1">
      <alignment horizontal="right" vertical="top" wrapText="1"/>
    </xf>
    <xf numFmtId="0" fontId="53" fillId="74" borderId="17" xfId="42" applyFont="1" applyFill="1" applyBorder="1" applyAlignment="1">
      <alignment horizontal="right" vertical="top" wrapText="1"/>
    </xf>
    <xf numFmtId="0" fontId="53" fillId="74" borderId="28" xfId="42" applyFont="1" applyFill="1" applyBorder="1" applyAlignment="1">
      <alignment horizontal="right" vertical="center" wrapText="1"/>
    </xf>
    <xf numFmtId="0" fontId="2" fillId="21" borderId="12" xfId="0" applyFont="1" applyFill="1" applyBorder="1" applyAlignment="1">
      <alignment horizontal="center" wrapText="1"/>
    </xf>
    <xf numFmtId="0" fontId="2" fillId="21" borderId="52" xfId="0" applyFont="1" applyFill="1" applyBorder="1" applyAlignment="1">
      <alignment horizontal="center" wrapText="1"/>
    </xf>
    <xf numFmtId="0" fontId="102" fillId="18" borderId="10" xfId="0" applyFont="1" applyFill="1" applyBorder="1" applyAlignment="1">
      <alignment horizontal="center"/>
    </xf>
    <xf numFmtId="0" fontId="102" fillId="18" borderId="12" xfId="0" applyFont="1" applyFill="1" applyBorder="1" applyAlignment="1">
      <alignment horizontal="center"/>
    </xf>
    <xf numFmtId="0" fontId="102" fillId="18" borderId="11" xfId="0" applyFont="1" applyFill="1" applyBorder="1" applyAlignment="1">
      <alignment horizontal="center"/>
    </xf>
    <xf numFmtId="0" fontId="102" fillId="18" borderId="0" xfId="0" applyFont="1" applyFill="1" applyBorder="1" applyAlignment="1">
      <alignment horizontal="center"/>
    </xf>
    <xf numFmtId="0" fontId="101" fillId="18" borderId="45" xfId="42" applyFont="1" applyFill="1" applyBorder="1" applyAlignment="1">
      <alignment horizontal="center" wrapText="1"/>
    </xf>
    <xf numFmtId="0" fontId="1" fillId="33" borderId="0" xfId="0" applyFont="1" applyFill="1" applyBorder="1" applyAlignment="1">
      <alignment horizontal="left" wrapText="1"/>
    </xf>
    <xf numFmtId="0" fontId="1" fillId="18" borderId="0" xfId="0" applyFont="1" applyFill="1" applyBorder="1" applyAlignment="1">
      <alignment horizontal="left" wrapText="1"/>
    </xf>
    <xf numFmtId="0" fontId="2" fillId="27" borderId="12" xfId="0" applyFont="1" applyFill="1" applyBorder="1" applyAlignment="1">
      <alignment horizontal="center" wrapText="1"/>
    </xf>
    <xf numFmtId="0" fontId="2" fillId="27" borderId="52" xfId="0" applyFont="1" applyFill="1" applyBorder="1" applyAlignment="1">
      <alignment horizontal="center" wrapText="1"/>
    </xf>
    <xf numFmtId="0" fontId="2" fillId="19" borderId="0" xfId="0" applyFont="1" applyFill="1" applyBorder="1" applyAlignment="1">
      <alignment horizontal="center" wrapText="1"/>
    </xf>
    <xf numFmtId="0" fontId="2" fillId="20" borderId="0" xfId="41" applyFont="1" applyFill="1" applyBorder="1" applyAlignment="1">
      <alignment horizontal="center" wrapText="1"/>
    </xf>
    <xf numFmtId="0" fontId="101" fillId="18" borderId="0" xfId="41" applyFont="1" applyFill="1" applyBorder="1" applyAlignment="1">
      <alignment horizontal="center"/>
    </xf>
    <xf numFmtId="0" fontId="101" fillId="18" borderId="11" xfId="41" applyFont="1" applyFill="1" applyBorder="1" applyAlignment="1">
      <alignment horizontal="center"/>
    </xf>
    <xf numFmtId="0" fontId="101" fillId="18" borderId="10" xfId="0" applyFont="1" applyFill="1" applyBorder="1" applyAlignment="1">
      <alignment horizontal="center"/>
    </xf>
    <xf numFmtId="0" fontId="101" fillId="18" borderId="12" xfId="0" applyFont="1" applyFill="1" applyBorder="1" applyAlignment="1">
      <alignment horizontal="center"/>
    </xf>
    <xf numFmtId="0" fontId="101" fillId="18" borderId="11" xfId="0" applyFont="1" applyFill="1" applyBorder="1" applyAlignment="1">
      <alignment horizontal="center"/>
    </xf>
    <xf numFmtId="0" fontId="101" fillId="18" borderId="0" xfId="0" applyFont="1" applyFill="1" applyBorder="1" applyAlignment="1">
      <alignment horizontal="center"/>
    </xf>
    <xf numFmtId="0" fontId="103" fillId="18" borderId="0" xfId="41" applyFont="1" applyFill="1" applyBorder="1" applyAlignment="1">
      <alignment horizontal="center"/>
    </xf>
    <xf numFmtId="0" fontId="53" fillId="74" borderId="10" xfId="41" applyFont="1" applyFill="1" applyBorder="1" applyAlignment="1">
      <alignment horizontal="left" vertical="center" wrapText="1"/>
    </xf>
    <xf numFmtId="0" fontId="53" fillId="74" borderId="22" xfId="41" applyFont="1" applyFill="1" applyBorder="1" applyAlignment="1">
      <alignment horizontal="left" vertical="center" wrapText="1"/>
    </xf>
    <xf numFmtId="0" fontId="53" fillId="74" borderId="11" xfId="41" applyFont="1" applyFill="1" applyBorder="1" applyAlignment="1">
      <alignment horizontal="left" vertical="center" wrapText="1"/>
    </xf>
    <xf numFmtId="0" fontId="53" fillId="74" borderId="13" xfId="41" applyFont="1" applyFill="1" applyBorder="1" applyAlignment="1">
      <alignment horizontal="left" vertical="center" wrapText="1"/>
    </xf>
    <xf numFmtId="0" fontId="53" fillId="74" borderId="15" xfId="41" applyFont="1" applyFill="1" applyBorder="1" applyAlignment="1">
      <alignment horizontal="left" vertical="center" wrapText="1"/>
    </xf>
    <xf numFmtId="0" fontId="53" fillId="74" borderId="17" xfId="41" applyFont="1" applyFill="1" applyBorder="1" applyAlignment="1">
      <alignment horizontal="left" vertical="center" wrapText="1"/>
    </xf>
    <xf numFmtId="0" fontId="68" fillId="74" borderId="11" xfId="0" applyFont="1" applyFill="1" applyBorder="1" applyAlignment="1">
      <alignment horizontal="left" vertical="center" wrapText="1"/>
    </xf>
    <xf numFmtId="0" fontId="68" fillId="74" borderId="13" xfId="0" applyFont="1" applyFill="1" applyBorder="1" applyAlignment="1">
      <alignment horizontal="left" vertical="center" wrapText="1"/>
    </xf>
    <xf numFmtId="0" fontId="0" fillId="0" borderId="11" xfId="0" applyBorder="1" applyAlignment="1">
      <alignment vertical="center" wrapText="1"/>
    </xf>
    <xf numFmtId="0" fontId="0" fillId="0" borderId="13" xfId="0" applyBorder="1" applyAlignment="1">
      <alignment vertical="center" wrapText="1"/>
    </xf>
    <xf numFmtId="0" fontId="65" fillId="20" borderId="62" xfId="0" applyFont="1" applyFill="1" applyBorder="1" applyAlignment="1" applyProtection="1">
      <alignment horizontal="center" vertical="top" wrapText="1"/>
      <protection locked="0"/>
    </xf>
    <xf numFmtId="0" fontId="73" fillId="20" borderId="46" xfId="0" applyFont="1" applyFill="1" applyBorder="1" applyAlignment="1" applyProtection="1">
      <alignment horizontal="center" vertical="top" wrapText="1"/>
      <protection locked="0"/>
    </xf>
    <xf numFmtId="0" fontId="73" fillId="20" borderId="66" xfId="0" applyFont="1" applyFill="1" applyBorder="1" applyAlignment="1" applyProtection="1">
      <alignment horizontal="center" vertical="top" wrapText="1"/>
      <protection locked="0"/>
    </xf>
    <xf numFmtId="0" fontId="73" fillId="20" borderId="65" xfId="0" applyFont="1" applyFill="1" applyBorder="1" applyAlignment="1" applyProtection="1">
      <alignment horizontal="center" vertical="top" wrapText="1"/>
      <protection locked="0"/>
    </xf>
    <xf numFmtId="0" fontId="54" fillId="74" borderId="11" xfId="0" applyFont="1" applyFill="1" applyBorder="1" applyAlignment="1">
      <alignment horizontal="center" vertical="center" wrapText="1"/>
    </xf>
    <xf numFmtId="0" fontId="2" fillId="0" borderId="11" xfId="41" applyFont="1" applyBorder="1" applyAlignment="1">
      <alignment horizontal="center" vertical="center" wrapText="1"/>
    </xf>
    <xf numFmtId="0" fontId="35" fillId="74" borderId="11" xfId="0" applyFont="1" applyFill="1" applyBorder="1" applyAlignment="1">
      <alignment horizontal="right" wrapText="1"/>
    </xf>
    <xf numFmtId="0" fontId="35" fillId="74" borderId="0" xfId="0" applyFont="1" applyFill="1" applyBorder="1" applyAlignment="1">
      <alignment horizontal="right" wrapText="1"/>
    </xf>
    <xf numFmtId="0" fontId="38" fillId="18" borderId="0" xfId="41" applyFont="1" applyFill="1" applyAlignment="1">
      <alignment horizontal="left" wrapText="1"/>
    </xf>
    <xf numFmtId="0" fontId="2" fillId="20" borderId="114" xfId="41" applyFont="1" applyFill="1" applyBorder="1" applyAlignment="1">
      <alignment horizontal="center" wrapText="1"/>
    </xf>
    <xf numFmtId="0" fontId="2" fillId="20" borderId="115" xfId="41" applyFont="1" applyFill="1" applyBorder="1" applyAlignment="1">
      <alignment horizontal="center" wrapText="1"/>
    </xf>
    <xf numFmtId="0" fontId="2" fillId="20" borderId="116" xfId="41" applyFont="1" applyFill="1" applyBorder="1" applyAlignment="1">
      <alignment horizontal="center" wrapText="1"/>
    </xf>
    <xf numFmtId="0" fontId="1" fillId="0" borderId="0" xfId="41" applyFont="1" applyBorder="1" applyAlignment="1">
      <alignment horizontal="left" wrapText="1"/>
    </xf>
    <xf numFmtId="0" fontId="1" fillId="0" borderId="13" xfId="41" applyFont="1" applyBorder="1" applyAlignment="1">
      <alignment horizontal="left" wrapText="1"/>
    </xf>
    <xf numFmtId="0" fontId="3" fillId="0" borderId="11" xfId="41" applyFont="1" applyFill="1" applyBorder="1" applyAlignment="1">
      <alignment horizontal="left" vertical="top" wrapText="1"/>
    </xf>
    <xf numFmtId="0" fontId="65" fillId="20" borderId="46" xfId="0" applyFont="1" applyFill="1" applyBorder="1" applyAlignment="1" applyProtection="1">
      <alignment horizontal="center" vertical="top" wrapText="1"/>
      <protection locked="0"/>
    </xf>
    <xf numFmtId="0" fontId="65" fillId="20" borderId="66" xfId="0" applyFont="1" applyFill="1" applyBorder="1" applyAlignment="1" applyProtection="1">
      <alignment horizontal="center" vertical="top" wrapText="1"/>
      <protection locked="0"/>
    </xf>
    <xf numFmtId="0" fontId="65" fillId="20" borderId="65" xfId="0" applyFont="1" applyFill="1" applyBorder="1" applyAlignment="1" applyProtection="1">
      <alignment horizontal="center" vertical="top" wrapText="1"/>
      <protection locked="0"/>
    </xf>
    <xf numFmtId="0" fontId="2" fillId="20" borderId="12" xfId="41" applyFont="1" applyFill="1" applyBorder="1" applyAlignment="1">
      <alignment horizontal="center" wrapText="1"/>
    </xf>
    <xf numFmtId="0" fontId="47" fillId="20" borderId="11" xfId="41" applyFont="1" applyFill="1" applyBorder="1" applyAlignment="1">
      <alignment horizontal="center" vertical="center" wrapText="1"/>
    </xf>
    <xf numFmtId="0" fontId="47" fillId="20" borderId="0" xfId="41" applyFont="1" applyFill="1" applyBorder="1" applyAlignment="1">
      <alignment horizontal="center" vertical="center" wrapText="1"/>
    </xf>
    <xf numFmtId="0" fontId="2" fillId="0" borderId="0" xfId="41" applyFont="1" applyFill="1" applyBorder="1" applyAlignment="1">
      <alignment horizontal="center" wrapText="1"/>
    </xf>
    <xf numFmtId="0" fontId="2" fillId="0" borderId="11" xfId="41" applyFont="1" applyFill="1" applyBorder="1" applyAlignment="1">
      <alignment horizontal="center" vertical="center" wrapText="1"/>
    </xf>
    <xf numFmtId="0" fontId="65" fillId="0" borderId="62" xfId="0" applyFont="1" applyFill="1" applyBorder="1" applyAlignment="1" applyProtection="1">
      <alignment horizontal="center" vertical="top" wrapText="1"/>
      <protection locked="0"/>
    </xf>
    <xf numFmtId="0" fontId="73" fillId="0" borderId="46" xfId="0" applyFont="1" applyFill="1" applyBorder="1" applyAlignment="1" applyProtection="1">
      <alignment horizontal="center" vertical="top" wrapText="1"/>
      <protection locked="0"/>
    </xf>
    <xf numFmtId="0" fontId="73" fillId="0" borderId="66" xfId="0" applyFont="1" applyFill="1" applyBorder="1" applyAlignment="1" applyProtection="1">
      <alignment horizontal="center" vertical="top" wrapText="1"/>
      <protection locked="0"/>
    </xf>
    <xf numFmtId="0" fontId="73" fillId="0" borderId="65" xfId="0" applyFont="1" applyFill="1" applyBorder="1" applyAlignment="1" applyProtection="1">
      <alignment horizontal="center" vertical="top" wrapText="1"/>
      <protection locked="0"/>
    </xf>
    <xf numFmtId="0" fontId="2" fillId="88" borderId="15" xfId="0" applyFont="1" applyFill="1" applyBorder="1" applyAlignment="1">
      <alignment horizontal="left"/>
    </xf>
    <xf numFmtId="0" fontId="2" fillId="88" borderId="17" xfId="0" applyFont="1" applyFill="1" applyBorder="1" applyAlignment="1">
      <alignment horizontal="left"/>
    </xf>
    <xf numFmtId="0" fontId="2" fillId="88" borderId="11" xfId="0" applyFont="1" applyFill="1" applyBorder="1" applyAlignment="1">
      <alignment horizontal="left" wrapText="1"/>
    </xf>
    <xf numFmtId="0" fontId="2" fillId="88" borderId="0" xfId="0" applyFont="1" applyFill="1" applyBorder="1" applyAlignment="1">
      <alignment horizontal="left" wrapText="1"/>
    </xf>
    <xf numFmtId="0" fontId="34" fillId="74" borderId="11" xfId="0" applyFont="1" applyFill="1" applyBorder="1" applyAlignment="1">
      <alignment horizontal="right" wrapText="1"/>
    </xf>
    <xf numFmtId="0" fontId="34" fillId="74" borderId="0" xfId="0" applyFont="1" applyFill="1" applyBorder="1" applyAlignment="1">
      <alignment horizontal="right" wrapText="1"/>
    </xf>
    <xf numFmtId="0" fontId="48" fillId="71" borderId="15" xfId="0" applyFont="1" applyFill="1" applyBorder="1" applyAlignment="1">
      <alignment horizontal="right" vertical="center" wrapText="1"/>
    </xf>
    <xf numFmtId="0" fontId="48" fillId="71" borderId="17" xfId="0" applyFont="1" applyFill="1" applyBorder="1" applyAlignment="1">
      <alignment horizontal="right" vertical="center" wrapText="1"/>
    </xf>
    <xf numFmtId="0" fontId="1" fillId="20" borderId="0" xfId="41" applyFont="1" applyFill="1" applyBorder="1" applyAlignment="1">
      <alignment horizontal="left" wrapText="1"/>
    </xf>
    <xf numFmtId="0" fontId="56" fillId="74" borderId="10" xfId="0" applyFont="1" applyFill="1" applyBorder="1" applyAlignment="1">
      <alignment horizontal="left" wrapText="1"/>
    </xf>
    <xf numFmtId="0" fontId="56" fillId="74" borderId="22" xfId="0" applyFont="1" applyFill="1" applyBorder="1" applyAlignment="1">
      <alignment horizontal="left" wrapText="1"/>
    </xf>
    <xf numFmtId="0" fontId="56" fillId="74" borderId="11" xfId="0" applyFont="1" applyFill="1" applyBorder="1" applyAlignment="1">
      <alignment horizontal="left" wrapText="1"/>
    </xf>
    <xf numFmtId="0" fontId="56" fillId="74" borderId="13" xfId="0" applyFont="1" applyFill="1" applyBorder="1" applyAlignment="1">
      <alignment horizontal="left" wrapText="1"/>
    </xf>
    <xf numFmtId="0" fontId="0" fillId="0" borderId="11" xfId="0" applyBorder="1" applyAlignment="1">
      <alignment wrapText="1"/>
    </xf>
    <xf numFmtId="0" fontId="0" fillId="0" borderId="13" xfId="0" applyBorder="1" applyAlignment="1">
      <alignment wrapText="1"/>
    </xf>
    <xf numFmtId="0" fontId="56" fillId="74" borderId="10" xfId="0" applyFont="1" applyFill="1" applyBorder="1" applyAlignment="1">
      <alignment wrapText="1"/>
    </xf>
    <xf numFmtId="0" fontId="0" fillId="0" borderId="11" xfId="0" applyBorder="1" applyAlignment="1"/>
    <xf numFmtId="0" fontId="34" fillId="74" borderId="11" xfId="0" applyFont="1" applyFill="1" applyBorder="1" applyAlignment="1">
      <alignment horizontal="center" vertical="center" wrapText="1"/>
    </xf>
    <xf numFmtId="0" fontId="35" fillId="74" borderId="11" xfId="0" applyFont="1" applyFill="1" applyBorder="1" applyAlignment="1">
      <alignment horizontal="center" wrapText="1"/>
    </xf>
    <xf numFmtId="0" fontId="34" fillId="74" borderId="11" xfId="0" applyFont="1" applyFill="1" applyBorder="1" applyAlignment="1">
      <alignment horizontal="center" wrapText="1"/>
    </xf>
    <xf numFmtId="0" fontId="54" fillId="74" borderId="11" xfId="41" applyFont="1" applyFill="1" applyBorder="1" applyAlignment="1">
      <alignment horizontal="center" vertical="center" wrapText="1"/>
    </xf>
    <xf numFmtId="0" fontId="1" fillId="0" borderId="0" xfId="41" applyFont="1" applyFill="1" applyBorder="1" applyAlignment="1">
      <alignment wrapText="1"/>
    </xf>
    <xf numFmtId="0" fontId="99" fillId="18" borderId="0" xfId="41" applyFont="1" applyFill="1" applyBorder="1" applyAlignment="1">
      <alignment horizontal="center" wrapText="1"/>
    </xf>
    <xf numFmtId="0" fontId="99" fillId="18" borderId="16" xfId="41" applyFont="1" applyFill="1" applyBorder="1" applyAlignment="1">
      <alignment horizontal="center" wrapText="1"/>
    </xf>
    <xf numFmtId="0" fontId="104" fillId="18" borderId="0" xfId="41" applyFont="1" applyFill="1" applyBorder="1" applyAlignment="1">
      <alignment horizontal="left"/>
    </xf>
    <xf numFmtId="0" fontId="104" fillId="18" borderId="16" xfId="41" applyFont="1" applyFill="1" applyBorder="1" applyAlignment="1">
      <alignment horizontal="left"/>
    </xf>
    <xf numFmtId="0" fontId="101" fillId="18" borderId="11" xfId="41" applyFont="1" applyFill="1" applyBorder="1" applyAlignment="1">
      <alignment horizontal="left"/>
    </xf>
    <xf numFmtId="0" fontId="101" fillId="18" borderId="0" xfId="41" applyFont="1" applyFill="1" applyBorder="1" applyAlignment="1">
      <alignment horizontal="left"/>
    </xf>
    <xf numFmtId="0" fontId="101" fillId="18" borderId="15" xfId="41" applyFont="1" applyFill="1" applyBorder="1" applyAlignment="1">
      <alignment horizontal="left"/>
    </xf>
    <xf numFmtId="0" fontId="101" fillId="18" borderId="16" xfId="41" applyFont="1" applyFill="1" applyBorder="1" applyAlignment="1">
      <alignment horizontal="left"/>
    </xf>
    <xf numFmtId="0" fontId="1" fillId="18" borderId="10" xfId="41" applyFont="1" applyFill="1" applyBorder="1" applyAlignment="1">
      <alignment horizontal="center"/>
    </xf>
    <xf numFmtId="0" fontId="1" fillId="18" borderId="11" xfId="41" applyFont="1" applyFill="1" applyBorder="1" applyAlignment="1">
      <alignment horizontal="center"/>
    </xf>
    <xf numFmtId="0" fontId="2" fillId="18" borderId="0" xfId="41" applyFont="1" applyFill="1" applyBorder="1" applyAlignment="1">
      <alignment horizontal="center" wrapText="1"/>
    </xf>
    <xf numFmtId="0" fontId="93" fillId="18" borderId="10" xfId="0" applyFont="1" applyFill="1" applyBorder="1" applyAlignment="1">
      <alignment horizontal="left"/>
    </xf>
    <xf numFmtId="0" fontId="93" fillId="18" borderId="12" xfId="0" applyFont="1" applyFill="1" applyBorder="1" applyAlignment="1">
      <alignment horizontal="left"/>
    </xf>
    <xf numFmtId="0" fontId="93" fillId="18" borderId="11" xfId="0" applyFont="1" applyFill="1" applyBorder="1" applyAlignment="1">
      <alignment horizontal="left"/>
    </xf>
    <xf numFmtId="0" fontId="93" fillId="18" borderId="0" xfId="0" applyFont="1" applyFill="1" applyBorder="1" applyAlignment="1">
      <alignment horizontal="left"/>
    </xf>
    <xf numFmtId="0" fontId="104" fillId="18" borderId="12" xfId="0" applyFont="1" applyFill="1" applyBorder="1" applyAlignment="1">
      <alignment horizontal="center"/>
    </xf>
    <xf numFmtId="0" fontId="105" fillId="18" borderId="26" xfId="41" applyFont="1" applyFill="1" applyBorder="1" applyAlignment="1">
      <alignment horizontal="center"/>
    </xf>
    <xf numFmtId="0" fontId="105" fillId="18" borderId="28" xfId="41" applyFont="1" applyFill="1" applyBorder="1" applyAlignment="1">
      <alignment horizontal="center"/>
    </xf>
    <xf numFmtId="0" fontId="105" fillId="18" borderId="27" xfId="41" applyFont="1" applyFill="1" applyBorder="1" applyAlignment="1">
      <alignment horizontal="center"/>
    </xf>
    <xf numFmtId="0" fontId="1" fillId="18" borderId="18" xfId="0" applyFont="1" applyFill="1" applyBorder="1" applyAlignment="1">
      <alignment horizontal="center" wrapText="1"/>
    </xf>
    <xf numFmtId="0" fontId="1" fillId="18" borderId="117" xfId="0" applyFont="1" applyFill="1" applyBorder="1" applyAlignment="1">
      <alignment horizontal="center" wrapText="1"/>
    </xf>
    <xf numFmtId="0" fontId="1" fillId="18" borderId="23" xfId="0" applyFont="1" applyFill="1" applyBorder="1" applyAlignment="1">
      <alignment horizontal="center" wrapText="1"/>
    </xf>
    <xf numFmtId="0" fontId="97" fillId="18" borderId="0" xfId="41" applyFont="1" applyFill="1" applyBorder="1" applyAlignment="1">
      <alignment horizontal="center" wrapText="1"/>
    </xf>
    <xf numFmtId="0" fontId="97" fillId="18" borderId="16" xfId="41" applyFont="1" applyFill="1" applyBorder="1" applyAlignment="1">
      <alignment horizontal="center" wrapText="1"/>
    </xf>
    <xf numFmtId="0" fontId="101" fillId="18" borderId="10" xfId="41" applyFont="1" applyFill="1" applyBorder="1" applyAlignment="1">
      <alignment horizontal="left"/>
    </xf>
    <xf numFmtId="0" fontId="101" fillId="18" borderId="12" xfId="41" applyFont="1" applyFill="1" applyBorder="1" applyAlignment="1">
      <alignment horizontal="left"/>
    </xf>
    <xf numFmtId="0" fontId="101" fillId="18" borderId="10" xfId="41" applyFont="1" applyFill="1" applyBorder="1" applyAlignment="1">
      <alignment horizontal="center"/>
    </xf>
    <xf numFmtId="0" fontId="92" fillId="18" borderId="10" xfId="41" applyFont="1" applyFill="1" applyBorder="1" applyAlignment="1">
      <alignment horizontal="left"/>
    </xf>
    <xf numFmtId="0" fontId="92" fillId="18" borderId="12" xfId="41" applyFont="1" applyFill="1" applyBorder="1" applyAlignment="1">
      <alignment horizontal="left"/>
    </xf>
    <xf numFmtId="0" fontId="92" fillId="18" borderId="11" xfId="41" applyFont="1" applyFill="1" applyBorder="1" applyAlignment="1">
      <alignment horizontal="left"/>
    </xf>
    <xf numFmtId="0" fontId="92" fillId="18" borderId="0" xfId="41" applyFont="1" applyFill="1" applyBorder="1" applyAlignment="1">
      <alignment horizontal="left"/>
    </xf>
    <xf numFmtId="0" fontId="98" fillId="18" borderId="10" xfId="41" applyFont="1" applyFill="1" applyBorder="1" applyAlignment="1">
      <alignment horizontal="left"/>
    </xf>
    <xf numFmtId="0" fontId="98" fillId="18" borderId="12" xfId="41" applyFont="1" applyFill="1" applyBorder="1" applyAlignment="1">
      <alignment horizontal="left"/>
    </xf>
    <xf numFmtId="0" fontId="98" fillId="18" borderId="11" xfId="41" applyFont="1" applyFill="1" applyBorder="1" applyAlignment="1">
      <alignment horizontal="left"/>
    </xf>
    <xf numFmtId="0" fontId="98" fillId="18" borderId="0" xfId="41" applyFont="1" applyFill="1" applyBorder="1" applyAlignment="1">
      <alignment horizontal="left"/>
    </xf>
    <xf numFmtId="0" fontId="104" fillId="18" borderId="26" xfId="0" applyFont="1" applyFill="1" applyBorder="1" applyAlignment="1">
      <alignment horizontal="center"/>
    </xf>
    <xf numFmtId="0" fontId="104" fillId="18" borderId="28" xfId="0" applyFont="1" applyFill="1" applyBorder="1" applyAlignment="1">
      <alignment horizontal="center"/>
    </xf>
    <xf numFmtId="0" fontId="104" fillId="18" borderId="27" xfId="0" applyFont="1" applyFill="1" applyBorder="1" applyAlignment="1">
      <alignment horizontal="center"/>
    </xf>
    <xf numFmtId="0" fontId="103" fillId="18" borderId="11" xfId="41" applyFont="1" applyFill="1" applyBorder="1" applyAlignment="1">
      <alignment horizontal="center"/>
    </xf>
    <xf numFmtId="0" fontId="35" fillId="18" borderId="0" xfId="0" applyFont="1" applyFill="1" applyBorder="1" applyAlignment="1">
      <alignment horizontal="center"/>
    </xf>
    <xf numFmtId="0" fontId="35" fillId="74" borderId="12" xfId="0" applyFont="1" applyFill="1" applyBorder="1" applyAlignment="1">
      <alignment horizontal="left" wrapText="1"/>
    </xf>
    <xf numFmtId="0" fontId="53" fillId="79" borderId="11" xfId="0" applyFont="1" applyFill="1" applyBorder="1" applyAlignment="1">
      <alignment horizontal="center" wrapText="1"/>
    </xf>
    <xf numFmtId="0" fontId="53" fillId="79" borderId="13" xfId="0" applyFont="1" applyFill="1" applyBorder="1" applyAlignment="1">
      <alignment horizontal="center" wrapText="1"/>
    </xf>
    <xf numFmtId="0" fontId="56" fillId="77" borderId="22" xfId="0" applyFont="1" applyFill="1" applyBorder="1" applyAlignment="1">
      <alignment horizontal="center" vertical="center" wrapText="1"/>
    </xf>
    <xf numFmtId="0" fontId="56" fillId="77" borderId="13" xfId="0" applyFont="1" applyFill="1" applyBorder="1" applyAlignment="1">
      <alignment horizontal="center" vertical="center" wrapText="1"/>
    </xf>
    <xf numFmtId="0" fontId="97" fillId="18" borderId="10" xfId="0" applyFont="1" applyFill="1" applyBorder="1" applyAlignment="1">
      <alignment horizontal="center"/>
    </xf>
    <xf numFmtId="0" fontId="97" fillId="18" borderId="12" xfId="0" applyFont="1" applyFill="1" applyBorder="1" applyAlignment="1">
      <alignment horizontal="center"/>
    </xf>
    <xf numFmtId="0" fontId="97" fillId="18" borderId="11" xfId="0" applyFont="1" applyFill="1" applyBorder="1" applyAlignment="1">
      <alignment horizontal="center"/>
    </xf>
    <xf numFmtId="0" fontId="97" fillId="18" borderId="0" xfId="0" applyFont="1" applyFill="1" applyBorder="1" applyAlignment="1">
      <alignment horizontal="center"/>
    </xf>
    <xf numFmtId="0" fontId="2" fillId="21" borderId="18" xfId="0" applyFont="1" applyFill="1" applyBorder="1" applyAlignment="1">
      <alignment horizontal="center" wrapText="1"/>
    </xf>
    <xf numFmtId="0" fontId="2" fillId="21" borderId="23" xfId="0" applyFont="1" applyFill="1" applyBorder="1" applyAlignment="1">
      <alignment horizontal="center" wrapText="1"/>
    </xf>
    <xf numFmtId="0" fontId="53" fillId="74" borderId="13" xfId="0" applyFont="1" applyFill="1" applyBorder="1" applyAlignment="1">
      <alignment horizontal="left" vertical="center" wrapText="1"/>
    </xf>
    <xf numFmtId="0" fontId="35" fillId="77" borderId="0" xfId="0" applyFont="1" applyFill="1" applyBorder="1" applyAlignment="1">
      <alignment horizontal="left" vertical="top" wrapText="1"/>
    </xf>
    <xf numFmtId="0" fontId="53" fillId="77" borderId="0" xfId="0" applyFont="1" applyFill="1" applyBorder="1" applyAlignment="1">
      <alignment horizontal="left" vertical="top" wrapText="1"/>
    </xf>
    <xf numFmtId="0" fontId="53" fillId="77" borderId="0" xfId="0" applyFont="1" applyFill="1" applyBorder="1" applyAlignment="1">
      <alignment horizontal="left" wrapText="1"/>
    </xf>
    <xf numFmtId="0" fontId="2" fillId="20" borderId="0" xfId="0" applyFont="1" applyFill="1" applyBorder="1" applyAlignment="1">
      <alignment horizontal="left" wrapText="1"/>
    </xf>
    <xf numFmtId="0" fontId="1" fillId="20" borderId="0" xfId="0" applyFont="1" applyFill="1" applyBorder="1" applyAlignment="1">
      <alignment horizontal="left" wrapText="1"/>
    </xf>
    <xf numFmtId="172" fontId="1" fillId="20" borderId="24" xfId="0" applyNumberFormat="1" applyFont="1" applyFill="1" applyBorder="1" applyAlignment="1">
      <alignment horizontal="center"/>
    </xf>
    <xf numFmtId="172" fontId="1" fillId="20" borderId="13" xfId="0" applyNumberFormat="1" applyFont="1" applyFill="1" applyBorder="1" applyAlignment="1">
      <alignment horizontal="center"/>
    </xf>
    <xf numFmtId="172" fontId="34" fillId="24" borderId="15" xfId="0" applyNumberFormat="1" applyFont="1" applyFill="1" applyBorder="1" applyAlignment="1">
      <alignment horizontal="center"/>
    </xf>
    <xf numFmtId="172" fontId="34" fillId="24" borderId="17" xfId="0" applyNumberFormat="1" applyFont="1" applyFill="1" applyBorder="1" applyAlignment="1">
      <alignment horizontal="center"/>
    </xf>
    <xf numFmtId="0" fontId="2" fillId="20" borderId="0" xfId="0" applyFont="1" applyFill="1" applyBorder="1" applyAlignment="1">
      <alignment horizontal="left" vertical="center" wrapText="1"/>
    </xf>
    <xf numFmtId="0" fontId="2" fillId="20" borderId="13" xfId="0" applyFont="1" applyFill="1" applyBorder="1" applyAlignment="1">
      <alignment horizontal="left" vertical="center" wrapText="1"/>
    </xf>
    <xf numFmtId="0" fontId="51" fillId="71" borderId="15" xfId="0" applyFont="1" applyFill="1" applyBorder="1" applyAlignment="1">
      <alignment horizontal="center" vertical="center"/>
    </xf>
    <xf numFmtId="0" fontId="51" fillId="71" borderId="17" xfId="0" applyFont="1" applyFill="1" applyBorder="1" applyAlignment="1">
      <alignment horizontal="center" vertical="center"/>
    </xf>
    <xf numFmtId="175" fontId="1" fillId="20" borderId="16" xfId="28" applyNumberFormat="1" applyFont="1" applyFill="1" applyBorder="1" applyAlignment="1">
      <alignment horizontal="right"/>
    </xf>
    <xf numFmtId="175" fontId="1" fillId="20" borderId="17" xfId="28" applyNumberFormat="1" applyFont="1" applyFill="1" applyBorder="1" applyAlignment="1">
      <alignment horizontal="right"/>
    </xf>
    <xf numFmtId="175" fontId="51" fillId="71" borderId="15" xfId="28" applyNumberFormat="1" applyFont="1" applyFill="1" applyBorder="1" applyAlignment="1">
      <alignment horizontal="right" vertical="center"/>
    </xf>
    <xf numFmtId="175" fontId="51" fillId="71" borderId="17" xfId="28" applyNumberFormat="1" applyFont="1" applyFill="1" applyBorder="1" applyAlignment="1">
      <alignment horizontal="right" vertical="center"/>
    </xf>
    <xf numFmtId="172" fontId="1" fillId="23" borderId="118" xfId="0" applyNumberFormat="1" applyFont="1" applyFill="1" applyBorder="1" applyAlignment="1" applyProtection="1">
      <alignment horizontal="center"/>
      <protection locked="0"/>
    </xf>
    <xf numFmtId="172" fontId="1" fillId="23" borderId="56" xfId="0" applyNumberFormat="1" applyFont="1" applyFill="1" applyBorder="1" applyAlignment="1" applyProtection="1">
      <alignment horizontal="center"/>
      <protection locked="0"/>
    </xf>
    <xf numFmtId="175" fontId="1" fillId="20" borderId="0" xfId="28" applyNumberFormat="1" applyFont="1" applyFill="1" applyBorder="1" applyAlignment="1">
      <alignment horizontal="right"/>
    </xf>
    <xf numFmtId="175" fontId="1" fillId="20" borderId="13" xfId="28" applyNumberFormat="1" applyFont="1" applyFill="1" applyBorder="1" applyAlignment="1">
      <alignment horizontal="right"/>
    </xf>
    <xf numFmtId="0" fontId="1" fillId="20" borderId="26" xfId="0" applyFont="1" applyFill="1" applyBorder="1" applyAlignment="1">
      <alignment horizontal="center"/>
    </xf>
    <xf numFmtId="0" fontId="1" fillId="20" borderId="27" xfId="0" applyFont="1" applyFill="1" applyBorder="1" applyAlignment="1">
      <alignment horizontal="center"/>
    </xf>
    <xf numFmtId="2" fontId="1" fillId="20" borderId="15" xfId="0" applyNumberFormat="1" applyFont="1" applyFill="1" applyBorder="1" applyAlignment="1">
      <alignment horizontal="center"/>
    </xf>
    <xf numFmtId="2" fontId="1" fillId="20" borderId="17" xfId="0" applyNumberFormat="1" applyFont="1" applyFill="1" applyBorder="1" applyAlignment="1">
      <alignment horizontal="center"/>
    </xf>
    <xf numFmtId="0" fontId="2" fillId="20" borderId="10" xfId="0" applyFont="1" applyFill="1" applyBorder="1" applyAlignment="1">
      <alignment horizontal="center" wrapText="1"/>
    </xf>
    <xf numFmtId="0" fontId="2" fillId="20" borderId="22" xfId="0" applyFont="1" applyFill="1" applyBorder="1" applyAlignment="1">
      <alignment horizontal="center" wrapText="1"/>
    </xf>
    <xf numFmtId="2" fontId="1" fillId="20" borderId="10" xfId="0" applyNumberFormat="1" applyFont="1" applyFill="1" applyBorder="1" applyAlignment="1">
      <alignment horizontal="center"/>
    </xf>
    <xf numFmtId="2" fontId="1" fillId="20" borderId="22" xfId="0" applyNumberFormat="1" applyFont="1" applyFill="1" applyBorder="1" applyAlignment="1">
      <alignment horizontal="center"/>
    </xf>
    <xf numFmtId="2" fontId="1" fillId="20" borderId="11" xfId="0" applyNumberFormat="1" applyFont="1" applyFill="1" applyBorder="1" applyAlignment="1">
      <alignment horizontal="center"/>
    </xf>
    <xf numFmtId="2" fontId="1" fillId="20" borderId="13" xfId="0" applyNumberFormat="1" applyFont="1" applyFill="1" applyBorder="1" applyAlignment="1">
      <alignment horizontal="center"/>
    </xf>
    <xf numFmtId="0" fontId="60" fillId="20" borderId="11" xfId="0" applyFont="1" applyFill="1" applyBorder="1" applyAlignment="1">
      <alignment horizontal="left" wrapText="1"/>
    </xf>
    <xf numFmtId="0" fontId="60" fillId="20" borderId="0" xfId="0" applyFont="1" applyFill="1" applyBorder="1" applyAlignment="1">
      <alignment horizontal="left" wrapText="1"/>
    </xf>
    <xf numFmtId="0" fontId="60" fillId="20" borderId="13" xfId="0" applyFont="1" applyFill="1" applyBorder="1" applyAlignment="1">
      <alignment horizontal="left" wrapText="1"/>
    </xf>
    <xf numFmtId="0" fontId="2" fillId="0" borderId="0" xfId="0" applyFont="1" applyFill="1" applyBorder="1" applyAlignment="1">
      <alignment horizontal="center" vertical="center"/>
    </xf>
    <xf numFmtId="0" fontId="37" fillId="74" borderId="28" xfId="0" applyFont="1" applyFill="1" applyBorder="1" applyAlignment="1">
      <alignment horizontal="left" vertical="center"/>
    </xf>
    <xf numFmtId="0" fontId="1" fillId="20" borderId="0" xfId="0" applyFont="1" applyFill="1" applyBorder="1" applyAlignment="1">
      <alignment horizontal="center"/>
    </xf>
    <xf numFmtId="0" fontId="0" fillId="20" borderId="39" xfId="0" applyFont="1" applyFill="1" applyBorder="1" applyAlignment="1" applyProtection="1">
      <alignment horizontal="center" vertical="top" wrapText="1"/>
      <protection locked="0"/>
    </xf>
    <xf numFmtId="0" fontId="65" fillId="20" borderId="106" xfId="0" applyFont="1" applyFill="1" applyBorder="1" applyAlignment="1" applyProtection="1">
      <alignment horizontal="center" vertical="top" wrapText="1"/>
      <protection locked="0"/>
    </xf>
    <xf numFmtId="0" fontId="65" fillId="20" borderId="38" xfId="0" applyFont="1" applyFill="1" applyBorder="1" applyAlignment="1" applyProtection="1">
      <alignment horizontal="center" vertical="top" wrapText="1"/>
      <protection locked="0"/>
    </xf>
    <xf numFmtId="0" fontId="60" fillId="20" borderId="11" xfId="0" applyFont="1" applyFill="1" applyBorder="1" applyAlignment="1">
      <alignment horizontal="left" vertical="center"/>
    </xf>
    <xf numFmtId="0" fontId="60" fillId="20" borderId="0" xfId="0" applyFont="1" applyFill="1" applyBorder="1" applyAlignment="1">
      <alignment horizontal="left" vertical="center"/>
    </xf>
    <xf numFmtId="0" fontId="60" fillId="20" borderId="13" xfId="0" applyFont="1" applyFill="1" applyBorder="1" applyAlignment="1">
      <alignment horizontal="left" vertical="center"/>
    </xf>
    <xf numFmtId="0" fontId="60" fillId="20" borderId="11" xfId="0" applyFont="1" applyFill="1" applyBorder="1" applyAlignment="1">
      <alignment horizontal="left" vertical="center" wrapText="1"/>
    </xf>
    <xf numFmtId="0" fontId="60" fillId="20" borderId="0" xfId="0" applyFont="1" applyFill="1" applyBorder="1" applyAlignment="1">
      <alignment horizontal="left" vertical="center" wrapText="1"/>
    </xf>
    <xf numFmtId="0" fontId="60" fillId="20" borderId="13" xfId="0" applyFont="1" applyFill="1" applyBorder="1" applyAlignment="1">
      <alignment horizontal="left" vertical="center" wrapText="1"/>
    </xf>
    <xf numFmtId="0" fontId="37" fillId="74" borderId="12" xfId="0" applyFont="1" applyFill="1" applyBorder="1" applyAlignment="1">
      <alignment horizontal="left" vertical="center" wrapText="1"/>
    </xf>
    <xf numFmtId="0" fontId="37" fillId="74" borderId="0" xfId="0" applyFont="1" applyFill="1" applyBorder="1" applyAlignment="1">
      <alignment horizontal="left" vertical="center" wrapText="1"/>
    </xf>
    <xf numFmtId="0" fontId="1" fillId="20" borderId="11" xfId="0" applyFont="1" applyFill="1" applyBorder="1" applyAlignment="1">
      <alignment horizontal="left" vertical="center" wrapText="1"/>
    </xf>
    <xf numFmtId="0" fontId="1" fillId="20" borderId="0" xfId="0" applyFont="1" applyFill="1" applyBorder="1" applyAlignment="1">
      <alignment horizontal="left" vertical="center" wrapText="1"/>
    </xf>
    <xf numFmtId="0" fontId="1" fillId="20" borderId="13" xfId="0" applyFont="1" applyFill="1" applyBorder="1" applyAlignment="1">
      <alignment horizontal="left" vertical="center" wrapText="1"/>
    </xf>
    <xf numFmtId="0" fontId="1" fillId="20" borderId="11" xfId="0" applyFont="1" applyFill="1" applyBorder="1" applyAlignment="1">
      <alignment horizontal="left" wrapText="1"/>
    </xf>
    <xf numFmtId="0" fontId="1" fillId="20" borderId="13" xfId="0" applyFont="1" applyFill="1" applyBorder="1" applyAlignment="1">
      <alignment horizontal="left" wrapText="1"/>
    </xf>
    <xf numFmtId="0" fontId="65" fillId="20" borderId="39" xfId="0" applyFont="1" applyFill="1" applyBorder="1" applyAlignment="1" applyProtection="1">
      <alignment horizontal="center" vertical="top" wrapText="1"/>
      <protection locked="0"/>
    </xf>
    <xf numFmtId="0" fontId="1" fillId="20" borderId="11" xfId="0" applyFont="1" applyFill="1" applyBorder="1" applyAlignment="1">
      <alignment horizontal="left" vertical="center"/>
    </xf>
    <xf numFmtId="0" fontId="1" fillId="20" borderId="0" xfId="0" applyFont="1" applyFill="1" applyBorder="1" applyAlignment="1">
      <alignment horizontal="left" vertical="center"/>
    </xf>
    <xf numFmtId="0" fontId="1" fillId="20" borderId="13" xfId="0" applyFont="1" applyFill="1" applyBorder="1" applyAlignment="1">
      <alignment horizontal="left" vertical="center"/>
    </xf>
    <xf numFmtId="0" fontId="1" fillId="20" borderId="0" xfId="0" applyFont="1" applyFill="1" applyBorder="1" applyAlignment="1">
      <alignment horizontal="center" wrapText="1"/>
    </xf>
    <xf numFmtId="2" fontId="1" fillId="20" borderId="26" xfId="0" applyNumberFormat="1" applyFont="1" applyFill="1" applyBorder="1" applyAlignment="1">
      <alignment horizontal="center"/>
    </xf>
    <xf numFmtId="2" fontId="1" fillId="20" borderId="27" xfId="0" applyNumberFormat="1" applyFont="1" applyFill="1" applyBorder="1" applyAlignment="1">
      <alignment horizontal="center"/>
    </xf>
    <xf numFmtId="0" fontId="2" fillId="20" borderId="26" xfId="0" applyFont="1" applyFill="1" applyBorder="1" applyAlignment="1">
      <alignment horizontal="center" wrapText="1"/>
    </xf>
    <xf numFmtId="0" fontId="2" fillId="20" borderId="27" xfId="0" applyFont="1" applyFill="1" applyBorder="1" applyAlignment="1">
      <alignment horizontal="center" wrapText="1"/>
    </xf>
    <xf numFmtId="0" fontId="2" fillId="22" borderId="18" xfId="0" applyFont="1" applyFill="1" applyBorder="1" applyAlignment="1">
      <alignment horizontal="center" vertical="center"/>
    </xf>
    <xf numFmtId="0" fontId="2" fillId="22" borderId="24" xfId="0" applyFont="1" applyFill="1" applyBorder="1" applyAlignment="1">
      <alignment horizontal="center" vertical="center"/>
    </xf>
    <xf numFmtId="0" fontId="2" fillId="22" borderId="23" xfId="0" applyFont="1" applyFill="1" applyBorder="1" applyAlignment="1">
      <alignment horizontal="center" vertical="center"/>
    </xf>
    <xf numFmtId="0" fontId="0" fillId="0" borderId="23" xfId="0" applyBorder="1"/>
    <xf numFmtId="0" fontId="2" fillId="22" borderId="119" xfId="0" applyFont="1" applyFill="1" applyBorder="1" applyAlignment="1">
      <alignment horizontal="center"/>
    </xf>
    <xf numFmtId="0" fontId="2" fillId="22" borderId="92" xfId="0" applyFont="1" applyFill="1" applyBorder="1" applyAlignment="1">
      <alignment horizontal="center"/>
    </xf>
    <xf numFmtId="0" fontId="2" fillId="22" borderId="14" xfId="0" applyFont="1" applyFill="1" applyBorder="1" applyAlignment="1">
      <alignment horizontal="center" vertical="center"/>
    </xf>
    <xf numFmtId="0" fontId="2" fillId="22" borderId="101" xfId="0" applyFont="1" applyFill="1" applyBorder="1" applyAlignment="1">
      <alignment horizontal="center" vertical="center"/>
    </xf>
    <xf numFmtId="0" fontId="2" fillId="22" borderId="100" xfId="0" applyFont="1" applyFill="1" applyBorder="1" applyAlignment="1">
      <alignment horizontal="center" vertical="center"/>
    </xf>
    <xf numFmtId="0" fontId="2" fillId="22" borderId="11" xfId="0" applyFont="1" applyFill="1" applyBorder="1" applyAlignment="1">
      <alignment horizontal="center" vertical="center"/>
    </xf>
    <xf numFmtId="0" fontId="2" fillId="22" borderId="15" xfId="0" applyFont="1" applyFill="1" applyBorder="1" applyAlignment="1">
      <alignment horizontal="center" vertical="center"/>
    </xf>
    <xf numFmtId="0" fontId="2" fillId="19" borderId="12" xfId="0" applyFont="1" applyFill="1" applyBorder="1" applyAlignment="1">
      <alignment horizontal="center"/>
    </xf>
    <xf numFmtId="0" fontId="2" fillId="0" borderId="11" xfId="0" applyFont="1" applyBorder="1" applyAlignment="1">
      <alignment horizontal="left"/>
    </xf>
    <xf numFmtId="0" fontId="2" fillId="0" borderId="0" xfId="0" applyFont="1" applyBorder="1" applyAlignment="1">
      <alignment horizontal="left"/>
    </xf>
    <xf numFmtId="2" fontId="2" fillId="19" borderId="120" xfId="0" applyNumberFormat="1" applyFont="1" applyFill="1" applyBorder="1" applyAlignment="1">
      <alignment horizontal="left" wrapText="1"/>
    </xf>
    <xf numFmtId="2" fontId="2" fillId="19" borderId="47" xfId="0" applyNumberFormat="1" applyFont="1" applyFill="1" applyBorder="1" applyAlignment="1">
      <alignment horizontal="left" wrapText="1"/>
    </xf>
    <xf numFmtId="0" fontId="2" fillId="19" borderId="120" xfId="0" applyFont="1" applyFill="1" applyBorder="1" applyAlignment="1">
      <alignment horizontal="left" wrapText="1"/>
    </xf>
    <xf numFmtId="0" fontId="2" fillId="19" borderId="47" xfId="0" applyFont="1" applyFill="1" applyBorder="1" applyAlignment="1">
      <alignment horizontal="left" wrapText="1"/>
    </xf>
    <xf numFmtId="0" fontId="1" fillId="19" borderId="0" xfId="41" applyFont="1" applyFill="1" applyBorder="1" applyAlignment="1">
      <alignment horizontal="center"/>
    </xf>
    <xf numFmtId="0" fontId="1" fillId="19" borderId="12" xfId="41" applyFont="1" applyFill="1" applyBorder="1" applyAlignment="1">
      <alignment horizontal="center"/>
    </xf>
    <xf numFmtId="0" fontId="2" fillId="0" borderId="52" xfId="0" applyFont="1" applyBorder="1" applyAlignment="1">
      <alignment vertical="top" wrapText="1"/>
    </xf>
    <xf numFmtId="0" fontId="0" fillId="0" borderId="52" xfId="0" applyBorder="1" applyAlignment="1"/>
    <xf numFmtId="0" fontId="1" fillId="0" borderId="62" xfId="0" applyFont="1" applyBorder="1" applyAlignment="1">
      <alignment horizontal="left" wrapText="1"/>
    </xf>
    <xf numFmtId="0" fontId="1" fillId="0" borderId="63" xfId="0" applyFont="1" applyBorder="1" applyAlignment="1">
      <alignment horizontal="left" wrapText="1"/>
    </xf>
    <xf numFmtId="0" fontId="1" fillId="0" borderId="46" xfId="0" applyFont="1" applyBorder="1" applyAlignment="1">
      <alignment horizontal="left" wrapText="1"/>
    </xf>
    <xf numFmtId="0" fontId="1" fillId="0" borderId="64" xfId="0" applyFont="1" applyBorder="1" applyAlignment="1">
      <alignment horizontal="left" wrapText="1"/>
    </xf>
    <xf numFmtId="0" fontId="1" fillId="0" borderId="0" xfId="0" applyFont="1" applyBorder="1" applyAlignment="1">
      <alignment horizontal="left" wrapText="1"/>
    </xf>
    <xf numFmtId="0" fontId="1" fillId="0" borderId="45" xfId="0" applyFont="1" applyBorder="1" applyAlignment="1">
      <alignment horizontal="left" wrapText="1"/>
    </xf>
    <xf numFmtId="0" fontId="1" fillId="0" borderId="66" xfId="0" applyFont="1" applyBorder="1" applyAlignment="1">
      <alignment horizontal="left" wrapText="1"/>
    </xf>
    <xf numFmtId="0" fontId="1" fillId="0" borderId="52" xfId="0" applyFont="1" applyBorder="1" applyAlignment="1">
      <alignment horizontal="left" wrapText="1"/>
    </xf>
    <xf numFmtId="0" fontId="1" fillId="0" borderId="65" xfId="0" applyFont="1" applyBorder="1" applyAlignment="1">
      <alignment horizontal="left" wrapText="1"/>
    </xf>
    <xf numFmtId="0" fontId="2" fillId="20" borderId="31" xfId="0" applyFont="1" applyFill="1" applyBorder="1" applyAlignment="1" applyProtection="1">
      <alignment horizontal="center" vertical="center" wrapText="1"/>
      <protection locked="0"/>
    </xf>
    <xf numFmtId="0" fontId="2" fillId="20" borderId="97" xfId="0" applyFont="1" applyFill="1" applyBorder="1" applyAlignment="1" applyProtection="1">
      <alignment horizontal="center" vertical="center" wrapText="1"/>
      <protection locked="0"/>
    </xf>
    <xf numFmtId="0" fontId="2" fillId="20" borderId="90" xfId="0" applyFont="1" applyFill="1" applyBorder="1" applyAlignment="1" applyProtection="1">
      <alignment horizontal="center" vertical="center" wrapText="1"/>
      <protection locked="0"/>
    </xf>
    <xf numFmtId="0" fontId="2" fillId="0" borderId="62"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64" xfId="0" applyFont="1" applyBorder="1" applyAlignment="1">
      <alignment horizontal="center" vertical="center" wrapText="1"/>
    </xf>
    <xf numFmtId="0" fontId="2" fillId="0" borderId="0"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52" xfId="0" applyFont="1" applyBorder="1" applyAlignment="1">
      <alignment horizontal="center" vertical="center" wrapText="1"/>
    </xf>
    <xf numFmtId="0" fontId="2" fillId="0" borderId="65" xfId="0" applyFont="1" applyBorder="1" applyAlignment="1">
      <alignment horizontal="center" vertical="center" wrapText="1"/>
    </xf>
    <xf numFmtId="0" fontId="1" fillId="0" borderId="39" xfId="0" applyFont="1" applyBorder="1" applyAlignment="1">
      <alignment horizontal="center" wrapText="1"/>
    </xf>
    <xf numFmtId="0" fontId="1" fillId="0" borderId="106" xfId="0" applyFont="1" applyBorder="1" applyAlignment="1">
      <alignment horizontal="center" wrapText="1"/>
    </xf>
    <xf numFmtId="0" fontId="1" fillId="0" borderId="38" xfId="0" applyFont="1" applyBorder="1" applyAlignment="1">
      <alignment horizontal="center" wrapText="1"/>
    </xf>
    <xf numFmtId="0" fontId="1" fillId="0" borderId="0" xfId="40" applyFont="1" applyFill="1" applyAlignment="1">
      <alignment horizontal="center" vertical="center" wrapText="1"/>
    </xf>
  </cellXfs>
  <cellStyles count="5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Formula_1decpl"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8000000}"/>
    <cellStyle name="Normal_LivestockModule_v3j" xfId="41" xr:uid="{00000000-0005-0000-0000-000029000000}"/>
    <cellStyle name="Normal_TreeCropPrototype_v3" xfId="42" xr:uid="{00000000-0005-0000-0000-00002A000000}"/>
    <cellStyle name="Note" xfId="43" builtinId="10" customBuiltin="1"/>
    <cellStyle name="Output" xfId="44" builtinId="21" customBuiltin="1"/>
    <cellStyle name="Percent" xfId="45" builtinId="5"/>
    <cellStyle name="Title" xfId="46" builtinId="15" customBuiltin="1"/>
    <cellStyle name="Total" xfId="47" builtinId="25" customBuiltin="1"/>
    <cellStyle name="Warning Text" xfId="48" builtinId="11" customBuiltin="1"/>
    <cellStyle name="XLConnect.Boolean" xfId="52" xr:uid="{00000000-0005-0000-0000-000034000000}"/>
    <cellStyle name="XLConnect.DateTime" xfId="53" xr:uid="{00000000-0005-0000-0000-000035000000}"/>
    <cellStyle name="XLConnect.Header" xfId="49" xr:uid="{00000000-0005-0000-0000-000031000000}"/>
    <cellStyle name="XLConnect.Numeric" xfId="51" xr:uid="{00000000-0005-0000-0000-000033000000}"/>
    <cellStyle name="XLConnect.String" xfId="50" xr:uid="{00000000-0005-0000-0000-000032000000}"/>
  </cellStyles>
  <dxfs count="20">
    <dxf>
      <font>
        <color theme="0"/>
      </font>
      <fill>
        <patternFill>
          <bgColor theme="0"/>
        </patternFill>
      </fill>
    </dxf>
    <dxf>
      <font>
        <condense val="0"/>
        <extend val="0"/>
        <color indexed="9"/>
      </font>
    </dxf>
    <dxf>
      <font>
        <condense val="0"/>
        <extend val="0"/>
        <color indexed="22"/>
      </font>
      <fill>
        <patternFill>
          <bgColor indexed="22"/>
        </patternFill>
      </fill>
    </dxf>
    <dxf>
      <font>
        <color theme="0"/>
      </font>
      <fill>
        <patternFill>
          <bgColor theme="0"/>
        </patternFill>
      </fill>
    </dxf>
    <dxf>
      <font>
        <condense val="0"/>
        <extend val="0"/>
        <color indexed="9"/>
      </font>
    </dxf>
    <dxf>
      <font>
        <condense val="0"/>
        <extend val="0"/>
        <color indexed="22"/>
      </font>
      <fill>
        <patternFill>
          <bgColor indexed="22"/>
        </patternFill>
      </fill>
    </dxf>
    <dxf>
      <font>
        <condense val="0"/>
        <extend val="0"/>
        <color indexed="9"/>
      </font>
      <fill>
        <patternFill>
          <bgColor indexed="9"/>
        </patternFill>
      </fill>
    </dxf>
    <dxf>
      <font>
        <condense val="0"/>
        <extend val="0"/>
        <color auto="1"/>
      </font>
      <fill>
        <patternFill>
          <bgColor indexed="43"/>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lor indexed="22"/>
        <name val="Cambria"/>
        <scheme val="none"/>
      </font>
      <fill>
        <patternFill patternType="solid">
          <bgColor indexed="9"/>
        </patternFill>
      </fill>
    </dxf>
    <dxf>
      <font>
        <condense val="0"/>
        <extend val="0"/>
        <color indexed="10"/>
      </font>
      <fill>
        <patternFill>
          <bgColor indexed="9"/>
        </patternFill>
      </fill>
    </dxf>
    <dxf>
      <font>
        <color indexed="9"/>
        <name val="Cambria"/>
        <scheme val="none"/>
      </font>
      <fill>
        <patternFill>
          <bgColor indexed="9"/>
        </patternFill>
      </fill>
    </dxf>
    <dxf>
      <font>
        <condense val="0"/>
        <extend val="0"/>
        <color indexed="42"/>
      </font>
    </dxf>
    <dxf>
      <font>
        <color indexed="22"/>
        <name val="Cambria"/>
        <scheme val="none"/>
      </font>
      <fill>
        <patternFill patternType="solid">
          <bgColor indexed="9"/>
        </patternFill>
      </fill>
    </dxf>
    <dxf>
      <font>
        <condense val="0"/>
        <extend val="0"/>
        <color indexed="10"/>
      </font>
      <fill>
        <patternFill>
          <bgColor indexed="9"/>
        </patternFill>
      </fill>
    </dxf>
    <dxf>
      <font>
        <color indexed="9"/>
        <name val="Cambria"/>
        <scheme val="none"/>
      </font>
      <fill>
        <patternFill>
          <bgColor indexed="9"/>
        </patternFill>
      </fill>
    </dxf>
    <dxf>
      <font>
        <condense val="0"/>
        <extend val="0"/>
        <color indexed="42"/>
      </font>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7DA647"/>
      <rgbColor rgb="009999FF"/>
      <rgbColor rgb="00993366"/>
      <rgbColor rgb="00FFFFCC"/>
      <rgbColor rgb="00CCFFFF"/>
      <rgbColor rgb="00660066"/>
      <rgbColor rgb="00FF8080"/>
      <rgbColor rgb="000047FF"/>
      <rgbColor rgb="00CCCCFF"/>
      <rgbColor rgb="00000080"/>
      <rgbColor rgb="00FF00FF"/>
      <rgbColor rgb="00FFFF00"/>
      <rgbColor rgb="0000FFFF"/>
      <rgbColor rgb="00800080"/>
      <rgbColor rgb="00800000"/>
      <rgbColor rgb="00008080"/>
      <rgbColor rgb="000000FF"/>
      <rgbColor rgb="0000CCCC"/>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9966CC"/>
      <rgbColor rgb="00999999"/>
      <rgbColor rgb="00003366"/>
      <rgbColor rgb="00339966"/>
      <rgbColor rgb="00003300"/>
      <rgbColor rgb="00333300"/>
      <rgbColor rgb="00804C19"/>
      <rgbColor rgb="00993366"/>
      <rgbColor rgb="002323DC"/>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64423765201"/>
          <c:y val="3.9604058639011598E-2"/>
        </c:manualLayout>
      </c:layout>
      <c:overlay val="0"/>
      <c:spPr>
        <a:noFill/>
        <a:ln w="25400">
          <a:noFill/>
        </a:ln>
      </c:spPr>
    </c:title>
    <c:autoTitleDeleted val="0"/>
    <c:plotArea>
      <c:layout>
        <c:manualLayout>
          <c:layoutTarget val="inner"/>
          <c:xMode val="edge"/>
          <c:yMode val="edge"/>
          <c:x val="0.23272758264504101"/>
          <c:y val="0.17073162259649399"/>
          <c:w val="0.61454627292206099"/>
          <c:h val="0.42682905649123498"/>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831C-4BF0-BA78-33B1997A0475}"/>
              </c:ext>
            </c:extLst>
          </c:dPt>
          <c:dPt>
            <c:idx val="1"/>
            <c:invertIfNegative val="0"/>
            <c:bubble3D val="0"/>
            <c:spPr>
              <a:solidFill>
                <a:srgbClr val="4A452A"/>
              </a:solidFill>
              <a:ln w="25400">
                <a:noFill/>
              </a:ln>
            </c:spPr>
            <c:extLst>
              <c:ext xmlns:c16="http://schemas.microsoft.com/office/drawing/2014/chart" uri="{C3380CC4-5D6E-409C-BE32-E72D297353CC}">
                <c16:uniqueId val="{00000003-831C-4BF0-BA78-33B1997A0475}"/>
              </c:ext>
            </c:extLst>
          </c:dPt>
          <c:cat>
            <c:strRef>
              <c:f>'8.ResultsGraphs'!$C$142:$C$143</c:f>
              <c:strCache>
                <c:ptCount val="2"/>
                <c:pt idx="0">
                  <c:v>Renewable electricity</c:v>
                </c:pt>
                <c:pt idx="1">
                  <c:v>Non renewable electricity</c:v>
                </c:pt>
              </c:strCache>
            </c:strRef>
          </c:cat>
          <c:val>
            <c:numRef>
              <c:f>'8.ResultsGraphs'!$D$142:$D$143</c:f>
              <c:numCache>
                <c:formatCode>0.0</c:formatCode>
                <c:ptCount val="2"/>
                <c:pt idx="0">
                  <c:v>0</c:v>
                </c:pt>
                <c:pt idx="1">
                  <c:v>0</c:v>
                </c:pt>
              </c:numCache>
            </c:numRef>
          </c:val>
          <c:extLst>
            <c:ext xmlns:c16="http://schemas.microsoft.com/office/drawing/2014/chart" uri="{C3380CC4-5D6E-409C-BE32-E72D297353CC}">
              <c16:uniqueId val="{00000004-831C-4BF0-BA78-33B1997A0475}"/>
            </c:ext>
          </c:extLst>
        </c:ser>
        <c:dLbls>
          <c:showLegendKey val="0"/>
          <c:showVal val="0"/>
          <c:showCatName val="0"/>
          <c:showSerName val="0"/>
          <c:showPercent val="0"/>
          <c:showBubbleSize val="0"/>
        </c:dLbls>
        <c:gapWidth val="70"/>
        <c:axId val="1364433344"/>
        <c:axId val="1364439040"/>
      </c:barChart>
      <c:catAx>
        <c:axId val="13644333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429491768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39040"/>
        <c:crosses val="autoZero"/>
        <c:auto val="1"/>
        <c:lblAlgn val="ctr"/>
        <c:lblOffset val="100"/>
        <c:tickLblSkip val="1"/>
        <c:tickMarkSkip val="1"/>
        <c:noMultiLvlLbl val="0"/>
      </c:catAx>
      <c:valAx>
        <c:axId val="136443904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86327845399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33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81472904101"/>
          <c:y val="3.9604058639011598E-2"/>
        </c:manualLayout>
      </c:layout>
      <c:overlay val="0"/>
      <c:spPr>
        <a:noFill/>
        <a:ln w="25400">
          <a:noFill/>
        </a:ln>
      </c:spPr>
    </c:title>
    <c:autoTitleDeleted val="0"/>
    <c:plotArea>
      <c:layout>
        <c:manualLayout>
          <c:layoutTarget val="inner"/>
          <c:xMode val="edge"/>
          <c:yMode val="edge"/>
          <c:x val="0.117216064803657"/>
          <c:y val="0.24390231799499101"/>
          <c:w val="0.73260040502285595"/>
          <c:h val="0.26016247252799102"/>
        </c:manualLayout>
      </c:layout>
      <c:barChart>
        <c:barDir val="col"/>
        <c:grouping val="clustered"/>
        <c:varyColors val="0"/>
        <c:ser>
          <c:idx val="0"/>
          <c:order val="0"/>
          <c:tx>
            <c:strRef>
              <c:f>'8.ResultsGraphs'!$AL$170</c:f>
              <c:strCache>
                <c:ptCount val="1"/>
                <c:pt idx="0">
                  <c:v>Energy Use (MJ)</c:v>
                </c:pt>
              </c:strCache>
            </c:strRef>
          </c:tx>
          <c:spPr>
            <a:solidFill>
              <a:srgbClr val="4F81BD"/>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'8.ResultsGraphs'!$D$145:$D$148</c:f>
              <c:numCache>
                <c:formatCode>0.0</c:formatCode>
                <c:ptCount val="4"/>
                <c:pt idx="0">
                  <c:v>0</c:v>
                </c:pt>
                <c:pt idx="1">
                  <c:v>0</c:v>
                </c:pt>
                <c:pt idx="2">
                  <c:v>0</c:v>
                </c:pt>
                <c:pt idx="3">
                  <c:v>4232.3788630317968</c:v>
                </c:pt>
              </c:numCache>
            </c:numRef>
          </c:val>
          <c:extLst>
            <c:ext xmlns:c16="http://schemas.microsoft.com/office/drawing/2014/chart" uri="{C3380CC4-5D6E-409C-BE32-E72D297353CC}">
              <c16:uniqueId val="{00000000-589D-4861-8D75-7079EBD476C3}"/>
            </c:ext>
          </c:extLst>
        </c:ser>
        <c:ser>
          <c:idx val="1"/>
          <c:order val="1"/>
          <c:tx>
            <c:strRef>
              <c:f>'8.ResultsGraphs'!$AM$170</c:f>
              <c:strCache>
                <c:ptCount val="1"/>
                <c:pt idx="0">
                  <c:v>Emissions (kg CO2 eq)</c:v>
                </c:pt>
              </c:strCache>
            </c:strRef>
          </c:tx>
          <c:spPr>
            <a:solidFill>
              <a:srgbClr val="999999"/>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'8.ResultsGraphs'!$E$145:$E$148</c:f>
              <c:numCache>
                <c:formatCode>0.0</c:formatCode>
                <c:ptCount val="4"/>
                <c:pt idx="0">
                  <c:v>0</c:v>
                </c:pt>
                <c:pt idx="1">
                  <c:v>0</c:v>
                </c:pt>
                <c:pt idx="2">
                  <c:v>0</c:v>
                </c:pt>
                <c:pt idx="3">
                  <c:v>299.2816715811403</c:v>
                </c:pt>
              </c:numCache>
            </c:numRef>
          </c:val>
          <c:extLst>
            <c:ext xmlns:c16="http://schemas.microsoft.com/office/drawing/2014/chart" uri="{C3380CC4-5D6E-409C-BE32-E72D297353CC}">
              <c16:uniqueId val="{00000001-589D-4861-8D75-7079EBD476C3}"/>
            </c:ext>
          </c:extLst>
        </c:ser>
        <c:dLbls>
          <c:showLegendKey val="0"/>
          <c:showVal val="0"/>
          <c:showCatName val="0"/>
          <c:showSerName val="0"/>
          <c:showPercent val="0"/>
          <c:showBubbleSize val="0"/>
        </c:dLbls>
        <c:gapWidth val="150"/>
        <c:axId val="1366383760"/>
        <c:axId val="1366386880"/>
      </c:barChart>
      <c:catAx>
        <c:axId val="136638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6386880"/>
        <c:crosses val="autoZero"/>
        <c:auto val="1"/>
        <c:lblAlgn val="ctr"/>
        <c:lblOffset val="100"/>
        <c:tickLblSkip val="1"/>
        <c:tickMarkSkip val="1"/>
        <c:noMultiLvlLbl val="0"/>
      </c:catAx>
      <c:valAx>
        <c:axId val="1366386880"/>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6383760"/>
        <c:crosses val="autoZero"/>
        <c:crossBetween val="between"/>
      </c:valAx>
      <c:spPr>
        <a:solidFill>
          <a:srgbClr val="FFFFFF"/>
        </a:solidFill>
        <a:ln w="12700">
          <a:solidFill>
            <a:srgbClr val="FFFFFF"/>
          </a:solidFill>
          <a:prstDash val="solid"/>
        </a:ln>
      </c:spPr>
    </c:plotArea>
    <c:legend>
      <c:legendPos val="r"/>
      <c:layout>
        <c:manualLayout>
          <c:xMode val="edge"/>
          <c:yMode val="edge"/>
          <c:x val="0.201465088003705"/>
          <c:y val="0.23577235772357699"/>
          <c:w val="0.58974322603056994"/>
          <c:h val="7.3170731707317097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949727438"/>
          <c:y val="3.3676559660811602E-2"/>
        </c:manualLayout>
      </c:layout>
      <c:overlay val="0"/>
      <c:spPr>
        <a:noFill/>
        <a:ln w="25400">
          <a:noFill/>
        </a:ln>
      </c:spPr>
    </c:title>
    <c:autoTitleDeleted val="0"/>
    <c:plotArea>
      <c:layout>
        <c:manualLayout>
          <c:layoutTarget val="inner"/>
          <c:xMode val="edge"/>
          <c:yMode val="edge"/>
          <c:x val="0.190476105305942"/>
          <c:y val="0.17813773985963399"/>
          <c:w val="0.76556742324888405"/>
          <c:h val="0.51012170959804204"/>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9F39-4507-859F-8720C8FADE97}"/>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9F39-4507-859F-8720C8FADE97}"/>
              </c:ext>
            </c:extLst>
          </c:dPt>
          <c:cat>
            <c:strRef>
              <c:f>'8.ResultsGraphs'!$C$150:$C$151</c:f>
              <c:strCache>
                <c:ptCount val="2"/>
                <c:pt idx="0">
                  <c:v>On farm use</c:v>
                </c:pt>
                <c:pt idx="1">
                  <c:v>Primary processing</c:v>
                </c:pt>
              </c:strCache>
            </c:strRef>
          </c:cat>
          <c:val>
            <c:numRef>
              <c:f>'8.ResultsGraphs'!$D$150:$D$151</c:f>
              <c:numCache>
                <c:formatCode>0.0</c:formatCode>
                <c:ptCount val="2"/>
                <c:pt idx="0">
                  <c:v>4232.3788630317968</c:v>
                </c:pt>
                <c:pt idx="1">
                  <c:v>0</c:v>
                </c:pt>
              </c:numCache>
            </c:numRef>
          </c:val>
          <c:extLst>
            <c:ext xmlns:c16="http://schemas.microsoft.com/office/drawing/2014/chart" uri="{C3380CC4-5D6E-409C-BE32-E72D297353CC}">
              <c16:uniqueId val="{00000003-9F39-4507-859F-8720C8FADE97}"/>
            </c:ext>
          </c:extLst>
        </c:ser>
        <c:dLbls>
          <c:showLegendKey val="0"/>
          <c:showVal val="0"/>
          <c:showCatName val="0"/>
          <c:showSerName val="0"/>
          <c:showPercent val="0"/>
          <c:showBubbleSize val="0"/>
        </c:dLbls>
        <c:gapWidth val="70"/>
        <c:axId val="1364491344"/>
        <c:axId val="1364494816"/>
      </c:barChart>
      <c:catAx>
        <c:axId val="136449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94816"/>
        <c:crosses val="autoZero"/>
        <c:auto val="1"/>
        <c:lblAlgn val="ctr"/>
        <c:lblOffset val="100"/>
        <c:tickLblSkip val="1"/>
        <c:tickMarkSkip val="1"/>
        <c:noMultiLvlLbl val="0"/>
      </c:catAx>
      <c:valAx>
        <c:axId val="1364494816"/>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09820887774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91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2640723602"/>
          <c:y val="4.1666722990098298E-2"/>
        </c:manualLayout>
      </c:layout>
      <c:overlay val="0"/>
      <c:spPr>
        <a:noFill/>
        <a:ln w="25400">
          <a:noFill/>
        </a:ln>
      </c:spPr>
    </c:title>
    <c:autoTitleDeleted val="0"/>
    <c:plotArea>
      <c:layout>
        <c:manualLayout>
          <c:layoutTarget val="inner"/>
          <c:xMode val="edge"/>
          <c:yMode val="edge"/>
          <c:x val="0.14462802621988299"/>
          <c:y val="0.23175965665236001"/>
          <c:w val="0.68388395255401702"/>
          <c:h val="0.52789699570815496"/>
        </c:manualLayout>
      </c:layout>
      <c:barChart>
        <c:barDir val="col"/>
        <c:grouping val="clustered"/>
        <c:varyColors val="1"/>
        <c:ser>
          <c:idx val="0"/>
          <c:order val="0"/>
          <c:tx>
            <c:strRef>
              <c:f>'8.ResultsGraphs'!$D$164</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097A-4243-B38E-6B3AA9A31867}"/>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097A-4243-B38E-6B3AA9A31867}"/>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097A-4243-B38E-6B3AA9A31867}"/>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097A-4243-B38E-6B3AA9A31867}"/>
              </c:ext>
            </c:extLst>
          </c:dPt>
          <c:cat>
            <c:strRef>
              <c:f>'8.ResultsGraphs'!$C$165:$C$168</c:f>
              <c:strCache>
                <c:ptCount val="4"/>
                <c:pt idx="0">
                  <c:v>Road</c:v>
                </c:pt>
                <c:pt idx="1">
                  <c:v>Rail</c:v>
                </c:pt>
                <c:pt idx="2">
                  <c:v>Air</c:v>
                </c:pt>
                <c:pt idx="3">
                  <c:v>Shipping</c:v>
                </c:pt>
              </c:strCache>
            </c:strRef>
          </c:cat>
          <c:val>
            <c:numRef>
              <c:f>'8.ResultsGraphs'!$D$165:$D$168</c:f>
              <c:numCache>
                <c:formatCode>0.0</c:formatCode>
                <c:ptCount val="4"/>
                <c:pt idx="0">
                  <c:v>0</c:v>
                </c:pt>
                <c:pt idx="1">
                  <c:v>0</c:v>
                </c:pt>
                <c:pt idx="2">
                  <c:v>0</c:v>
                </c:pt>
                <c:pt idx="3">
                  <c:v>0</c:v>
                </c:pt>
              </c:numCache>
            </c:numRef>
          </c:val>
          <c:extLst>
            <c:ext xmlns:c16="http://schemas.microsoft.com/office/drawing/2014/chart" uri="{C3380CC4-5D6E-409C-BE32-E72D297353CC}">
              <c16:uniqueId val="{00000007-097A-4243-B38E-6B3AA9A31867}"/>
            </c:ext>
          </c:extLst>
        </c:ser>
        <c:dLbls>
          <c:showLegendKey val="0"/>
          <c:showVal val="0"/>
          <c:showCatName val="0"/>
          <c:showSerName val="0"/>
          <c:showPercent val="0"/>
          <c:showBubbleSize val="0"/>
        </c:dLbls>
        <c:gapWidth val="150"/>
        <c:axId val="1364534384"/>
        <c:axId val="1364537872"/>
      </c:barChart>
      <c:catAx>
        <c:axId val="136453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64537872"/>
        <c:crosses val="autoZero"/>
        <c:auto val="1"/>
        <c:lblAlgn val="ctr"/>
        <c:lblOffset val="100"/>
        <c:tickLblSkip val="1"/>
        <c:tickMarkSkip val="1"/>
        <c:noMultiLvlLbl val="0"/>
      </c:catAx>
      <c:valAx>
        <c:axId val="1364537872"/>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7555150647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64534384"/>
        <c:crosses val="autoZero"/>
        <c:crossBetween val="between"/>
      </c:valAx>
      <c:spPr>
        <a:solidFill>
          <a:srgbClr val="FFFFFF"/>
        </a:solidFill>
        <a:ln w="12700">
          <a:solidFill>
            <a:srgbClr val="FFFFFF"/>
          </a:solidFill>
          <a:prstDash val="solid"/>
        </a:ln>
      </c:spPr>
    </c:plotArea>
    <c:legend>
      <c:legendPos val="r"/>
      <c:layout>
        <c:manualLayout>
          <c:xMode val="edge"/>
          <c:yMode val="edge"/>
          <c:x val="0.84297471855274297"/>
          <c:y val="0.40772532188841198"/>
          <c:w val="0.111570247933884"/>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15582262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47368799775904"/>
          <c:y val="0.171091198995208"/>
          <c:w val="0.56842251342134398"/>
          <c:h val="0.62831767906860803"/>
        </c:manualLayout>
      </c:layout>
      <c:barChart>
        <c:barDir val="col"/>
        <c:grouping val="clustered"/>
        <c:varyColors val="1"/>
        <c:ser>
          <c:idx val="0"/>
          <c:order val="0"/>
          <c:tx>
            <c:strRef>
              <c:f>'8.ResultsGraphs'!$D$81</c:f>
              <c:strCache>
                <c:ptCount val="1"/>
                <c:pt idx="0">
                  <c:v>Annual totals,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3960-47CD-96EA-A751C8553315}"/>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3960-47CD-96EA-A751C8553315}"/>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3960-47CD-96EA-A751C8553315}"/>
              </c:ext>
            </c:extLst>
          </c:dPt>
          <c:cat>
            <c:strRef>
              <c:f>'8.ResultsGraphs'!$C$82:$C$84</c:f>
              <c:strCache>
                <c:ptCount val="3"/>
                <c:pt idx="0">
                  <c:v>Above ground biomass</c:v>
                </c:pt>
                <c:pt idx="1">
                  <c:v>Below ground biomass</c:v>
                </c:pt>
                <c:pt idx="2">
                  <c:v>Soil C</c:v>
                </c:pt>
              </c:strCache>
            </c:strRef>
          </c:cat>
          <c:val>
            <c:numRef>
              <c:f>'8.ResultsGraphs'!$D$82:$D$84</c:f>
              <c:numCache>
                <c:formatCode>0.00</c:formatCode>
                <c:ptCount val="3"/>
                <c:pt idx="0">
                  <c:v>0</c:v>
                </c:pt>
                <c:pt idx="1">
                  <c:v>0</c:v>
                </c:pt>
                <c:pt idx="2">
                  <c:v>-9266.4</c:v>
                </c:pt>
              </c:numCache>
            </c:numRef>
          </c:val>
          <c:extLst>
            <c:ext xmlns:c16="http://schemas.microsoft.com/office/drawing/2014/chart" uri="{C3380CC4-5D6E-409C-BE32-E72D297353CC}">
              <c16:uniqueId val="{00000005-3960-47CD-96EA-A751C8553315}"/>
            </c:ext>
          </c:extLst>
        </c:ser>
        <c:dLbls>
          <c:showLegendKey val="0"/>
          <c:showVal val="0"/>
          <c:showCatName val="0"/>
          <c:showSerName val="0"/>
          <c:showPercent val="0"/>
          <c:showBubbleSize val="0"/>
        </c:dLbls>
        <c:gapWidth val="150"/>
        <c:axId val="1364574208"/>
        <c:axId val="1364577696"/>
      </c:barChart>
      <c:catAx>
        <c:axId val="136457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577696"/>
        <c:crosses val="autoZero"/>
        <c:auto val="1"/>
        <c:lblAlgn val="ctr"/>
        <c:lblOffset val="100"/>
        <c:tickLblSkip val="1"/>
        <c:tickMarkSkip val="1"/>
        <c:noMultiLvlLbl val="0"/>
      </c:catAx>
      <c:valAx>
        <c:axId val="136457769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574208"/>
        <c:crosses val="autoZero"/>
        <c:crossBetween val="between"/>
      </c:valAx>
      <c:spPr>
        <a:solidFill>
          <a:srgbClr val="FFFFFF"/>
        </a:solidFill>
        <a:ln w="12700">
          <a:solidFill>
            <a:srgbClr val="FFFFFF"/>
          </a:solidFill>
          <a:prstDash val="solid"/>
        </a:ln>
      </c:spPr>
    </c:plotArea>
    <c:legend>
      <c:legendPos val="r"/>
      <c:layout>
        <c:manualLayout>
          <c:xMode val="edge"/>
          <c:yMode val="edge"/>
          <c:x val="0.74737049316203896"/>
          <c:y val="0.28318537616426298"/>
          <c:w val="0.226316203895566"/>
          <c:h val="0.3097340487306339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78750943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7.6712405734032901E-2"/>
          <c:y val="0.171091198995208"/>
          <c:w val="0.61917870342469405"/>
          <c:h val="0.51622344524416197"/>
        </c:manualLayout>
      </c:layout>
      <c:barChart>
        <c:barDir val="col"/>
        <c:grouping val="clustered"/>
        <c:varyColors val="1"/>
        <c:ser>
          <c:idx val="0"/>
          <c:order val="0"/>
          <c:tx>
            <c:strRef>
              <c:f>'8.ResultsGraphs'!$E$81</c:f>
              <c:strCache>
                <c:ptCount val="1"/>
                <c:pt idx="0">
                  <c:v>Cumulative,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E79-4AB2-A1F7-1527B4761B2C}"/>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FE79-4AB2-A1F7-1527B4761B2C}"/>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FE79-4AB2-A1F7-1527B4761B2C}"/>
              </c:ext>
            </c:extLst>
          </c:dPt>
          <c:cat>
            <c:strRef>
              <c:f>'8.ResultsGraphs'!$C$82:$C$84</c:f>
              <c:strCache>
                <c:ptCount val="3"/>
                <c:pt idx="0">
                  <c:v>Above ground biomass</c:v>
                </c:pt>
                <c:pt idx="1">
                  <c:v>Below ground biomass</c:v>
                </c:pt>
                <c:pt idx="2">
                  <c:v>Soil C</c:v>
                </c:pt>
              </c:strCache>
            </c:strRef>
          </c:cat>
          <c:val>
            <c:numRef>
              <c:f>'8.ResultsGraphs'!$E$82:$E$84</c:f>
              <c:numCache>
                <c:formatCode>0.00</c:formatCode>
                <c:ptCount val="3"/>
                <c:pt idx="0">
                  <c:v>0</c:v>
                </c:pt>
                <c:pt idx="1">
                  <c:v>0</c:v>
                </c:pt>
                <c:pt idx="2">
                  <c:v>-9266.4</c:v>
                </c:pt>
              </c:numCache>
            </c:numRef>
          </c:val>
          <c:extLst>
            <c:ext xmlns:c16="http://schemas.microsoft.com/office/drawing/2014/chart" uri="{C3380CC4-5D6E-409C-BE32-E72D297353CC}">
              <c16:uniqueId val="{00000005-FE79-4AB2-A1F7-1527B4761B2C}"/>
            </c:ext>
          </c:extLst>
        </c:ser>
        <c:dLbls>
          <c:showLegendKey val="0"/>
          <c:showVal val="0"/>
          <c:showCatName val="0"/>
          <c:showSerName val="0"/>
          <c:showPercent val="0"/>
          <c:showBubbleSize val="0"/>
        </c:dLbls>
        <c:gapWidth val="150"/>
        <c:axId val="1366405568"/>
        <c:axId val="1366409056"/>
      </c:barChart>
      <c:catAx>
        <c:axId val="136640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409056"/>
        <c:crosses val="autoZero"/>
        <c:auto val="1"/>
        <c:lblAlgn val="ctr"/>
        <c:lblOffset val="100"/>
        <c:tickLblSkip val="1"/>
        <c:tickMarkSkip val="1"/>
        <c:noMultiLvlLbl val="0"/>
      </c:catAx>
      <c:valAx>
        <c:axId val="136640905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405568"/>
        <c:crosses val="autoZero"/>
        <c:crossBetween val="between"/>
      </c:valAx>
      <c:spPr>
        <a:solidFill>
          <a:srgbClr val="FFFFFF"/>
        </a:solidFill>
        <a:ln w="12700">
          <a:solidFill>
            <a:srgbClr val="FFFFFF"/>
          </a:solidFill>
          <a:prstDash val="solid"/>
        </a:ln>
      </c:spPr>
    </c:plotArea>
    <c:legend>
      <c:legendPos val="r"/>
      <c:layout>
        <c:manualLayout>
          <c:xMode val="edge"/>
          <c:yMode val="edge"/>
          <c:x val="0.72328831841225305"/>
          <c:y val="0.28613522867163699"/>
          <c:w val="0.235616654082623"/>
          <c:h val="0.39822962395187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45822590802"/>
          <c:y val="3.0769214871763099E-2"/>
        </c:manualLayout>
      </c:layout>
      <c:overlay val="0"/>
      <c:spPr>
        <a:noFill/>
        <a:ln w="25400">
          <a:noFill/>
        </a:ln>
      </c:spPr>
    </c:title>
    <c:autoTitleDeleted val="0"/>
    <c:plotArea>
      <c:layout>
        <c:manualLayout>
          <c:layoutTarget val="inner"/>
          <c:xMode val="edge"/>
          <c:yMode val="edge"/>
          <c:x val="0.28097322368259398"/>
          <c:y val="0.49343816211509001"/>
          <c:w val="0.15044235598753"/>
          <c:h val="0.178477633105458"/>
        </c:manualLayout>
      </c:layout>
      <c:pieChart>
        <c:varyColors val="1"/>
        <c:ser>
          <c:idx val="0"/>
          <c:order val="0"/>
          <c:tx>
            <c:strRef>
              <c:f>'8.ResultsGraphs'!$J$59</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B66B-4D60-995C-EC2DB3E8F25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B66B-4D60-995C-EC2DB3E8F25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B66B-4D60-995C-EC2DB3E8F25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B66B-4D60-995C-EC2DB3E8F25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B66B-4D60-995C-EC2DB3E8F254}"/>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'8.ResultsGraphs'!$C$60:$C$64</c:f>
              <c:strCache>
                <c:ptCount val="5"/>
                <c:pt idx="0">
                  <c:v>fertiliser production</c:v>
                </c:pt>
                <c:pt idx="1">
                  <c:v>fertiliser application</c:v>
                </c:pt>
                <c:pt idx="2">
                  <c:v>paddy methane</c:v>
                </c:pt>
                <c:pt idx="3">
                  <c:v>pesticides</c:v>
                </c:pt>
                <c:pt idx="4">
                  <c:v>crop residue management</c:v>
                </c:pt>
              </c:strCache>
            </c:strRef>
          </c:cat>
          <c:val>
            <c:numRef>
              <c:f>'8.ResultsGraphs'!$J$60:$J$64</c:f>
              <c:numCache>
                <c:formatCode>0.0</c:formatCode>
                <c:ptCount val="5"/>
                <c:pt idx="0">
                  <c:v>78.22102364690447</c:v>
                </c:pt>
                <c:pt idx="1">
                  <c:v>9.5505199074936691</c:v>
                </c:pt>
                <c:pt idx="2">
                  <c:v>0</c:v>
                </c:pt>
                <c:pt idx="3">
                  <c:v>12.228456445601875</c:v>
                </c:pt>
                <c:pt idx="4">
                  <c:v>0</c:v>
                </c:pt>
              </c:numCache>
            </c:numRef>
          </c:val>
          <c:extLst>
            <c:ext xmlns:c16="http://schemas.microsoft.com/office/drawing/2014/chart" uri="{C3380CC4-5D6E-409C-BE32-E72D297353CC}">
              <c16:uniqueId val="{00000009-B66B-4D60-995C-EC2DB3E8F25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0132691101665401"/>
          <c:y val="0.38845123690247402"/>
          <c:w val="0.174778586858059"/>
          <c:h val="0.48556409779486198"/>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598677780298"/>
          <c:y val="2.9108576501466699E-2"/>
        </c:manualLayout>
      </c:layout>
      <c:overlay val="0"/>
      <c:spPr>
        <a:noFill/>
        <a:ln w="25400">
          <a:noFill/>
        </a:ln>
      </c:spPr>
    </c:title>
    <c:autoTitleDeleted val="0"/>
    <c:plotArea>
      <c:layout>
        <c:manualLayout>
          <c:layoutTarget val="inner"/>
          <c:xMode val="edge"/>
          <c:yMode val="edge"/>
          <c:x val="3.9051577310804803E-2"/>
          <c:y val="0.151960738848297"/>
          <c:w val="0.93444845707997104"/>
          <c:h val="0.46323515552142103"/>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'8.ResultsGraphs'!$BE$109:$BE$156</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'8.ResultsGraphs'!$BF$109:$BF$156</c:f>
              <c:numCache>
                <c:formatCode>0.0</c:formatCode>
                <c:ptCount val="48"/>
                <c:pt idx="0">
                  <c:v>#N/A</c:v>
                </c:pt>
                <c:pt idx="1">
                  <c:v>#N/A</c:v>
                </c:pt>
                <c:pt idx="2">
                  <c:v>#N/A</c:v>
                </c:pt>
                <c:pt idx="3">
                  <c:v>37.69791639254386</c:v>
                </c:pt>
                <c:pt idx="4">
                  <c:v>#N/A</c:v>
                </c:pt>
                <c:pt idx="5">
                  <c:v>#N/A</c:v>
                </c:pt>
                <c:pt idx="6">
                  <c:v>#N/A</c:v>
                </c:pt>
                <c:pt idx="7">
                  <c:v>4.2420684210526316</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EB08-44D1-9B34-51D89D4E356B}"/>
            </c:ext>
          </c:extLst>
        </c:ser>
        <c:dLbls>
          <c:showLegendKey val="0"/>
          <c:showVal val="0"/>
          <c:showCatName val="0"/>
          <c:showSerName val="0"/>
          <c:showPercent val="0"/>
          <c:showBubbleSize val="0"/>
        </c:dLbls>
        <c:gapWidth val="100"/>
        <c:axId val="1364623888"/>
        <c:axId val="1364627616"/>
      </c:barChart>
      <c:catAx>
        <c:axId val="136462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64627616"/>
        <c:crosses val="autoZero"/>
        <c:auto val="1"/>
        <c:lblAlgn val="ctr"/>
        <c:lblOffset val="100"/>
        <c:tickLblSkip val="1"/>
        <c:tickMarkSkip val="1"/>
        <c:noMultiLvlLbl val="0"/>
      </c:catAx>
      <c:valAx>
        <c:axId val="136462761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646238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4440976598"/>
          <c:y val="1.0121430604306999E-2"/>
        </c:manualLayout>
      </c:layout>
      <c:overlay val="0"/>
      <c:spPr>
        <a:noFill/>
        <a:ln w="25400">
          <a:noFill/>
        </a:ln>
      </c:spPr>
    </c:title>
    <c:autoTitleDeleted val="0"/>
    <c:plotArea>
      <c:layout>
        <c:manualLayout>
          <c:layoutTarget val="inner"/>
          <c:xMode val="edge"/>
          <c:yMode val="edge"/>
          <c:x val="0.36217277136492898"/>
          <c:y val="0.47590396442015498"/>
          <c:w val="0.110663902361506"/>
          <c:h val="0.33132554484947502"/>
        </c:manualLayout>
      </c:layout>
      <c:pieChart>
        <c:varyColors val="1"/>
        <c:ser>
          <c:idx val="0"/>
          <c:order val="0"/>
          <c:tx>
            <c:strRef>
              <c:f>'8.ResultsGraphs'!$G$38</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93B2-4DF0-AD48-21F9E5D1449A}"/>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93B2-4DF0-AD48-21F9E5D1449A}"/>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93B2-4DF0-AD48-21F9E5D1449A}"/>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93B2-4DF0-AD48-21F9E5D1449A}"/>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'8.ResultsGraphs'!$C$39:$C$42</c:f>
              <c:strCache>
                <c:ptCount val="3"/>
                <c:pt idx="0">
                  <c:v>enteric digestion</c:v>
                </c:pt>
                <c:pt idx="1">
                  <c:v>manure management</c:v>
                </c:pt>
                <c:pt idx="2">
                  <c:v>feed</c:v>
                </c:pt>
              </c:strCache>
            </c:strRef>
          </c:cat>
          <c:val>
            <c:numRef>
              <c:f>'8.ResultsGraphs'!$G$39:$G$42</c:f>
              <c:numCache>
                <c:formatCode>0.0</c:formatCode>
                <c:ptCount val="4"/>
                <c:pt idx="0">
                  <c:v>0</c:v>
                </c:pt>
                <c:pt idx="1">
                  <c:v>0</c:v>
                </c:pt>
                <c:pt idx="2">
                  <c:v>0</c:v>
                </c:pt>
              </c:numCache>
            </c:numRef>
          </c:val>
          <c:extLst>
            <c:ext xmlns:c16="http://schemas.microsoft.com/office/drawing/2014/chart" uri="{C3380CC4-5D6E-409C-BE32-E72D297353CC}">
              <c16:uniqueId val="{00000007-93B2-4DF0-AD48-21F9E5D1449A}"/>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69617658708154395"/>
          <c:y val="0.210843373493976"/>
          <c:w val="0.173038070945357"/>
          <c:h val="0.77710890807323796"/>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412635218299403E-2"/>
          <c:y val="0.21395348837209299"/>
          <c:w val="0.87892448850170601"/>
          <c:h val="0.31162790697674397"/>
        </c:manualLayout>
      </c:layout>
      <c:barChart>
        <c:barDir val="col"/>
        <c:grouping val="clustered"/>
        <c:varyColors val="1"/>
        <c:ser>
          <c:idx val="0"/>
          <c:order val="0"/>
          <c:tx>
            <c:strRef>
              <c:f>'8.ResultsGraphs'!$G$13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0F7F-4469-A23E-1DDBD63DCEEF}"/>
              </c:ext>
            </c:extLst>
          </c:dPt>
          <c:dPt>
            <c:idx val="1"/>
            <c:invertIfNegative val="0"/>
            <c:bubble3D val="0"/>
            <c:spPr>
              <a:solidFill>
                <a:srgbClr val="9E413E"/>
              </a:solidFill>
              <a:ln w="25400">
                <a:noFill/>
              </a:ln>
            </c:spPr>
            <c:extLst>
              <c:ext xmlns:c16="http://schemas.microsoft.com/office/drawing/2014/chart" uri="{C3380CC4-5D6E-409C-BE32-E72D297353CC}">
                <c16:uniqueId val="{00000003-0F7F-4469-A23E-1DDBD63DCEEF}"/>
              </c:ext>
            </c:extLst>
          </c:dPt>
          <c:dPt>
            <c:idx val="2"/>
            <c:invertIfNegative val="0"/>
            <c:bubble3D val="0"/>
            <c:spPr>
              <a:solidFill>
                <a:srgbClr val="7F9A48"/>
              </a:solidFill>
              <a:ln w="25400">
                <a:noFill/>
              </a:ln>
            </c:spPr>
            <c:extLst>
              <c:ext xmlns:c16="http://schemas.microsoft.com/office/drawing/2014/chart" uri="{C3380CC4-5D6E-409C-BE32-E72D297353CC}">
                <c16:uniqueId val="{00000005-0F7F-4469-A23E-1DDBD63DCEEF}"/>
              </c:ext>
            </c:extLst>
          </c:dPt>
          <c:dPt>
            <c:idx val="3"/>
            <c:invertIfNegative val="0"/>
            <c:bubble3D val="0"/>
            <c:spPr>
              <a:solidFill>
                <a:srgbClr val="695185"/>
              </a:solidFill>
              <a:ln w="25400">
                <a:noFill/>
              </a:ln>
            </c:spPr>
            <c:extLst>
              <c:ext xmlns:c16="http://schemas.microsoft.com/office/drawing/2014/chart" uri="{C3380CC4-5D6E-409C-BE32-E72D297353CC}">
                <c16:uniqueId val="{00000007-0F7F-4469-A23E-1DDBD63DCEEF}"/>
              </c:ext>
            </c:extLst>
          </c:dPt>
          <c:dPt>
            <c:idx val="4"/>
            <c:invertIfNegative val="0"/>
            <c:bubble3D val="0"/>
            <c:spPr>
              <a:solidFill>
                <a:srgbClr val="3C8DA3"/>
              </a:solidFill>
              <a:ln w="25400">
                <a:noFill/>
              </a:ln>
            </c:spPr>
            <c:extLst>
              <c:ext xmlns:c16="http://schemas.microsoft.com/office/drawing/2014/chart" uri="{C3380CC4-5D6E-409C-BE32-E72D297353CC}">
                <c16:uniqueId val="{00000009-0F7F-4469-A23E-1DDBD63DCEEF}"/>
              </c:ext>
            </c:extLst>
          </c:dPt>
          <c:dPt>
            <c:idx val="5"/>
            <c:invertIfNegative val="0"/>
            <c:bubble3D val="0"/>
            <c:spPr>
              <a:solidFill>
                <a:srgbClr val="CC7B38"/>
              </a:solidFill>
              <a:ln w="25400">
                <a:noFill/>
              </a:ln>
            </c:spPr>
            <c:extLst>
              <c:ext xmlns:c16="http://schemas.microsoft.com/office/drawing/2014/chart" uri="{C3380CC4-5D6E-409C-BE32-E72D297353CC}">
                <c16:uniqueId val="{0000000B-0F7F-4469-A23E-1DDBD63DCEEF}"/>
              </c:ext>
            </c:extLst>
          </c:dPt>
          <c:dPt>
            <c:idx val="6"/>
            <c:invertIfNegative val="0"/>
            <c:bubble3D val="0"/>
            <c:extLst>
              <c:ext xmlns:c16="http://schemas.microsoft.com/office/drawing/2014/chart" uri="{C3380CC4-5D6E-409C-BE32-E72D297353CC}">
                <c16:uniqueId val="{0000000C-0F7F-4469-A23E-1DDBD63DCEEF}"/>
              </c:ext>
            </c:extLst>
          </c:dPt>
          <c:dPt>
            <c:idx val="7"/>
            <c:invertIfNegative val="0"/>
            <c:bubble3D val="0"/>
            <c:spPr>
              <a:solidFill>
                <a:srgbClr val="C0504D"/>
              </a:solidFill>
              <a:ln w="25400">
                <a:noFill/>
              </a:ln>
            </c:spPr>
            <c:extLst>
              <c:ext xmlns:c16="http://schemas.microsoft.com/office/drawing/2014/chart" uri="{C3380CC4-5D6E-409C-BE32-E72D297353CC}">
                <c16:uniqueId val="{0000000E-0F7F-4469-A23E-1DDBD63DCEEF}"/>
              </c:ext>
            </c:extLst>
          </c:dPt>
          <c:dPt>
            <c:idx val="8"/>
            <c:invertIfNegative val="0"/>
            <c:bubble3D val="0"/>
            <c:spPr>
              <a:solidFill>
                <a:srgbClr val="9BBB59"/>
              </a:solidFill>
              <a:ln w="25400">
                <a:noFill/>
              </a:ln>
            </c:spPr>
            <c:extLst>
              <c:ext xmlns:c16="http://schemas.microsoft.com/office/drawing/2014/chart" uri="{C3380CC4-5D6E-409C-BE32-E72D297353CC}">
                <c16:uniqueId val="{00000010-0F7F-4469-A23E-1DDBD63DCEEF}"/>
              </c:ext>
            </c:extLst>
          </c:dPt>
          <c:dPt>
            <c:idx val="9"/>
            <c:invertIfNegative val="0"/>
            <c:bubble3D val="0"/>
            <c:spPr>
              <a:solidFill>
                <a:srgbClr val="8064A2"/>
              </a:solidFill>
              <a:ln w="25400">
                <a:noFill/>
              </a:ln>
            </c:spPr>
            <c:extLst>
              <c:ext xmlns:c16="http://schemas.microsoft.com/office/drawing/2014/chart" uri="{C3380CC4-5D6E-409C-BE32-E72D297353CC}">
                <c16:uniqueId val="{00000012-0F7F-4469-A23E-1DDBD63DCEEF}"/>
              </c:ext>
            </c:extLst>
          </c:dPt>
          <c:dPt>
            <c:idx val="10"/>
            <c:invertIfNegative val="0"/>
            <c:bubble3D val="0"/>
            <c:spPr>
              <a:solidFill>
                <a:srgbClr val="4BACC6"/>
              </a:solidFill>
              <a:ln w="25400">
                <a:noFill/>
              </a:ln>
            </c:spPr>
            <c:extLst>
              <c:ext xmlns:c16="http://schemas.microsoft.com/office/drawing/2014/chart" uri="{C3380CC4-5D6E-409C-BE32-E72D297353CC}">
                <c16:uniqueId val="{00000014-0F7F-4469-A23E-1DDBD63DCEEF}"/>
              </c:ext>
            </c:extLst>
          </c:dPt>
          <c:dPt>
            <c:idx val="11"/>
            <c:invertIfNegative val="0"/>
            <c:bubble3D val="0"/>
            <c:spPr>
              <a:solidFill>
                <a:srgbClr val="F79646"/>
              </a:solidFill>
              <a:ln w="25400">
                <a:noFill/>
              </a:ln>
            </c:spPr>
            <c:extLst>
              <c:ext xmlns:c16="http://schemas.microsoft.com/office/drawing/2014/chart" uri="{C3380CC4-5D6E-409C-BE32-E72D297353CC}">
                <c16:uniqueId val="{00000016-0F7F-4469-A23E-1DDBD63DCEEF}"/>
              </c:ext>
            </c:extLst>
          </c:dPt>
          <c:dPt>
            <c:idx val="12"/>
            <c:invertIfNegative val="0"/>
            <c:bubble3D val="0"/>
            <c:spPr>
              <a:solidFill>
                <a:srgbClr val="AABAD7"/>
              </a:solidFill>
              <a:ln w="25400">
                <a:noFill/>
              </a:ln>
            </c:spPr>
            <c:extLst>
              <c:ext xmlns:c16="http://schemas.microsoft.com/office/drawing/2014/chart" uri="{C3380CC4-5D6E-409C-BE32-E72D297353CC}">
                <c16:uniqueId val="{00000018-0F7F-4469-A23E-1DDBD63DCEEF}"/>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'8.ResultsGraphs'!$G$14:$G$26</c:f>
              <c:numCache>
                <c:formatCode>_(* #,##0.0_);_(* \(#,##0.0\);_(* "-"??_);_(@_)</c:formatCode>
                <c:ptCount val="13"/>
                <c:pt idx="0">
                  <c:v>9685.028571428571</c:v>
                </c:pt>
                <c:pt idx="1">
                  <c:v>1182.5089197708812</c:v>
                </c:pt>
                <c:pt idx="2">
                  <c:v>0</c:v>
                </c:pt>
                <c:pt idx="3">
                  <c:v>1514.0808</c:v>
                </c:pt>
                <c:pt idx="4">
                  <c:v>0</c:v>
                </c:pt>
                <c:pt idx="5">
                  <c:v>-9266.3999999998941</c:v>
                </c:pt>
                <c:pt idx="6">
                  <c:v>0</c:v>
                </c:pt>
                <c:pt idx="7">
                  <c:v>0</c:v>
                </c:pt>
                <c:pt idx="8">
                  <c:v>0</c:v>
                </c:pt>
                <c:pt idx="9">
                  <c:v>299.2816715811403</c:v>
                </c:pt>
                <c:pt idx="10">
                  <c:v>0</c:v>
                </c:pt>
                <c:pt idx="11">
                  <c:v>0</c:v>
                </c:pt>
                <c:pt idx="12">
                  <c:v>0</c:v>
                </c:pt>
              </c:numCache>
            </c:numRef>
          </c:val>
          <c:extLst>
            <c:ext xmlns:c16="http://schemas.microsoft.com/office/drawing/2014/chart" uri="{C3380CC4-5D6E-409C-BE32-E72D297353CC}">
              <c16:uniqueId val="{00000019-0F7F-4469-A23E-1DDBD63DCEEF}"/>
            </c:ext>
          </c:extLst>
        </c:ser>
        <c:dLbls>
          <c:showLegendKey val="0"/>
          <c:showVal val="0"/>
          <c:showCatName val="0"/>
          <c:showSerName val="0"/>
          <c:showPercent val="0"/>
          <c:showBubbleSize val="0"/>
        </c:dLbls>
        <c:gapWidth val="50"/>
        <c:axId val="1364702384"/>
        <c:axId val="1364705920"/>
      </c:barChart>
      <c:catAx>
        <c:axId val="1364702384"/>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4705920"/>
        <c:crosses val="autoZero"/>
        <c:auto val="1"/>
        <c:lblAlgn val="ctr"/>
        <c:lblOffset val="100"/>
        <c:noMultiLvlLbl val="0"/>
      </c:catAx>
      <c:valAx>
        <c:axId val="136470592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4702384"/>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404515340950704E-2"/>
          <c:y val="0.17647016584768099"/>
          <c:w val="0.91011260920838299"/>
          <c:h val="0.259803299720196"/>
        </c:manualLayout>
      </c:layout>
      <c:barChart>
        <c:barDir val="col"/>
        <c:grouping val="clustered"/>
        <c:varyColors val="1"/>
        <c:ser>
          <c:idx val="0"/>
          <c:order val="0"/>
          <c:tx>
            <c:strRef>
              <c:f>'8.ResultsGraphs'!$H$13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6CF-489A-AF34-377D77092D0D}"/>
              </c:ext>
            </c:extLst>
          </c:dPt>
          <c:dPt>
            <c:idx val="1"/>
            <c:invertIfNegative val="0"/>
            <c:bubble3D val="0"/>
            <c:spPr>
              <a:solidFill>
                <a:srgbClr val="9E413E"/>
              </a:solidFill>
              <a:ln w="25400">
                <a:noFill/>
              </a:ln>
            </c:spPr>
            <c:extLst>
              <c:ext xmlns:c16="http://schemas.microsoft.com/office/drawing/2014/chart" uri="{C3380CC4-5D6E-409C-BE32-E72D297353CC}">
                <c16:uniqueId val="{00000003-E6CF-489A-AF34-377D77092D0D}"/>
              </c:ext>
            </c:extLst>
          </c:dPt>
          <c:dPt>
            <c:idx val="2"/>
            <c:invertIfNegative val="0"/>
            <c:bubble3D val="0"/>
            <c:spPr>
              <a:solidFill>
                <a:srgbClr val="7F9A48"/>
              </a:solidFill>
              <a:ln w="25400">
                <a:noFill/>
              </a:ln>
            </c:spPr>
            <c:extLst>
              <c:ext xmlns:c16="http://schemas.microsoft.com/office/drawing/2014/chart" uri="{C3380CC4-5D6E-409C-BE32-E72D297353CC}">
                <c16:uniqueId val="{00000005-E6CF-489A-AF34-377D77092D0D}"/>
              </c:ext>
            </c:extLst>
          </c:dPt>
          <c:dPt>
            <c:idx val="3"/>
            <c:invertIfNegative val="0"/>
            <c:bubble3D val="0"/>
            <c:spPr>
              <a:solidFill>
                <a:srgbClr val="695185"/>
              </a:solidFill>
              <a:ln w="25400">
                <a:noFill/>
              </a:ln>
            </c:spPr>
            <c:extLst>
              <c:ext xmlns:c16="http://schemas.microsoft.com/office/drawing/2014/chart" uri="{C3380CC4-5D6E-409C-BE32-E72D297353CC}">
                <c16:uniqueId val="{00000007-E6CF-489A-AF34-377D77092D0D}"/>
              </c:ext>
            </c:extLst>
          </c:dPt>
          <c:dPt>
            <c:idx val="4"/>
            <c:invertIfNegative val="0"/>
            <c:bubble3D val="0"/>
            <c:spPr>
              <a:solidFill>
                <a:srgbClr val="3C8DA3"/>
              </a:solidFill>
              <a:ln w="25400">
                <a:noFill/>
              </a:ln>
            </c:spPr>
            <c:extLst>
              <c:ext xmlns:c16="http://schemas.microsoft.com/office/drawing/2014/chart" uri="{C3380CC4-5D6E-409C-BE32-E72D297353CC}">
                <c16:uniqueId val="{00000009-E6CF-489A-AF34-377D77092D0D}"/>
              </c:ext>
            </c:extLst>
          </c:dPt>
          <c:dPt>
            <c:idx val="5"/>
            <c:invertIfNegative val="0"/>
            <c:bubble3D val="0"/>
            <c:spPr>
              <a:solidFill>
                <a:srgbClr val="CC7B38"/>
              </a:solidFill>
              <a:ln w="25400">
                <a:noFill/>
              </a:ln>
            </c:spPr>
            <c:extLst>
              <c:ext xmlns:c16="http://schemas.microsoft.com/office/drawing/2014/chart" uri="{C3380CC4-5D6E-409C-BE32-E72D297353CC}">
                <c16:uniqueId val="{0000000B-E6CF-489A-AF34-377D77092D0D}"/>
              </c:ext>
            </c:extLst>
          </c:dPt>
          <c:dPt>
            <c:idx val="6"/>
            <c:invertIfNegative val="0"/>
            <c:bubble3D val="0"/>
            <c:extLst>
              <c:ext xmlns:c16="http://schemas.microsoft.com/office/drawing/2014/chart" uri="{C3380CC4-5D6E-409C-BE32-E72D297353CC}">
                <c16:uniqueId val="{0000000C-E6CF-489A-AF34-377D77092D0D}"/>
              </c:ext>
            </c:extLst>
          </c:dPt>
          <c:dPt>
            <c:idx val="7"/>
            <c:invertIfNegative val="0"/>
            <c:bubble3D val="0"/>
            <c:spPr>
              <a:solidFill>
                <a:srgbClr val="C0504D"/>
              </a:solidFill>
              <a:ln w="25400">
                <a:noFill/>
              </a:ln>
            </c:spPr>
            <c:extLst>
              <c:ext xmlns:c16="http://schemas.microsoft.com/office/drawing/2014/chart" uri="{C3380CC4-5D6E-409C-BE32-E72D297353CC}">
                <c16:uniqueId val="{0000000E-E6CF-489A-AF34-377D77092D0D}"/>
              </c:ext>
            </c:extLst>
          </c:dPt>
          <c:dPt>
            <c:idx val="8"/>
            <c:invertIfNegative val="0"/>
            <c:bubble3D val="0"/>
            <c:spPr>
              <a:solidFill>
                <a:srgbClr val="9BBB59"/>
              </a:solidFill>
              <a:ln w="25400">
                <a:noFill/>
              </a:ln>
            </c:spPr>
            <c:extLst>
              <c:ext xmlns:c16="http://schemas.microsoft.com/office/drawing/2014/chart" uri="{C3380CC4-5D6E-409C-BE32-E72D297353CC}">
                <c16:uniqueId val="{00000010-E6CF-489A-AF34-377D77092D0D}"/>
              </c:ext>
            </c:extLst>
          </c:dPt>
          <c:dPt>
            <c:idx val="9"/>
            <c:invertIfNegative val="0"/>
            <c:bubble3D val="0"/>
            <c:spPr>
              <a:solidFill>
                <a:srgbClr val="8064A2"/>
              </a:solidFill>
              <a:ln w="25400">
                <a:noFill/>
              </a:ln>
            </c:spPr>
            <c:extLst>
              <c:ext xmlns:c16="http://schemas.microsoft.com/office/drawing/2014/chart" uri="{C3380CC4-5D6E-409C-BE32-E72D297353CC}">
                <c16:uniqueId val="{00000012-E6CF-489A-AF34-377D77092D0D}"/>
              </c:ext>
            </c:extLst>
          </c:dPt>
          <c:dPt>
            <c:idx val="10"/>
            <c:invertIfNegative val="0"/>
            <c:bubble3D val="0"/>
            <c:spPr>
              <a:solidFill>
                <a:srgbClr val="4BACC6"/>
              </a:solidFill>
              <a:ln w="25400">
                <a:noFill/>
              </a:ln>
            </c:spPr>
            <c:extLst>
              <c:ext xmlns:c16="http://schemas.microsoft.com/office/drawing/2014/chart" uri="{C3380CC4-5D6E-409C-BE32-E72D297353CC}">
                <c16:uniqueId val="{00000014-E6CF-489A-AF34-377D77092D0D}"/>
              </c:ext>
            </c:extLst>
          </c:dPt>
          <c:dPt>
            <c:idx val="11"/>
            <c:invertIfNegative val="0"/>
            <c:bubble3D val="0"/>
            <c:spPr>
              <a:solidFill>
                <a:srgbClr val="F79646"/>
              </a:solidFill>
              <a:ln w="25400">
                <a:noFill/>
              </a:ln>
            </c:spPr>
            <c:extLst>
              <c:ext xmlns:c16="http://schemas.microsoft.com/office/drawing/2014/chart" uri="{C3380CC4-5D6E-409C-BE32-E72D297353CC}">
                <c16:uniqueId val="{00000016-E6CF-489A-AF34-377D77092D0D}"/>
              </c:ext>
            </c:extLst>
          </c:dPt>
          <c:dPt>
            <c:idx val="12"/>
            <c:invertIfNegative val="0"/>
            <c:bubble3D val="0"/>
            <c:spPr>
              <a:solidFill>
                <a:srgbClr val="AABAD7"/>
              </a:solidFill>
              <a:ln w="25400">
                <a:noFill/>
              </a:ln>
            </c:spPr>
            <c:extLst>
              <c:ext xmlns:c16="http://schemas.microsoft.com/office/drawing/2014/chart" uri="{C3380CC4-5D6E-409C-BE32-E72D297353CC}">
                <c16:uniqueId val="{00000018-E6CF-489A-AF34-377D77092D0D}"/>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'8.ResultsGraphs'!$H$14:$H$26</c:f>
              <c:numCache>
                <c:formatCode>_(* #,##0.0_);_(* \(#,##0.0\);_(* "-"??_);_(@_)</c:formatCode>
                <c:ptCount val="13"/>
                <c:pt idx="0">
                  <c:v>1345.1428571428571</c:v>
                </c:pt>
                <c:pt idx="1">
                  <c:v>164.23734996817794</c:v>
                </c:pt>
                <c:pt idx="2">
                  <c:v>0</c:v>
                </c:pt>
                <c:pt idx="3">
                  <c:v>210.28899999999999</c:v>
                </c:pt>
                <c:pt idx="4">
                  <c:v>0</c:v>
                </c:pt>
                <c:pt idx="5">
                  <c:v>-1286.9999999999852</c:v>
                </c:pt>
                <c:pt idx="6">
                  <c:v>0</c:v>
                </c:pt>
                <c:pt idx="7">
                  <c:v>0</c:v>
                </c:pt>
                <c:pt idx="8">
                  <c:v>0</c:v>
                </c:pt>
                <c:pt idx="9">
                  <c:v>41.566898830713932</c:v>
                </c:pt>
                <c:pt idx="10">
                  <c:v>0</c:v>
                </c:pt>
                <c:pt idx="11">
                  <c:v>0</c:v>
                </c:pt>
                <c:pt idx="12">
                  <c:v>0</c:v>
                </c:pt>
              </c:numCache>
            </c:numRef>
          </c:val>
          <c:extLst>
            <c:ext xmlns:c16="http://schemas.microsoft.com/office/drawing/2014/chart" uri="{C3380CC4-5D6E-409C-BE32-E72D297353CC}">
              <c16:uniqueId val="{00000019-E6CF-489A-AF34-377D77092D0D}"/>
            </c:ext>
          </c:extLst>
        </c:ser>
        <c:dLbls>
          <c:showLegendKey val="0"/>
          <c:showVal val="0"/>
          <c:showCatName val="0"/>
          <c:showSerName val="0"/>
          <c:showPercent val="0"/>
          <c:showBubbleSize val="0"/>
        </c:dLbls>
        <c:gapWidth val="50"/>
        <c:axId val="1343298048"/>
        <c:axId val="1343301584"/>
      </c:barChart>
      <c:catAx>
        <c:axId val="134329804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301584"/>
        <c:crosses val="autoZero"/>
        <c:auto val="1"/>
        <c:lblAlgn val="ctr"/>
        <c:lblOffset val="100"/>
        <c:noMultiLvlLbl val="0"/>
      </c:catAx>
      <c:valAx>
        <c:axId val="134330158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298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749372220181605E-2"/>
          <c:y val="0.18981502935907399"/>
          <c:w val="0.90744845977979405"/>
          <c:h val="0.35185224954364902"/>
        </c:manualLayout>
      </c:layout>
      <c:barChart>
        <c:barDir val="col"/>
        <c:grouping val="clustered"/>
        <c:varyColors val="1"/>
        <c:ser>
          <c:idx val="0"/>
          <c:order val="0"/>
          <c:tx>
            <c:strRef>
              <c:f>'8.ResultsGraphs'!$J$13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C620-429B-A526-16A4F479DC29}"/>
              </c:ext>
            </c:extLst>
          </c:dPt>
          <c:dPt>
            <c:idx val="1"/>
            <c:invertIfNegative val="0"/>
            <c:bubble3D val="0"/>
            <c:spPr>
              <a:solidFill>
                <a:srgbClr val="9E413E"/>
              </a:solidFill>
              <a:ln w="25400">
                <a:noFill/>
              </a:ln>
            </c:spPr>
            <c:extLst>
              <c:ext xmlns:c16="http://schemas.microsoft.com/office/drawing/2014/chart" uri="{C3380CC4-5D6E-409C-BE32-E72D297353CC}">
                <c16:uniqueId val="{00000003-C620-429B-A526-16A4F479DC29}"/>
              </c:ext>
            </c:extLst>
          </c:dPt>
          <c:dPt>
            <c:idx val="2"/>
            <c:invertIfNegative val="0"/>
            <c:bubble3D val="0"/>
            <c:spPr>
              <a:solidFill>
                <a:srgbClr val="7F9A48"/>
              </a:solidFill>
              <a:ln w="25400">
                <a:noFill/>
              </a:ln>
            </c:spPr>
            <c:extLst>
              <c:ext xmlns:c16="http://schemas.microsoft.com/office/drawing/2014/chart" uri="{C3380CC4-5D6E-409C-BE32-E72D297353CC}">
                <c16:uniqueId val="{00000005-C620-429B-A526-16A4F479DC29}"/>
              </c:ext>
            </c:extLst>
          </c:dPt>
          <c:dPt>
            <c:idx val="3"/>
            <c:invertIfNegative val="0"/>
            <c:bubble3D val="0"/>
            <c:spPr>
              <a:solidFill>
                <a:srgbClr val="695185"/>
              </a:solidFill>
              <a:ln w="25400">
                <a:noFill/>
              </a:ln>
            </c:spPr>
            <c:extLst>
              <c:ext xmlns:c16="http://schemas.microsoft.com/office/drawing/2014/chart" uri="{C3380CC4-5D6E-409C-BE32-E72D297353CC}">
                <c16:uniqueId val="{00000007-C620-429B-A526-16A4F479DC29}"/>
              </c:ext>
            </c:extLst>
          </c:dPt>
          <c:dPt>
            <c:idx val="4"/>
            <c:invertIfNegative val="0"/>
            <c:bubble3D val="0"/>
            <c:spPr>
              <a:solidFill>
                <a:srgbClr val="3C8DA3"/>
              </a:solidFill>
              <a:ln w="25400">
                <a:noFill/>
              </a:ln>
            </c:spPr>
            <c:extLst>
              <c:ext xmlns:c16="http://schemas.microsoft.com/office/drawing/2014/chart" uri="{C3380CC4-5D6E-409C-BE32-E72D297353CC}">
                <c16:uniqueId val="{00000009-C620-429B-A526-16A4F479DC29}"/>
              </c:ext>
            </c:extLst>
          </c:dPt>
          <c:dPt>
            <c:idx val="5"/>
            <c:invertIfNegative val="0"/>
            <c:bubble3D val="0"/>
            <c:spPr>
              <a:solidFill>
                <a:srgbClr val="CC7B38"/>
              </a:solidFill>
              <a:ln w="25400">
                <a:noFill/>
              </a:ln>
            </c:spPr>
            <c:extLst>
              <c:ext xmlns:c16="http://schemas.microsoft.com/office/drawing/2014/chart" uri="{C3380CC4-5D6E-409C-BE32-E72D297353CC}">
                <c16:uniqueId val="{0000000B-C620-429B-A526-16A4F479DC29}"/>
              </c:ext>
            </c:extLst>
          </c:dPt>
          <c:dPt>
            <c:idx val="6"/>
            <c:invertIfNegative val="0"/>
            <c:bubble3D val="0"/>
            <c:extLst>
              <c:ext xmlns:c16="http://schemas.microsoft.com/office/drawing/2014/chart" uri="{C3380CC4-5D6E-409C-BE32-E72D297353CC}">
                <c16:uniqueId val="{0000000C-C620-429B-A526-16A4F479DC29}"/>
              </c:ext>
            </c:extLst>
          </c:dPt>
          <c:dPt>
            <c:idx val="7"/>
            <c:invertIfNegative val="0"/>
            <c:bubble3D val="0"/>
            <c:spPr>
              <a:solidFill>
                <a:srgbClr val="C0504D"/>
              </a:solidFill>
              <a:ln w="25400">
                <a:noFill/>
              </a:ln>
            </c:spPr>
            <c:extLst>
              <c:ext xmlns:c16="http://schemas.microsoft.com/office/drawing/2014/chart" uri="{C3380CC4-5D6E-409C-BE32-E72D297353CC}">
                <c16:uniqueId val="{0000000E-C620-429B-A526-16A4F479DC29}"/>
              </c:ext>
            </c:extLst>
          </c:dPt>
          <c:dPt>
            <c:idx val="8"/>
            <c:invertIfNegative val="0"/>
            <c:bubble3D val="0"/>
            <c:spPr>
              <a:solidFill>
                <a:srgbClr val="9BBB59"/>
              </a:solidFill>
              <a:ln w="25400">
                <a:noFill/>
              </a:ln>
            </c:spPr>
            <c:extLst>
              <c:ext xmlns:c16="http://schemas.microsoft.com/office/drawing/2014/chart" uri="{C3380CC4-5D6E-409C-BE32-E72D297353CC}">
                <c16:uniqueId val="{00000010-C620-429B-A526-16A4F479DC29}"/>
              </c:ext>
            </c:extLst>
          </c:dPt>
          <c:dPt>
            <c:idx val="9"/>
            <c:invertIfNegative val="0"/>
            <c:bubble3D val="0"/>
            <c:spPr>
              <a:solidFill>
                <a:srgbClr val="8064A2"/>
              </a:solidFill>
              <a:ln w="25400">
                <a:noFill/>
              </a:ln>
            </c:spPr>
            <c:extLst>
              <c:ext xmlns:c16="http://schemas.microsoft.com/office/drawing/2014/chart" uri="{C3380CC4-5D6E-409C-BE32-E72D297353CC}">
                <c16:uniqueId val="{00000012-C620-429B-A526-16A4F479DC29}"/>
              </c:ext>
            </c:extLst>
          </c:dPt>
          <c:dPt>
            <c:idx val="10"/>
            <c:invertIfNegative val="0"/>
            <c:bubble3D val="0"/>
            <c:spPr>
              <a:solidFill>
                <a:srgbClr val="4BACC6"/>
              </a:solidFill>
              <a:ln w="25400">
                <a:noFill/>
              </a:ln>
            </c:spPr>
            <c:extLst>
              <c:ext xmlns:c16="http://schemas.microsoft.com/office/drawing/2014/chart" uri="{C3380CC4-5D6E-409C-BE32-E72D297353CC}">
                <c16:uniqueId val="{00000014-C620-429B-A526-16A4F479DC29}"/>
              </c:ext>
            </c:extLst>
          </c:dPt>
          <c:dPt>
            <c:idx val="11"/>
            <c:invertIfNegative val="0"/>
            <c:bubble3D val="0"/>
            <c:spPr>
              <a:solidFill>
                <a:srgbClr val="F79646"/>
              </a:solidFill>
              <a:ln w="25400">
                <a:noFill/>
              </a:ln>
            </c:spPr>
            <c:extLst>
              <c:ext xmlns:c16="http://schemas.microsoft.com/office/drawing/2014/chart" uri="{C3380CC4-5D6E-409C-BE32-E72D297353CC}">
                <c16:uniqueId val="{00000016-C620-429B-A526-16A4F479DC29}"/>
              </c:ext>
            </c:extLst>
          </c:dPt>
          <c:dPt>
            <c:idx val="12"/>
            <c:invertIfNegative val="0"/>
            <c:bubble3D val="0"/>
            <c:spPr>
              <a:solidFill>
                <a:srgbClr val="AABAD7"/>
              </a:solidFill>
              <a:ln w="25400">
                <a:noFill/>
              </a:ln>
            </c:spPr>
            <c:extLst>
              <c:ext xmlns:c16="http://schemas.microsoft.com/office/drawing/2014/chart" uri="{C3380CC4-5D6E-409C-BE32-E72D297353CC}">
                <c16:uniqueId val="{00000018-C620-429B-A526-16A4F479DC29}"/>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'8.ResultsGraphs'!$J$14:$J$26</c:f>
              <c:numCache>
                <c:formatCode>_(* #,##0.0_);_(* \(#,##0.0\);_(*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9-C620-429B-A526-16A4F479DC29}"/>
            </c:ext>
          </c:extLst>
        </c:ser>
        <c:dLbls>
          <c:showLegendKey val="0"/>
          <c:showVal val="0"/>
          <c:showCatName val="0"/>
          <c:showSerName val="0"/>
          <c:showPercent val="0"/>
          <c:showBubbleSize val="0"/>
        </c:dLbls>
        <c:gapWidth val="50"/>
        <c:axId val="1365350432"/>
        <c:axId val="1365353680"/>
      </c:barChart>
      <c:catAx>
        <c:axId val="1365350432"/>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353680"/>
        <c:crosses val="autoZero"/>
        <c:auto val="1"/>
        <c:lblAlgn val="ctr"/>
        <c:lblOffset val="100"/>
        <c:noMultiLvlLbl val="0"/>
      </c:catAx>
      <c:valAx>
        <c:axId val="136535368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350432"/>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062556733959105E-2"/>
          <c:y val="0.25373118918882798"/>
          <c:w val="0.90603927874274803"/>
          <c:h val="0.194029732909104"/>
        </c:manualLayout>
      </c:layout>
      <c:barChart>
        <c:barDir val="col"/>
        <c:grouping val="clustered"/>
        <c:varyColors val="1"/>
        <c:ser>
          <c:idx val="0"/>
          <c:order val="0"/>
          <c:tx>
            <c:strRef>
              <c:f>'8.ResultsGraphs'!$I$13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EDA-42A1-BAAF-DAC832B46FA2}"/>
              </c:ext>
            </c:extLst>
          </c:dPt>
          <c:dPt>
            <c:idx val="1"/>
            <c:invertIfNegative val="0"/>
            <c:bubble3D val="0"/>
            <c:spPr>
              <a:solidFill>
                <a:srgbClr val="9E413E"/>
              </a:solidFill>
              <a:ln w="25400">
                <a:noFill/>
              </a:ln>
            </c:spPr>
            <c:extLst>
              <c:ext xmlns:c16="http://schemas.microsoft.com/office/drawing/2014/chart" uri="{C3380CC4-5D6E-409C-BE32-E72D297353CC}">
                <c16:uniqueId val="{00000003-EEDA-42A1-BAAF-DAC832B46FA2}"/>
              </c:ext>
            </c:extLst>
          </c:dPt>
          <c:dPt>
            <c:idx val="2"/>
            <c:invertIfNegative val="0"/>
            <c:bubble3D val="0"/>
            <c:spPr>
              <a:solidFill>
                <a:srgbClr val="7F9A48"/>
              </a:solidFill>
              <a:ln w="25400">
                <a:noFill/>
              </a:ln>
            </c:spPr>
            <c:extLst>
              <c:ext xmlns:c16="http://schemas.microsoft.com/office/drawing/2014/chart" uri="{C3380CC4-5D6E-409C-BE32-E72D297353CC}">
                <c16:uniqueId val="{00000005-EEDA-42A1-BAAF-DAC832B46FA2}"/>
              </c:ext>
            </c:extLst>
          </c:dPt>
          <c:dPt>
            <c:idx val="3"/>
            <c:invertIfNegative val="0"/>
            <c:bubble3D val="0"/>
            <c:spPr>
              <a:solidFill>
                <a:srgbClr val="695185"/>
              </a:solidFill>
              <a:ln w="25400">
                <a:noFill/>
              </a:ln>
            </c:spPr>
            <c:extLst>
              <c:ext xmlns:c16="http://schemas.microsoft.com/office/drawing/2014/chart" uri="{C3380CC4-5D6E-409C-BE32-E72D297353CC}">
                <c16:uniqueId val="{00000007-EEDA-42A1-BAAF-DAC832B46FA2}"/>
              </c:ext>
            </c:extLst>
          </c:dPt>
          <c:dPt>
            <c:idx val="4"/>
            <c:invertIfNegative val="0"/>
            <c:bubble3D val="0"/>
            <c:spPr>
              <a:solidFill>
                <a:srgbClr val="3C8DA3"/>
              </a:solidFill>
              <a:ln w="25400">
                <a:noFill/>
              </a:ln>
            </c:spPr>
            <c:extLst>
              <c:ext xmlns:c16="http://schemas.microsoft.com/office/drawing/2014/chart" uri="{C3380CC4-5D6E-409C-BE32-E72D297353CC}">
                <c16:uniqueId val="{00000009-EEDA-42A1-BAAF-DAC832B46FA2}"/>
              </c:ext>
            </c:extLst>
          </c:dPt>
          <c:dPt>
            <c:idx val="5"/>
            <c:invertIfNegative val="0"/>
            <c:bubble3D val="0"/>
            <c:spPr>
              <a:solidFill>
                <a:srgbClr val="CC7B38"/>
              </a:solidFill>
              <a:ln w="25400">
                <a:noFill/>
              </a:ln>
            </c:spPr>
            <c:extLst>
              <c:ext xmlns:c16="http://schemas.microsoft.com/office/drawing/2014/chart" uri="{C3380CC4-5D6E-409C-BE32-E72D297353CC}">
                <c16:uniqueId val="{0000000B-EEDA-42A1-BAAF-DAC832B46FA2}"/>
              </c:ext>
            </c:extLst>
          </c:dPt>
          <c:dPt>
            <c:idx val="6"/>
            <c:invertIfNegative val="0"/>
            <c:bubble3D val="0"/>
            <c:extLst>
              <c:ext xmlns:c16="http://schemas.microsoft.com/office/drawing/2014/chart" uri="{C3380CC4-5D6E-409C-BE32-E72D297353CC}">
                <c16:uniqueId val="{0000000C-EEDA-42A1-BAAF-DAC832B46FA2}"/>
              </c:ext>
            </c:extLst>
          </c:dPt>
          <c:dPt>
            <c:idx val="7"/>
            <c:invertIfNegative val="0"/>
            <c:bubble3D val="0"/>
            <c:spPr>
              <a:solidFill>
                <a:srgbClr val="C0504D"/>
              </a:solidFill>
              <a:ln w="25400">
                <a:noFill/>
              </a:ln>
            </c:spPr>
            <c:extLst>
              <c:ext xmlns:c16="http://schemas.microsoft.com/office/drawing/2014/chart" uri="{C3380CC4-5D6E-409C-BE32-E72D297353CC}">
                <c16:uniqueId val="{0000000E-EEDA-42A1-BAAF-DAC832B46FA2}"/>
              </c:ext>
            </c:extLst>
          </c:dPt>
          <c:dPt>
            <c:idx val="8"/>
            <c:invertIfNegative val="0"/>
            <c:bubble3D val="0"/>
            <c:spPr>
              <a:solidFill>
                <a:srgbClr val="9BBB59"/>
              </a:solidFill>
              <a:ln w="25400">
                <a:noFill/>
              </a:ln>
            </c:spPr>
            <c:extLst>
              <c:ext xmlns:c16="http://schemas.microsoft.com/office/drawing/2014/chart" uri="{C3380CC4-5D6E-409C-BE32-E72D297353CC}">
                <c16:uniqueId val="{00000010-EEDA-42A1-BAAF-DAC832B46FA2}"/>
              </c:ext>
            </c:extLst>
          </c:dPt>
          <c:dPt>
            <c:idx val="9"/>
            <c:invertIfNegative val="0"/>
            <c:bubble3D val="0"/>
            <c:spPr>
              <a:solidFill>
                <a:srgbClr val="8064A2"/>
              </a:solidFill>
              <a:ln w="25400">
                <a:noFill/>
              </a:ln>
            </c:spPr>
            <c:extLst>
              <c:ext xmlns:c16="http://schemas.microsoft.com/office/drawing/2014/chart" uri="{C3380CC4-5D6E-409C-BE32-E72D297353CC}">
                <c16:uniqueId val="{00000012-EEDA-42A1-BAAF-DAC832B46FA2}"/>
              </c:ext>
            </c:extLst>
          </c:dPt>
          <c:dPt>
            <c:idx val="10"/>
            <c:invertIfNegative val="0"/>
            <c:bubble3D val="0"/>
            <c:spPr>
              <a:solidFill>
                <a:srgbClr val="4BACC6"/>
              </a:solidFill>
              <a:ln w="25400">
                <a:noFill/>
              </a:ln>
            </c:spPr>
            <c:extLst>
              <c:ext xmlns:c16="http://schemas.microsoft.com/office/drawing/2014/chart" uri="{C3380CC4-5D6E-409C-BE32-E72D297353CC}">
                <c16:uniqueId val="{00000014-EEDA-42A1-BAAF-DAC832B46FA2}"/>
              </c:ext>
            </c:extLst>
          </c:dPt>
          <c:dPt>
            <c:idx val="11"/>
            <c:invertIfNegative val="0"/>
            <c:bubble3D val="0"/>
            <c:spPr>
              <a:solidFill>
                <a:srgbClr val="F79646"/>
              </a:solidFill>
              <a:ln w="25400">
                <a:noFill/>
              </a:ln>
            </c:spPr>
            <c:extLst>
              <c:ext xmlns:c16="http://schemas.microsoft.com/office/drawing/2014/chart" uri="{C3380CC4-5D6E-409C-BE32-E72D297353CC}">
                <c16:uniqueId val="{00000016-EEDA-42A1-BAAF-DAC832B46FA2}"/>
              </c:ext>
            </c:extLst>
          </c:dPt>
          <c:dPt>
            <c:idx val="12"/>
            <c:invertIfNegative val="0"/>
            <c:bubble3D val="0"/>
            <c:spPr>
              <a:solidFill>
                <a:srgbClr val="AABAD7"/>
              </a:solidFill>
              <a:ln w="25400">
                <a:noFill/>
              </a:ln>
            </c:spPr>
            <c:extLst>
              <c:ext xmlns:c16="http://schemas.microsoft.com/office/drawing/2014/chart" uri="{C3380CC4-5D6E-409C-BE32-E72D297353CC}">
                <c16:uniqueId val="{00000018-EEDA-42A1-BAAF-DAC832B46FA2}"/>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'8.ResultsGraphs'!$I$14:$I$26</c:f>
              <c:numCache>
                <c:formatCode>_(* #,##0.0_);_(* \(#,##0.0\);_(* "-"??_);_(@_)</c:formatCode>
                <c:ptCount val="13"/>
                <c:pt idx="0">
                  <c:v>156.41196013289036</c:v>
                </c:pt>
                <c:pt idx="1">
                  <c:v>19.097366275369527</c:v>
                </c:pt>
                <c:pt idx="2">
                  <c:v>0</c:v>
                </c:pt>
                <c:pt idx="3">
                  <c:v>24.452209302325581</c:v>
                </c:pt>
                <c:pt idx="4">
                  <c:v>0</c:v>
                </c:pt>
                <c:pt idx="5">
                  <c:v>-149.65116279069596</c:v>
                </c:pt>
                <c:pt idx="6">
                  <c:v>0</c:v>
                </c:pt>
                <c:pt idx="7">
                  <c:v>0</c:v>
                </c:pt>
                <c:pt idx="8">
                  <c:v>0</c:v>
                </c:pt>
                <c:pt idx="9">
                  <c:v>4.8333603291527822</c:v>
                </c:pt>
                <c:pt idx="10">
                  <c:v>0</c:v>
                </c:pt>
                <c:pt idx="11">
                  <c:v>0</c:v>
                </c:pt>
                <c:pt idx="12">
                  <c:v>0</c:v>
                </c:pt>
              </c:numCache>
            </c:numRef>
          </c:val>
          <c:extLst>
            <c:ext xmlns:c16="http://schemas.microsoft.com/office/drawing/2014/chart" uri="{C3380CC4-5D6E-409C-BE32-E72D297353CC}">
              <c16:uniqueId val="{00000019-EEDA-42A1-BAAF-DAC832B46FA2}"/>
            </c:ext>
          </c:extLst>
        </c:ser>
        <c:dLbls>
          <c:showLegendKey val="0"/>
          <c:showVal val="0"/>
          <c:showCatName val="0"/>
          <c:showSerName val="0"/>
          <c:showPercent val="0"/>
          <c:showBubbleSize val="0"/>
        </c:dLbls>
        <c:gapWidth val="50"/>
        <c:axId val="1365411488"/>
        <c:axId val="1365415024"/>
      </c:barChart>
      <c:catAx>
        <c:axId val="136541148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415024"/>
        <c:crosses val="autoZero"/>
        <c:auto val="1"/>
        <c:lblAlgn val="ctr"/>
        <c:lblOffset val="100"/>
        <c:noMultiLvlLbl val="0"/>
      </c:catAx>
      <c:valAx>
        <c:axId val="136541502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41148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56242969599"/>
          <c:y val="3.9604058639011598E-2"/>
        </c:manualLayout>
      </c:layout>
      <c:overlay val="0"/>
      <c:spPr>
        <a:noFill/>
        <a:ln w="25400">
          <a:noFill/>
        </a:ln>
      </c:spPr>
    </c:title>
    <c:autoTitleDeleted val="0"/>
    <c:plotArea>
      <c:layout>
        <c:manualLayout>
          <c:layoutTarget val="inner"/>
          <c:xMode val="edge"/>
          <c:yMode val="edge"/>
          <c:x val="0.20569652037264"/>
          <c:y val="0.60569075635422798"/>
          <c:w val="0.63924149408112596"/>
          <c:h val="0.11788612036424601"/>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BAFC-4E79-B403-8975A397A514}"/>
              </c:ext>
            </c:extLst>
          </c:dPt>
          <c:dPt>
            <c:idx val="1"/>
            <c:invertIfNegative val="0"/>
            <c:bubble3D val="0"/>
            <c:spPr>
              <a:solidFill>
                <a:srgbClr val="4A452A"/>
              </a:solidFill>
              <a:ln w="25400">
                <a:noFill/>
              </a:ln>
            </c:spPr>
            <c:extLst>
              <c:ext xmlns:c16="http://schemas.microsoft.com/office/drawing/2014/chart" uri="{C3380CC4-5D6E-409C-BE32-E72D297353CC}">
                <c16:uniqueId val="{00000003-BAFC-4E79-B403-8975A397A514}"/>
              </c:ext>
            </c:extLst>
          </c:dPt>
          <c:cat>
            <c:strRef>
              <c:f>'8a.CoProductResults'!$C$159:$C$160</c:f>
              <c:strCache>
                <c:ptCount val="2"/>
                <c:pt idx="0">
                  <c:v>Renewable electricity</c:v>
                </c:pt>
                <c:pt idx="1">
                  <c:v>Non renewable electricity</c:v>
                </c:pt>
              </c:strCache>
            </c:strRef>
          </c:cat>
          <c:val>
            <c:numRef>
              <c:f>'8a.CoProductResults'!$D$159:$D$160</c:f>
              <c:numCache>
                <c:formatCode>0.0</c:formatCode>
                <c:ptCount val="2"/>
                <c:pt idx="0">
                  <c:v>0</c:v>
                </c:pt>
                <c:pt idx="1">
                  <c:v>0</c:v>
                </c:pt>
              </c:numCache>
            </c:numRef>
          </c:val>
          <c:extLst>
            <c:ext xmlns:c16="http://schemas.microsoft.com/office/drawing/2014/chart" uri="{C3380CC4-5D6E-409C-BE32-E72D297353CC}">
              <c16:uniqueId val="{00000004-BAFC-4E79-B403-8975A397A514}"/>
            </c:ext>
          </c:extLst>
        </c:ser>
        <c:dLbls>
          <c:showLegendKey val="0"/>
          <c:showVal val="0"/>
          <c:showCatName val="0"/>
          <c:showSerName val="0"/>
          <c:showPercent val="0"/>
          <c:showBubbleSize val="0"/>
        </c:dLbls>
        <c:gapWidth val="70"/>
        <c:axId val="1364877104"/>
        <c:axId val="1364785408"/>
      </c:barChart>
      <c:catAx>
        <c:axId val="136487710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374953131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785408"/>
        <c:crosses val="autoZero"/>
        <c:auto val="1"/>
        <c:lblAlgn val="ctr"/>
        <c:lblOffset val="100"/>
        <c:tickLblSkip val="1"/>
        <c:tickMarkSkip val="1"/>
        <c:noMultiLvlLbl val="0"/>
      </c:catAx>
      <c:valAx>
        <c:axId val="1364785408"/>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49968753901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7710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63658388799"/>
          <c:y val="3.9604058639011598E-2"/>
        </c:manualLayout>
      </c:layout>
      <c:overlay val="0"/>
      <c:spPr>
        <a:noFill/>
        <a:ln w="25400">
          <a:noFill/>
        </a:ln>
      </c:spPr>
    </c:title>
    <c:autoTitleDeleted val="0"/>
    <c:plotArea>
      <c:layout>
        <c:manualLayout>
          <c:layoutTarget val="inner"/>
          <c:xMode val="edge"/>
          <c:yMode val="edge"/>
          <c:x val="0.111820999041378"/>
          <c:y val="0.62601594952047701"/>
          <c:w val="0.75079813642068305"/>
          <c:h val="0.113821081730996"/>
        </c:manualLayout>
      </c:layout>
      <c:barChart>
        <c:barDir val="col"/>
        <c:grouping val="clustered"/>
        <c:varyColors val="0"/>
        <c:ser>
          <c:idx val="0"/>
          <c:order val="0"/>
          <c:tx>
            <c:strRef>
              <c:f>'8a.CoProductResults'!$AL$187</c:f>
              <c:strCache>
                <c:ptCount val="1"/>
                <c:pt idx="0">
                  <c:v>Energy Use (MJ)</c:v>
                </c:pt>
              </c:strCache>
            </c:strRef>
          </c:tx>
          <c:spPr>
            <a:solidFill>
              <a:srgbClr val="4F81BD"/>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'8a.CoProductResults'!$D$162:$D$165</c:f>
              <c:numCache>
                <c:formatCode>0.0</c:formatCode>
                <c:ptCount val="4"/>
                <c:pt idx="0">
                  <c:v>0</c:v>
                </c:pt>
                <c:pt idx="1">
                  <c:v>0</c:v>
                </c:pt>
                <c:pt idx="2">
                  <c:v>0</c:v>
                </c:pt>
                <c:pt idx="3">
                  <c:v>4232.3788630317968</c:v>
                </c:pt>
              </c:numCache>
            </c:numRef>
          </c:val>
          <c:extLst>
            <c:ext xmlns:c16="http://schemas.microsoft.com/office/drawing/2014/chart" uri="{C3380CC4-5D6E-409C-BE32-E72D297353CC}">
              <c16:uniqueId val="{00000000-6080-4D5B-90F8-B7D1A5F99798}"/>
            </c:ext>
          </c:extLst>
        </c:ser>
        <c:ser>
          <c:idx val="1"/>
          <c:order val="1"/>
          <c:tx>
            <c:strRef>
              <c:f>'8a.CoProductResults'!$AM$187</c:f>
              <c:strCache>
                <c:ptCount val="1"/>
                <c:pt idx="0">
                  <c:v>Emissions (kg CO2 eq)</c:v>
                </c:pt>
              </c:strCache>
            </c:strRef>
          </c:tx>
          <c:spPr>
            <a:solidFill>
              <a:srgbClr val="999999"/>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'8a.CoProductResults'!$E$162:$E$165</c:f>
              <c:numCache>
                <c:formatCode>0.0</c:formatCode>
                <c:ptCount val="4"/>
                <c:pt idx="0">
                  <c:v>0</c:v>
                </c:pt>
                <c:pt idx="1">
                  <c:v>0</c:v>
                </c:pt>
                <c:pt idx="2">
                  <c:v>0</c:v>
                </c:pt>
                <c:pt idx="3">
                  <c:v>299.2816715811403</c:v>
                </c:pt>
              </c:numCache>
            </c:numRef>
          </c:val>
          <c:extLst>
            <c:ext xmlns:c16="http://schemas.microsoft.com/office/drawing/2014/chart" uri="{C3380CC4-5D6E-409C-BE32-E72D297353CC}">
              <c16:uniqueId val="{00000001-6080-4D5B-90F8-B7D1A5F99798}"/>
            </c:ext>
          </c:extLst>
        </c:ser>
        <c:dLbls>
          <c:showLegendKey val="0"/>
          <c:showVal val="0"/>
          <c:showCatName val="0"/>
          <c:showSerName val="0"/>
          <c:showPercent val="0"/>
          <c:showBubbleSize val="0"/>
        </c:dLbls>
        <c:gapWidth val="150"/>
        <c:axId val="1364802944"/>
        <c:axId val="1364805136"/>
      </c:barChart>
      <c:catAx>
        <c:axId val="13648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805136"/>
        <c:crosses val="autoZero"/>
        <c:auto val="1"/>
        <c:lblAlgn val="ctr"/>
        <c:lblOffset val="100"/>
        <c:tickLblSkip val="1"/>
        <c:tickMarkSkip val="1"/>
        <c:noMultiLvlLbl val="0"/>
      </c:catAx>
      <c:valAx>
        <c:axId val="136480513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02944"/>
        <c:crosses val="autoZero"/>
        <c:crossBetween val="between"/>
      </c:valAx>
      <c:spPr>
        <a:solidFill>
          <a:srgbClr val="FFFFFF"/>
        </a:solidFill>
        <a:ln w="12700">
          <a:solidFill>
            <a:srgbClr val="FFFFFF"/>
          </a:solidFill>
          <a:prstDash val="solid"/>
        </a:ln>
      </c:spPr>
    </c:plotArea>
    <c:legend>
      <c:legendPos val="r"/>
      <c:layout>
        <c:manualLayout>
          <c:xMode val="edge"/>
          <c:yMode val="edge"/>
          <c:x val="0.20127776095295799"/>
          <c:y val="0.43495902951155502"/>
          <c:w val="0.52396123561477903"/>
          <c:h val="7.3170731707316999E-2"/>
        </c:manualLayout>
      </c:layout>
      <c:overlay val="0"/>
      <c:spPr>
        <a:solidFill>
          <a:srgbClr val="FFFFFF"/>
        </a:solidFill>
        <a:ln w="25400">
          <a:noFill/>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81426882301"/>
          <c:y val="3.3676559660811602E-2"/>
        </c:manualLayout>
      </c:layout>
      <c:overlay val="0"/>
      <c:spPr>
        <a:noFill/>
        <a:ln w="25400">
          <a:noFill/>
        </a:ln>
      </c:spPr>
    </c:title>
    <c:autoTitleDeleted val="0"/>
    <c:plotArea>
      <c:layout>
        <c:manualLayout>
          <c:layoutTarget val="inner"/>
          <c:xMode val="edge"/>
          <c:yMode val="edge"/>
          <c:x val="0.16932894140551599"/>
          <c:y val="0.65991935448000705"/>
          <c:w val="0.78594187897654399"/>
          <c:h val="0.11740896490748599"/>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5D0-4CDC-95CB-DDA618E4755D}"/>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F5D0-4CDC-95CB-DDA618E4755D}"/>
              </c:ext>
            </c:extLst>
          </c:dPt>
          <c:cat>
            <c:strRef>
              <c:f>'8a.CoProductResults'!$C$167:$C$168</c:f>
              <c:strCache>
                <c:ptCount val="2"/>
                <c:pt idx="0">
                  <c:v>On farm use</c:v>
                </c:pt>
                <c:pt idx="1">
                  <c:v>Primary processing</c:v>
                </c:pt>
              </c:strCache>
            </c:strRef>
          </c:cat>
          <c:val>
            <c:numRef>
              <c:f>'8a.CoProductResults'!$D$167:$D$168</c:f>
              <c:numCache>
                <c:formatCode>0.0</c:formatCode>
                <c:ptCount val="2"/>
                <c:pt idx="0">
                  <c:v>4232.3788630317968</c:v>
                </c:pt>
                <c:pt idx="1">
                  <c:v>0</c:v>
                </c:pt>
              </c:numCache>
            </c:numRef>
          </c:val>
          <c:extLst>
            <c:ext xmlns:c16="http://schemas.microsoft.com/office/drawing/2014/chart" uri="{C3380CC4-5D6E-409C-BE32-E72D297353CC}">
              <c16:uniqueId val="{00000003-F5D0-4CDC-95CB-DDA618E4755D}"/>
            </c:ext>
          </c:extLst>
        </c:ser>
        <c:dLbls>
          <c:showLegendKey val="0"/>
          <c:showVal val="0"/>
          <c:showCatName val="0"/>
          <c:showSerName val="0"/>
          <c:showPercent val="0"/>
          <c:showBubbleSize val="0"/>
        </c:dLbls>
        <c:gapWidth val="70"/>
        <c:axId val="1364903328"/>
        <c:axId val="1364906800"/>
      </c:barChart>
      <c:catAx>
        <c:axId val="136490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906800"/>
        <c:crosses val="autoZero"/>
        <c:auto val="1"/>
        <c:lblAlgn val="ctr"/>
        <c:lblOffset val="100"/>
        <c:tickLblSkip val="1"/>
        <c:tickMarkSkip val="1"/>
        <c:noMultiLvlLbl val="0"/>
      </c:catAx>
      <c:valAx>
        <c:axId val="136490680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1208774622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903328"/>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3714560399"/>
          <c:y val="4.1666722990098298E-2"/>
        </c:manualLayout>
      </c:layout>
      <c:overlay val="0"/>
      <c:spPr>
        <a:noFill/>
        <a:ln w="25400">
          <a:noFill/>
        </a:ln>
      </c:spPr>
    </c:title>
    <c:autoTitleDeleted val="0"/>
    <c:plotArea>
      <c:layout>
        <c:manualLayout>
          <c:layoutTarget val="inner"/>
          <c:xMode val="edge"/>
          <c:yMode val="edge"/>
          <c:x val="0.122112186623312"/>
          <c:y val="0.79828326180257503"/>
          <c:w val="0.70792064947839095"/>
          <c:h val="3.0042918454935601E-2"/>
        </c:manualLayout>
      </c:layout>
      <c:barChart>
        <c:barDir val="col"/>
        <c:grouping val="clustered"/>
        <c:varyColors val="1"/>
        <c:ser>
          <c:idx val="0"/>
          <c:order val="0"/>
          <c:tx>
            <c:strRef>
              <c:f>'8a.CoProductResults'!$D$181</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70EC-420D-89B7-DB5C80B3F236}"/>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70EC-420D-89B7-DB5C80B3F236}"/>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70EC-420D-89B7-DB5C80B3F236}"/>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70EC-420D-89B7-DB5C80B3F236}"/>
              </c:ext>
            </c:extLst>
          </c:dPt>
          <c:cat>
            <c:strRef>
              <c:f>'8a.CoProductResults'!$C$182:$C$185</c:f>
              <c:strCache>
                <c:ptCount val="4"/>
                <c:pt idx="0">
                  <c:v>Road</c:v>
                </c:pt>
                <c:pt idx="1">
                  <c:v>Rail</c:v>
                </c:pt>
                <c:pt idx="2">
                  <c:v>Air</c:v>
                </c:pt>
                <c:pt idx="3">
                  <c:v>Shipping</c:v>
                </c:pt>
              </c:strCache>
            </c:strRef>
          </c:cat>
          <c:val>
            <c:numRef>
              <c:f>'8a.CoProductResults'!$D$182:$D$185</c:f>
              <c:numCache>
                <c:formatCode>0.0</c:formatCode>
                <c:ptCount val="4"/>
                <c:pt idx="0">
                  <c:v>0</c:v>
                </c:pt>
                <c:pt idx="1">
                  <c:v>0</c:v>
                </c:pt>
                <c:pt idx="2">
                  <c:v>0</c:v>
                </c:pt>
                <c:pt idx="3">
                  <c:v>0</c:v>
                </c:pt>
              </c:numCache>
            </c:numRef>
          </c:val>
          <c:extLst>
            <c:ext xmlns:c16="http://schemas.microsoft.com/office/drawing/2014/chart" uri="{C3380CC4-5D6E-409C-BE32-E72D297353CC}">
              <c16:uniqueId val="{00000007-70EC-420D-89B7-DB5C80B3F236}"/>
            </c:ext>
          </c:extLst>
        </c:ser>
        <c:dLbls>
          <c:showLegendKey val="0"/>
          <c:showVal val="0"/>
          <c:showCatName val="0"/>
          <c:showSerName val="0"/>
          <c:showPercent val="0"/>
          <c:showBubbleSize val="0"/>
        </c:dLbls>
        <c:gapWidth val="150"/>
        <c:axId val="1343368976"/>
        <c:axId val="1343372688"/>
      </c:barChart>
      <c:catAx>
        <c:axId val="134336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43372688"/>
        <c:crosses val="autoZero"/>
        <c:auto val="1"/>
        <c:lblAlgn val="ctr"/>
        <c:lblOffset val="100"/>
        <c:tickLblSkip val="1"/>
        <c:tickMarkSkip val="1"/>
        <c:noMultiLvlLbl val="0"/>
      </c:catAx>
      <c:valAx>
        <c:axId val="1343372688"/>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850549621899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43368976"/>
        <c:crosses val="autoZero"/>
        <c:crossBetween val="between"/>
      </c:valAx>
      <c:spPr>
        <a:solidFill>
          <a:srgbClr val="FFFFFF"/>
        </a:solidFill>
        <a:ln w="12700">
          <a:solidFill>
            <a:srgbClr val="FFFFFF"/>
          </a:solidFill>
          <a:prstDash val="solid"/>
        </a:ln>
      </c:spPr>
    </c:plotArea>
    <c:legend>
      <c:legendPos val="r"/>
      <c:layout>
        <c:manualLayout>
          <c:xMode val="edge"/>
          <c:yMode val="edge"/>
          <c:x val="0.86963683376211598"/>
          <c:y val="0.67381974248927001"/>
          <c:w val="8.9108910891089105E-2"/>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06831273"/>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'8a.CoProductResults'!$D$98</c:f>
              <c:strCache>
                <c:ptCount val="1"/>
                <c:pt idx="0">
                  <c:v>Annual totals,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'8a.CoProductResults'!$D$99:$D$101</c:f>
            </c:numRef>
          </c:val>
          <c:extLst>
            <c:ext xmlns:c16="http://schemas.microsoft.com/office/drawing/2014/chart" uri="{C3380CC4-5D6E-409C-BE32-E72D297353CC}">
              <c16:uniqueId val="{00000000-3F5E-4C1E-A40F-F4B4758EE55E}"/>
            </c:ext>
          </c:extLst>
        </c:ser>
        <c:dLbls>
          <c:showLegendKey val="0"/>
          <c:showVal val="0"/>
          <c:showCatName val="0"/>
          <c:showSerName val="0"/>
          <c:showPercent val="0"/>
          <c:showBubbleSize val="0"/>
        </c:dLbls>
        <c:gapWidth val="150"/>
        <c:axId val="1366562880"/>
        <c:axId val="1366565520"/>
      </c:barChart>
      <c:catAx>
        <c:axId val="136656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565520"/>
        <c:crosses val="autoZero"/>
        <c:auto val="1"/>
        <c:lblAlgn val="ctr"/>
        <c:lblOffset val="100"/>
        <c:tickLblSkip val="1"/>
        <c:tickMarkSkip val="1"/>
        <c:noMultiLvlLbl val="0"/>
      </c:catAx>
      <c:valAx>
        <c:axId val="1366565520"/>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56288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8756995002"/>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'8a.CoProductResults'!$E$98</c:f>
              <c:strCache>
                <c:ptCount val="1"/>
                <c:pt idx="0">
                  <c:v>Cumulative,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'8a.CoProductResults'!$E$99:$E$101</c:f>
            </c:numRef>
          </c:val>
          <c:extLst>
            <c:ext xmlns:c16="http://schemas.microsoft.com/office/drawing/2014/chart" uri="{C3380CC4-5D6E-409C-BE32-E72D297353CC}">
              <c16:uniqueId val="{00000000-07B5-4598-A5A1-391DD358C6A7}"/>
            </c:ext>
          </c:extLst>
        </c:ser>
        <c:dLbls>
          <c:showLegendKey val="0"/>
          <c:showVal val="0"/>
          <c:showCatName val="0"/>
          <c:showSerName val="0"/>
          <c:showPercent val="0"/>
          <c:showBubbleSize val="0"/>
        </c:dLbls>
        <c:gapWidth val="150"/>
        <c:axId val="1364887360"/>
        <c:axId val="1364915552"/>
      </c:barChart>
      <c:catAx>
        <c:axId val="136488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915552"/>
        <c:crosses val="autoZero"/>
        <c:auto val="1"/>
        <c:lblAlgn val="ctr"/>
        <c:lblOffset val="100"/>
        <c:tickLblSkip val="1"/>
        <c:tickMarkSkip val="1"/>
        <c:noMultiLvlLbl val="0"/>
      </c:catAx>
      <c:valAx>
        <c:axId val="1364915552"/>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88736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63804927599"/>
          <c:y val="3.0769214871763099E-2"/>
        </c:manualLayout>
      </c:layout>
      <c:overlay val="0"/>
      <c:spPr>
        <a:noFill/>
        <a:ln w="25400">
          <a:noFill/>
        </a:ln>
      </c:spPr>
    </c:title>
    <c:autoTitleDeleted val="0"/>
    <c:plotArea>
      <c:layout>
        <c:manualLayout>
          <c:layoutTarget val="inner"/>
          <c:xMode val="edge"/>
          <c:yMode val="edge"/>
          <c:x val="0.283154245751711"/>
          <c:y val="0.47769013566460899"/>
          <c:w val="6.2724041780442205E-2"/>
          <c:h val="9.1863487627809298E-2"/>
        </c:manualLayout>
      </c:layout>
      <c:pieChart>
        <c:varyColors val="1"/>
        <c:ser>
          <c:idx val="0"/>
          <c:order val="0"/>
          <c:tx>
            <c:strRef>
              <c:f>'8a.CoProductResults'!$J$76</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1ACD-4696-8CAA-D6BF2ECE884E}"/>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1ACD-4696-8CAA-D6BF2ECE884E}"/>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1ACD-4696-8CAA-D6BF2ECE884E}"/>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1ACD-4696-8CAA-D6BF2ECE884E}"/>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1ACD-4696-8CAA-D6BF2ECE884E}"/>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'8a.CoProductResults'!$C$77:$C$81</c:f>
              <c:strCache>
                <c:ptCount val="5"/>
                <c:pt idx="0">
                  <c:v>fertiliser production</c:v>
                </c:pt>
                <c:pt idx="1">
                  <c:v>fertiliser application</c:v>
                </c:pt>
                <c:pt idx="2">
                  <c:v>paddy methane</c:v>
                </c:pt>
                <c:pt idx="3">
                  <c:v>pesticides</c:v>
                </c:pt>
                <c:pt idx="4">
                  <c:v>crop residue management</c:v>
                </c:pt>
              </c:strCache>
            </c:strRef>
          </c:cat>
          <c:val>
            <c:numRef>
              <c:f>'8a.CoProductResults'!$J$77:$J$81</c:f>
              <c:numCache>
                <c:formatCode>0.0</c:formatCode>
                <c:ptCount val="5"/>
                <c:pt idx="0">
                  <c:v>78.22102364690447</c:v>
                </c:pt>
                <c:pt idx="1">
                  <c:v>9.5505199074936691</c:v>
                </c:pt>
                <c:pt idx="2">
                  <c:v>0</c:v>
                </c:pt>
                <c:pt idx="3">
                  <c:v>12.228456445601875</c:v>
                </c:pt>
                <c:pt idx="4">
                  <c:v>0</c:v>
                </c:pt>
              </c:numCache>
            </c:numRef>
          </c:val>
          <c:extLst>
            <c:ext xmlns:c16="http://schemas.microsoft.com/office/drawing/2014/chart" uri="{C3380CC4-5D6E-409C-BE32-E72D297353CC}">
              <c16:uniqueId val="{00000009-1ACD-4696-8CAA-D6BF2ECE884E}"/>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2939096322637098"/>
          <c:y val="0.37795254923843202"/>
          <c:w val="0.14695340501792101"/>
          <c:h val="0.48556409779486198"/>
        </c:manualLayout>
      </c:layout>
      <c:overlay val="0"/>
      <c:spPr>
        <a:solidFill>
          <a:srgbClr val="FFFFFF"/>
        </a:solidFill>
        <a:ln w="3175">
          <a:solidFill>
            <a:srgbClr val="000000"/>
          </a:solidFill>
          <a:prstDash val="solid"/>
        </a:ln>
      </c:spPr>
      <c:txPr>
        <a:bodyPr/>
        <a:lstStyle/>
        <a:p>
          <a:pPr>
            <a:defRPr sz="5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605379482502"/>
          <c:y val="2.9108576501466699E-2"/>
        </c:manualLayout>
      </c:layout>
      <c:overlay val="0"/>
      <c:spPr>
        <a:noFill/>
        <a:ln w="25400">
          <a:noFill/>
        </a:ln>
      </c:spPr>
    </c:title>
    <c:autoTitleDeleted val="0"/>
    <c:plotArea>
      <c:layout>
        <c:manualLayout>
          <c:layoutTarget val="inner"/>
          <c:xMode val="edge"/>
          <c:yMode val="edge"/>
          <c:x val="3.3373048603605002E-2"/>
          <c:y val="0.63970569095815299"/>
          <c:w val="0.941596728458855"/>
          <c:h val="0.13970584055407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'8a.CoProductResults'!$BE$126:$BE$173</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'8a.CoProductResults'!$BF$126:$BF$173</c:f>
              <c:numCache>
                <c:formatCode>0.0</c:formatCode>
                <c:ptCount val="48"/>
                <c:pt idx="0">
                  <c:v>#N/A</c:v>
                </c:pt>
                <c:pt idx="1">
                  <c:v>#N/A</c:v>
                </c:pt>
                <c:pt idx="2">
                  <c:v>#N/A</c:v>
                </c:pt>
                <c:pt idx="3">
                  <c:v>37.69791639254386</c:v>
                </c:pt>
                <c:pt idx="4">
                  <c:v>#N/A</c:v>
                </c:pt>
                <c:pt idx="5">
                  <c:v>#N/A</c:v>
                </c:pt>
                <c:pt idx="6">
                  <c:v>#N/A</c:v>
                </c:pt>
                <c:pt idx="7">
                  <c:v>4.2420684210526316</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5372-4EEE-BAA8-D6D7E28B0BF0}"/>
            </c:ext>
          </c:extLst>
        </c:ser>
        <c:dLbls>
          <c:showLegendKey val="0"/>
          <c:showVal val="0"/>
          <c:showCatName val="0"/>
          <c:showSerName val="0"/>
          <c:showPercent val="0"/>
          <c:showBubbleSize val="0"/>
        </c:dLbls>
        <c:gapWidth val="100"/>
        <c:axId val="1343373072"/>
        <c:axId val="1343352752"/>
      </c:barChart>
      <c:catAx>
        <c:axId val="134337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43352752"/>
        <c:crosses val="autoZero"/>
        <c:auto val="1"/>
        <c:lblAlgn val="ctr"/>
        <c:lblOffset val="100"/>
        <c:tickLblSkip val="1"/>
        <c:tickMarkSkip val="1"/>
        <c:noMultiLvlLbl val="0"/>
      </c:catAx>
      <c:valAx>
        <c:axId val="1343352752"/>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4337307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2854108101"/>
          <c:y val="1.0121430604306999E-2"/>
        </c:manualLayout>
      </c:layout>
      <c:overlay val="0"/>
      <c:spPr>
        <a:noFill/>
        <a:ln w="25400">
          <a:noFill/>
        </a:ln>
      </c:spPr>
    </c:title>
    <c:autoTitleDeleted val="0"/>
    <c:plotArea>
      <c:layout>
        <c:manualLayout>
          <c:layoutTarget val="inner"/>
          <c:xMode val="edge"/>
          <c:yMode val="edge"/>
          <c:x val="0.44749578473037099"/>
          <c:y val="0.39759065381936998"/>
          <c:w val="6.3004821676839198E-2"/>
          <c:h val="0.23493993180235501"/>
        </c:manualLayout>
      </c:layout>
      <c:pieChart>
        <c:varyColors val="1"/>
        <c:ser>
          <c:idx val="0"/>
          <c:order val="0"/>
          <c:tx>
            <c:strRef>
              <c:f>'8a.CoProductResults'!$G$55</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F235-474F-B02A-553C5E921DB6}"/>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F235-474F-B02A-553C5E921DB6}"/>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F235-474F-B02A-553C5E921DB6}"/>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F235-474F-B02A-553C5E921DB6}"/>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'8a.CoProductResults'!$C$56:$C$59</c:f>
              <c:strCache>
                <c:ptCount val="3"/>
                <c:pt idx="0">
                  <c:v>enteric digestion</c:v>
                </c:pt>
                <c:pt idx="1">
                  <c:v>manure management</c:v>
                </c:pt>
                <c:pt idx="2">
                  <c:v>feed</c:v>
                </c:pt>
              </c:strCache>
            </c:strRef>
          </c:cat>
          <c:val>
            <c:numRef>
              <c:f>'8a.CoProductResults'!$G$56:$G$59</c:f>
              <c:numCache>
                <c:formatCode>0.0</c:formatCode>
                <c:ptCount val="4"/>
                <c:pt idx="0">
                  <c:v>0</c:v>
                </c:pt>
                <c:pt idx="1">
                  <c:v>0</c:v>
                </c:pt>
                <c:pt idx="2">
                  <c:v>0</c:v>
                </c:pt>
              </c:numCache>
            </c:numRef>
          </c:val>
          <c:extLst>
            <c:ext xmlns:c16="http://schemas.microsoft.com/office/drawing/2014/chart" uri="{C3380CC4-5D6E-409C-BE32-E72D297353CC}">
              <c16:uniqueId val="{00000007-F235-474F-B02A-553C5E921DB6}"/>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72697874397364304"/>
          <c:y val="0.210843373493976"/>
          <c:w val="0.14378029079159901"/>
          <c:h val="0.77710890807323796"/>
        </c:manualLayout>
      </c:layout>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1965820288726001"/>
          <c:y val="0.19534883720930199"/>
          <c:w val="0.85185244436406904"/>
          <c:h val="0.232558139534884"/>
        </c:manualLayout>
      </c:layout>
      <c:barChart>
        <c:barDir val="col"/>
        <c:grouping val="clustered"/>
        <c:varyColors val="1"/>
        <c:ser>
          <c:idx val="0"/>
          <c:order val="0"/>
          <c:tx>
            <c:strRef>
              <c:f>'8a.CoProductResults'!$G$13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8E54-42D8-85F7-37C602447482}"/>
              </c:ext>
            </c:extLst>
          </c:dPt>
          <c:dPt>
            <c:idx val="1"/>
            <c:invertIfNegative val="0"/>
            <c:bubble3D val="0"/>
            <c:spPr>
              <a:solidFill>
                <a:srgbClr val="9E413E"/>
              </a:solidFill>
              <a:ln w="25400">
                <a:noFill/>
              </a:ln>
            </c:spPr>
            <c:extLst>
              <c:ext xmlns:c16="http://schemas.microsoft.com/office/drawing/2014/chart" uri="{C3380CC4-5D6E-409C-BE32-E72D297353CC}">
                <c16:uniqueId val="{00000003-8E54-42D8-85F7-37C602447482}"/>
              </c:ext>
            </c:extLst>
          </c:dPt>
          <c:dPt>
            <c:idx val="2"/>
            <c:invertIfNegative val="0"/>
            <c:bubble3D val="0"/>
            <c:spPr>
              <a:solidFill>
                <a:srgbClr val="7F9A48"/>
              </a:solidFill>
              <a:ln w="25400">
                <a:noFill/>
              </a:ln>
            </c:spPr>
            <c:extLst>
              <c:ext xmlns:c16="http://schemas.microsoft.com/office/drawing/2014/chart" uri="{C3380CC4-5D6E-409C-BE32-E72D297353CC}">
                <c16:uniqueId val="{00000005-8E54-42D8-85F7-37C602447482}"/>
              </c:ext>
            </c:extLst>
          </c:dPt>
          <c:dPt>
            <c:idx val="3"/>
            <c:invertIfNegative val="0"/>
            <c:bubble3D val="0"/>
            <c:spPr>
              <a:solidFill>
                <a:srgbClr val="695185"/>
              </a:solidFill>
              <a:ln w="25400">
                <a:noFill/>
              </a:ln>
            </c:spPr>
            <c:extLst>
              <c:ext xmlns:c16="http://schemas.microsoft.com/office/drawing/2014/chart" uri="{C3380CC4-5D6E-409C-BE32-E72D297353CC}">
                <c16:uniqueId val="{00000007-8E54-42D8-85F7-37C602447482}"/>
              </c:ext>
            </c:extLst>
          </c:dPt>
          <c:dPt>
            <c:idx val="4"/>
            <c:invertIfNegative val="0"/>
            <c:bubble3D val="0"/>
            <c:spPr>
              <a:solidFill>
                <a:srgbClr val="3C8DA3"/>
              </a:solidFill>
              <a:ln w="25400">
                <a:noFill/>
              </a:ln>
            </c:spPr>
            <c:extLst>
              <c:ext xmlns:c16="http://schemas.microsoft.com/office/drawing/2014/chart" uri="{C3380CC4-5D6E-409C-BE32-E72D297353CC}">
                <c16:uniqueId val="{00000009-8E54-42D8-85F7-37C602447482}"/>
              </c:ext>
            </c:extLst>
          </c:dPt>
          <c:dPt>
            <c:idx val="5"/>
            <c:invertIfNegative val="0"/>
            <c:bubble3D val="0"/>
            <c:spPr>
              <a:solidFill>
                <a:srgbClr val="CC7B38"/>
              </a:solidFill>
              <a:ln w="25400">
                <a:noFill/>
              </a:ln>
            </c:spPr>
            <c:extLst>
              <c:ext xmlns:c16="http://schemas.microsoft.com/office/drawing/2014/chart" uri="{C3380CC4-5D6E-409C-BE32-E72D297353CC}">
                <c16:uniqueId val="{0000000B-8E54-42D8-85F7-37C602447482}"/>
              </c:ext>
            </c:extLst>
          </c:dPt>
          <c:dPt>
            <c:idx val="6"/>
            <c:invertIfNegative val="0"/>
            <c:bubble3D val="0"/>
            <c:extLst>
              <c:ext xmlns:c16="http://schemas.microsoft.com/office/drawing/2014/chart" uri="{C3380CC4-5D6E-409C-BE32-E72D297353CC}">
                <c16:uniqueId val="{0000000C-8E54-42D8-85F7-37C602447482}"/>
              </c:ext>
            </c:extLst>
          </c:dPt>
          <c:dPt>
            <c:idx val="7"/>
            <c:invertIfNegative val="0"/>
            <c:bubble3D val="0"/>
            <c:spPr>
              <a:solidFill>
                <a:srgbClr val="C0504D"/>
              </a:solidFill>
              <a:ln w="25400">
                <a:noFill/>
              </a:ln>
            </c:spPr>
            <c:extLst>
              <c:ext xmlns:c16="http://schemas.microsoft.com/office/drawing/2014/chart" uri="{C3380CC4-5D6E-409C-BE32-E72D297353CC}">
                <c16:uniqueId val="{0000000E-8E54-42D8-85F7-37C602447482}"/>
              </c:ext>
            </c:extLst>
          </c:dPt>
          <c:dPt>
            <c:idx val="8"/>
            <c:invertIfNegative val="0"/>
            <c:bubble3D val="0"/>
            <c:spPr>
              <a:solidFill>
                <a:srgbClr val="9BBB59"/>
              </a:solidFill>
              <a:ln w="25400">
                <a:noFill/>
              </a:ln>
            </c:spPr>
            <c:extLst>
              <c:ext xmlns:c16="http://schemas.microsoft.com/office/drawing/2014/chart" uri="{C3380CC4-5D6E-409C-BE32-E72D297353CC}">
                <c16:uniqueId val="{00000010-8E54-42D8-85F7-37C602447482}"/>
              </c:ext>
            </c:extLst>
          </c:dPt>
          <c:dPt>
            <c:idx val="9"/>
            <c:invertIfNegative val="0"/>
            <c:bubble3D val="0"/>
            <c:spPr>
              <a:solidFill>
                <a:srgbClr val="8064A2"/>
              </a:solidFill>
              <a:ln w="25400">
                <a:noFill/>
              </a:ln>
            </c:spPr>
            <c:extLst>
              <c:ext xmlns:c16="http://schemas.microsoft.com/office/drawing/2014/chart" uri="{C3380CC4-5D6E-409C-BE32-E72D297353CC}">
                <c16:uniqueId val="{00000012-8E54-42D8-85F7-37C602447482}"/>
              </c:ext>
            </c:extLst>
          </c:dPt>
          <c:dPt>
            <c:idx val="10"/>
            <c:invertIfNegative val="0"/>
            <c:bubble3D val="0"/>
            <c:spPr>
              <a:solidFill>
                <a:srgbClr val="4BACC6"/>
              </a:solidFill>
              <a:ln w="25400">
                <a:noFill/>
              </a:ln>
            </c:spPr>
            <c:extLst>
              <c:ext xmlns:c16="http://schemas.microsoft.com/office/drawing/2014/chart" uri="{C3380CC4-5D6E-409C-BE32-E72D297353CC}">
                <c16:uniqueId val="{00000014-8E54-42D8-85F7-37C602447482}"/>
              </c:ext>
            </c:extLst>
          </c:dPt>
          <c:dPt>
            <c:idx val="11"/>
            <c:invertIfNegative val="0"/>
            <c:bubble3D val="0"/>
            <c:spPr>
              <a:solidFill>
                <a:srgbClr val="F79646"/>
              </a:solidFill>
              <a:ln w="25400">
                <a:noFill/>
              </a:ln>
            </c:spPr>
            <c:extLst>
              <c:ext xmlns:c16="http://schemas.microsoft.com/office/drawing/2014/chart" uri="{C3380CC4-5D6E-409C-BE32-E72D297353CC}">
                <c16:uniqueId val="{00000016-8E54-42D8-85F7-37C602447482}"/>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'8a.CoProductResults'!$G$14:$G$26</c:f>
              <c:numCache>
                <c:formatCode>_(* #,##0.0_);_(* \(#,##0.0\);_(* "-"??_);_(@_)</c:formatCode>
                <c:ptCount val="12"/>
                <c:pt idx="0">
                  <c:v>9685.028571428571</c:v>
                </c:pt>
                <c:pt idx="1">
                  <c:v>1182.5089197708812</c:v>
                </c:pt>
                <c:pt idx="2">
                  <c:v>0</c:v>
                </c:pt>
                <c:pt idx="3">
                  <c:v>1514.0808</c:v>
                </c:pt>
                <c:pt idx="4">
                  <c:v>0</c:v>
                </c:pt>
                <c:pt idx="5">
                  <c:v>0</c:v>
                </c:pt>
                <c:pt idx="6">
                  <c:v>0</c:v>
                </c:pt>
                <c:pt idx="7">
                  <c:v>0</c:v>
                </c:pt>
                <c:pt idx="8">
                  <c:v>299.2816715811403</c:v>
                </c:pt>
                <c:pt idx="9">
                  <c:v>0</c:v>
                </c:pt>
                <c:pt idx="10">
                  <c:v>0</c:v>
                </c:pt>
                <c:pt idx="11">
                  <c:v>0</c:v>
                </c:pt>
              </c:numCache>
            </c:numRef>
          </c:val>
          <c:extLst>
            <c:ext xmlns:c16="http://schemas.microsoft.com/office/drawing/2014/chart" uri="{C3380CC4-5D6E-409C-BE32-E72D297353CC}">
              <c16:uniqueId val="{00000017-8E54-42D8-85F7-37C602447482}"/>
            </c:ext>
          </c:extLst>
        </c:ser>
        <c:dLbls>
          <c:showLegendKey val="0"/>
          <c:showVal val="0"/>
          <c:showCatName val="0"/>
          <c:showSerName val="0"/>
          <c:showPercent val="0"/>
          <c:showBubbleSize val="0"/>
        </c:dLbls>
        <c:gapWidth val="50"/>
        <c:axId val="1343488336"/>
        <c:axId val="1343491856"/>
      </c:barChart>
      <c:catAx>
        <c:axId val="13434883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491856"/>
        <c:crosses val="autoZero"/>
        <c:auto val="1"/>
        <c:lblAlgn val="ctr"/>
        <c:lblOffset val="100"/>
        <c:noMultiLvlLbl val="0"/>
      </c:catAx>
      <c:valAx>
        <c:axId val="13434918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4883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1428571428571E-2"/>
          <c:y val="0.173708521978337"/>
          <c:w val="0.88571428571428601"/>
          <c:h val="0.347417043956674"/>
        </c:manualLayout>
      </c:layout>
      <c:barChart>
        <c:barDir val="col"/>
        <c:grouping val="clustered"/>
        <c:varyColors val="1"/>
        <c:ser>
          <c:idx val="0"/>
          <c:order val="0"/>
          <c:tx>
            <c:strRef>
              <c:f>'8a.CoProductResults'!$H$13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7B46-47F1-8FF9-1A58F95511D4}"/>
              </c:ext>
            </c:extLst>
          </c:dPt>
          <c:dPt>
            <c:idx val="1"/>
            <c:invertIfNegative val="0"/>
            <c:bubble3D val="0"/>
            <c:spPr>
              <a:solidFill>
                <a:srgbClr val="9E413E"/>
              </a:solidFill>
              <a:ln w="25400">
                <a:noFill/>
              </a:ln>
            </c:spPr>
            <c:extLst>
              <c:ext xmlns:c16="http://schemas.microsoft.com/office/drawing/2014/chart" uri="{C3380CC4-5D6E-409C-BE32-E72D297353CC}">
                <c16:uniqueId val="{00000003-7B46-47F1-8FF9-1A58F95511D4}"/>
              </c:ext>
            </c:extLst>
          </c:dPt>
          <c:dPt>
            <c:idx val="2"/>
            <c:invertIfNegative val="0"/>
            <c:bubble3D val="0"/>
            <c:spPr>
              <a:solidFill>
                <a:srgbClr val="7F9A48"/>
              </a:solidFill>
              <a:ln w="25400">
                <a:noFill/>
              </a:ln>
            </c:spPr>
            <c:extLst>
              <c:ext xmlns:c16="http://schemas.microsoft.com/office/drawing/2014/chart" uri="{C3380CC4-5D6E-409C-BE32-E72D297353CC}">
                <c16:uniqueId val="{00000005-7B46-47F1-8FF9-1A58F95511D4}"/>
              </c:ext>
            </c:extLst>
          </c:dPt>
          <c:dPt>
            <c:idx val="3"/>
            <c:invertIfNegative val="0"/>
            <c:bubble3D val="0"/>
            <c:spPr>
              <a:solidFill>
                <a:srgbClr val="695185"/>
              </a:solidFill>
              <a:ln w="25400">
                <a:noFill/>
              </a:ln>
            </c:spPr>
            <c:extLst>
              <c:ext xmlns:c16="http://schemas.microsoft.com/office/drawing/2014/chart" uri="{C3380CC4-5D6E-409C-BE32-E72D297353CC}">
                <c16:uniqueId val="{00000007-7B46-47F1-8FF9-1A58F95511D4}"/>
              </c:ext>
            </c:extLst>
          </c:dPt>
          <c:dPt>
            <c:idx val="4"/>
            <c:invertIfNegative val="0"/>
            <c:bubble3D val="0"/>
            <c:spPr>
              <a:solidFill>
                <a:srgbClr val="3C8DA3"/>
              </a:solidFill>
              <a:ln w="25400">
                <a:noFill/>
              </a:ln>
            </c:spPr>
            <c:extLst>
              <c:ext xmlns:c16="http://schemas.microsoft.com/office/drawing/2014/chart" uri="{C3380CC4-5D6E-409C-BE32-E72D297353CC}">
                <c16:uniqueId val="{00000009-7B46-47F1-8FF9-1A58F95511D4}"/>
              </c:ext>
            </c:extLst>
          </c:dPt>
          <c:dPt>
            <c:idx val="5"/>
            <c:invertIfNegative val="0"/>
            <c:bubble3D val="0"/>
            <c:spPr>
              <a:solidFill>
                <a:srgbClr val="CC7B38"/>
              </a:solidFill>
              <a:ln w="25400">
                <a:noFill/>
              </a:ln>
            </c:spPr>
            <c:extLst>
              <c:ext xmlns:c16="http://schemas.microsoft.com/office/drawing/2014/chart" uri="{C3380CC4-5D6E-409C-BE32-E72D297353CC}">
                <c16:uniqueId val="{0000000B-7B46-47F1-8FF9-1A58F95511D4}"/>
              </c:ext>
            </c:extLst>
          </c:dPt>
          <c:dPt>
            <c:idx val="6"/>
            <c:invertIfNegative val="0"/>
            <c:bubble3D val="0"/>
            <c:extLst>
              <c:ext xmlns:c16="http://schemas.microsoft.com/office/drawing/2014/chart" uri="{C3380CC4-5D6E-409C-BE32-E72D297353CC}">
                <c16:uniqueId val="{0000000C-7B46-47F1-8FF9-1A58F95511D4}"/>
              </c:ext>
            </c:extLst>
          </c:dPt>
          <c:dPt>
            <c:idx val="7"/>
            <c:invertIfNegative val="0"/>
            <c:bubble3D val="0"/>
            <c:spPr>
              <a:solidFill>
                <a:srgbClr val="C0504D"/>
              </a:solidFill>
              <a:ln w="25400">
                <a:noFill/>
              </a:ln>
            </c:spPr>
            <c:extLst>
              <c:ext xmlns:c16="http://schemas.microsoft.com/office/drawing/2014/chart" uri="{C3380CC4-5D6E-409C-BE32-E72D297353CC}">
                <c16:uniqueId val="{0000000E-7B46-47F1-8FF9-1A58F95511D4}"/>
              </c:ext>
            </c:extLst>
          </c:dPt>
          <c:dPt>
            <c:idx val="8"/>
            <c:invertIfNegative val="0"/>
            <c:bubble3D val="0"/>
            <c:spPr>
              <a:solidFill>
                <a:srgbClr val="9BBB59"/>
              </a:solidFill>
              <a:ln w="25400">
                <a:noFill/>
              </a:ln>
            </c:spPr>
            <c:extLst>
              <c:ext xmlns:c16="http://schemas.microsoft.com/office/drawing/2014/chart" uri="{C3380CC4-5D6E-409C-BE32-E72D297353CC}">
                <c16:uniqueId val="{00000010-7B46-47F1-8FF9-1A58F95511D4}"/>
              </c:ext>
            </c:extLst>
          </c:dPt>
          <c:dPt>
            <c:idx val="9"/>
            <c:invertIfNegative val="0"/>
            <c:bubble3D val="0"/>
            <c:spPr>
              <a:solidFill>
                <a:srgbClr val="8064A2"/>
              </a:solidFill>
              <a:ln w="25400">
                <a:noFill/>
              </a:ln>
            </c:spPr>
            <c:extLst>
              <c:ext xmlns:c16="http://schemas.microsoft.com/office/drawing/2014/chart" uri="{C3380CC4-5D6E-409C-BE32-E72D297353CC}">
                <c16:uniqueId val="{00000012-7B46-47F1-8FF9-1A58F95511D4}"/>
              </c:ext>
            </c:extLst>
          </c:dPt>
          <c:dPt>
            <c:idx val="10"/>
            <c:invertIfNegative val="0"/>
            <c:bubble3D val="0"/>
            <c:spPr>
              <a:solidFill>
                <a:srgbClr val="4BACC6"/>
              </a:solidFill>
              <a:ln w="25400">
                <a:noFill/>
              </a:ln>
            </c:spPr>
            <c:extLst>
              <c:ext xmlns:c16="http://schemas.microsoft.com/office/drawing/2014/chart" uri="{C3380CC4-5D6E-409C-BE32-E72D297353CC}">
                <c16:uniqueId val="{00000014-7B46-47F1-8FF9-1A58F95511D4}"/>
              </c:ext>
            </c:extLst>
          </c:dPt>
          <c:dPt>
            <c:idx val="11"/>
            <c:invertIfNegative val="0"/>
            <c:bubble3D val="0"/>
            <c:spPr>
              <a:solidFill>
                <a:srgbClr val="F79646"/>
              </a:solidFill>
              <a:ln w="25400">
                <a:noFill/>
              </a:ln>
            </c:spPr>
            <c:extLst>
              <c:ext xmlns:c16="http://schemas.microsoft.com/office/drawing/2014/chart" uri="{C3380CC4-5D6E-409C-BE32-E72D297353CC}">
                <c16:uniqueId val="{00000016-7B46-47F1-8FF9-1A58F95511D4}"/>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'8a.CoProductResults'!$H$14:$H$26</c:f>
              <c:numCache>
                <c:formatCode>_(* #,##0.0_);_(* \(#,##0.0\);_(* "-"??_);_(@_)</c:formatCode>
                <c:ptCount val="12"/>
                <c:pt idx="0">
                  <c:v>1345.1428571428571</c:v>
                </c:pt>
                <c:pt idx="1">
                  <c:v>164.23734996817794</c:v>
                </c:pt>
                <c:pt idx="2">
                  <c:v>0</c:v>
                </c:pt>
                <c:pt idx="3">
                  <c:v>210.28899999999999</c:v>
                </c:pt>
                <c:pt idx="4">
                  <c:v>0</c:v>
                </c:pt>
                <c:pt idx="5">
                  <c:v>0</c:v>
                </c:pt>
                <c:pt idx="6">
                  <c:v>0</c:v>
                </c:pt>
                <c:pt idx="7">
                  <c:v>0</c:v>
                </c:pt>
                <c:pt idx="8">
                  <c:v>41.566898830713932</c:v>
                </c:pt>
                <c:pt idx="9">
                  <c:v>0</c:v>
                </c:pt>
                <c:pt idx="10">
                  <c:v>0</c:v>
                </c:pt>
                <c:pt idx="11">
                  <c:v>0</c:v>
                </c:pt>
              </c:numCache>
            </c:numRef>
          </c:val>
          <c:extLst>
            <c:ext xmlns:c16="http://schemas.microsoft.com/office/drawing/2014/chart" uri="{C3380CC4-5D6E-409C-BE32-E72D297353CC}">
              <c16:uniqueId val="{00000017-7B46-47F1-8FF9-1A58F95511D4}"/>
            </c:ext>
          </c:extLst>
        </c:ser>
        <c:dLbls>
          <c:showLegendKey val="0"/>
          <c:showVal val="0"/>
          <c:showCatName val="0"/>
          <c:showSerName val="0"/>
          <c:showPercent val="0"/>
          <c:showBubbleSize val="0"/>
        </c:dLbls>
        <c:gapWidth val="50"/>
        <c:axId val="1366635568"/>
        <c:axId val="1366613312"/>
      </c:barChart>
      <c:catAx>
        <c:axId val="136663556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13312"/>
        <c:crosses val="autoZero"/>
        <c:auto val="1"/>
        <c:lblAlgn val="ctr"/>
        <c:lblOffset val="100"/>
        <c:noMultiLvlLbl val="0"/>
      </c:catAx>
      <c:valAx>
        <c:axId val="1366613312"/>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3556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421135288089197E-2"/>
          <c:y val="0.21393021833567899"/>
          <c:w val="0.88252087260974899"/>
          <c:h val="0.21890533969232201"/>
        </c:manualLayout>
      </c:layout>
      <c:barChart>
        <c:barDir val="col"/>
        <c:grouping val="clustered"/>
        <c:varyColors val="1"/>
        <c:ser>
          <c:idx val="0"/>
          <c:order val="0"/>
          <c:tx>
            <c:strRef>
              <c:f>'8a.CoProductResults'!$J$13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4111-4A57-BC87-75A41260049A}"/>
              </c:ext>
            </c:extLst>
          </c:dPt>
          <c:dPt>
            <c:idx val="1"/>
            <c:invertIfNegative val="0"/>
            <c:bubble3D val="0"/>
            <c:spPr>
              <a:solidFill>
                <a:srgbClr val="9E413E"/>
              </a:solidFill>
              <a:ln w="25400">
                <a:noFill/>
              </a:ln>
            </c:spPr>
            <c:extLst>
              <c:ext xmlns:c16="http://schemas.microsoft.com/office/drawing/2014/chart" uri="{C3380CC4-5D6E-409C-BE32-E72D297353CC}">
                <c16:uniqueId val="{00000003-4111-4A57-BC87-75A41260049A}"/>
              </c:ext>
            </c:extLst>
          </c:dPt>
          <c:dPt>
            <c:idx val="2"/>
            <c:invertIfNegative val="0"/>
            <c:bubble3D val="0"/>
            <c:spPr>
              <a:solidFill>
                <a:srgbClr val="7F9A48"/>
              </a:solidFill>
              <a:ln w="25400">
                <a:noFill/>
              </a:ln>
            </c:spPr>
            <c:extLst>
              <c:ext xmlns:c16="http://schemas.microsoft.com/office/drawing/2014/chart" uri="{C3380CC4-5D6E-409C-BE32-E72D297353CC}">
                <c16:uniqueId val="{00000005-4111-4A57-BC87-75A41260049A}"/>
              </c:ext>
            </c:extLst>
          </c:dPt>
          <c:dPt>
            <c:idx val="3"/>
            <c:invertIfNegative val="0"/>
            <c:bubble3D val="0"/>
            <c:spPr>
              <a:solidFill>
                <a:srgbClr val="695185"/>
              </a:solidFill>
              <a:ln w="25400">
                <a:noFill/>
              </a:ln>
            </c:spPr>
            <c:extLst>
              <c:ext xmlns:c16="http://schemas.microsoft.com/office/drawing/2014/chart" uri="{C3380CC4-5D6E-409C-BE32-E72D297353CC}">
                <c16:uniqueId val="{00000007-4111-4A57-BC87-75A41260049A}"/>
              </c:ext>
            </c:extLst>
          </c:dPt>
          <c:dPt>
            <c:idx val="4"/>
            <c:invertIfNegative val="0"/>
            <c:bubble3D val="0"/>
            <c:spPr>
              <a:solidFill>
                <a:srgbClr val="3C8DA3"/>
              </a:solidFill>
              <a:ln w="25400">
                <a:noFill/>
              </a:ln>
            </c:spPr>
            <c:extLst>
              <c:ext xmlns:c16="http://schemas.microsoft.com/office/drawing/2014/chart" uri="{C3380CC4-5D6E-409C-BE32-E72D297353CC}">
                <c16:uniqueId val="{00000009-4111-4A57-BC87-75A41260049A}"/>
              </c:ext>
            </c:extLst>
          </c:dPt>
          <c:dPt>
            <c:idx val="5"/>
            <c:invertIfNegative val="0"/>
            <c:bubble3D val="0"/>
            <c:spPr>
              <a:solidFill>
                <a:srgbClr val="CC7B38"/>
              </a:solidFill>
              <a:ln w="25400">
                <a:noFill/>
              </a:ln>
            </c:spPr>
            <c:extLst>
              <c:ext xmlns:c16="http://schemas.microsoft.com/office/drawing/2014/chart" uri="{C3380CC4-5D6E-409C-BE32-E72D297353CC}">
                <c16:uniqueId val="{0000000B-4111-4A57-BC87-75A41260049A}"/>
              </c:ext>
            </c:extLst>
          </c:dPt>
          <c:dPt>
            <c:idx val="6"/>
            <c:invertIfNegative val="0"/>
            <c:bubble3D val="0"/>
            <c:extLst>
              <c:ext xmlns:c16="http://schemas.microsoft.com/office/drawing/2014/chart" uri="{C3380CC4-5D6E-409C-BE32-E72D297353CC}">
                <c16:uniqueId val="{0000000C-4111-4A57-BC87-75A41260049A}"/>
              </c:ext>
            </c:extLst>
          </c:dPt>
          <c:dPt>
            <c:idx val="7"/>
            <c:invertIfNegative val="0"/>
            <c:bubble3D val="0"/>
            <c:spPr>
              <a:solidFill>
                <a:srgbClr val="C0504D"/>
              </a:solidFill>
              <a:ln w="25400">
                <a:noFill/>
              </a:ln>
            </c:spPr>
            <c:extLst>
              <c:ext xmlns:c16="http://schemas.microsoft.com/office/drawing/2014/chart" uri="{C3380CC4-5D6E-409C-BE32-E72D297353CC}">
                <c16:uniqueId val="{0000000E-4111-4A57-BC87-75A41260049A}"/>
              </c:ext>
            </c:extLst>
          </c:dPt>
          <c:dPt>
            <c:idx val="8"/>
            <c:invertIfNegative val="0"/>
            <c:bubble3D val="0"/>
            <c:spPr>
              <a:solidFill>
                <a:srgbClr val="9BBB59"/>
              </a:solidFill>
              <a:ln w="25400">
                <a:noFill/>
              </a:ln>
            </c:spPr>
            <c:extLst>
              <c:ext xmlns:c16="http://schemas.microsoft.com/office/drawing/2014/chart" uri="{C3380CC4-5D6E-409C-BE32-E72D297353CC}">
                <c16:uniqueId val="{00000010-4111-4A57-BC87-75A41260049A}"/>
              </c:ext>
            </c:extLst>
          </c:dPt>
          <c:dPt>
            <c:idx val="9"/>
            <c:invertIfNegative val="0"/>
            <c:bubble3D val="0"/>
            <c:spPr>
              <a:solidFill>
                <a:srgbClr val="8064A2"/>
              </a:solidFill>
              <a:ln w="25400">
                <a:noFill/>
              </a:ln>
            </c:spPr>
            <c:extLst>
              <c:ext xmlns:c16="http://schemas.microsoft.com/office/drawing/2014/chart" uri="{C3380CC4-5D6E-409C-BE32-E72D297353CC}">
                <c16:uniqueId val="{00000012-4111-4A57-BC87-75A41260049A}"/>
              </c:ext>
            </c:extLst>
          </c:dPt>
          <c:dPt>
            <c:idx val="10"/>
            <c:invertIfNegative val="0"/>
            <c:bubble3D val="0"/>
            <c:spPr>
              <a:solidFill>
                <a:srgbClr val="4BACC6"/>
              </a:solidFill>
              <a:ln w="25400">
                <a:noFill/>
              </a:ln>
            </c:spPr>
            <c:extLst>
              <c:ext xmlns:c16="http://schemas.microsoft.com/office/drawing/2014/chart" uri="{C3380CC4-5D6E-409C-BE32-E72D297353CC}">
                <c16:uniqueId val="{00000014-4111-4A57-BC87-75A41260049A}"/>
              </c:ext>
            </c:extLst>
          </c:dPt>
          <c:dPt>
            <c:idx val="11"/>
            <c:invertIfNegative val="0"/>
            <c:bubble3D val="0"/>
            <c:spPr>
              <a:solidFill>
                <a:srgbClr val="F79646"/>
              </a:solidFill>
              <a:ln w="25400">
                <a:noFill/>
              </a:ln>
            </c:spPr>
            <c:extLst>
              <c:ext xmlns:c16="http://schemas.microsoft.com/office/drawing/2014/chart" uri="{C3380CC4-5D6E-409C-BE32-E72D297353CC}">
                <c16:uniqueId val="{00000016-4111-4A57-BC87-75A41260049A}"/>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'8a.CoProductResults'!$J$14:$J$26</c:f>
              <c:numCache>
                <c:formatCode>_(* #,##0.0_);_(* \(#,##0.0\);_(*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7-4111-4A57-BC87-75A41260049A}"/>
            </c:ext>
          </c:extLst>
        </c:ser>
        <c:dLbls>
          <c:showLegendKey val="0"/>
          <c:showVal val="0"/>
          <c:showCatName val="0"/>
          <c:showSerName val="0"/>
          <c:showPercent val="0"/>
          <c:showBubbleSize val="0"/>
        </c:dLbls>
        <c:gapWidth val="50"/>
        <c:axId val="1366688736"/>
        <c:axId val="1366692256"/>
      </c:barChart>
      <c:catAx>
        <c:axId val="13666887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92256"/>
        <c:crosses val="autoZero"/>
        <c:auto val="1"/>
        <c:lblAlgn val="ctr"/>
        <c:lblOffset val="100"/>
        <c:noMultiLvlLbl val="0"/>
      </c:catAx>
      <c:valAx>
        <c:axId val="13666922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887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317180531430596E-2"/>
          <c:y val="0.239795619674222"/>
          <c:w val="0.87818605778657299"/>
          <c:h val="0.117346792606534"/>
        </c:manualLayout>
      </c:layout>
      <c:barChart>
        <c:barDir val="col"/>
        <c:grouping val="clustered"/>
        <c:varyColors val="1"/>
        <c:ser>
          <c:idx val="0"/>
          <c:order val="0"/>
          <c:tx>
            <c:strRef>
              <c:f>'8a.CoProductResults'!$I$13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5F7B-48EE-8FF4-63412D0DAB31}"/>
              </c:ext>
            </c:extLst>
          </c:dPt>
          <c:dPt>
            <c:idx val="1"/>
            <c:invertIfNegative val="0"/>
            <c:bubble3D val="0"/>
            <c:spPr>
              <a:solidFill>
                <a:srgbClr val="9E413E"/>
              </a:solidFill>
              <a:ln w="25400">
                <a:noFill/>
              </a:ln>
            </c:spPr>
            <c:extLst>
              <c:ext xmlns:c16="http://schemas.microsoft.com/office/drawing/2014/chart" uri="{C3380CC4-5D6E-409C-BE32-E72D297353CC}">
                <c16:uniqueId val="{00000003-5F7B-48EE-8FF4-63412D0DAB31}"/>
              </c:ext>
            </c:extLst>
          </c:dPt>
          <c:dPt>
            <c:idx val="2"/>
            <c:invertIfNegative val="0"/>
            <c:bubble3D val="0"/>
            <c:spPr>
              <a:solidFill>
                <a:srgbClr val="7F9A48"/>
              </a:solidFill>
              <a:ln w="25400">
                <a:noFill/>
              </a:ln>
            </c:spPr>
            <c:extLst>
              <c:ext xmlns:c16="http://schemas.microsoft.com/office/drawing/2014/chart" uri="{C3380CC4-5D6E-409C-BE32-E72D297353CC}">
                <c16:uniqueId val="{00000005-5F7B-48EE-8FF4-63412D0DAB31}"/>
              </c:ext>
            </c:extLst>
          </c:dPt>
          <c:dPt>
            <c:idx val="3"/>
            <c:invertIfNegative val="0"/>
            <c:bubble3D val="0"/>
            <c:spPr>
              <a:solidFill>
                <a:srgbClr val="695185"/>
              </a:solidFill>
              <a:ln w="25400">
                <a:noFill/>
              </a:ln>
            </c:spPr>
            <c:extLst>
              <c:ext xmlns:c16="http://schemas.microsoft.com/office/drawing/2014/chart" uri="{C3380CC4-5D6E-409C-BE32-E72D297353CC}">
                <c16:uniqueId val="{00000007-5F7B-48EE-8FF4-63412D0DAB31}"/>
              </c:ext>
            </c:extLst>
          </c:dPt>
          <c:dPt>
            <c:idx val="4"/>
            <c:invertIfNegative val="0"/>
            <c:bubble3D val="0"/>
            <c:spPr>
              <a:solidFill>
                <a:srgbClr val="3C8DA3"/>
              </a:solidFill>
              <a:ln w="25400">
                <a:noFill/>
              </a:ln>
            </c:spPr>
            <c:extLst>
              <c:ext xmlns:c16="http://schemas.microsoft.com/office/drawing/2014/chart" uri="{C3380CC4-5D6E-409C-BE32-E72D297353CC}">
                <c16:uniqueId val="{00000009-5F7B-48EE-8FF4-63412D0DAB31}"/>
              </c:ext>
            </c:extLst>
          </c:dPt>
          <c:dPt>
            <c:idx val="5"/>
            <c:invertIfNegative val="0"/>
            <c:bubble3D val="0"/>
            <c:spPr>
              <a:solidFill>
                <a:srgbClr val="CC7B38"/>
              </a:solidFill>
              <a:ln w="25400">
                <a:noFill/>
              </a:ln>
            </c:spPr>
            <c:extLst>
              <c:ext xmlns:c16="http://schemas.microsoft.com/office/drawing/2014/chart" uri="{C3380CC4-5D6E-409C-BE32-E72D297353CC}">
                <c16:uniqueId val="{0000000B-5F7B-48EE-8FF4-63412D0DAB31}"/>
              </c:ext>
            </c:extLst>
          </c:dPt>
          <c:dPt>
            <c:idx val="6"/>
            <c:invertIfNegative val="0"/>
            <c:bubble3D val="0"/>
            <c:extLst>
              <c:ext xmlns:c16="http://schemas.microsoft.com/office/drawing/2014/chart" uri="{C3380CC4-5D6E-409C-BE32-E72D297353CC}">
                <c16:uniqueId val="{0000000C-5F7B-48EE-8FF4-63412D0DAB31}"/>
              </c:ext>
            </c:extLst>
          </c:dPt>
          <c:dPt>
            <c:idx val="7"/>
            <c:invertIfNegative val="0"/>
            <c:bubble3D val="0"/>
            <c:spPr>
              <a:solidFill>
                <a:srgbClr val="C0504D"/>
              </a:solidFill>
              <a:ln w="25400">
                <a:noFill/>
              </a:ln>
            </c:spPr>
            <c:extLst>
              <c:ext xmlns:c16="http://schemas.microsoft.com/office/drawing/2014/chart" uri="{C3380CC4-5D6E-409C-BE32-E72D297353CC}">
                <c16:uniqueId val="{0000000E-5F7B-48EE-8FF4-63412D0DAB31}"/>
              </c:ext>
            </c:extLst>
          </c:dPt>
          <c:dPt>
            <c:idx val="8"/>
            <c:invertIfNegative val="0"/>
            <c:bubble3D val="0"/>
            <c:spPr>
              <a:solidFill>
                <a:srgbClr val="9BBB59"/>
              </a:solidFill>
              <a:ln w="25400">
                <a:noFill/>
              </a:ln>
            </c:spPr>
            <c:extLst>
              <c:ext xmlns:c16="http://schemas.microsoft.com/office/drawing/2014/chart" uri="{C3380CC4-5D6E-409C-BE32-E72D297353CC}">
                <c16:uniqueId val="{00000010-5F7B-48EE-8FF4-63412D0DAB31}"/>
              </c:ext>
            </c:extLst>
          </c:dPt>
          <c:dPt>
            <c:idx val="9"/>
            <c:invertIfNegative val="0"/>
            <c:bubble3D val="0"/>
            <c:spPr>
              <a:solidFill>
                <a:srgbClr val="8064A2"/>
              </a:solidFill>
              <a:ln w="25400">
                <a:noFill/>
              </a:ln>
            </c:spPr>
            <c:extLst>
              <c:ext xmlns:c16="http://schemas.microsoft.com/office/drawing/2014/chart" uri="{C3380CC4-5D6E-409C-BE32-E72D297353CC}">
                <c16:uniqueId val="{00000012-5F7B-48EE-8FF4-63412D0DAB31}"/>
              </c:ext>
            </c:extLst>
          </c:dPt>
          <c:dPt>
            <c:idx val="10"/>
            <c:invertIfNegative val="0"/>
            <c:bubble3D val="0"/>
            <c:spPr>
              <a:solidFill>
                <a:srgbClr val="4BACC6"/>
              </a:solidFill>
              <a:ln w="25400">
                <a:noFill/>
              </a:ln>
            </c:spPr>
            <c:extLst>
              <c:ext xmlns:c16="http://schemas.microsoft.com/office/drawing/2014/chart" uri="{C3380CC4-5D6E-409C-BE32-E72D297353CC}">
                <c16:uniqueId val="{00000014-5F7B-48EE-8FF4-63412D0DAB31}"/>
              </c:ext>
            </c:extLst>
          </c:dPt>
          <c:dPt>
            <c:idx val="11"/>
            <c:invertIfNegative val="0"/>
            <c:bubble3D val="0"/>
            <c:spPr>
              <a:solidFill>
                <a:srgbClr val="F79646"/>
              </a:solidFill>
              <a:ln w="25400">
                <a:noFill/>
              </a:ln>
            </c:spPr>
            <c:extLst>
              <c:ext xmlns:c16="http://schemas.microsoft.com/office/drawing/2014/chart" uri="{C3380CC4-5D6E-409C-BE32-E72D297353CC}">
                <c16:uniqueId val="{00000016-5F7B-48EE-8FF4-63412D0DAB31}"/>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'8a.CoProductResults'!$I$14:$I$26</c:f>
              <c:numCache>
                <c:formatCode>_(* #,##0.0_);_(* \(#,##0.0\);_(* "-"??_);_(@_)</c:formatCode>
                <c:ptCount val="12"/>
                <c:pt idx="0">
                  <c:v>156.41196013289036</c:v>
                </c:pt>
                <c:pt idx="1">
                  <c:v>19.097366275369527</c:v>
                </c:pt>
                <c:pt idx="2">
                  <c:v>0</c:v>
                </c:pt>
                <c:pt idx="3">
                  <c:v>24.452209302325581</c:v>
                </c:pt>
                <c:pt idx="4">
                  <c:v>0</c:v>
                </c:pt>
                <c:pt idx="5">
                  <c:v>0</c:v>
                </c:pt>
                <c:pt idx="6">
                  <c:v>0</c:v>
                </c:pt>
                <c:pt idx="7">
                  <c:v>0</c:v>
                </c:pt>
                <c:pt idx="8">
                  <c:v>4.8333603291527822</c:v>
                </c:pt>
                <c:pt idx="9">
                  <c:v>0</c:v>
                </c:pt>
                <c:pt idx="10">
                  <c:v>0</c:v>
                </c:pt>
                <c:pt idx="11">
                  <c:v>0</c:v>
                </c:pt>
              </c:numCache>
            </c:numRef>
          </c:val>
          <c:extLst>
            <c:ext xmlns:c16="http://schemas.microsoft.com/office/drawing/2014/chart" uri="{C3380CC4-5D6E-409C-BE32-E72D297353CC}">
              <c16:uniqueId val="{00000017-5F7B-48EE-8FF4-63412D0DAB31}"/>
            </c:ext>
          </c:extLst>
        </c:ser>
        <c:dLbls>
          <c:showLegendKey val="0"/>
          <c:showVal val="0"/>
          <c:showCatName val="0"/>
          <c:showSerName val="0"/>
          <c:showPercent val="0"/>
          <c:showBubbleSize val="0"/>
        </c:dLbls>
        <c:gapWidth val="50"/>
        <c:axId val="1365011808"/>
        <c:axId val="1343500560"/>
      </c:barChart>
      <c:catAx>
        <c:axId val="136501180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500560"/>
        <c:crosses val="autoZero"/>
        <c:auto val="1"/>
        <c:lblAlgn val="ctr"/>
        <c:lblOffset val="100"/>
        <c:noMultiLvlLbl val="0"/>
      </c:catAx>
      <c:valAx>
        <c:axId val="134350056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01180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0.Usage,Licence,Disclaimer'!A50"/><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0.Usage,Licence,Disclaimer'!A1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0.Usage,Licence,Disclaimer'!A10"/><Relationship Id="rId5" Type="http://schemas.openxmlformats.org/officeDocument/2006/relationships/hyperlink" Target="#'6.PrimaryProcessing'!A1"/><Relationship Id="rId10" Type="http://schemas.openxmlformats.org/officeDocument/2006/relationships/hyperlink" Target="#'0.Usage,Licence,Disclaimer'!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2.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1.GeneralInfo'!A21"/><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1.GeneralInfo'!A10"/><Relationship Id="rId5" Type="http://schemas.openxmlformats.org/officeDocument/2006/relationships/hyperlink" Target="#'6.PrimaryProcessing'!A1"/><Relationship Id="rId10" Type="http://schemas.openxmlformats.org/officeDocument/2006/relationships/hyperlink" Target="#'1.GeneralInfo'!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3.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2.CropManagement'!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2.CropManagement'!A2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2.CropManagement'!A22"/><Relationship Id="rId5" Type="http://schemas.openxmlformats.org/officeDocument/2006/relationships/hyperlink" Target="#'6.PrimaryProcessing'!A1"/><Relationship Id="rId15" Type="http://schemas.openxmlformats.org/officeDocument/2006/relationships/hyperlink" Target="#'2.CropManagement'!A46"/><Relationship Id="rId10" Type="http://schemas.openxmlformats.org/officeDocument/2006/relationships/hyperlink" Target="#'2.CropManagement'!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2.CropManagement'!A40"/></Relationships>
</file>

<file path=xl/drawings/_rels/drawing4.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3.Sequestration'!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3.Sequestration'!A20"/><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3.Sequestration'!A11"/><Relationship Id="rId5" Type="http://schemas.openxmlformats.org/officeDocument/2006/relationships/hyperlink" Target="#'6.PrimaryProcessing'!A1"/><Relationship Id="rId10" Type="http://schemas.openxmlformats.org/officeDocument/2006/relationships/hyperlink" Target="#'3.Sequestration'!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5.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4.Livestock'!A58"/><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4.Livestock'!A36"/><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4.Livestock'!A15"/><Relationship Id="rId5" Type="http://schemas.openxmlformats.org/officeDocument/2006/relationships/hyperlink" Target="#'6.PrimaryProcessing'!A1"/><Relationship Id="rId15" Type="http://schemas.openxmlformats.org/officeDocument/2006/relationships/hyperlink" Target="#'4.Livestock'!A79"/><Relationship Id="rId10" Type="http://schemas.openxmlformats.org/officeDocument/2006/relationships/hyperlink" Target="#'4.Livestock'!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4.Livestock'!A94"/></Relationships>
</file>

<file path=xl/drawings/_rels/drawing6.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5.FieldEnergyUse'!A94"/><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5.FieldEnergyUse'!A30"/><Relationship Id="rId5" Type="http://schemas.openxmlformats.org/officeDocument/2006/relationships/hyperlink" Target="#'6.PrimaryProcessing'!A1"/><Relationship Id="rId10" Type="http://schemas.openxmlformats.org/officeDocument/2006/relationships/hyperlink" Target="#'5.FieldEnergyUse'!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7.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6.PrimaryProcessing'!A3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6.PrimaryProcessing'!A24"/><Relationship Id="rId5" Type="http://schemas.openxmlformats.org/officeDocument/2006/relationships/hyperlink" Target="#'6.PrimaryProcessing'!A1"/><Relationship Id="rId10" Type="http://schemas.openxmlformats.org/officeDocument/2006/relationships/hyperlink" Target="#'6.PrimaryProcessing'!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8.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7.Transport'!A33"/><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7.Transport'!A2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7.Transport'!A13"/><Relationship Id="rId5" Type="http://schemas.openxmlformats.org/officeDocument/2006/relationships/hyperlink" Target="#'6.PrimaryProcessing'!A1"/><Relationship Id="rId10" Type="http://schemas.openxmlformats.org/officeDocument/2006/relationships/hyperlink" Target="#'7.Transport'!A3"/><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7.Transport'!A46"/></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10.xml"/><Relationship Id="rId3" Type="http://schemas.openxmlformats.org/officeDocument/2006/relationships/chart" Target="../charts/chart3.xml"/><Relationship Id="rId21" Type="http://schemas.openxmlformats.org/officeDocument/2006/relationships/hyperlink" Target="#'8.ResultsGraphs'!A65"/><Relationship Id="rId7" Type="http://schemas.openxmlformats.org/officeDocument/2006/relationships/chart" Target="../charts/chart7.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2.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13.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5.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12.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23.xml"/><Relationship Id="rId3" Type="http://schemas.openxmlformats.org/officeDocument/2006/relationships/chart" Target="../charts/chart16.xml"/><Relationship Id="rId21" Type="http://schemas.openxmlformats.org/officeDocument/2006/relationships/hyperlink" Target="#'8.ResultsGraphs'!A65"/><Relationship Id="rId7" Type="http://schemas.openxmlformats.org/officeDocument/2006/relationships/chart" Target="../charts/chart20.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15.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26.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18.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25.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0</xdr:row>
      <xdr:rowOff>101600</xdr:rowOff>
    </xdr:from>
    <xdr:to>
      <xdr:col>16</xdr:col>
      <xdr:colOff>101600</xdr:colOff>
      <xdr:row>0</xdr:row>
      <xdr:rowOff>1295400</xdr:rowOff>
    </xdr:to>
    <xdr:grpSp>
      <xdr:nvGrpSpPr>
        <xdr:cNvPr id="24938975" name="Group 116">
          <a:extLst>
            <a:ext uri="{FF2B5EF4-FFF2-40B4-BE49-F238E27FC236}">
              <a16:creationId xmlns:a16="http://schemas.microsoft.com/office/drawing/2014/main" id="{00000000-0008-0000-0000-0000DF897C01}"/>
            </a:ext>
          </a:extLst>
        </xdr:cNvPr>
        <xdr:cNvGrpSpPr>
          <a:grpSpLocks/>
        </xdr:cNvGrpSpPr>
      </xdr:nvGrpSpPr>
      <xdr:grpSpPr bwMode="auto">
        <a:xfrm>
          <a:off x="461975" y="101600"/>
          <a:ext cx="8988451" cy="1193800"/>
          <a:chOff x="457200" y="85725"/>
          <a:chExt cx="9153525" cy="1200888"/>
        </a:xfrm>
      </xdr:grpSpPr>
      <xdr:grpSp>
        <xdr:nvGrpSpPr>
          <xdr:cNvPr id="24938990" name="Group 78">
            <a:extLst>
              <a:ext uri="{FF2B5EF4-FFF2-40B4-BE49-F238E27FC236}">
                <a16:creationId xmlns:a16="http://schemas.microsoft.com/office/drawing/2014/main" id="{00000000-0008-0000-0000-0000EE897C01}"/>
              </a:ext>
            </a:extLst>
          </xdr:cNvPr>
          <xdr:cNvGrpSpPr>
            <a:grpSpLocks/>
          </xdr:cNvGrpSpPr>
        </xdr:nvGrpSpPr>
        <xdr:grpSpPr bwMode="auto">
          <a:xfrm>
            <a:off x="457200" y="85725"/>
            <a:ext cx="9153525" cy="1200888"/>
            <a:chOff x="866774" y="104775"/>
            <a:chExt cx="9153525" cy="1200887"/>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bwMode="auto">
            <a:xfrm>
              <a:off x="866774" y="104775"/>
              <a:ext cx="8530685" cy="804850"/>
            </a:xfrm>
            <a:prstGeom prst="roundRect">
              <a:avLst/>
            </a:prstGeom>
            <a:solidFill>
              <a:srgbClr val="B6C891"/>
            </a:solidFill>
            <a:ln w="9525" algn="ctr">
              <a:solidFill>
                <a:srgbClr val="77933C"/>
              </a:solidFill>
              <a:round/>
              <a:headEnd/>
              <a:tailEnd/>
            </a:ln>
          </xdr:spPr>
          <xdr:txBody>
            <a:bodyPr vertOverflow="clip" wrap="square" lIns="182880" tIns="0" rIns="0" bIns="0" rtlCol="0" anchor="t"/>
            <a:lstStyle/>
            <a:p>
              <a:pPr algn="l" rtl="0">
                <a:defRPr sz="1000"/>
              </a:pPr>
              <a:r>
                <a:rPr lang="en-US" sz="2000" b="1" i="0" u="none" strike="noStrike" baseline="0">
                  <a:solidFill>
                    <a:srgbClr val="FFFFFF"/>
                  </a:solidFill>
                  <a:latin typeface="Myriad Pro"/>
                </a:rPr>
                <a:t>The Cool Farm Tool</a:t>
              </a:r>
            </a:p>
            <a:p>
              <a:pPr algn="l" rtl="0">
                <a:defRPr sz="1000"/>
              </a:pPr>
              <a:r>
                <a:rPr lang="en-US" sz="1200" b="1" i="0" u="none" strike="noStrike" baseline="0">
                  <a:solidFill>
                    <a:srgbClr val="FFFFFF"/>
                  </a:solidFill>
                  <a:latin typeface="Myriad Pro"/>
                </a:rPr>
                <a:t>Version 2.0 - beta 3</a:t>
              </a:r>
            </a:p>
          </xdr:txBody>
        </xdr:sp>
        <xdr:sp macro="" textlink="">
          <xdr:nvSpPr>
            <xdr:cNvPr id="41" name="Rounded Rectangle 40">
              <a:extLst>
                <a:ext uri="{FF2B5EF4-FFF2-40B4-BE49-F238E27FC236}">
                  <a16:creationId xmlns:a16="http://schemas.microsoft.com/office/drawing/2014/main" id="{00000000-0008-0000-0000-000029000000}"/>
                </a:ext>
              </a:extLst>
            </xdr:cNvPr>
            <xdr:cNvSpPr/>
          </xdr:nvSpPr>
          <xdr:spPr bwMode="auto">
            <a:xfrm>
              <a:off x="966873" y="832972"/>
              <a:ext cx="8975571" cy="472690"/>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4" name="Rounded Rectangle 43">
              <a:extLst>
                <a:ext uri="{FF2B5EF4-FFF2-40B4-BE49-F238E27FC236}">
                  <a16:creationId xmlns:a16="http://schemas.microsoft.com/office/drawing/2014/main" id="{00000000-0008-0000-0000-00002C000000}"/>
                </a:ext>
              </a:extLst>
            </xdr:cNvPr>
            <xdr:cNvSpPr/>
          </xdr:nvSpPr>
          <xdr:spPr bwMode="auto">
            <a:xfrm>
              <a:off x="966873" y="666892"/>
              <a:ext cx="1134459" cy="421588"/>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5" name="TextBox 44">
              <a:hlinkClick xmlns:r="http://schemas.openxmlformats.org/officeDocument/2006/relationships" r:id="rId1"/>
              <a:extLst>
                <a:ext uri="{FF2B5EF4-FFF2-40B4-BE49-F238E27FC236}">
                  <a16:creationId xmlns:a16="http://schemas.microsoft.com/office/drawing/2014/main" id="{00000000-0008-0000-0000-00002D000000}"/>
                </a:ext>
              </a:extLst>
            </xdr:cNvPr>
            <xdr:cNvSpPr txBox="1">
              <a:spLocks/>
            </xdr:cNvSpPr>
          </xdr:nvSpPr>
          <xdr:spPr bwMode="auto">
            <a:xfrm>
              <a:off x="1033606" y="717994"/>
              <a:ext cx="700695" cy="242732"/>
            </a:xfrm>
            <a:prstGeom prst="rect">
              <a:avLst/>
            </a:prstGeom>
            <a:solidFill>
              <a:schemeClr val="bg2">
                <a:lumMod val="2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6" name="TextBox 45">
              <a:hlinkClick xmlns:r="http://schemas.openxmlformats.org/officeDocument/2006/relationships" r:id="rId2"/>
              <a:extLst>
                <a:ext uri="{FF2B5EF4-FFF2-40B4-BE49-F238E27FC236}">
                  <a16:creationId xmlns:a16="http://schemas.microsoft.com/office/drawing/2014/main" id="{00000000-0008-0000-0000-00002E000000}"/>
                </a:ext>
              </a:extLst>
            </xdr:cNvPr>
            <xdr:cNvSpPr txBox="1"/>
          </xdr:nvSpPr>
          <xdr:spPr bwMode="auto">
            <a:xfrm>
              <a:off x="2635195" y="717994"/>
              <a:ext cx="711817"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7" name="TextBox 46">
              <a:hlinkClick xmlns:r="http://schemas.openxmlformats.org/officeDocument/2006/relationships" r:id="rId3"/>
              <a:extLst>
                <a:ext uri="{FF2B5EF4-FFF2-40B4-BE49-F238E27FC236}">
                  <a16:creationId xmlns:a16="http://schemas.microsoft.com/office/drawing/2014/main" id="{00000000-0008-0000-0000-00002F000000}"/>
                </a:ext>
              </a:extLst>
            </xdr:cNvPr>
            <xdr:cNvSpPr txBox="1"/>
          </xdr:nvSpPr>
          <xdr:spPr bwMode="auto">
            <a:xfrm>
              <a:off x="3369257" y="717994"/>
              <a:ext cx="1423635"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8" name="TextBox 47">
              <a:hlinkClick xmlns:r="http://schemas.openxmlformats.org/officeDocument/2006/relationships" r:id="rId4"/>
              <a:extLst>
                <a:ext uri="{FF2B5EF4-FFF2-40B4-BE49-F238E27FC236}">
                  <a16:creationId xmlns:a16="http://schemas.microsoft.com/office/drawing/2014/main" id="{00000000-0008-0000-0000-000030000000}"/>
                </a:ext>
              </a:extLst>
            </xdr:cNvPr>
            <xdr:cNvSpPr txBox="1"/>
          </xdr:nvSpPr>
          <xdr:spPr bwMode="auto">
            <a:xfrm>
              <a:off x="5827250" y="717994"/>
              <a:ext cx="1067726"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9" name="TextBox 48">
              <a:hlinkClick xmlns:r="http://schemas.openxmlformats.org/officeDocument/2006/relationships" r:id="rId5"/>
              <a:extLst>
                <a:ext uri="{FF2B5EF4-FFF2-40B4-BE49-F238E27FC236}">
                  <a16:creationId xmlns:a16="http://schemas.microsoft.com/office/drawing/2014/main" id="{00000000-0008-0000-0000-000031000000}"/>
                </a:ext>
              </a:extLst>
            </xdr:cNvPr>
            <xdr:cNvSpPr txBox="1"/>
          </xdr:nvSpPr>
          <xdr:spPr bwMode="auto">
            <a:xfrm>
              <a:off x="6917221" y="717994"/>
              <a:ext cx="1067726" cy="242732"/>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50" name="TextBox 49">
              <a:hlinkClick xmlns:r="http://schemas.openxmlformats.org/officeDocument/2006/relationships" r:id="rId6"/>
              <a:extLst>
                <a:ext uri="{FF2B5EF4-FFF2-40B4-BE49-F238E27FC236}">
                  <a16:creationId xmlns:a16="http://schemas.microsoft.com/office/drawing/2014/main" id="{00000000-0008-0000-0000-000032000000}"/>
                </a:ext>
              </a:extLst>
            </xdr:cNvPr>
            <xdr:cNvSpPr txBox="1"/>
          </xdr:nvSpPr>
          <xdr:spPr bwMode="auto">
            <a:xfrm>
              <a:off x="4815135" y="717994"/>
              <a:ext cx="989871"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51" name="TextBox 50">
              <a:hlinkClick xmlns:r="http://schemas.openxmlformats.org/officeDocument/2006/relationships" r:id="rId7"/>
              <a:extLst>
                <a:ext uri="{FF2B5EF4-FFF2-40B4-BE49-F238E27FC236}">
                  <a16:creationId xmlns:a16="http://schemas.microsoft.com/office/drawing/2014/main" id="{00000000-0008-0000-0000-000033000000}"/>
                </a:ext>
              </a:extLst>
            </xdr:cNvPr>
            <xdr:cNvSpPr txBox="1"/>
          </xdr:nvSpPr>
          <xdr:spPr bwMode="auto">
            <a:xfrm>
              <a:off x="8007191" y="717994"/>
              <a:ext cx="1067726"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52" name="TextBox 51">
              <a:hlinkClick xmlns:r="http://schemas.openxmlformats.org/officeDocument/2006/relationships" r:id="rId8"/>
              <a:extLst>
                <a:ext uri="{FF2B5EF4-FFF2-40B4-BE49-F238E27FC236}">
                  <a16:creationId xmlns:a16="http://schemas.microsoft.com/office/drawing/2014/main" id="{00000000-0008-0000-0000-000034000000}"/>
                </a:ext>
              </a:extLst>
            </xdr:cNvPr>
            <xdr:cNvSpPr txBox="1"/>
          </xdr:nvSpPr>
          <xdr:spPr bwMode="auto">
            <a:xfrm>
              <a:off x="1767668" y="717994"/>
              <a:ext cx="845283"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54" name="TextBox 53">
              <a:hlinkClick xmlns:r="http://schemas.openxmlformats.org/officeDocument/2006/relationships" r:id="rId9"/>
              <a:extLst>
                <a:ext uri="{FF2B5EF4-FFF2-40B4-BE49-F238E27FC236}">
                  <a16:creationId xmlns:a16="http://schemas.microsoft.com/office/drawing/2014/main" id="{00000000-0008-0000-0000-000036000000}"/>
                </a:ext>
              </a:extLst>
            </xdr:cNvPr>
            <xdr:cNvSpPr txBox="1"/>
          </xdr:nvSpPr>
          <xdr:spPr bwMode="auto">
            <a:xfrm>
              <a:off x="9097161" y="717994"/>
              <a:ext cx="923138"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6" name="Rectangle 35">
            <a:extLst>
              <a:ext uri="{FF2B5EF4-FFF2-40B4-BE49-F238E27FC236}">
                <a16:creationId xmlns:a16="http://schemas.microsoft.com/office/drawing/2014/main" id="{00000000-0008-0000-0000-000024000000}"/>
              </a:ext>
            </a:extLst>
          </xdr:cNvPr>
          <xdr:cNvSpPr/>
        </xdr:nvSpPr>
        <xdr:spPr bwMode="auto">
          <a:xfrm rot="10800000" flipV="1">
            <a:off x="690765" y="980003"/>
            <a:ext cx="1123337" cy="2810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400051</xdr:colOff>
      <xdr:row>0</xdr:row>
      <xdr:rowOff>1019175</xdr:rowOff>
    </xdr:from>
    <xdr:to>
      <xdr:col>3</xdr:col>
      <xdr:colOff>822287</xdr:colOff>
      <xdr:row>0</xdr:row>
      <xdr:rowOff>1238250</xdr:rowOff>
    </xdr:to>
    <xdr:sp macro="" textlink="">
      <xdr:nvSpPr>
        <xdr:cNvPr id="68" name="TextBox 67">
          <a:hlinkClick xmlns:r="http://schemas.openxmlformats.org/officeDocument/2006/relationships" r:id="rId10"/>
          <a:extLst>
            <a:ext uri="{FF2B5EF4-FFF2-40B4-BE49-F238E27FC236}">
              <a16:creationId xmlns:a16="http://schemas.microsoft.com/office/drawing/2014/main" id="{00000000-0008-0000-0000-000044000000}"/>
            </a:ext>
          </a:extLst>
        </xdr:cNvPr>
        <xdr:cNvSpPr txBox="1"/>
      </xdr:nvSpPr>
      <xdr:spPr bwMode="auto">
        <a:xfrm>
          <a:off x="1419226" y="1019175"/>
          <a:ext cx="970994"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License</a:t>
          </a:r>
        </a:p>
      </xdr:txBody>
    </xdr:sp>
    <xdr:clientData/>
  </xdr:twoCellAnchor>
  <xdr:twoCellAnchor editAs="absolute">
    <xdr:from>
      <xdr:col>3</xdr:col>
      <xdr:colOff>876301</xdr:colOff>
      <xdr:row>0</xdr:row>
      <xdr:rowOff>1019175</xdr:rowOff>
    </xdr:from>
    <xdr:to>
      <xdr:col>5</xdr:col>
      <xdr:colOff>99027</xdr:colOff>
      <xdr:row>0</xdr:row>
      <xdr:rowOff>1238250</xdr:rowOff>
    </xdr:to>
    <xdr:sp macro="" textlink="">
      <xdr:nvSpPr>
        <xdr:cNvPr id="69" name="TextBox 68">
          <a:hlinkClick xmlns:r="http://schemas.openxmlformats.org/officeDocument/2006/relationships" r:id="rId11"/>
          <a:extLst>
            <a:ext uri="{FF2B5EF4-FFF2-40B4-BE49-F238E27FC236}">
              <a16:creationId xmlns:a16="http://schemas.microsoft.com/office/drawing/2014/main" id="{00000000-0008-0000-0000-000045000000}"/>
            </a:ext>
          </a:extLst>
        </xdr:cNvPr>
        <xdr:cNvSpPr txBox="1"/>
      </xdr:nvSpPr>
      <xdr:spPr bwMode="auto">
        <a:xfrm>
          <a:off x="2428876" y="1019175"/>
          <a:ext cx="980709"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Disclaimer</a:t>
          </a:r>
        </a:p>
      </xdr:txBody>
    </xdr:sp>
    <xdr:clientData/>
  </xdr:twoCellAnchor>
  <xdr:twoCellAnchor editAs="absolute">
    <xdr:from>
      <xdr:col>5</xdr:col>
      <xdr:colOff>133351</xdr:colOff>
      <xdr:row>0</xdr:row>
      <xdr:rowOff>1019175</xdr:rowOff>
    </xdr:from>
    <xdr:to>
      <xdr:col>6</xdr:col>
      <xdr:colOff>614036</xdr:colOff>
      <xdr:row>0</xdr:row>
      <xdr:rowOff>1238250</xdr:rowOff>
    </xdr:to>
    <xdr:sp macro="" textlink="">
      <xdr:nvSpPr>
        <xdr:cNvPr id="70" name="TextBox 69">
          <a:hlinkClick xmlns:r="http://schemas.openxmlformats.org/officeDocument/2006/relationships" r:id="rId12"/>
          <a:extLst>
            <a:ext uri="{FF2B5EF4-FFF2-40B4-BE49-F238E27FC236}">
              <a16:creationId xmlns:a16="http://schemas.microsoft.com/office/drawing/2014/main" id="{00000000-0008-0000-0000-000046000000}"/>
            </a:ext>
          </a:extLst>
        </xdr:cNvPr>
        <xdr:cNvSpPr txBox="1"/>
      </xdr:nvSpPr>
      <xdr:spPr bwMode="auto">
        <a:xfrm>
          <a:off x="3448051" y="1019175"/>
          <a:ext cx="100064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General Use</a:t>
          </a:r>
        </a:p>
      </xdr:txBody>
    </xdr:sp>
    <xdr:clientData/>
  </xdr:twoCellAnchor>
  <xdr:twoCellAnchor editAs="absolute">
    <xdr:from>
      <xdr:col>6</xdr:col>
      <xdr:colOff>628651</xdr:colOff>
      <xdr:row>0</xdr:row>
      <xdr:rowOff>1019175</xdr:rowOff>
    </xdr:from>
    <xdr:to>
      <xdr:col>8</xdr:col>
      <xdr:colOff>436605</xdr:colOff>
      <xdr:row>0</xdr:row>
      <xdr:rowOff>1238250</xdr:rowOff>
    </xdr:to>
    <xdr:sp macro="" textlink="">
      <xdr:nvSpPr>
        <xdr:cNvPr id="71" name="TextBox 70">
          <a:hlinkClick xmlns:r="http://schemas.openxmlformats.org/officeDocument/2006/relationships" r:id="rId13"/>
          <a:extLst>
            <a:ext uri="{FF2B5EF4-FFF2-40B4-BE49-F238E27FC236}">
              <a16:creationId xmlns:a16="http://schemas.microsoft.com/office/drawing/2014/main" id="{00000000-0008-0000-0000-000047000000}"/>
            </a:ext>
          </a:extLst>
        </xdr:cNvPr>
        <xdr:cNvSpPr txBox="1"/>
      </xdr:nvSpPr>
      <xdr:spPr bwMode="auto">
        <a:xfrm>
          <a:off x="4476751" y="1019175"/>
          <a:ext cx="1009228"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Credits</a:t>
          </a:r>
        </a:p>
      </xdr:txBody>
    </xdr:sp>
    <xdr:clientData/>
  </xdr:twoCellAnchor>
  <xdr:twoCellAnchor editAs="absolute">
    <xdr:from>
      <xdr:col>6</xdr:col>
      <xdr:colOff>228600</xdr:colOff>
      <xdr:row>0</xdr:row>
      <xdr:rowOff>101600</xdr:rowOff>
    </xdr:from>
    <xdr:to>
      <xdr:col>14</xdr:col>
      <xdr:colOff>304800</xdr:colOff>
      <xdr:row>0</xdr:row>
      <xdr:rowOff>622300</xdr:rowOff>
    </xdr:to>
    <xdr:grpSp>
      <xdr:nvGrpSpPr>
        <xdr:cNvPr id="24938980" name="Group 54">
          <a:extLst>
            <a:ext uri="{FF2B5EF4-FFF2-40B4-BE49-F238E27FC236}">
              <a16:creationId xmlns:a16="http://schemas.microsoft.com/office/drawing/2014/main" id="{00000000-0008-0000-0000-0000E4897C01}"/>
            </a:ext>
          </a:extLst>
        </xdr:cNvPr>
        <xdr:cNvGrpSpPr>
          <a:grpSpLocks/>
        </xdr:cNvGrpSpPr>
      </xdr:nvGrpSpPr>
      <xdr:grpSpPr bwMode="auto">
        <a:xfrm>
          <a:off x="4091026" y="101600"/>
          <a:ext cx="4699406" cy="520700"/>
          <a:chOff x="4651422" y="144888"/>
          <a:chExt cx="4784558" cy="512703"/>
        </a:xfrm>
      </xdr:grpSpPr>
      <xdr:sp macro="" textlink="'8.ResultsGraphs'!I27">
        <xdr:nvSpPr>
          <xdr:cNvPr id="108" name="TextBox 107">
            <a:extLst>
              <a:ext uri="{FF2B5EF4-FFF2-40B4-BE49-F238E27FC236}">
                <a16:creationId xmlns:a16="http://schemas.microsoft.com/office/drawing/2014/main" id="{00000000-0008-0000-0000-00006C000000}"/>
              </a:ext>
            </a:extLst>
          </xdr:cNvPr>
          <xdr:cNvSpPr txBox="1"/>
        </xdr:nvSpPr>
        <xdr:spPr bwMode="auto">
          <a:xfrm>
            <a:off x="6498484"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5B5CD55-7AEC-394F-8A12-A04872B6F22C}"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109" name="TextBox 108">
            <a:extLst>
              <a:ext uri="{FF2B5EF4-FFF2-40B4-BE49-F238E27FC236}">
                <a16:creationId xmlns:a16="http://schemas.microsoft.com/office/drawing/2014/main" id="{00000000-0008-0000-0000-00006D000000}"/>
              </a:ext>
            </a:extLst>
          </xdr:cNvPr>
          <xdr:cNvSpPr txBox="1"/>
        </xdr:nvSpPr>
        <xdr:spPr bwMode="auto">
          <a:xfrm>
            <a:off x="7399761" y="382482"/>
            <a:ext cx="1001419"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1D6D386-5FB7-0747-819C-0E59DE634D8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110" name="TextBox 109">
            <a:extLst>
              <a:ext uri="{FF2B5EF4-FFF2-40B4-BE49-F238E27FC236}">
                <a16:creationId xmlns:a16="http://schemas.microsoft.com/office/drawing/2014/main" id="{00000000-0008-0000-0000-00006E000000}"/>
              </a:ext>
            </a:extLst>
          </xdr:cNvPr>
          <xdr:cNvSpPr txBox="1"/>
        </xdr:nvSpPr>
        <xdr:spPr bwMode="auto">
          <a:xfrm>
            <a:off x="8456815"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3C795FF-E02F-9548-A564-DB6C75DAE92B}"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111" name="TextBox 110">
            <a:extLst>
              <a:ext uri="{FF2B5EF4-FFF2-40B4-BE49-F238E27FC236}">
                <a16:creationId xmlns:a16="http://schemas.microsoft.com/office/drawing/2014/main" id="{00000000-0008-0000-0000-00006F000000}"/>
              </a:ext>
            </a:extLst>
          </xdr:cNvPr>
          <xdr:cNvSpPr txBox="1"/>
        </xdr:nvSpPr>
        <xdr:spPr bwMode="auto">
          <a:xfrm>
            <a:off x="4651422" y="144888"/>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112" name="TextBox 111">
            <a:extLst>
              <a:ext uri="{FF2B5EF4-FFF2-40B4-BE49-F238E27FC236}">
                <a16:creationId xmlns:a16="http://schemas.microsoft.com/office/drawing/2014/main" id="{00000000-0008-0000-0000-000070000000}"/>
              </a:ext>
            </a:extLst>
          </xdr:cNvPr>
          <xdr:cNvSpPr txBox="1"/>
        </xdr:nvSpPr>
        <xdr:spPr bwMode="auto">
          <a:xfrm>
            <a:off x="6498484" y="244928"/>
            <a:ext cx="968038"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842FD9FA-D786-3348-8AAE-15B5FF4BF48F}"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113" name="TextBox 112">
            <a:extLst>
              <a:ext uri="{FF2B5EF4-FFF2-40B4-BE49-F238E27FC236}">
                <a16:creationId xmlns:a16="http://schemas.microsoft.com/office/drawing/2014/main" id="{00000000-0008-0000-0000-000071000000}"/>
              </a:ext>
            </a:extLst>
          </xdr:cNvPr>
          <xdr:cNvSpPr txBox="1"/>
        </xdr:nvSpPr>
        <xdr:spPr bwMode="auto">
          <a:xfrm>
            <a:off x="7399761" y="244928"/>
            <a:ext cx="99029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FD258AD-2598-3945-980D-299D889CEA6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114" name="TextBox 113">
            <a:extLst>
              <a:ext uri="{FF2B5EF4-FFF2-40B4-BE49-F238E27FC236}">
                <a16:creationId xmlns:a16="http://schemas.microsoft.com/office/drawing/2014/main" id="{00000000-0008-0000-0000-000072000000}"/>
              </a:ext>
            </a:extLst>
          </xdr:cNvPr>
          <xdr:cNvSpPr txBox="1"/>
        </xdr:nvSpPr>
        <xdr:spPr bwMode="auto">
          <a:xfrm>
            <a:off x="8456815" y="244928"/>
            <a:ext cx="97916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18366A11-3C7D-9046-9D86-8343233E82EB}"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115" name="TextBox 114">
            <a:extLst>
              <a:ext uri="{FF2B5EF4-FFF2-40B4-BE49-F238E27FC236}">
                <a16:creationId xmlns:a16="http://schemas.microsoft.com/office/drawing/2014/main" id="{00000000-0008-0000-0000-000073000000}"/>
              </a:ext>
            </a:extLst>
          </xdr:cNvPr>
          <xdr:cNvSpPr txBox="1"/>
        </xdr:nvSpPr>
        <xdr:spPr bwMode="auto">
          <a:xfrm>
            <a:off x="4651422" y="319957"/>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116" name="TextBox 115">
            <a:extLst>
              <a:ext uri="{FF2B5EF4-FFF2-40B4-BE49-F238E27FC236}">
                <a16:creationId xmlns:a16="http://schemas.microsoft.com/office/drawing/2014/main" id="{00000000-0008-0000-0000-000074000000}"/>
              </a:ext>
            </a:extLst>
          </xdr:cNvPr>
          <xdr:cNvSpPr txBox="1"/>
        </xdr:nvSpPr>
        <xdr:spPr bwMode="auto">
          <a:xfrm>
            <a:off x="4651422" y="482522"/>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596900</xdr:colOff>
      <xdr:row>0</xdr:row>
      <xdr:rowOff>1193800</xdr:rowOff>
    </xdr:to>
    <xdr:grpSp>
      <xdr:nvGrpSpPr>
        <xdr:cNvPr id="24830521" name="Group 64">
          <a:extLst>
            <a:ext uri="{FF2B5EF4-FFF2-40B4-BE49-F238E27FC236}">
              <a16:creationId xmlns:a16="http://schemas.microsoft.com/office/drawing/2014/main" id="{00000000-0008-0000-0100-000039E27A01}"/>
            </a:ext>
          </a:extLst>
        </xdr:cNvPr>
        <xdr:cNvGrpSpPr>
          <a:grpSpLocks/>
        </xdr:cNvGrpSpPr>
      </xdr:nvGrpSpPr>
      <xdr:grpSpPr bwMode="auto">
        <a:xfrm>
          <a:off x="461975" y="88900"/>
          <a:ext cx="9081415" cy="1104900"/>
          <a:chOff x="457200" y="85725"/>
          <a:chExt cx="9153525" cy="1114425"/>
        </a:xfrm>
      </xdr:grpSpPr>
      <xdr:grpSp>
        <xdr:nvGrpSpPr>
          <xdr:cNvPr id="24830535" name="Group 78">
            <a:extLst>
              <a:ext uri="{FF2B5EF4-FFF2-40B4-BE49-F238E27FC236}">
                <a16:creationId xmlns:a16="http://schemas.microsoft.com/office/drawing/2014/main" id="{00000000-0008-0000-0100-000047E27A01}"/>
              </a:ext>
            </a:extLst>
          </xdr:cNvPr>
          <xdr:cNvGrpSpPr>
            <a:grpSpLocks/>
          </xdr:cNvGrpSpPr>
        </xdr:nvGrpSpPr>
        <xdr:grpSpPr bwMode="auto">
          <a:xfrm>
            <a:off x="457200" y="85725"/>
            <a:ext cx="9153525" cy="1114425"/>
            <a:chOff x="866774" y="104775"/>
            <a:chExt cx="9153525" cy="1114424"/>
          </a:xfrm>
        </xdr:grpSpPr>
        <xdr:sp macro="" textlink="">
          <xdr:nvSpPr>
            <xdr:cNvPr id="34" name="TextBox 33">
              <a:extLst>
                <a:ext uri="{FF2B5EF4-FFF2-40B4-BE49-F238E27FC236}">
                  <a16:creationId xmlns:a16="http://schemas.microsoft.com/office/drawing/2014/main" id="{00000000-0008-0000-0100-000022000000}"/>
                </a:ext>
              </a:extLst>
            </xdr:cNvPr>
            <xdr:cNvSpPr txBox="1"/>
          </xdr:nvSpPr>
          <xdr:spPr bwMode="auto">
            <a:xfrm>
              <a:off x="866774" y="104775"/>
              <a:ext cx="8530685"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General Info</a:t>
              </a:r>
            </a:p>
          </xdr:txBody>
        </xdr:sp>
        <xdr:sp macro="" textlink="">
          <xdr:nvSpPr>
            <xdr:cNvPr id="35" name="Rounded Rectangle 34">
              <a:extLst>
                <a:ext uri="{FF2B5EF4-FFF2-40B4-BE49-F238E27FC236}">
                  <a16:creationId xmlns:a16="http://schemas.microsoft.com/office/drawing/2014/main" id="{00000000-0008-0000-0100-000023000000}"/>
                </a:ext>
              </a:extLst>
            </xdr:cNvPr>
            <xdr:cNvSpPr/>
          </xdr:nvSpPr>
          <xdr:spPr bwMode="auto">
            <a:xfrm>
              <a:off x="966873" y="834915"/>
              <a:ext cx="897557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100-000024000000}"/>
                </a:ext>
              </a:extLst>
            </xdr:cNvPr>
            <xdr:cNvSpPr/>
          </xdr:nvSpPr>
          <xdr:spPr bwMode="auto">
            <a:xfrm>
              <a:off x="1567469" y="668392"/>
              <a:ext cx="1223436"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100-000025000000}"/>
                </a:ext>
              </a:extLst>
            </xdr:cNvPr>
            <xdr:cNvSpPr txBox="1">
              <a:spLocks/>
            </xdr:cNvSpPr>
          </xdr:nvSpPr>
          <xdr:spPr bwMode="auto">
            <a:xfrm>
              <a:off x="1033606" y="719630"/>
              <a:ext cx="700695"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100-000026000000}"/>
                </a:ext>
              </a:extLst>
            </xdr:cNvPr>
            <xdr:cNvSpPr txBox="1"/>
          </xdr:nvSpPr>
          <xdr:spPr bwMode="auto">
            <a:xfrm>
              <a:off x="2635195" y="719630"/>
              <a:ext cx="70069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100-000027000000}"/>
                </a:ext>
              </a:extLst>
            </xdr:cNvPr>
            <xdr:cNvSpPr txBox="1"/>
          </xdr:nvSpPr>
          <xdr:spPr bwMode="auto">
            <a:xfrm>
              <a:off x="3369257" y="719630"/>
              <a:ext cx="142363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100-000028000000}"/>
                </a:ext>
              </a:extLst>
            </xdr:cNvPr>
            <xdr:cNvSpPr txBox="1"/>
          </xdr:nvSpPr>
          <xdr:spPr bwMode="auto">
            <a:xfrm>
              <a:off x="5827250" y="719630"/>
              <a:ext cx="1067726"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100-000029000000}"/>
                </a:ext>
              </a:extLst>
            </xdr:cNvPr>
            <xdr:cNvSpPr txBox="1"/>
          </xdr:nvSpPr>
          <xdr:spPr bwMode="auto">
            <a:xfrm>
              <a:off x="6917221" y="719630"/>
              <a:ext cx="1067726"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100-00002A000000}"/>
                </a:ext>
              </a:extLst>
            </xdr:cNvPr>
            <xdr:cNvSpPr txBox="1"/>
          </xdr:nvSpPr>
          <xdr:spPr bwMode="auto">
            <a:xfrm>
              <a:off x="4815135" y="719630"/>
              <a:ext cx="989871"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100-00002B000000}"/>
                </a:ext>
              </a:extLst>
            </xdr:cNvPr>
            <xdr:cNvSpPr txBox="1"/>
          </xdr:nvSpPr>
          <xdr:spPr bwMode="auto">
            <a:xfrm>
              <a:off x="8007191" y="719630"/>
              <a:ext cx="1067726"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100-00002C000000}"/>
                </a:ext>
              </a:extLst>
            </xdr:cNvPr>
            <xdr:cNvSpPr txBox="1"/>
          </xdr:nvSpPr>
          <xdr:spPr bwMode="auto">
            <a:xfrm>
              <a:off x="1767668" y="719630"/>
              <a:ext cx="845283" cy="243380"/>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100-00002E000000}"/>
                </a:ext>
              </a:extLst>
            </xdr:cNvPr>
            <xdr:cNvSpPr txBox="1"/>
          </xdr:nvSpPr>
          <xdr:spPr bwMode="auto">
            <a:xfrm>
              <a:off x="9097161" y="719630"/>
              <a:ext cx="92313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100-000021000000}"/>
              </a:ext>
            </a:extLst>
          </xdr:cNvPr>
          <xdr:cNvSpPr/>
        </xdr:nvSpPr>
        <xdr:spPr bwMode="auto">
          <a:xfrm rot="10800000" flipV="1">
            <a:off x="690765" y="982389"/>
            <a:ext cx="112333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904875</xdr:colOff>
      <xdr:row>0</xdr:row>
      <xdr:rowOff>984250</xdr:rowOff>
    </xdr:from>
    <xdr:to>
      <xdr:col>3</xdr:col>
      <xdr:colOff>569057</xdr:colOff>
      <xdr:row>0</xdr:row>
      <xdr:rowOff>1190763</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100-000038000000}"/>
            </a:ext>
          </a:extLst>
        </xdr:cNvPr>
        <xdr:cNvSpPr txBox="1"/>
      </xdr:nvSpPr>
      <xdr:spPr bwMode="auto">
        <a:xfrm>
          <a:off x="116205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Location</a:t>
          </a:r>
        </a:p>
      </xdr:txBody>
    </xdr:sp>
    <xdr:clientData/>
  </xdr:twoCellAnchor>
  <xdr:twoCellAnchor editAs="absolute">
    <xdr:from>
      <xdr:col>3</xdr:col>
      <xdr:colOff>600075</xdr:colOff>
      <xdr:row>0</xdr:row>
      <xdr:rowOff>984250</xdr:rowOff>
    </xdr:from>
    <xdr:to>
      <xdr:col>4</xdr:col>
      <xdr:colOff>2590</xdr:colOff>
      <xdr:row>0</xdr:row>
      <xdr:rowOff>1190763</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100-000039000000}"/>
            </a:ext>
          </a:extLst>
        </xdr:cNvPr>
        <xdr:cNvSpPr txBox="1"/>
      </xdr:nvSpPr>
      <xdr:spPr bwMode="auto">
        <a:xfrm>
          <a:off x="218122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Area</a:t>
          </a:r>
        </a:p>
      </xdr:txBody>
    </xdr:sp>
    <xdr:clientData/>
  </xdr:twoCellAnchor>
  <xdr:twoCellAnchor editAs="absolute">
    <xdr:from>
      <xdr:col>4</xdr:col>
      <xdr:colOff>9525</xdr:colOff>
      <xdr:row>0</xdr:row>
      <xdr:rowOff>984250</xdr:rowOff>
    </xdr:from>
    <xdr:to>
      <xdr:col>4</xdr:col>
      <xdr:colOff>1135408</xdr:colOff>
      <xdr:row>0</xdr:row>
      <xdr:rowOff>1212850</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100-00003A000000}"/>
            </a:ext>
          </a:extLst>
        </xdr:cNvPr>
        <xdr:cNvSpPr txBox="1"/>
      </xdr:nvSpPr>
      <xdr:spPr bwMode="auto">
        <a:xfrm>
          <a:off x="32004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Climate</a:t>
          </a:r>
        </a:p>
      </xdr:txBody>
    </xdr:sp>
    <xdr:clientData/>
  </xdr:twoCellAnchor>
  <xdr:twoCellAnchor editAs="absolute">
    <xdr:from>
      <xdr:col>4</xdr:col>
      <xdr:colOff>1079500</xdr:colOff>
      <xdr:row>0</xdr:row>
      <xdr:rowOff>101600</xdr:rowOff>
    </xdr:from>
    <xdr:to>
      <xdr:col>9</xdr:col>
      <xdr:colOff>1118</xdr:colOff>
      <xdr:row>0</xdr:row>
      <xdr:rowOff>609600</xdr:rowOff>
    </xdr:to>
    <xdr:grpSp>
      <xdr:nvGrpSpPr>
        <xdr:cNvPr id="24830525" name="Group 54">
          <a:extLst>
            <a:ext uri="{FF2B5EF4-FFF2-40B4-BE49-F238E27FC236}">
              <a16:creationId xmlns:a16="http://schemas.microsoft.com/office/drawing/2014/main" id="{00000000-0008-0000-0100-00003DE27A01}"/>
            </a:ext>
          </a:extLst>
        </xdr:cNvPr>
        <xdr:cNvGrpSpPr>
          <a:grpSpLocks/>
        </xdr:cNvGrpSpPr>
      </xdr:nvGrpSpPr>
      <xdr:grpSpPr bwMode="auto">
        <a:xfrm>
          <a:off x="4210406" y="101600"/>
          <a:ext cx="4737202" cy="508000"/>
          <a:chOff x="4651422" y="144888"/>
          <a:chExt cx="4784558" cy="512703"/>
        </a:xfrm>
      </xdr:grpSpPr>
      <xdr:sp macro="" textlink="'8.ResultsGraphs'!I27">
        <xdr:nvSpPr>
          <xdr:cNvPr id="67" name="TextBox 66">
            <a:extLst>
              <a:ext uri="{FF2B5EF4-FFF2-40B4-BE49-F238E27FC236}">
                <a16:creationId xmlns:a16="http://schemas.microsoft.com/office/drawing/2014/main" id="{00000000-0008-0000-0100-000043000000}"/>
              </a:ext>
            </a:extLst>
          </xdr:cNvPr>
          <xdr:cNvSpPr txBox="1"/>
        </xdr:nvSpPr>
        <xdr:spPr bwMode="auto">
          <a:xfrm>
            <a:off x="6494198"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516281A-3B2C-B540-9013-8423C2807C5C}"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68" name="TextBox 67">
            <a:extLst>
              <a:ext uri="{FF2B5EF4-FFF2-40B4-BE49-F238E27FC236}">
                <a16:creationId xmlns:a16="http://schemas.microsoft.com/office/drawing/2014/main" id="{00000000-0008-0000-0100-000044000000}"/>
              </a:ext>
            </a:extLst>
          </xdr:cNvPr>
          <xdr:cNvSpPr txBox="1"/>
        </xdr:nvSpPr>
        <xdr:spPr bwMode="auto">
          <a:xfrm>
            <a:off x="7404486"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19C32F7-BABB-E94F-AA76-CCE8F744A49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9" name="TextBox 68">
            <a:extLst>
              <a:ext uri="{FF2B5EF4-FFF2-40B4-BE49-F238E27FC236}">
                <a16:creationId xmlns:a16="http://schemas.microsoft.com/office/drawing/2014/main" id="{00000000-0008-0000-0100-000045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66B021-3F03-D74E-85AF-725AB86664D9}"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70" name="TextBox 69">
            <a:extLst>
              <a:ext uri="{FF2B5EF4-FFF2-40B4-BE49-F238E27FC236}">
                <a16:creationId xmlns:a16="http://schemas.microsoft.com/office/drawing/2014/main" id="{00000000-0008-0000-0100-000046000000}"/>
              </a:ext>
            </a:extLst>
          </xdr:cNvPr>
          <xdr:cNvSpPr txBox="1"/>
        </xdr:nvSpPr>
        <xdr:spPr bwMode="auto">
          <a:xfrm>
            <a:off x="4651422" y="144888"/>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71" name="TextBox 70">
            <a:extLst>
              <a:ext uri="{FF2B5EF4-FFF2-40B4-BE49-F238E27FC236}">
                <a16:creationId xmlns:a16="http://schemas.microsoft.com/office/drawing/2014/main" id="{00000000-0008-0000-0100-000047000000}"/>
              </a:ext>
            </a:extLst>
          </xdr:cNvPr>
          <xdr:cNvSpPr txBox="1"/>
        </xdr:nvSpPr>
        <xdr:spPr bwMode="auto">
          <a:xfrm>
            <a:off x="6494198"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20CCD32-0250-844B-AC75-18CE2CA5E64C}"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72" name="TextBox 71">
            <a:extLst>
              <a:ext uri="{FF2B5EF4-FFF2-40B4-BE49-F238E27FC236}">
                <a16:creationId xmlns:a16="http://schemas.microsoft.com/office/drawing/2014/main" id="{00000000-0008-0000-0100-000048000000}"/>
              </a:ext>
            </a:extLst>
          </xdr:cNvPr>
          <xdr:cNvSpPr txBox="1"/>
        </xdr:nvSpPr>
        <xdr:spPr bwMode="auto">
          <a:xfrm>
            <a:off x="7404486" y="234611"/>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309ACB4-B1C8-854E-A4A7-D46B230833F5}"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73" name="TextBox 72">
            <a:extLst>
              <a:ext uri="{FF2B5EF4-FFF2-40B4-BE49-F238E27FC236}">
                <a16:creationId xmlns:a16="http://schemas.microsoft.com/office/drawing/2014/main" id="{00000000-0008-0000-0100-000049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E9B020-1840-C04F-BABB-42F67F7F0485}"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74" name="TextBox 73">
            <a:extLst>
              <a:ext uri="{FF2B5EF4-FFF2-40B4-BE49-F238E27FC236}">
                <a16:creationId xmlns:a16="http://schemas.microsoft.com/office/drawing/2014/main" id="{00000000-0008-0000-0100-00004A000000}"/>
              </a:ext>
            </a:extLst>
          </xdr:cNvPr>
          <xdr:cNvSpPr txBox="1"/>
        </xdr:nvSpPr>
        <xdr:spPr bwMode="auto">
          <a:xfrm>
            <a:off x="4651422" y="311516"/>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5" name="TextBox 74">
            <a:extLst>
              <a:ext uri="{FF2B5EF4-FFF2-40B4-BE49-F238E27FC236}">
                <a16:creationId xmlns:a16="http://schemas.microsoft.com/office/drawing/2014/main" id="{00000000-0008-0000-0100-00004B000000}"/>
              </a:ext>
            </a:extLst>
          </xdr:cNvPr>
          <xdr:cNvSpPr txBox="1"/>
        </xdr:nvSpPr>
        <xdr:spPr bwMode="auto">
          <a:xfrm>
            <a:off x="4651422" y="490963"/>
            <a:ext cx="176506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558800</xdr:colOff>
      <xdr:row>0</xdr:row>
      <xdr:rowOff>1193800</xdr:rowOff>
    </xdr:to>
    <xdr:grpSp>
      <xdr:nvGrpSpPr>
        <xdr:cNvPr id="25287776" name="Group 65">
          <a:extLst>
            <a:ext uri="{FF2B5EF4-FFF2-40B4-BE49-F238E27FC236}">
              <a16:creationId xmlns:a16="http://schemas.microsoft.com/office/drawing/2014/main" id="{00000000-0008-0000-0200-000060DC8101}"/>
            </a:ext>
          </a:extLst>
        </xdr:cNvPr>
        <xdr:cNvGrpSpPr>
          <a:grpSpLocks/>
        </xdr:cNvGrpSpPr>
      </xdr:nvGrpSpPr>
      <xdr:grpSpPr bwMode="auto">
        <a:xfrm>
          <a:off x="447345" y="76200"/>
          <a:ext cx="9101836" cy="1117600"/>
          <a:chOff x="476249" y="76200"/>
          <a:chExt cx="9153525" cy="1114424"/>
        </a:xfrm>
      </xdr:grpSpPr>
      <xdr:grpSp>
        <xdr:nvGrpSpPr>
          <xdr:cNvPr id="25287793" name="Group 78">
            <a:extLst>
              <a:ext uri="{FF2B5EF4-FFF2-40B4-BE49-F238E27FC236}">
                <a16:creationId xmlns:a16="http://schemas.microsoft.com/office/drawing/2014/main" id="{00000000-0008-0000-0200-000071DC8101}"/>
              </a:ext>
            </a:extLst>
          </xdr:cNvPr>
          <xdr:cNvGrpSpPr>
            <a:grpSpLocks/>
          </xdr:cNvGrpSpPr>
        </xdr:nvGrpSpPr>
        <xdr:grpSpPr bwMode="auto">
          <a:xfrm>
            <a:off x="476249" y="76200"/>
            <a:ext cx="9153525" cy="1114424"/>
            <a:chOff x="866774" y="104775"/>
            <a:chExt cx="9153525" cy="1114424"/>
          </a:xfrm>
        </xdr:grpSpPr>
        <xdr:sp macro="" textlink="">
          <xdr:nvSpPr>
            <xdr:cNvPr id="69" name="TextBox 68">
              <a:extLst>
                <a:ext uri="{FF2B5EF4-FFF2-40B4-BE49-F238E27FC236}">
                  <a16:creationId xmlns:a16="http://schemas.microsoft.com/office/drawing/2014/main" id="{00000000-0008-0000-0200-000045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Crop Management</a:t>
              </a:r>
            </a:p>
          </xdr:txBody>
        </xdr:sp>
        <xdr:sp macro="" textlink="">
          <xdr:nvSpPr>
            <xdr:cNvPr id="70" name="Rounded Rectangle 69">
              <a:extLst>
                <a:ext uri="{FF2B5EF4-FFF2-40B4-BE49-F238E27FC236}">
                  <a16:creationId xmlns:a16="http://schemas.microsoft.com/office/drawing/2014/main" id="{00000000-0008-0000-0200-000046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1" name="Rounded Rectangle 70">
              <a:extLst>
                <a:ext uri="{FF2B5EF4-FFF2-40B4-BE49-F238E27FC236}">
                  <a16:creationId xmlns:a16="http://schemas.microsoft.com/office/drawing/2014/main" id="{00000000-0008-0000-0200-000047000000}"/>
                </a:ext>
              </a:extLst>
            </xdr:cNvPr>
            <xdr:cNvSpPr/>
          </xdr:nvSpPr>
          <xdr:spPr bwMode="auto">
            <a:xfrm>
              <a:off x="2453385" y="661987"/>
              <a:ext cx="1131709"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2" name="TextBox 71">
              <a:hlinkClick xmlns:r="http://schemas.openxmlformats.org/officeDocument/2006/relationships" r:id="rId1"/>
              <a:extLst>
                <a:ext uri="{FF2B5EF4-FFF2-40B4-BE49-F238E27FC236}">
                  <a16:creationId xmlns:a16="http://schemas.microsoft.com/office/drawing/2014/main" id="{00000000-0008-0000-0200-000048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73" name="TextBox 72">
              <a:hlinkClick xmlns:r="http://schemas.openxmlformats.org/officeDocument/2006/relationships" r:id="rId2"/>
              <a:extLst>
                <a:ext uri="{FF2B5EF4-FFF2-40B4-BE49-F238E27FC236}">
                  <a16:creationId xmlns:a16="http://schemas.microsoft.com/office/drawing/2014/main" id="{00000000-0008-0000-0200-000049000000}"/>
                </a:ext>
              </a:extLst>
            </xdr:cNvPr>
            <xdr:cNvSpPr txBox="1"/>
          </xdr:nvSpPr>
          <xdr:spPr bwMode="auto">
            <a:xfrm>
              <a:off x="2642003" y="712643"/>
              <a:ext cx="698996"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74" name="TextBox 73">
              <a:hlinkClick xmlns:r="http://schemas.openxmlformats.org/officeDocument/2006/relationships" r:id="rId3"/>
              <a:extLst>
                <a:ext uri="{FF2B5EF4-FFF2-40B4-BE49-F238E27FC236}">
                  <a16:creationId xmlns:a16="http://schemas.microsoft.com/office/drawing/2014/main" id="{00000000-0008-0000-0200-00004A000000}"/>
                </a:ext>
              </a:extLst>
            </xdr:cNvPr>
            <xdr:cNvSpPr txBox="1"/>
          </xdr:nvSpPr>
          <xdr:spPr bwMode="auto">
            <a:xfrm>
              <a:off x="3374285" y="712643"/>
              <a:ext cx="142018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75" name="TextBox 74">
              <a:hlinkClick xmlns:r="http://schemas.openxmlformats.org/officeDocument/2006/relationships" r:id="rId4"/>
              <a:extLst>
                <a:ext uri="{FF2B5EF4-FFF2-40B4-BE49-F238E27FC236}">
                  <a16:creationId xmlns:a16="http://schemas.microsoft.com/office/drawing/2014/main" id="{00000000-0008-0000-0200-00004B000000}"/>
                </a:ext>
              </a:extLst>
            </xdr:cNvPr>
            <xdr:cNvSpPr txBox="1"/>
          </xdr:nvSpPr>
          <xdr:spPr bwMode="auto">
            <a:xfrm>
              <a:off x="5826320"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76" name="TextBox 75">
              <a:hlinkClick xmlns:r="http://schemas.openxmlformats.org/officeDocument/2006/relationships" r:id="rId5"/>
              <a:extLst>
                <a:ext uri="{FF2B5EF4-FFF2-40B4-BE49-F238E27FC236}">
                  <a16:creationId xmlns:a16="http://schemas.microsoft.com/office/drawing/2014/main" id="{00000000-0008-0000-0200-00004C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77" name="TextBox 76">
              <a:hlinkClick xmlns:r="http://schemas.openxmlformats.org/officeDocument/2006/relationships" r:id="rId6"/>
              <a:extLst>
                <a:ext uri="{FF2B5EF4-FFF2-40B4-BE49-F238E27FC236}">
                  <a16:creationId xmlns:a16="http://schemas.microsoft.com/office/drawing/2014/main" id="{00000000-0008-0000-0200-00004D000000}"/>
                </a:ext>
              </a:extLst>
            </xdr:cNvPr>
            <xdr:cNvSpPr txBox="1"/>
          </xdr:nvSpPr>
          <xdr:spPr bwMode="auto">
            <a:xfrm>
              <a:off x="4805564" y="712643"/>
              <a:ext cx="100966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78" name="TextBox 77">
              <a:hlinkClick xmlns:r="http://schemas.openxmlformats.org/officeDocument/2006/relationships" r:id="rId7"/>
              <a:extLst>
                <a:ext uri="{FF2B5EF4-FFF2-40B4-BE49-F238E27FC236}">
                  <a16:creationId xmlns:a16="http://schemas.microsoft.com/office/drawing/2014/main" id="{00000000-0008-0000-0200-00004E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79" name="TextBox 78">
              <a:hlinkClick xmlns:r="http://schemas.openxmlformats.org/officeDocument/2006/relationships" r:id="rId8"/>
              <a:extLst>
                <a:ext uri="{FF2B5EF4-FFF2-40B4-BE49-F238E27FC236}">
                  <a16:creationId xmlns:a16="http://schemas.microsoft.com/office/drawing/2014/main" id="{00000000-0008-0000-0200-00004F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81" name="TextBox 80">
              <a:hlinkClick xmlns:r="http://schemas.openxmlformats.org/officeDocument/2006/relationships" r:id="rId9"/>
              <a:extLst>
                <a:ext uri="{FF2B5EF4-FFF2-40B4-BE49-F238E27FC236}">
                  <a16:creationId xmlns:a16="http://schemas.microsoft.com/office/drawing/2014/main" id="{00000000-0008-0000-0200-000051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68" name="Rectangle 67">
            <a:extLst>
              <a:ext uri="{FF2B5EF4-FFF2-40B4-BE49-F238E27FC236}">
                <a16:creationId xmlns:a16="http://schemas.microsoft.com/office/drawing/2014/main" id="{00000000-0008-0000-0200-000044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1009650</xdr:colOff>
      <xdr:row>0</xdr:row>
      <xdr:rowOff>952500</xdr:rowOff>
    </xdr:from>
    <xdr:to>
      <xdr:col>3</xdr:col>
      <xdr:colOff>314221</xdr:colOff>
      <xdr:row>0</xdr:row>
      <xdr:rowOff>1181100</xdr:rowOff>
    </xdr:to>
    <xdr:sp macro="" textlink="">
      <xdr:nvSpPr>
        <xdr:cNvPr id="91" name="TextBox 90">
          <a:hlinkClick xmlns:r="http://schemas.openxmlformats.org/officeDocument/2006/relationships" r:id="rId10"/>
          <a:extLst>
            <a:ext uri="{FF2B5EF4-FFF2-40B4-BE49-F238E27FC236}">
              <a16:creationId xmlns:a16="http://schemas.microsoft.com/office/drawing/2014/main" id="{00000000-0008-0000-0200-00005B000000}"/>
            </a:ext>
          </a:extLst>
        </xdr:cNvPr>
        <xdr:cNvSpPr txBox="1"/>
      </xdr:nvSpPr>
      <xdr:spPr bwMode="auto">
        <a:xfrm>
          <a:off x="1257300" y="952500"/>
          <a:ext cx="8229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Production</a:t>
          </a:r>
        </a:p>
      </xdr:txBody>
    </xdr:sp>
    <xdr:clientData/>
  </xdr:twoCellAnchor>
  <xdr:twoCellAnchor editAs="absolute">
    <xdr:from>
      <xdr:col>3</xdr:col>
      <xdr:colOff>176403</xdr:colOff>
      <xdr:row>0</xdr:row>
      <xdr:rowOff>952500</xdr:rowOff>
    </xdr:from>
    <xdr:to>
      <xdr:col>3</xdr:col>
      <xdr:colOff>828047</xdr:colOff>
      <xdr:row>0</xdr:row>
      <xdr:rowOff>1181100</xdr:rowOff>
    </xdr:to>
    <xdr:sp macro="" textlink="">
      <xdr:nvSpPr>
        <xdr:cNvPr id="92" name="TextBox 91">
          <a:hlinkClick xmlns:r="http://schemas.openxmlformats.org/officeDocument/2006/relationships" r:id="rId11"/>
          <a:extLst>
            <a:ext uri="{FF2B5EF4-FFF2-40B4-BE49-F238E27FC236}">
              <a16:creationId xmlns:a16="http://schemas.microsoft.com/office/drawing/2014/main" id="{00000000-0008-0000-0200-00005C000000}"/>
            </a:ext>
          </a:extLst>
        </xdr:cNvPr>
        <xdr:cNvSpPr txBox="1"/>
      </xdr:nvSpPr>
      <xdr:spPr bwMode="auto">
        <a:xfrm>
          <a:off x="1939889" y="952500"/>
          <a:ext cx="577432"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Soil</a:t>
          </a:r>
        </a:p>
      </xdr:txBody>
    </xdr:sp>
    <xdr:clientData/>
  </xdr:twoCellAnchor>
  <xdr:twoCellAnchor editAs="absolute">
    <xdr:from>
      <xdr:col>3</xdr:col>
      <xdr:colOff>660329</xdr:colOff>
      <xdr:row>0</xdr:row>
      <xdr:rowOff>952500</xdr:rowOff>
    </xdr:from>
    <xdr:to>
      <xdr:col>4</xdr:col>
      <xdr:colOff>199267</xdr:colOff>
      <xdr:row>0</xdr:row>
      <xdr:rowOff>1181100</xdr:rowOff>
    </xdr:to>
    <xdr:sp macro="" textlink="">
      <xdr:nvSpPr>
        <xdr:cNvPr id="93" name="TextBox 92">
          <a:hlinkClick xmlns:r="http://schemas.openxmlformats.org/officeDocument/2006/relationships" r:id="rId12"/>
          <a:extLst>
            <a:ext uri="{FF2B5EF4-FFF2-40B4-BE49-F238E27FC236}">
              <a16:creationId xmlns:a16="http://schemas.microsoft.com/office/drawing/2014/main" id="{00000000-0008-0000-0200-00005D000000}"/>
            </a:ext>
          </a:extLst>
        </xdr:cNvPr>
        <xdr:cNvSpPr txBox="1"/>
      </xdr:nvSpPr>
      <xdr:spPr bwMode="auto">
        <a:xfrm>
          <a:off x="2357140" y="952500"/>
          <a:ext cx="1024237"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Fertiliser Use</a:t>
          </a:r>
        </a:p>
      </xdr:txBody>
    </xdr:sp>
    <xdr:clientData/>
  </xdr:twoCellAnchor>
  <xdr:twoCellAnchor editAs="absolute">
    <xdr:from>
      <xdr:col>4</xdr:col>
      <xdr:colOff>1441</xdr:colOff>
      <xdr:row>0</xdr:row>
      <xdr:rowOff>952500</xdr:rowOff>
    </xdr:from>
    <xdr:to>
      <xdr:col>4</xdr:col>
      <xdr:colOff>1474475</xdr:colOff>
      <xdr:row>0</xdr:row>
      <xdr:rowOff>1181100</xdr:rowOff>
    </xdr:to>
    <xdr:sp macro="" textlink="">
      <xdr:nvSpPr>
        <xdr:cNvPr id="94" name="TextBox 93">
          <a:hlinkClick xmlns:r="http://schemas.openxmlformats.org/officeDocument/2006/relationships" r:id="rId13"/>
          <a:extLst>
            <a:ext uri="{FF2B5EF4-FFF2-40B4-BE49-F238E27FC236}">
              <a16:creationId xmlns:a16="http://schemas.microsoft.com/office/drawing/2014/main" id="{00000000-0008-0000-0200-00005E000000}"/>
            </a:ext>
          </a:extLst>
        </xdr:cNvPr>
        <xdr:cNvSpPr txBox="1"/>
      </xdr:nvSpPr>
      <xdr:spPr bwMode="auto">
        <a:xfrm>
          <a:off x="3212727" y="952500"/>
          <a:ext cx="1291208"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Pesticide Applications</a:t>
          </a:r>
        </a:p>
      </xdr:txBody>
    </xdr:sp>
    <xdr:clientData/>
  </xdr:twoCellAnchor>
  <xdr:twoCellAnchor editAs="absolute">
    <xdr:from>
      <xdr:col>4</xdr:col>
      <xdr:colOff>1221231</xdr:colOff>
      <xdr:row>0</xdr:row>
      <xdr:rowOff>952500</xdr:rowOff>
    </xdr:from>
    <xdr:to>
      <xdr:col>6</xdr:col>
      <xdr:colOff>216484</xdr:colOff>
      <xdr:row>0</xdr:row>
      <xdr:rowOff>1181100</xdr:rowOff>
    </xdr:to>
    <xdr:sp macro="" textlink="">
      <xdr:nvSpPr>
        <xdr:cNvPr id="95" name="TextBox 94">
          <a:hlinkClick xmlns:r="http://schemas.openxmlformats.org/officeDocument/2006/relationships" r:id="rId14"/>
          <a:extLst>
            <a:ext uri="{FF2B5EF4-FFF2-40B4-BE49-F238E27FC236}">
              <a16:creationId xmlns:a16="http://schemas.microsoft.com/office/drawing/2014/main" id="{00000000-0008-0000-0200-00005F000000}"/>
            </a:ext>
          </a:extLst>
        </xdr:cNvPr>
        <xdr:cNvSpPr txBox="1"/>
      </xdr:nvSpPr>
      <xdr:spPr bwMode="auto">
        <a:xfrm>
          <a:off x="4289642" y="952500"/>
          <a:ext cx="18403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Crop Residue Management</a:t>
          </a:r>
        </a:p>
      </xdr:txBody>
    </xdr:sp>
    <xdr:clientData/>
  </xdr:twoCellAnchor>
  <xdr:twoCellAnchor editAs="absolute">
    <xdr:from>
      <xdr:col>5</xdr:col>
      <xdr:colOff>950125</xdr:colOff>
      <xdr:row>0</xdr:row>
      <xdr:rowOff>952500</xdr:rowOff>
    </xdr:from>
    <xdr:to>
      <xdr:col>7</xdr:col>
      <xdr:colOff>432549</xdr:colOff>
      <xdr:row>0</xdr:row>
      <xdr:rowOff>1181100</xdr:rowOff>
    </xdr:to>
    <xdr:sp macro="" textlink="">
      <xdr:nvSpPr>
        <xdr:cNvPr id="96" name="TextBox 95">
          <a:hlinkClick xmlns:r="http://schemas.openxmlformats.org/officeDocument/2006/relationships" r:id="rId15"/>
          <a:extLst>
            <a:ext uri="{FF2B5EF4-FFF2-40B4-BE49-F238E27FC236}">
              <a16:creationId xmlns:a16="http://schemas.microsoft.com/office/drawing/2014/main" id="{00000000-0008-0000-0200-000060000000}"/>
            </a:ext>
          </a:extLst>
        </xdr:cNvPr>
        <xdr:cNvSpPr txBox="1"/>
      </xdr:nvSpPr>
      <xdr:spPr bwMode="auto">
        <a:xfrm>
          <a:off x="5811619" y="952500"/>
          <a:ext cx="1774371"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Crop Management Results</a:t>
          </a:r>
        </a:p>
      </xdr:txBody>
    </xdr:sp>
    <xdr:clientData/>
  </xdr:twoCellAnchor>
  <xdr:twoCellAnchor editAs="absolute">
    <xdr:from>
      <xdr:col>4</xdr:col>
      <xdr:colOff>1016000</xdr:colOff>
      <xdr:row>0</xdr:row>
      <xdr:rowOff>88900</xdr:rowOff>
    </xdr:from>
    <xdr:to>
      <xdr:col>8</xdr:col>
      <xdr:colOff>838200</xdr:colOff>
      <xdr:row>0</xdr:row>
      <xdr:rowOff>609600</xdr:rowOff>
    </xdr:to>
    <xdr:grpSp>
      <xdr:nvGrpSpPr>
        <xdr:cNvPr id="25287783" name="Group 54">
          <a:extLst>
            <a:ext uri="{FF2B5EF4-FFF2-40B4-BE49-F238E27FC236}">
              <a16:creationId xmlns:a16="http://schemas.microsoft.com/office/drawing/2014/main" id="{00000000-0008-0000-0200-000067DC8101}"/>
            </a:ext>
          </a:extLst>
        </xdr:cNvPr>
        <xdr:cNvGrpSpPr>
          <a:grpSpLocks/>
        </xdr:cNvGrpSpPr>
      </xdr:nvGrpSpPr>
      <xdr:grpSpPr bwMode="auto">
        <a:xfrm>
          <a:off x="4198112" y="88900"/>
          <a:ext cx="4694123" cy="5207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200-000022000000}"/>
              </a:ext>
            </a:extLst>
          </xdr:cNvPr>
          <xdr:cNvSpPr txBox="1"/>
        </xdr:nvSpPr>
        <xdr:spPr bwMode="auto">
          <a:xfrm>
            <a:off x="6494198"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DDCDF8E-4CDD-B84A-B08E-03B2C234D052}"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35" name="TextBox 34">
            <a:extLst>
              <a:ext uri="{FF2B5EF4-FFF2-40B4-BE49-F238E27FC236}">
                <a16:creationId xmlns:a16="http://schemas.microsoft.com/office/drawing/2014/main" id="{00000000-0008-0000-0200-000023000000}"/>
              </a:ext>
            </a:extLst>
          </xdr:cNvPr>
          <xdr:cNvSpPr txBox="1"/>
        </xdr:nvSpPr>
        <xdr:spPr bwMode="auto">
          <a:xfrm>
            <a:off x="7404486" y="382482"/>
            <a:ext cx="999096"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4B248514-7622-0E4E-B0D6-48F03B7E29A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36" name="TextBox 35">
            <a:extLst>
              <a:ext uri="{FF2B5EF4-FFF2-40B4-BE49-F238E27FC236}">
                <a16:creationId xmlns:a16="http://schemas.microsoft.com/office/drawing/2014/main" id="{00000000-0008-0000-0200-000024000000}"/>
              </a:ext>
            </a:extLst>
          </xdr:cNvPr>
          <xdr:cNvSpPr txBox="1"/>
        </xdr:nvSpPr>
        <xdr:spPr bwMode="auto">
          <a:xfrm>
            <a:off x="8459086"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718E168-9FE1-474A-B0FD-9B9C12B259E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bwMode="auto">
          <a:xfrm>
            <a:off x="4651422" y="144888"/>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38" name="TextBox 37">
            <a:extLst>
              <a:ext uri="{FF2B5EF4-FFF2-40B4-BE49-F238E27FC236}">
                <a16:creationId xmlns:a16="http://schemas.microsoft.com/office/drawing/2014/main" id="{00000000-0008-0000-0200-000026000000}"/>
              </a:ext>
            </a:extLst>
          </xdr:cNvPr>
          <xdr:cNvSpPr txBox="1"/>
        </xdr:nvSpPr>
        <xdr:spPr bwMode="auto">
          <a:xfrm>
            <a:off x="6494198"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D2C11E3-6E7E-F043-9985-51A998D3F2CB}"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39" name="TextBox 38">
            <a:extLst>
              <a:ext uri="{FF2B5EF4-FFF2-40B4-BE49-F238E27FC236}">
                <a16:creationId xmlns:a16="http://schemas.microsoft.com/office/drawing/2014/main" id="{00000000-0008-0000-0200-000027000000}"/>
              </a:ext>
            </a:extLst>
          </xdr:cNvPr>
          <xdr:cNvSpPr txBox="1"/>
        </xdr:nvSpPr>
        <xdr:spPr bwMode="auto">
          <a:xfrm>
            <a:off x="7404486" y="244928"/>
            <a:ext cx="98799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B1FD647-0C6E-3A4F-BA2E-45C2CE52120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40" name="TextBox 39">
            <a:extLst>
              <a:ext uri="{FF2B5EF4-FFF2-40B4-BE49-F238E27FC236}">
                <a16:creationId xmlns:a16="http://schemas.microsoft.com/office/drawing/2014/main" id="{00000000-0008-0000-0200-000028000000}"/>
              </a:ext>
            </a:extLst>
          </xdr:cNvPr>
          <xdr:cNvSpPr txBox="1"/>
        </xdr:nvSpPr>
        <xdr:spPr bwMode="auto">
          <a:xfrm>
            <a:off x="8459086"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3E09DCC2-7A9C-D942-B01C-F597BD6FEA49}"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41" name="TextBox 40">
            <a:extLst>
              <a:ext uri="{FF2B5EF4-FFF2-40B4-BE49-F238E27FC236}">
                <a16:creationId xmlns:a16="http://schemas.microsoft.com/office/drawing/2014/main" id="{00000000-0008-0000-0200-000029000000}"/>
              </a:ext>
            </a:extLst>
          </xdr:cNvPr>
          <xdr:cNvSpPr txBox="1"/>
        </xdr:nvSpPr>
        <xdr:spPr bwMode="auto">
          <a:xfrm>
            <a:off x="4651422" y="319957"/>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42" name="TextBox 41">
            <a:extLst>
              <a:ext uri="{FF2B5EF4-FFF2-40B4-BE49-F238E27FC236}">
                <a16:creationId xmlns:a16="http://schemas.microsoft.com/office/drawing/2014/main" id="{00000000-0008-0000-0200-00002A000000}"/>
              </a:ext>
            </a:extLst>
          </xdr:cNvPr>
          <xdr:cNvSpPr txBox="1"/>
        </xdr:nvSpPr>
        <xdr:spPr bwMode="auto">
          <a:xfrm>
            <a:off x="4651422" y="482522"/>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76200</xdr:colOff>
      <xdr:row>0</xdr:row>
      <xdr:rowOff>88900</xdr:rowOff>
    </xdr:from>
    <xdr:to>
      <xdr:col>10</xdr:col>
      <xdr:colOff>901700</xdr:colOff>
      <xdr:row>0</xdr:row>
      <xdr:rowOff>1193800</xdr:rowOff>
    </xdr:to>
    <xdr:grpSp>
      <xdr:nvGrpSpPr>
        <xdr:cNvPr id="24858157" name="Group 30">
          <a:extLst>
            <a:ext uri="{FF2B5EF4-FFF2-40B4-BE49-F238E27FC236}">
              <a16:creationId xmlns:a16="http://schemas.microsoft.com/office/drawing/2014/main" id="{00000000-0008-0000-0300-00002D4E7B01}"/>
            </a:ext>
          </a:extLst>
        </xdr:cNvPr>
        <xdr:cNvGrpSpPr>
          <a:grpSpLocks/>
        </xdr:cNvGrpSpPr>
      </xdr:nvGrpSpPr>
      <xdr:grpSpPr bwMode="auto">
        <a:xfrm>
          <a:off x="449275" y="88900"/>
          <a:ext cx="9150198" cy="1104900"/>
          <a:chOff x="476249" y="76200"/>
          <a:chExt cx="9153525" cy="1114424"/>
        </a:xfrm>
      </xdr:grpSpPr>
      <xdr:grpSp>
        <xdr:nvGrpSpPr>
          <xdr:cNvPr id="24858172" name="Group 78">
            <a:extLst>
              <a:ext uri="{FF2B5EF4-FFF2-40B4-BE49-F238E27FC236}">
                <a16:creationId xmlns:a16="http://schemas.microsoft.com/office/drawing/2014/main" id="{00000000-0008-0000-0300-00003C4E7B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bwMode="auto">
            <a:xfrm>
              <a:off x="866774" y="104775"/>
              <a:ext cx="8531441"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Sequestration</a:t>
              </a:r>
            </a:p>
          </xdr:txBody>
        </xdr:sp>
        <xdr:sp macro="" textlink="">
          <xdr:nvSpPr>
            <xdr:cNvPr id="35" name="Rounded Rectangle 34">
              <a:extLst>
                <a:ext uri="{FF2B5EF4-FFF2-40B4-BE49-F238E27FC236}">
                  <a16:creationId xmlns:a16="http://schemas.microsoft.com/office/drawing/2014/main" id="{00000000-0008-0000-0300-000023000000}"/>
                </a:ext>
              </a:extLst>
            </xdr:cNvPr>
            <xdr:cNvSpPr/>
          </xdr:nvSpPr>
          <xdr:spPr bwMode="auto">
            <a:xfrm>
              <a:off x="966752" y="822105"/>
              <a:ext cx="8975787" cy="39709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300-000024000000}"/>
                </a:ext>
              </a:extLst>
            </xdr:cNvPr>
            <xdr:cNvSpPr/>
          </xdr:nvSpPr>
          <xdr:spPr bwMode="auto">
            <a:xfrm>
              <a:off x="3099612" y="668392"/>
              <a:ext cx="1988448"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300-000025000000}"/>
                </a:ext>
              </a:extLst>
            </xdr:cNvPr>
            <xdr:cNvSpPr txBox="1">
              <a:spLocks/>
            </xdr:cNvSpPr>
          </xdr:nvSpPr>
          <xdr:spPr bwMode="auto">
            <a:xfrm>
              <a:off x="1033404" y="706820"/>
              <a:ext cx="699845" cy="256189"/>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300-000026000000}"/>
                </a:ext>
              </a:extLst>
            </xdr:cNvPr>
            <xdr:cNvSpPr txBox="1"/>
          </xdr:nvSpPr>
          <xdr:spPr bwMode="auto">
            <a:xfrm>
              <a:off x="2644157" y="706820"/>
              <a:ext cx="699845"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300-000027000000}"/>
                </a:ext>
              </a:extLst>
            </xdr:cNvPr>
            <xdr:cNvSpPr txBox="1"/>
          </xdr:nvSpPr>
          <xdr:spPr bwMode="auto">
            <a:xfrm>
              <a:off x="3377328" y="706820"/>
              <a:ext cx="1399690" cy="256189"/>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300-000028000000}"/>
                </a:ext>
              </a:extLst>
            </xdr:cNvPr>
            <xdr:cNvSpPr txBox="1"/>
          </xdr:nvSpPr>
          <xdr:spPr bwMode="auto">
            <a:xfrm>
              <a:off x="5843448" y="706820"/>
              <a:ext cx="1055321"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300-000029000000}"/>
                </a:ext>
              </a:extLst>
            </xdr:cNvPr>
            <xdr:cNvSpPr txBox="1"/>
          </xdr:nvSpPr>
          <xdr:spPr bwMode="auto">
            <a:xfrm>
              <a:off x="6920987" y="706820"/>
              <a:ext cx="1055321" cy="256189"/>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300-00002A000000}"/>
                </a:ext>
              </a:extLst>
            </xdr:cNvPr>
            <xdr:cNvSpPr txBox="1"/>
          </xdr:nvSpPr>
          <xdr:spPr bwMode="auto">
            <a:xfrm>
              <a:off x="4810344" y="706820"/>
              <a:ext cx="999778"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300-00002B000000}"/>
                </a:ext>
              </a:extLst>
            </xdr:cNvPr>
            <xdr:cNvSpPr txBox="1"/>
          </xdr:nvSpPr>
          <xdr:spPr bwMode="auto">
            <a:xfrm>
              <a:off x="8020743" y="706820"/>
              <a:ext cx="1055321"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300-00002C000000}"/>
                </a:ext>
              </a:extLst>
            </xdr:cNvPr>
            <xdr:cNvSpPr txBox="1"/>
          </xdr:nvSpPr>
          <xdr:spPr bwMode="auto">
            <a:xfrm>
              <a:off x="1766574" y="706820"/>
              <a:ext cx="844257"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300-00002E000000}"/>
                </a:ext>
              </a:extLst>
            </xdr:cNvPr>
            <xdr:cNvSpPr txBox="1"/>
          </xdr:nvSpPr>
          <xdr:spPr bwMode="auto">
            <a:xfrm>
              <a:off x="9109390" y="706820"/>
              <a:ext cx="910909"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300-000021000000}"/>
              </a:ext>
            </a:extLst>
          </xdr:cNvPr>
          <xdr:cNvSpPr/>
        </xdr:nvSpPr>
        <xdr:spPr bwMode="auto">
          <a:xfrm rot="10800000" flipV="1">
            <a:off x="709531" y="972863"/>
            <a:ext cx="1121973"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914400</xdr:colOff>
      <xdr:row>0</xdr:row>
      <xdr:rowOff>971550</xdr:rowOff>
    </xdr:from>
    <xdr:to>
      <xdr:col>3</xdr:col>
      <xdr:colOff>1173067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300-000038000000}"/>
            </a:ext>
          </a:extLst>
        </xdr:cNvPr>
        <xdr:cNvSpPr txBox="1"/>
      </xdr:nvSpPr>
      <xdr:spPr bwMode="auto">
        <a:xfrm>
          <a:off x="1181100" y="962025"/>
          <a:ext cx="12763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Land Use Changes</a:t>
          </a:r>
        </a:p>
      </xdr:txBody>
    </xdr:sp>
    <xdr:clientData/>
  </xdr:twoCellAnchor>
  <xdr:twoCellAnchor editAs="absolute">
    <xdr:from>
      <xdr:col>3</xdr:col>
      <xdr:colOff>1196975</xdr:colOff>
      <xdr:row>0</xdr:row>
      <xdr:rowOff>971550</xdr:rowOff>
    </xdr:from>
    <xdr:to>
      <xdr:col>4</xdr:col>
      <xdr:colOff>1361507</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300-000039000000}"/>
            </a:ext>
          </a:extLst>
        </xdr:cNvPr>
        <xdr:cNvSpPr txBox="1"/>
      </xdr:nvSpPr>
      <xdr:spPr bwMode="auto">
        <a:xfrm>
          <a:off x="2482850" y="962025"/>
          <a:ext cx="15525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Management Changes</a:t>
          </a:r>
        </a:p>
      </xdr:txBody>
    </xdr:sp>
    <xdr:clientData/>
  </xdr:twoCellAnchor>
  <xdr:twoCellAnchor editAs="absolute">
    <xdr:from>
      <xdr:col>4</xdr:col>
      <xdr:colOff>1352550</xdr:colOff>
      <xdr:row>0</xdr:row>
      <xdr:rowOff>971550</xdr:rowOff>
    </xdr:from>
    <xdr:to>
      <xdr:col>5</xdr:col>
      <xdr:colOff>1050738</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300-00003A000000}"/>
            </a:ext>
          </a:extLst>
        </xdr:cNvPr>
        <xdr:cNvSpPr txBox="1"/>
      </xdr:nvSpPr>
      <xdr:spPr bwMode="auto">
        <a:xfrm>
          <a:off x="4060825" y="962025"/>
          <a:ext cx="119062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Tree Cropping</a:t>
          </a:r>
        </a:p>
      </xdr:txBody>
    </xdr:sp>
    <xdr:clientData/>
  </xdr:twoCellAnchor>
  <xdr:twoCellAnchor editAs="absolute">
    <xdr:from>
      <xdr:col>6</xdr:col>
      <xdr:colOff>2516</xdr:colOff>
      <xdr:row>0</xdr:row>
      <xdr:rowOff>971550</xdr:rowOff>
    </xdr:from>
    <xdr:to>
      <xdr:col>7</xdr:col>
      <xdr:colOff>317403</xdr:colOff>
      <xdr:row>0</xdr:row>
      <xdr:rowOff>1190625</xdr:rowOff>
    </xdr:to>
    <xdr:sp macro="" textlink="">
      <xdr:nvSpPr>
        <xdr:cNvPr id="59" name="TextBox 58">
          <a:hlinkClick xmlns:r="http://schemas.openxmlformats.org/officeDocument/2006/relationships" r:id="rId13"/>
          <a:extLst>
            <a:ext uri="{FF2B5EF4-FFF2-40B4-BE49-F238E27FC236}">
              <a16:creationId xmlns:a16="http://schemas.microsoft.com/office/drawing/2014/main" id="{00000000-0008-0000-0300-00003B000000}"/>
            </a:ext>
          </a:extLst>
        </xdr:cNvPr>
        <xdr:cNvSpPr txBox="1"/>
      </xdr:nvSpPr>
      <xdr:spPr bwMode="auto">
        <a:xfrm>
          <a:off x="5276850"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Sequestration Results</a:t>
          </a:r>
        </a:p>
      </xdr:txBody>
    </xdr:sp>
    <xdr:clientData/>
  </xdr:twoCellAnchor>
  <xdr:twoCellAnchor editAs="absolute">
    <xdr:from>
      <xdr:col>4</xdr:col>
      <xdr:colOff>1403908</xdr:colOff>
      <xdr:row>0</xdr:row>
      <xdr:rowOff>101600</xdr:rowOff>
    </xdr:from>
    <xdr:to>
      <xdr:col>10</xdr:col>
      <xdr:colOff>127000</xdr:colOff>
      <xdr:row>0</xdr:row>
      <xdr:rowOff>635000</xdr:rowOff>
    </xdr:to>
    <xdr:grpSp>
      <xdr:nvGrpSpPr>
        <xdr:cNvPr id="24858162" name="Group 54">
          <a:extLst>
            <a:ext uri="{FF2B5EF4-FFF2-40B4-BE49-F238E27FC236}">
              <a16:creationId xmlns:a16="http://schemas.microsoft.com/office/drawing/2014/main" id="{00000000-0008-0000-0300-0000324E7B01}"/>
            </a:ext>
          </a:extLst>
        </xdr:cNvPr>
        <xdr:cNvGrpSpPr>
          <a:grpSpLocks/>
        </xdr:cNvGrpSpPr>
      </xdr:nvGrpSpPr>
      <xdr:grpSpPr bwMode="auto">
        <a:xfrm>
          <a:off x="4227575" y="101600"/>
          <a:ext cx="4597198" cy="533400"/>
          <a:chOff x="4651422" y="144888"/>
          <a:chExt cx="4784558" cy="512703"/>
        </a:xfrm>
      </xdr:grpSpPr>
      <xdr:sp macro="" textlink="'8.ResultsGraphs'!I27">
        <xdr:nvSpPr>
          <xdr:cNvPr id="32" name="TextBox 31">
            <a:extLst>
              <a:ext uri="{FF2B5EF4-FFF2-40B4-BE49-F238E27FC236}">
                <a16:creationId xmlns:a16="http://schemas.microsoft.com/office/drawing/2014/main" id="{00000000-0008-0000-0300-000020000000}"/>
              </a:ext>
            </a:extLst>
          </xdr:cNvPr>
          <xdr:cNvSpPr txBox="1"/>
        </xdr:nvSpPr>
        <xdr:spPr bwMode="auto">
          <a:xfrm>
            <a:off x="6494198" y="376825"/>
            <a:ext cx="98799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FF86E9E5-5BF9-A04F-B63B-6026F5515458}"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45" name="TextBox 44">
            <a:extLst>
              <a:ext uri="{FF2B5EF4-FFF2-40B4-BE49-F238E27FC236}">
                <a16:creationId xmlns:a16="http://schemas.microsoft.com/office/drawing/2014/main" id="{00000000-0008-0000-0300-00002D000000}"/>
              </a:ext>
            </a:extLst>
          </xdr:cNvPr>
          <xdr:cNvSpPr txBox="1"/>
        </xdr:nvSpPr>
        <xdr:spPr bwMode="auto">
          <a:xfrm>
            <a:off x="7404486" y="376825"/>
            <a:ext cx="999096"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A9CB28C-AFB7-D54F-98D2-45DD37A3A39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0" name="TextBox 59">
            <a:extLst>
              <a:ext uri="{FF2B5EF4-FFF2-40B4-BE49-F238E27FC236}">
                <a16:creationId xmlns:a16="http://schemas.microsoft.com/office/drawing/2014/main" id="{00000000-0008-0000-0300-00003C000000}"/>
              </a:ext>
            </a:extLst>
          </xdr:cNvPr>
          <xdr:cNvSpPr txBox="1"/>
        </xdr:nvSpPr>
        <xdr:spPr bwMode="auto">
          <a:xfrm>
            <a:off x="8459086" y="376825"/>
            <a:ext cx="976894"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186A36-3E49-2740-8AAC-390E1236729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1" name="TextBox 60">
            <a:extLst>
              <a:ext uri="{FF2B5EF4-FFF2-40B4-BE49-F238E27FC236}">
                <a16:creationId xmlns:a16="http://schemas.microsoft.com/office/drawing/2014/main" id="{00000000-0008-0000-0300-00003D000000}"/>
              </a:ext>
            </a:extLst>
          </xdr:cNvPr>
          <xdr:cNvSpPr txBox="1"/>
        </xdr:nvSpPr>
        <xdr:spPr bwMode="auto">
          <a:xfrm>
            <a:off x="4651422" y="144888"/>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2" name="TextBox 61">
            <a:extLst>
              <a:ext uri="{FF2B5EF4-FFF2-40B4-BE49-F238E27FC236}">
                <a16:creationId xmlns:a16="http://schemas.microsoft.com/office/drawing/2014/main" id="{00000000-0008-0000-0300-00003E000000}"/>
              </a:ext>
            </a:extLst>
          </xdr:cNvPr>
          <xdr:cNvSpPr txBox="1"/>
        </xdr:nvSpPr>
        <xdr:spPr bwMode="auto">
          <a:xfrm>
            <a:off x="6494198"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8CCF66A-E76A-CA42-9090-145069475F9D}"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63" name="TextBox 62">
            <a:extLst>
              <a:ext uri="{FF2B5EF4-FFF2-40B4-BE49-F238E27FC236}">
                <a16:creationId xmlns:a16="http://schemas.microsoft.com/office/drawing/2014/main" id="{00000000-0008-0000-0300-00003F000000}"/>
              </a:ext>
            </a:extLst>
          </xdr:cNvPr>
          <xdr:cNvSpPr txBox="1"/>
        </xdr:nvSpPr>
        <xdr:spPr bwMode="auto">
          <a:xfrm>
            <a:off x="7404486" y="242546"/>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9DE8D71-341F-8840-8100-C5D5EDBF2CF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4" name="TextBox 63">
            <a:extLst>
              <a:ext uri="{FF2B5EF4-FFF2-40B4-BE49-F238E27FC236}">
                <a16:creationId xmlns:a16="http://schemas.microsoft.com/office/drawing/2014/main" id="{00000000-0008-0000-0300-000040000000}"/>
              </a:ext>
            </a:extLst>
          </xdr:cNvPr>
          <xdr:cNvSpPr txBox="1"/>
        </xdr:nvSpPr>
        <xdr:spPr bwMode="auto">
          <a:xfrm>
            <a:off x="8459086"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371BDB2-0A5C-7648-9C64-F90C2E294E4A}"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300-000041000000}"/>
              </a:ext>
            </a:extLst>
          </xdr:cNvPr>
          <xdr:cNvSpPr txBox="1"/>
        </xdr:nvSpPr>
        <xdr:spPr bwMode="auto">
          <a:xfrm>
            <a:off x="4651422" y="315789"/>
            <a:ext cx="1765069"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6" name="TextBox 65">
            <a:extLst>
              <a:ext uri="{FF2B5EF4-FFF2-40B4-BE49-F238E27FC236}">
                <a16:creationId xmlns:a16="http://schemas.microsoft.com/office/drawing/2014/main" id="{00000000-0008-0000-0300-000042000000}"/>
              </a:ext>
            </a:extLst>
          </xdr:cNvPr>
          <xdr:cNvSpPr txBox="1"/>
        </xdr:nvSpPr>
        <xdr:spPr bwMode="auto">
          <a:xfrm>
            <a:off x="4651422" y="486690"/>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88900</xdr:colOff>
      <xdr:row>0</xdr:row>
      <xdr:rowOff>1193800</xdr:rowOff>
    </xdr:to>
    <xdr:grpSp>
      <xdr:nvGrpSpPr>
        <xdr:cNvPr id="24720113" name="Group 32">
          <a:extLst>
            <a:ext uri="{FF2B5EF4-FFF2-40B4-BE49-F238E27FC236}">
              <a16:creationId xmlns:a16="http://schemas.microsoft.com/office/drawing/2014/main" id="{00000000-0008-0000-0400-0000F1327901}"/>
            </a:ext>
          </a:extLst>
        </xdr:cNvPr>
        <xdr:cNvGrpSpPr>
          <a:grpSpLocks/>
        </xdr:cNvGrpSpPr>
      </xdr:nvGrpSpPr>
      <xdr:grpSpPr bwMode="auto">
        <a:xfrm>
          <a:off x="461975" y="76200"/>
          <a:ext cx="9034272" cy="1117600"/>
          <a:chOff x="476249" y="76200"/>
          <a:chExt cx="9153525" cy="1114424"/>
        </a:xfrm>
      </xdr:grpSpPr>
      <xdr:grpSp>
        <xdr:nvGrpSpPr>
          <xdr:cNvPr id="24720130" name="Group 78">
            <a:extLst>
              <a:ext uri="{FF2B5EF4-FFF2-40B4-BE49-F238E27FC236}">
                <a16:creationId xmlns:a16="http://schemas.microsoft.com/office/drawing/2014/main" id="{00000000-0008-0000-0400-000002337901}"/>
              </a:ext>
            </a:extLst>
          </xdr:cNvPr>
          <xdr:cNvGrpSpPr>
            <a:grpSpLocks/>
          </xdr:cNvGrpSpPr>
        </xdr:nvGrpSpPr>
        <xdr:grpSpPr bwMode="auto">
          <a:xfrm>
            <a:off x="476249" y="76200"/>
            <a:ext cx="9153525" cy="1114424"/>
            <a:chOff x="866774" y="104775"/>
            <a:chExt cx="9153525" cy="1114424"/>
          </a:xfrm>
        </xdr:grpSpPr>
        <xdr:sp macro="" textlink="">
          <xdr:nvSpPr>
            <xdr:cNvPr id="36" name="TextBox 35">
              <a:extLst>
                <a:ext uri="{FF2B5EF4-FFF2-40B4-BE49-F238E27FC236}">
                  <a16:creationId xmlns:a16="http://schemas.microsoft.com/office/drawing/2014/main" id="{00000000-0008-0000-0400-000024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Livestock</a:t>
              </a:r>
            </a:p>
          </xdr:txBody>
        </xdr:sp>
        <xdr:sp macro="" textlink="">
          <xdr:nvSpPr>
            <xdr:cNvPr id="37" name="Rounded Rectangle 36">
              <a:extLst>
                <a:ext uri="{FF2B5EF4-FFF2-40B4-BE49-F238E27FC236}">
                  <a16:creationId xmlns:a16="http://schemas.microsoft.com/office/drawing/2014/main" id="{00000000-0008-0000-0400-000025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Rounded Rectangle 37">
              <a:extLst>
                <a:ext uri="{FF2B5EF4-FFF2-40B4-BE49-F238E27FC236}">
                  <a16:creationId xmlns:a16="http://schemas.microsoft.com/office/drawing/2014/main" id="{00000000-0008-0000-0400-000026000000}"/>
                </a:ext>
              </a:extLst>
            </xdr:cNvPr>
            <xdr:cNvSpPr/>
          </xdr:nvSpPr>
          <xdr:spPr bwMode="auto">
            <a:xfrm>
              <a:off x="4550374" y="661987"/>
              <a:ext cx="1564421"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9" name="TextBox 38">
              <a:hlinkClick xmlns:r="http://schemas.openxmlformats.org/officeDocument/2006/relationships" r:id="rId1"/>
              <a:extLst>
                <a:ext uri="{FF2B5EF4-FFF2-40B4-BE49-F238E27FC236}">
                  <a16:creationId xmlns:a16="http://schemas.microsoft.com/office/drawing/2014/main" id="{00000000-0008-0000-0400-000027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0" name="TextBox 39">
              <a:hlinkClick xmlns:r="http://schemas.openxmlformats.org/officeDocument/2006/relationships" r:id="rId2"/>
              <a:extLst>
                <a:ext uri="{FF2B5EF4-FFF2-40B4-BE49-F238E27FC236}">
                  <a16:creationId xmlns:a16="http://schemas.microsoft.com/office/drawing/2014/main" id="{00000000-0008-0000-0400-000028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400-000029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400-00002A000000}"/>
                </a:ext>
              </a:extLst>
            </xdr:cNvPr>
            <xdr:cNvSpPr txBox="1"/>
          </xdr:nvSpPr>
          <xdr:spPr bwMode="auto">
            <a:xfrm>
              <a:off x="5837415"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3" name="TextBox 42">
              <a:hlinkClick xmlns:r="http://schemas.openxmlformats.org/officeDocument/2006/relationships" r:id="rId5"/>
              <a:extLst>
                <a:ext uri="{FF2B5EF4-FFF2-40B4-BE49-F238E27FC236}">
                  <a16:creationId xmlns:a16="http://schemas.microsoft.com/office/drawing/2014/main" id="{00000000-0008-0000-0400-00002B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4" name="TextBox 43">
              <a:hlinkClick xmlns:r="http://schemas.openxmlformats.org/officeDocument/2006/relationships" r:id="rId6"/>
              <a:extLst>
                <a:ext uri="{FF2B5EF4-FFF2-40B4-BE49-F238E27FC236}">
                  <a16:creationId xmlns:a16="http://schemas.microsoft.com/office/drawing/2014/main" id="{00000000-0008-0000-0400-00002C000000}"/>
                </a:ext>
              </a:extLst>
            </xdr:cNvPr>
            <xdr:cNvSpPr txBox="1"/>
          </xdr:nvSpPr>
          <xdr:spPr bwMode="auto">
            <a:xfrm>
              <a:off x="4816659" y="712643"/>
              <a:ext cx="1009662"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5" name="TextBox 44">
              <a:hlinkClick xmlns:r="http://schemas.openxmlformats.org/officeDocument/2006/relationships" r:id="rId7"/>
              <a:extLst>
                <a:ext uri="{FF2B5EF4-FFF2-40B4-BE49-F238E27FC236}">
                  <a16:creationId xmlns:a16="http://schemas.microsoft.com/office/drawing/2014/main" id="{00000000-0008-0000-0400-00002D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6" name="TextBox 45">
              <a:hlinkClick xmlns:r="http://schemas.openxmlformats.org/officeDocument/2006/relationships" r:id="rId8"/>
              <a:extLst>
                <a:ext uri="{FF2B5EF4-FFF2-40B4-BE49-F238E27FC236}">
                  <a16:creationId xmlns:a16="http://schemas.microsoft.com/office/drawing/2014/main" id="{00000000-0008-0000-0400-00002E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8" name="TextBox 47">
              <a:hlinkClick xmlns:r="http://schemas.openxmlformats.org/officeDocument/2006/relationships" r:id="rId9"/>
              <a:extLst>
                <a:ext uri="{FF2B5EF4-FFF2-40B4-BE49-F238E27FC236}">
                  <a16:creationId xmlns:a16="http://schemas.microsoft.com/office/drawing/2014/main" id="{00000000-0008-0000-0400-000030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5" name="Rectangle 34">
            <a:extLst>
              <a:ext uri="{FF2B5EF4-FFF2-40B4-BE49-F238E27FC236}">
                <a16:creationId xmlns:a16="http://schemas.microsoft.com/office/drawing/2014/main" id="{00000000-0008-0000-0400-000023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998537</xdr:colOff>
      <xdr:row>0</xdr:row>
      <xdr:rowOff>952500</xdr:rowOff>
    </xdr:from>
    <xdr:to>
      <xdr:col>3</xdr:col>
      <xdr:colOff>513493</xdr:colOff>
      <xdr:row>0</xdr:row>
      <xdr:rowOff>1181100</xdr:rowOff>
    </xdr:to>
    <xdr:sp macro="" textlink="">
      <xdr:nvSpPr>
        <xdr:cNvPr id="58" name="TextBox 57">
          <a:hlinkClick xmlns:r="http://schemas.openxmlformats.org/officeDocument/2006/relationships" r:id="rId10"/>
          <a:extLst>
            <a:ext uri="{FF2B5EF4-FFF2-40B4-BE49-F238E27FC236}">
              <a16:creationId xmlns:a16="http://schemas.microsoft.com/office/drawing/2014/main" id="{00000000-0008-0000-0400-00003A000000}"/>
            </a:ext>
          </a:extLst>
        </xdr:cNvPr>
        <xdr:cNvSpPr txBox="1"/>
      </xdr:nvSpPr>
      <xdr:spPr bwMode="auto">
        <a:xfrm>
          <a:off x="1257300" y="952500"/>
          <a:ext cx="7315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Life cycle</a:t>
          </a:r>
        </a:p>
      </xdr:txBody>
    </xdr:sp>
    <xdr:clientData/>
  </xdr:twoCellAnchor>
  <xdr:twoCellAnchor editAs="absolute">
    <xdr:from>
      <xdr:col>3</xdr:col>
      <xdr:colOff>360396</xdr:colOff>
      <xdr:row>0</xdr:row>
      <xdr:rowOff>952500</xdr:rowOff>
    </xdr:from>
    <xdr:to>
      <xdr:col>3</xdr:col>
      <xdr:colOff>1400948</xdr:colOff>
      <xdr:row>0</xdr:row>
      <xdr:rowOff>1181100</xdr:rowOff>
    </xdr:to>
    <xdr:sp macro="" textlink="">
      <xdr:nvSpPr>
        <xdr:cNvPr id="59" name="TextBox 58">
          <a:hlinkClick xmlns:r="http://schemas.openxmlformats.org/officeDocument/2006/relationships" r:id="rId11"/>
          <a:extLst>
            <a:ext uri="{FF2B5EF4-FFF2-40B4-BE49-F238E27FC236}">
              <a16:creationId xmlns:a16="http://schemas.microsoft.com/office/drawing/2014/main" id="{00000000-0008-0000-0400-00003B000000}"/>
            </a:ext>
          </a:extLst>
        </xdr:cNvPr>
        <xdr:cNvSpPr txBox="1"/>
      </xdr:nvSpPr>
      <xdr:spPr bwMode="auto">
        <a:xfrm>
          <a:off x="1887093" y="952500"/>
          <a:ext cx="9144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Juvenile </a:t>
          </a:r>
        </a:p>
      </xdr:txBody>
    </xdr:sp>
    <xdr:clientData/>
  </xdr:twoCellAnchor>
  <xdr:twoCellAnchor editAs="absolute">
    <xdr:from>
      <xdr:col>3</xdr:col>
      <xdr:colOff>1311282</xdr:colOff>
      <xdr:row>0</xdr:row>
      <xdr:rowOff>952500</xdr:rowOff>
    </xdr:from>
    <xdr:to>
      <xdr:col>4</xdr:col>
      <xdr:colOff>1051288</xdr:colOff>
      <xdr:row>0</xdr:row>
      <xdr:rowOff>1181100</xdr:rowOff>
    </xdr:to>
    <xdr:sp macro="" textlink="">
      <xdr:nvSpPr>
        <xdr:cNvPr id="60" name="TextBox 59">
          <a:hlinkClick xmlns:r="http://schemas.openxmlformats.org/officeDocument/2006/relationships" r:id="rId12"/>
          <a:extLst>
            <a:ext uri="{FF2B5EF4-FFF2-40B4-BE49-F238E27FC236}">
              <a16:creationId xmlns:a16="http://schemas.microsoft.com/office/drawing/2014/main" id="{00000000-0008-0000-0400-00003C000000}"/>
            </a:ext>
          </a:extLst>
        </xdr:cNvPr>
        <xdr:cNvSpPr txBox="1"/>
      </xdr:nvSpPr>
      <xdr:spPr bwMode="auto">
        <a:xfrm>
          <a:off x="2699766" y="952500"/>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Adult Productive </a:t>
          </a:r>
        </a:p>
      </xdr:txBody>
    </xdr:sp>
    <xdr:clientData/>
  </xdr:twoCellAnchor>
  <xdr:twoCellAnchor editAs="absolute">
    <xdr:from>
      <xdr:col>4</xdr:col>
      <xdr:colOff>960474</xdr:colOff>
      <xdr:row>0</xdr:row>
      <xdr:rowOff>952500</xdr:rowOff>
    </xdr:from>
    <xdr:to>
      <xdr:col>5</xdr:col>
      <xdr:colOff>560529</xdr:colOff>
      <xdr:row>0</xdr:row>
      <xdr:rowOff>1181100</xdr:rowOff>
    </xdr:to>
    <xdr:sp macro="" textlink="">
      <xdr:nvSpPr>
        <xdr:cNvPr id="61" name="TextBox 60">
          <a:hlinkClick xmlns:r="http://schemas.openxmlformats.org/officeDocument/2006/relationships" r:id="rId13"/>
          <a:extLst>
            <a:ext uri="{FF2B5EF4-FFF2-40B4-BE49-F238E27FC236}">
              <a16:creationId xmlns:a16="http://schemas.microsoft.com/office/drawing/2014/main" id="{00000000-0008-0000-0400-00003D000000}"/>
            </a:ext>
          </a:extLst>
        </xdr:cNvPr>
        <xdr:cNvSpPr txBox="1"/>
      </xdr:nvSpPr>
      <xdr:spPr bwMode="auto">
        <a:xfrm>
          <a:off x="3878199" y="952500"/>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Adult Non-productive </a:t>
          </a:r>
        </a:p>
      </xdr:txBody>
    </xdr:sp>
    <xdr:clientData/>
  </xdr:twoCellAnchor>
  <xdr:twoCellAnchor editAs="absolute">
    <xdr:from>
      <xdr:col>6</xdr:col>
      <xdr:colOff>485775</xdr:colOff>
      <xdr:row>0</xdr:row>
      <xdr:rowOff>952500</xdr:rowOff>
    </xdr:from>
    <xdr:to>
      <xdr:col>7</xdr:col>
      <xdr:colOff>441504</xdr:colOff>
      <xdr:row>0</xdr:row>
      <xdr:rowOff>1171575</xdr:rowOff>
    </xdr:to>
    <xdr:sp macro="" textlink="">
      <xdr:nvSpPr>
        <xdr:cNvPr id="62" name="TextBox 61">
          <a:hlinkClick xmlns:r="http://schemas.openxmlformats.org/officeDocument/2006/relationships" r:id="rId14"/>
          <a:extLst>
            <a:ext uri="{FF2B5EF4-FFF2-40B4-BE49-F238E27FC236}">
              <a16:creationId xmlns:a16="http://schemas.microsoft.com/office/drawing/2014/main" id="{00000000-0008-0000-0400-00003E000000}"/>
            </a:ext>
          </a:extLst>
        </xdr:cNvPr>
        <xdr:cNvSpPr txBox="1"/>
      </xdr:nvSpPr>
      <xdr:spPr bwMode="auto">
        <a:xfrm>
          <a:off x="6581775" y="952500"/>
          <a:ext cx="92392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Results</a:t>
          </a:r>
        </a:p>
      </xdr:txBody>
    </xdr:sp>
    <xdr:clientData/>
  </xdr:twoCellAnchor>
  <xdr:twoCellAnchor editAs="absolute">
    <xdr:from>
      <xdr:col>5</xdr:col>
      <xdr:colOff>409600</xdr:colOff>
      <xdr:row>0</xdr:row>
      <xdr:rowOff>952500</xdr:rowOff>
    </xdr:from>
    <xdr:to>
      <xdr:col>6</xdr:col>
      <xdr:colOff>608204</xdr:colOff>
      <xdr:row>0</xdr:row>
      <xdr:rowOff>1181100</xdr:rowOff>
    </xdr:to>
    <xdr:sp macro="" textlink="">
      <xdr:nvSpPr>
        <xdr:cNvPr id="63" name="TextBox 62">
          <a:hlinkClick xmlns:r="http://schemas.openxmlformats.org/officeDocument/2006/relationships" r:id="rId15"/>
          <a:extLst>
            <a:ext uri="{FF2B5EF4-FFF2-40B4-BE49-F238E27FC236}">
              <a16:creationId xmlns:a16="http://schemas.microsoft.com/office/drawing/2014/main" id="{00000000-0008-0000-0400-00003F000000}"/>
            </a:ext>
          </a:extLst>
        </xdr:cNvPr>
        <xdr:cNvSpPr txBox="1"/>
      </xdr:nvSpPr>
      <xdr:spPr bwMode="auto">
        <a:xfrm>
          <a:off x="5330952" y="952500"/>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Animal Residue </a:t>
          </a:r>
        </a:p>
      </xdr:txBody>
    </xdr:sp>
    <xdr:clientData/>
  </xdr:twoCellAnchor>
  <xdr:twoCellAnchor editAs="absolute">
    <xdr:from>
      <xdr:col>4</xdr:col>
      <xdr:colOff>1219200</xdr:colOff>
      <xdr:row>0</xdr:row>
      <xdr:rowOff>101600</xdr:rowOff>
    </xdr:from>
    <xdr:to>
      <xdr:col>8</xdr:col>
      <xdr:colOff>622300</xdr:colOff>
      <xdr:row>0</xdr:row>
      <xdr:rowOff>609600</xdr:rowOff>
    </xdr:to>
    <xdr:grpSp>
      <xdr:nvGrpSpPr>
        <xdr:cNvPr id="24720120" name="Group 54">
          <a:extLst>
            <a:ext uri="{FF2B5EF4-FFF2-40B4-BE49-F238E27FC236}">
              <a16:creationId xmlns:a16="http://schemas.microsoft.com/office/drawing/2014/main" id="{00000000-0008-0000-0400-0000F8327901}"/>
            </a:ext>
          </a:extLst>
        </xdr:cNvPr>
        <xdr:cNvGrpSpPr>
          <a:grpSpLocks/>
        </xdr:cNvGrpSpPr>
      </xdr:nvGrpSpPr>
      <xdr:grpSpPr bwMode="auto">
        <a:xfrm>
          <a:off x="4218432" y="101600"/>
          <a:ext cx="4640783" cy="5080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400-000022000000}"/>
              </a:ext>
            </a:extLst>
          </xdr:cNvPr>
          <xdr:cNvSpPr txBox="1"/>
        </xdr:nvSpPr>
        <xdr:spPr bwMode="auto">
          <a:xfrm>
            <a:off x="6505299" y="388422"/>
            <a:ext cx="96579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97064D-BFAC-A54A-A80F-2F56BF6EF0FA}"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47" name="TextBox 46">
            <a:extLst>
              <a:ext uri="{FF2B5EF4-FFF2-40B4-BE49-F238E27FC236}">
                <a16:creationId xmlns:a16="http://schemas.microsoft.com/office/drawing/2014/main" id="{00000000-0008-0000-0400-00002F000000}"/>
              </a:ext>
            </a:extLst>
          </xdr:cNvPr>
          <xdr:cNvSpPr txBox="1"/>
        </xdr:nvSpPr>
        <xdr:spPr bwMode="auto">
          <a:xfrm>
            <a:off x="7393384"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8507711-E5F2-6042-94FB-46CFE598ADBE}"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4" name="TextBox 63">
            <a:extLst>
              <a:ext uri="{FF2B5EF4-FFF2-40B4-BE49-F238E27FC236}">
                <a16:creationId xmlns:a16="http://schemas.microsoft.com/office/drawing/2014/main" id="{00000000-0008-0000-0400-000040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B2D4F7A-DD2B-9F4E-93BC-C1CA15FAAC5A}"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bwMode="auto">
          <a:xfrm>
            <a:off x="4651422" y="144888"/>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6" name="TextBox 65">
            <a:extLst>
              <a:ext uri="{FF2B5EF4-FFF2-40B4-BE49-F238E27FC236}">
                <a16:creationId xmlns:a16="http://schemas.microsoft.com/office/drawing/2014/main" id="{00000000-0008-0000-0400-000042000000}"/>
              </a:ext>
            </a:extLst>
          </xdr:cNvPr>
          <xdr:cNvSpPr txBox="1"/>
        </xdr:nvSpPr>
        <xdr:spPr bwMode="auto">
          <a:xfrm>
            <a:off x="6505299" y="234611"/>
            <a:ext cx="954691"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4230244-70F0-C549-BEAB-E9138637CB6F}"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67" name="TextBox 66">
            <a:extLst>
              <a:ext uri="{FF2B5EF4-FFF2-40B4-BE49-F238E27FC236}">
                <a16:creationId xmlns:a16="http://schemas.microsoft.com/office/drawing/2014/main" id="{00000000-0008-0000-0400-000043000000}"/>
              </a:ext>
            </a:extLst>
          </xdr:cNvPr>
          <xdr:cNvSpPr txBox="1"/>
        </xdr:nvSpPr>
        <xdr:spPr bwMode="auto">
          <a:xfrm>
            <a:off x="7393384" y="234611"/>
            <a:ext cx="999096"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C8A3D31-52F3-4447-B8F6-2F71B3B1CFD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8" name="TextBox 67">
            <a:extLst>
              <a:ext uri="{FF2B5EF4-FFF2-40B4-BE49-F238E27FC236}">
                <a16:creationId xmlns:a16="http://schemas.microsoft.com/office/drawing/2014/main" id="{00000000-0008-0000-0400-000044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674D0BF8-73D3-7442-8A56-24007AF7CAC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9" name="TextBox 68">
            <a:extLst>
              <a:ext uri="{FF2B5EF4-FFF2-40B4-BE49-F238E27FC236}">
                <a16:creationId xmlns:a16="http://schemas.microsoft.com/office/drawing/2014/main" id="{00000000-0008-0000-0400-000045000000}"/>
              </a:ext>
            </a:extLst>
          </xdr:cNvPr>
          <xdr:cNvSpPr txBox="1"/>
        </xdr:nvSpPr>
        <xdr:spPr bwMode="auto">
          <a:xfrm>
            <a:off x="4651422" y="311516"/>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bwMode="auto">
          <a:xfrm>
            <a:off x="4651422" y="490963"/>
            <a:ext cx="1776170"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7</xdr:col>
      <xdr:colOff>0</xdr:colOff>
      <xdr:row>0</xdr:row>
      <xdr:rowOff>1193800</xdr:rowOff>
    </xdr:to>
    <xdr:grpSp>
      <xdr:nvGrpSpPr>
        <xdr:cNvPr id="24993165" name="Group 28">
          <a:extLst>
            <a:ext uri="{FF2B5EF4-FFF2-40B4-BE49-F238E27FC236}">
              <a16:creationId xmlns:a16="http://schemas.microsoft.com/office/drawing/2014/main" id="{00000000-0008-0000-0500-00008D5D7D01}"/>
            </a:ext>
          </a:extLst>
        </xdr:cNvPr>
        <xdr:cNvGrpSpPr>
          <a:grpSpLocks/>
        </xdr:cNvGrpSpPr>
      </xdr:nvGrpSpPr>
      <xdr:grpSpPr bwMode="auto">
        <a:xfrm>
          <a:off x="461975" y="76200"/>
          <a:ext cx="9194089" cy="1117600"/>
          <a:chOff x="476249" y="76200"/>
          <a:chExt cx="9153525" cy="1114424"/>
        </a:xfrm>
      </xdr:grpSpPr>
      <xdr:grpSp>
        <xdr:nvGrpSpPr>
          <xdr:cNvPr id="24993179" name="Group 78">
            <a:extLst>
              <a:ext uri="{FF2B5EF4-FFF2-40B4-BE49-F238E27FC236}">
                <a16:creationId xmlns:a16="http://schemas.microsoft.com/office/drawing/2014/main" id="{00000000-0008-0000-0500-00009B5D7D01}"/>
              </a:ext>
            </a:extLst>
          </xdr:cNvPr>
          <xdr:cNvGrpSpPr>
            <a:grpSpLocks/>
          </xdr:cNvGrpSpPr>
        </xdr:nvGrpSpPr>
        <xdr:grpSpPr bwMode="auto">
          <a:xfrm>
            <a:off x="476249" y="76200"/>
            <a:ext cx="9153525" cy="1114424"/>
            <a:chOff x="866774" y="104775"/>
            <a:chExt cx="9153525" cy="1114424"/>
          </a:xfrm>
        </xdr:grpSpPr>
        <xdr:sp macro="" textlink="">
          <xdr:nvSpPr>
            <xdr:cNvPr id="32" name="TextBox 31">
              <a:extLst>
                <a:ext uri="{FF2B5EF4-FFF2-40B4-BE49-F238E27FC236}">
                  <a16:creationId xmlns:a16="http://schemas.microsoft.com/office/drawing/2014/main" id="{00000000-0008-0000-0500-000020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Field Energy Use</a:t>
              </a:r>
            </a:p>
          </xdr:txBody>
        </xdr:sp>
        <xdr:sp macro="" textlink="">
          <xdr:nvSpPr>
            <xdr:cNvPr id="33" name="Rounded Rectangle 32">
              <a:extLst>
                <a:ext uri="{FF2B5EF4-FFF2-40B4-BE49-F238E27FC236}">
                  <a16:creationId xmlns:a16="http://schemas.microsoft.com/office/drawing/2014/main" id="{00000000-0008-0000-0500-000021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4" name="Rounded Rectangle 33">
              <a:extLst>
                <a:ext uri="{FF2B5EF4-FFF2-40B4-BE49-F238E27FC236}">
                  <a16:creationId xmlns:a16="http://schemas.microsoft.com/office/drawing/2014/main" id="{00000000-0008-0000-0500-000022000000}"/>
                </a:ext>
              </a:extLst>
            </xdr:cNvPr>
            <xdr:cNvSpPr/>
          </xdr:nvSpPr>
          <xdr:spPr bwMode="auto">
            <a:xfrm>
              <a:off x="5593321" y="661987"/>
              <a:ext cx="159770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5" name="TextBox 34">
              <a:hlinkClick xmlns:r="http://schemas.openxmlformats.org/officeDocument/2006/relationships" r:id="rId1"/>
              <a:extLst>
                <a:ext uri="{FF2B5EF4-FFF2-40B4-BE49-F238E27FC236}">
                  <a16:creationId xmlns:a16="http://schemas.microsoft.com/office/drawing/2014/main" id="{00000000-0008-0000-0500-000023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6" name="TextBox 35">
              <a:hlinkClick xmlns:r="http://schemas.openxmlformats.org/officeDocument/2006/relationships" r:id="rId2"/>
              <a:extLst>
                <a:ext uri="{FF2B5EF4-FFF2-40B4-BE49-F238E27FC236}">
                  <a16:creationId xmlns:a16="http://schemas.microsoft.com/office/drawing/2014/main" id="{00000000-0008-0000-0500-000024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7" name="TextBox 36">
              <a:hlinkClick xmlns:r="http://schemas.openxmlformats.org/officeDocument/2006/relationships" r:id="rId3"/>
              <a:extLst>
                <a:ext uri="{FF2B5EF4-FFF2-40B4-BE49-F238E27FC236}">
                  <a16:creationId xmlns:a16="http://schemas.microsoft.com/office/drawing/2014/main" id="{00000000-0008-0000-0500-000025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38" name="TextBox 37">
              <a:hlinkClick xmlns:r="http://schemas.openxmlformats.org/officeDocument/2006/relationships" r:id="rId4"/>
              <a:extLst>
                <a:ext uri="{FF2B5EF4-FFF2-40B4-BE49-F238E27FC236}">
                  <a16:creationId xmlns:a16="http://schemas.microsoft.com/office/drawing/2014/main" id="{00000000-0008-0000-0500-000026000000}"/>
                </a:ext>
              </a:extLst>
            </xdr:cNvPr>
            <xdr:cNvSpPr txBox="1"/>
          </xdr:nvSpPr>
          <xdr:spPr bwMode="auto">
            <a:xfrm>
              <a:off x="5837415" y="712643"/>
              <a:ext cx="1065137"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39" name="TextBox 38">
              <a:hlinkClick xmlns:r="http://schemas.openxmlformats.org/officeDocument/2006/relationships" r:id="rId5"/>
              <a:extLst>
                <a:ext uri="{FF2B5EF4-FFF2-40B4-BE49-F238E27FC236}">
                  <a16:creationId xmlns:a16="http://schemas.microsoft.com/office/drawing/2014/main" id="{00000000-0008-0000-0500-000027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0" name="TextBox 39">
              <a:hlinkClick xmlns:r="http://schemas.openxmlformats.org/officeDocument/2006/relationships" r:id="rId6"/>
              <a:extLst>
                <a:ext uri="{FF2B5EF4-FFF2-40B4-BE49-F238E27FC236}">
                  <a16:creationId xmlns:a16="http://schemas.microsoft.com/office/drawing/2014/main" id="{00000000-0008-0000-0500-000028000000}"/>
                </a:ext>
              </a:extLst>
            </xdr:cNvPr>
            <xdr:cNvSpPr txBox="1"/>
          </xdr:nvSpPr>
          <xdr:spPr bwMode="auto">
            <a:xfrm>
              <a:off x="4794468" y="712643"/>
              <a:ext cx="103185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1" name="TextBox 40">
              <a:hlinkClick xmlns:r="http://schemas.openxmlformats.org/officeDocument/2006/relationships" r:id="rId7"/>
              <a:extLst>
                <a:ext uri="{FF2B5EF4-FFF2-40B4-BE49-F238E27FC236}">
                  <a16:creationId xmlns:a16="http://schemas.microsoft.com/office/drawing/2014/main" id="{00000000-0008-0000-0500-000029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2" name="TextBox 41">
              <a:hlinkClick xmlns:r="http://schemas.openxmlformats.org/officeDocument/2006/relationships" r:id="rId8"/>
              <a:extLst>
                <a:ext uri="{FF2B5EF4-FFF2-40B4-BE49-F238E27FC236}">
                  <a16:creationId xmlns:a16="http://schemas.microsoft.com/office/drawing/2014/main" id="{00000000-0008-0000-0500-00002A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4" name="TextBox 43">
              <a:hlinkClick xmlns:r="http://schemas.openxmlformats.org/officeDocument/2006/relationships" r:id="rId9"/>
              <a:extLst>
                <a:ext uri="{FF2B5EF4-FFF2-40B4-BE49-F238E27FC236}">
                  <a16:creationId xmlns:a16="http://schemas.microsoft.com/office/drawing/2014/main" id="{00000000-0008-0000-0500-00002C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1" name="Rectangle 30">
            <a:extLst>
              <a:ext uri="{FF2B5EF4-FFF2-40B4-BE49-F238E27FC236}">
                <a16:creationId xmlns:a16="http://schemas.microsoft.com/office/drawing/2014/main" id="{00000000-0008-0000-0500-00001F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3</xdr:col>
      <xdr:colOff>3556</xdr:colOff>
      <xdr:row>0</xdr:row>
      <xdr:rowOff>952500</xdr:rowOff>
    </xdr:from>
    <xdr:to>
      <xdr:col>3</xdr:col>
      <xdr:colOff>1047513</xdr:colOff>
      <xdr:row>0</xdr:row>
      <xdr:rowOff>1181100</xdr:rowOff>
    </xdr:to>
    <xdr:sp macro="" textlink="">
      <xdr:nvSpPr>
        <xdr:cNvPr id="54" name="TextBox 53">
          <a:hlinkClick xmlns:r="http://schemas.openxmlformats.org/officeDocument/2006/relationships" r:id="rId10"/>
          <a:extLst>
            <a:ext uri="{FF2B5EF4-FFF2-40B4-BE49-F238E27FC236}">
              <a16:creationId xmlns:a16="http://schemas.microsoft.com/office/drawing/2014/main" id="{00000000-0008-0000-0500-000036000000}"/>
            </a:ext>
          </a:extLst>
        </xdr:cNvPr>
        <xdr:cNvSpPr txBox="1"/>
      </xdr:nvSpPr>
      <xdr:spPr bwMode="auto">
        <a:xfrm>
          <a:off x="1238250" y="952500"/>
          <a:ext cx="10058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 Sources</a:t>
          </a:r>
        </a:p>
      </xdr:txBody>
    </xdr:sp>
    <xdr:clientData/>
  </xdr:twoCellAnchor>
  <xdr:twoCellAnchor editAs="absolute">
    <xdr:from>
      <xdr:col>3</xdr:col>
      <xdr:colOff>962000</xdr:colOff>
      <xdr:row>0</xdr:row>
      <xdr:rowOff>952500</xdr:rowOff>
    </xdr:from>
    <xdr:to>
      <xdr:col>3</xdr:col>
      <xdr:colOff>2306481</xdr:colOff>
      <xdr:row>0</xdr:row>
      <xdr:rowOff>1181100</xdr:rowOff>
    </xdr:to>
    <xdr:sp macro="" textlink="">
      <xdr:nvSpPr>
        <xdr:cNvPr id="55" name="TextBox 54">
          <a:hlinkClick xmlns:r="http://schemas.openxmlformats.org/officeDocument/2006/relationships" r:id="rId11"/>
          <a:extLst>
            <a:ext uri="{FF2B5EF4-FFF2-40B4-BE49-F238E27FC236}">
              <a16:creationId xmlns:a16="http://schemas.microsoft.com/office/drawing/2014/main" id="{00000000-0008-0000-0500-000037000000}"/>
            </a:ext>
          </a:extLst>
        </xdr:cNvPr>
        <xdr:cNvSpPr txBox="1"/>
      </xdr:nvSpPr>
      <xdr:spPr bwMode="auto">
        <a:xfrm>
          <a:off x="216217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Machinery Emissions</a:t>
          </a:r>
        </a:p>
      </xdr:txBody>
    </xdr:sp>
    <xdr:clientData/>
  </xdr:twoCellAnchor>
  <xdr:twoCellAnchor editAs="absolute">
    <xdr:from>
      <xdr:col>3</xdr:col>
      <xdr:colOff>2187550</xdr:colOff>
      <xdr:row>0</xdr:row>
      <xdr:rowOff>952500</xdr:rowOff>
    </xdr:from>
    <xdr:to>
      <xdr:col>4</xdr:col>
      <xdr:colOff>11140</xdr:colOff>
      <xdr:row>0</xdr:row>
      <xdr:rowOff>1181100</xdr:rowOff>
    </xdr:to>
    <xdr:sp macro="" textlink="">
      <xdr:nvSpPr>
        <xdr:cNvPr id="56" name="TextBox 55">
          <a:hlinkClick xmlns:r="http://schemas.openxmlformats.org/officeDocument/2006/relationships" r:id="rId12"/>
          <a:extLst>
            <a:ext uri="{FF2B5EF4-FFF2-40B4-BE49-F238E27FC236}">
              <a16:creationId xmlns:a16="http://schemas.microsoft.com/office/drawing/2014/main" id="{00000000-0008-0000-0500-000038000000}"/>
            </a:ext>
          </a:extLst>
        </xdr:cNvPr>
        <xdr:cNvSpPr txBox="1"/>
      </xdr:nvSpPr>
      <xdr:spPr bwMode="auto">
        <a:xfrm>
          <a:off x="324802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Energy Use Results</a:t>
          </a:r>
        </a:p>
      </xdr:txBody>
    </xdr:sp>
    <xdr:clientData/>
  </xdr:twoCellAnchor>
  <xdr:twoCellAnchor editAs="absolute">
    <xdr:from>
      <xdr:col>3</xdr:col>
      <xdr:colOff>3056027</xdr:colOff>
      <xdr:row>0</xdr:row>
      <xdr:rowOff>101600</xdr:rowOff>
    </xdr:from>
    <xdr:to>
      <xdr:col>6</xdr:col>
      <xdr:colOff>2641600</xdr:colOff>
      <xdr:row>0</xdr:row>
      <xdr:rowOff>609600</xdr:rowOff>
    </xdr:to>
    <xdr:grpSp>
      <xdr:nvGrpSpPr>
        <xdr:cNvPr id="24993169" name="Group 54">
          <a:extLst>
            <a:ext uri="{FF2B5EF4-FFF2-40B4-BE49-F238E27FC236}">
              <a16:creationId xmlns:a16="http://schemas.microsoft.com/office/drawing/2014/main" id="{00000000-0008-0000-0500-0000915D7D01}"/>
            </a:ext>
          </a:extLst>
        </xdr:cNvPr>
        <xdr:cNvGrpSpPr>
          <a:grpSpLocks/>
        </xdr:cNvGrpSpPr>
      </xdr:nvGrpSpPr>
      <xdr:grpSpPr bwMode="auto">
        <a:xfrm>
          <a:off x="4365448" y="101600"/>
          <a:ext cx="4793995" cy="508000"/>
          <a:chOff x="4651422" y="144888"/>
          <a:chExt cx="4784558" cy="512703"/>
        </a:xfrm>
      </xdr:grpSpPr>
      <xdr:sp macro="" textlink="'8.ResultsGraphs'!I27">
        <xdr:nvSpPr>
          <xdr:cNvPr id="43" name="TextBox 42">
            <a:extLst>
              <a:ext uri="{FF2B5EF4-FFF2-40B4-BE49-F238E27FC236}">
                <a16:creationId xmlns:a16="http://schemas.microsoft.com/office/drawing/2014/main" id="{00000000-0008-0000-0500-00002B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C818378-7932-474D-8665-0717038D3601}"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57" name="TextBox 56">
            <a:extLst>
              <a:ext uri="{FF2B5EF4-FFF2-40B4-BE49-F238E27FC236}">
                <a16:creationId xmlns:a16="http://schemas.microsoft.com/office/drawing/2014/main" id="{00000000-0008-0000-0500-000039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F8D6783-B6F3-4B44-9272-7A9A98C328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58" name="TextBox 57">
            <a:extLst>
              <a:ext uri="{FF2B5EF4-FFF2-40B4-BE49-F238E27FC236}">
                <a16:creationId xmlns:a16="http://schemas.microsoft.com/office/drawing/2014/main" id="{00000000-0008-0000-0500-00003A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69D4D2E-DCCB-F84F-8A34-577A8D6A09A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500-00003C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52AC732-BA49-314E-AF76-A1BB04518CB1}"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500-00003D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737BD18-BD42-0748-85C6-A6827098A39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500-00003E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99636360-9F01-1346-8DF2-9AF388B22388}"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500-00003F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101600</xdr:colOff>
      <xdr:row>0</xdr:row>
      <xdr:rowOff>1193800</xdr:rowOff>
    </xdr:to>
    <xdr:grpSp>
      <xdr:nvGrpSpPr>
        <xdr:cNvPr id="24721078" name="Group 30">
          <a:extLst>
            <a:ext uri="{FF2B5EF4-FFF2-40B4-BE49-F238E27FC236}">
              <a16:creationId xmlns:a16="http://schemas.microsoft.com/office/drawing/2014/main" id="{00000000-0008-0000-0600-0000B6367901}"/>
            </a:ext>
          </a:extLst>
        </xdr:cNvPr>
        <xdr:cNvGrpSpPr>
          <a:grpSpLocks/>
        </xdr:cNvGrpSpPr>
      </xdr:nvGrpSpPr>
      <xdr:grpSpPr bwMode="auto">
        <a:xfrm>
          <a:off x="461975" y="88900"/>
          <a:ext cx="9054287" cy="1104900"/>
          <a:chOff x="476249" y="76200"/>
          <a:chExt cx="9153525" cy="1114424"/>
        </a:xfrm>
      </xdr:grpSpPr>
      <xdr:grpSp>
        <xdr:nvGrpSpPr>
          <xdr:cNvPr id="24721092" name="Group 78">
            <a:extLst>
              <a:ext uri="{FF2B5EF4-FFF2-40B4-BE49-F238E27FC236}">
                <a16:creationId xmlns:a16="http://schemas.microsoft.com/office/drawing/2014/main" id="{00000000-0008-0000-0600-0000C43679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600-000022000000}"/>
                </a:ext>
              </a:extLst>
            </xdr:cNvPr>
            <xdr:cNvSpPr txBox="1"/>
          </xdr:nvSpPr>
          <xdr:spPr bwMode="auto">
            <a:xfrm>
              <a:off x="866774" y="104775"/>
              <a:ext cx="8532947"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Primary Processing</a:t>
              </a:r>
            </a:p>
          </xdr:txBody>
        </xdr:sp>
        <xdr:sp macro="" textlink="">
          <xdr:nvSpPr>
            <xdr:cNvPr id="35" name="Rounded Rectangle 34">
              <a:extLst>
                <a:ext uri="{FF2B5EF4-FFF2-40B4-BE49-F238E27FC236}">
                  <a16:creationId xmlns:a16="http://schemas.microsoft.com/office/drawing/2014/main" id="{00000000-0008-0000-0600-000023000000}"/>
                </a:ext>
              </a:extLst>
            </xdr:cNvPr>
            <xdr:cNvSpPr/>
          </xdr:nvSpPr>
          <xdr:spPr bwMode="auto">
            <a:xfrm>
              <a:off x="966510" y="834915"/>
              <a:ext cx="8976217"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600-000024000000}"/>
                </a:ext>
              </a:extLst>
            </xdr:cNvPr>
            <xdr:cNvSpPr/>
          </xdr:nvSpPr>
          <xdr:spPr bwMode="auto">
            <a:xfrm>
              <a:off x="6684692" y="668392"/>
              <a:ext cx="1606854"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600-000025000000}"/>
                </a:ext>
              </a:extLst>
            </xdr:cNvPr>
            <xdr:cNvSpPr txBox="1">
              <a:spLocks/>
            </xdr:cNvSpPr>
          </xdr:nvSpPr>
          <xdr:spPr bwMode="auto">
            <a:xfrm>
              <a:off x="1033000" y="719630"/>
              <a:ext cx="698150"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600-000026000000}"/>
                </a:ext>
              </a:extLst>
            </xdr:cNvPr>
            <xdr:cNvSpPr txBox="1"/>
          </xdr:nvSpPr>
          <xdr:spPr bwMode="auto">
            <a:xfrm>
              <a:off x="2639854" y="719630"/>
              <a:ext cx="698150"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600-000027000000}"/>
                </a:ext>
              </a:extLst>
            </xdr:cNvPr>
            <xdr:cNvSpPr txBox="1"/>
          </xdr:nvSpPr>
          <xdr:spPr bwMode="auto">
            <a:xfrm>
              <a:off x="3371249" y="719630"/>
              <a:ext cx="14184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600-000028000000}"/>
                </a:ext>
              </a:extLst>
            </xdr:cNvPr>
            <xdr:cNvSpPr txBox="1"/>
          </xdr:nvSpPr>
          <xdr:spPr bwMode="auto">
            <a:xfrm>
              <a:off x="5831398" y="719630"/>
              <a:ext cx="1063848"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600-000029000000}"/>
                </a:ext>
              </a:extLst>
            </xdr:cNvPr>
            <xdr:cNvSpPr txBox="1"/>
          </xdr:nvSpPr>
          <xdr:spPr bwMode="auto">
            <a:xfrm>
              <a:off x="6917409" y="719630"/>
              <a:ext cx="1063848" cy="243380"/>
            </a:xfrm>
            <a:prstGeom prst="rect">
              <a:avLst/>
            </a:prstGeom>
            <a:solidFill>
              <a:srgbClr val="4A452A"/>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600-00002A000000}"/>
                </a:ext>
              </a:extLst>
            </xdr:cNvPr>
            <xdr:cNvSpPr txBox="1"/>
          </xdr:nvSpPr>
          <xdr:spPr bwMode="auto">
            <a:xfrm>
              <a:off x="4811877" y="719630"/>
              <a:ext cx="9973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600-00002B000000}"/>
                </a:ext>
              </a:extLst>
            </xdr:cNvPr>
            <xdr:cNvSpPr txBox="1"/>
          </xdr:nvSpPr>
          <xdr:spPr bwMode="auto">
            <a:xfrm>
              <a:off x="8014502" y="719630"/>
              <a:ext cx="106384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600-00002C000000}"/>
                </a:ext>
              </a:extLst>
            </xdr:cNvPr>
            <xdr:cNvSpPr txBox="1"/>
          </xdr:nvSpPr>
          <xdr:spPr bwMode="auto">
            <a:xfrm>
              <a:off x="1764396" y="719630"/>
              <a:ext cx="842213"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600-00002E000000}"/>
                </a:ext>
              </a:extLst>
            </xdr:cNvPr>
            <xdr:cNvSpPr txBox="1"/>
          </xdr:nvSpPr>
          <xdr:spPr bwMode="auto">
            <a:xfrm>
              <a:off x="9100514" y="719630"/>
              <a:ext cx="919785"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600-000021000000}"/>
              </a:ext>
            </a:extLst>
          </xdr:cNvPr>
          <xdr:cNvSpPr/>
        </xdr:nvSpPr>
        <xdr:spPr bwMode="auto">
          <a:xfrm rot="10800000" flipV="1">
            <a:off x="708966" y="972863"/>
            <a:ext cx="111925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657225</xdr:colOff>
      <xdr:row>0</xdr:row>
      <xdr:rowOff>974725</xdr:rowOff>
    </xdr:from>
    <xdr:to>
      <xdr:col>4</xdr:col>
      <xdr:colOff>736987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600-000038000000}"/>
            </a:ext>
          </a:extLst>
        </xdr:cNvPr>
        <xdr:cNvSpPr txBox="1"/>
      </xdr:nvSpPr>
      <xdr:spPr bwMode="auto">
        <a:xfrm>
          <a:off x="10668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a:t>
          </a:r>
        </a:p>
      </xdr:txBody>
    </xdr:sp>
    <xdr:clientData/>
  </xdr:twoCellAnchor>
  <xdr:twoCellAnchor editAs="absolute">
    <xdr:from>
      <xdr:col>4</xdr:col>
      <xdr:colOff>736600</xdr:colOff>
      <xdr:row>0</xdr:row>
      <xdr:rowOff>974725</xdr:rowOff>
    </xdr:from>
    <xdr:to>
      <xdr:col>5</xdr:col>
      <xdr:colOff>267430</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600-000039000000}"/>
            </a:ext>
          </a:extLst>
        </xdr:cNvPr>
        <xdr:cNvSpPr txBox="1"/>
      </xdr:nvSpPr>
      <xdr:spPr bwMode="auto">
        <a:xfrm>
          <a:off x="208597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Waste Water</a:t>
          </a:r>
        </a:p>
      </xdr:txBody>
    </xdr:sp>
    <xdr:clientData/>
  </xdr:twoCellAnchor>
  <xdr:twoCellAnchor editAs="absolute">
    <xdr:from>
      <xdr:col>5</xdr:col>
      <xdr:colOff>295275</xdr:colOff>
      <xdr:row>0</xdr:row>
      <xdr:rowOff>974725</xdr:rowOff>
    </xdr:from>
    <xdr:to>
      <xdr:col>6</xdr:col>
      <xdr:colOff>561967</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600-00003A000000}"/>
            </a:ext>
          </a:extLst>
        </xdr:cNvPr>
        <xdr:cNvSpPr txBox="1"/>
      </xdr:nvSpPr>
      <xdr:spPr bwMode="auto">
        <a:xfrm>
          <a:off x="3105150" y="962025"/>
          <a:ext cx="16459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Primary Processing Results</a:t>
          </a:r>
        </a:p>
      </xdr:txBody>
    </xdr:sp>
    <xdr:clientData/>
  </xdr:twoCellAnchor>
  <xdr:twoCellAnchor editAs="absolute">
    <xdr:from>
      <xdr:col>5</xdr:col>
      <xdr:colOff>1460500</xdr:colOff>
      <xdr:row>0</xdr:row>
      <xdr:rowOff>114300</xdr:rowOff>
    </xdr:from>
    <xdr:to>
      <xdr:col>8</xdr:col>
      <xdr:colOff>2070100</xdr:colOff>
      <xdr:row>0</xdr:row>
      <xdr:rowOff>635000</xdr:rowOff>
    </xdr:to>
    <xdr:grpSp>
      <xdr:nvGrpSpPr>
        <xdr:cNvPr id="24721082" name="Group 54">
          <a:extLst>
            <a:ext uri="{FF2B5EF4-FFF2-40B4-BE49-F238E27FC236}">
              <a16:creationId xmlns:a16="http://schemas.microsoft.com/office/drawing/2014/main" id="{00000000-0008-0000-0600-0000BA367901}"/>
            </a:ext>
          </a:extLst>
        </xdr:cNvPr>
        <xdr:cNvGrpSpPr>
          <a:grpSpLocks/>
        </xdr:cNvGrpSpPr>
      </xdr:nvGrpSpPr>
      <xdr:grpSpPr bwMode="auto">
        <a:xfrm>
          <a:off x="4211015" y="114300"/>
          <a:ext cx="4881677" cy="520700"/>
          <a:chOff x="4651422" y="144888"/>
          <a:chExt cx="4784558" cy="512703"/>
        </a:xfrm>
      </xdr:grpSpPr>
      <xdr:sp macro="" textlink="'8.ResultsGraphs'!I27">
        <xdr:nvSpPr>
          <xdr:cNvPr id="31" name="TextBox 30">
            <a:extLst>
              <a:ext uri="{FF2B5EF4-FFF2-40B4-BE49-F238E27FC236}">
                <a16:creationId xmlns:a16="http://schemas.microsoft.com/office/drawing/2014/main" id="{00000000-0008-0000-0600-00001F000000}"/>
              </a:ext>
            </a:extLst>
          </xdr:cNvPr>
          <xdr:cNvSpPr txBox="1"/>
        </xdr:nvSpPr>
        <xdr:spPr bwMode="auto">
          <a:xfrm>
            <a:off x="650100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6D578C9-7896-414B-98A0-B3D7B5372CBB}"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32" name="TextBox 31">
            <a:extLst>
              <a:ext uri="{FF2B5EF4-FFF2-40B4-BE49-F238E27FC236}">
                <a16:creationId xmlns:a16="http://schemas.microsoft.com/office/drawing/2014/main" id="{00000000-0008-0000-0600-000020000000}"/>
              </a:ext>
            </a:extLst>
          </xdr:cNvPr>
          <xdr:cNvSpPr txBox="1"/>
        </xdr:nvSpPr>
        <xdr:spPr bwMode="auto">
          <a:xfrm>
            <a:off x="7398113" y="382482"/>
            <a:ext cx="996783"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BD4E288-FA40-1940-AD9D-B3B40090F8F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45" name="TextBox 44">
            <a:extLst>
              <a:ext uri="{FF2B5EF4-FFF2-40B4-BE49-F238E27FC236}">
                <a16:creationId xmlns:a16="http://schemas.microsoft.com/office/drawing/2014/main" id="{00000000-0008-0000-0600-00002D000000}"/>
              </a:ext>
            </a:extLst>
          </xdr:cNvPr>
          <xdr:cNvSpPr txBox="1"/>
        </xdr:nvSpPr>
        <xdr:spPr bwMode="auto">
          <a:xfrm>
            <a:off x="846134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8EF4C68C-DDA9-5E4D-9F20-A27C8B854E63}"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600-00003B000000}"/>
              </a:ext>
            </a:extLst>
          </xdr:cNvPr>
          <xdr:cNvSpPr txBox="1"/>
        </xdr:nvSpPr>
        <xdr:spPr bwMode="auto">
          <a:xfrm>
            <a:off x="4651422" y="144888"/>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600-00003C000000}"/>
              </a:ext>
            </a:extLst>
          </xdr:cNvPr>
          <xdr:cNvSpPr txBox="1"/>
        </xdr:nvSpPr>
        <xdr:spPr bwMode="auto">
          <a:xfrm>
            <a:off x="6501008" y="244928"/>
            <a:ext cx="963557"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84DBE47-2DCD-044B-A4B5-1187B0EFAC3A}"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600-00003D000000}"/>
              </a:ext>
            </a:extLst>
          </xdr:cNvPr>
          <xdr:cNvSpPr txBox="1"/>
        </xdr:nvSpPr>
        <xdr:spPr bwMode="auto">
          <a:xfrm>
            <a:off x="7398113" y="244928"/>
            <a:ext cx="996783"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CBE8F70-5AF2-2D4E-B5A3-59F05B92B7D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600-00003E000000}"/>
              </a:ext>
            </a:extLst>
          </xdr:cNvPr>
          <xdr:cNvSpPr txBox="1"/>
        </xdr:nvSpPr>
        <xdr:spPr bwMode="auto">
          <a:xfrm>
            <a:off x="8461348" y="244928"/>
            <a:ext cx="97463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66629E3-131F-E044-9DBD-078DBA15F06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600-00003F000000}"/>
              </a:ext>
            </a:extLst>
          </xdr:cNvPr>
          <xdr:cNvSpPr txBox="1"/>
        </xdr:nvSpPr>
        <xdr:spPr bwMode="auto">
          <a:xfrm>
            <a:off x="4651422" y="319957"/>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600-000040000000}"/>
              </a:ext>
            </a:extLst>
          </xdr:cNvPr>
          <xdr:cNvSpPr txBox="1"/>
        </xdr:nvSpPr>
        <xdr:spPr bwMode="auto">
          <a:xfrm>
            <a:off x="4651422" y="482522"/>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13</xdr:col>
      <xdr:colOff>25400</xdr:colOff>
      <xdr:row>0</xdr:row>
      <xdr:rowOff>1193800</xdr:rowOff>
    </xdr:to>
    <xdr:grpSp>
      <xdr:nvGrpSpPr>
        <xdr:cNvPr id="24802938" name="Group 31">
          <a:extLst>
            <a:ext uri="{FF2B5EF4-FFF2-40B4-BE49-F238E27FC236}">
              <a16:creationId xmlns:a16="http://schemas.microsoft.com/office/drawing/2014/main" id="{00000000-0008-0000-0700-00007A767A01}"/>
            </a:ext>
          </a:extLst>
        </xdr:cNvPr>
        <xdr:cNvGrpSpPr>
          <a:grpSpLocks/>
        </xdr:cNvGrpSpPr>
      </xdr:nvGrpSpPr>
      <xdr:grpSpPr bwMode="auto">
        <a:xfrm>
          <a:off x="461975" y="76200"/>
          <a:ext cx="9000033" cy="1117600"/>
          <a:chOff x="476249" y="76200"/>
          <a:chExt cx="9153525" cy="1114424"/>
        </a:xfrm>
      </xdr:grpSpPr>
      <xdr:grpSp>
        <xdr:nvGrpSpPr>
          <xdr:cNvPr id="24802954" name="Group 78">
            <a:extLst>
              <a:ext uri="{FF2B5EF4-FFF2-40B4-BE49-F238E27FC236}">
                <a16:creationId xmlns:a16="http://schemas.microsoft.com/office/drawing/2014/main" id="{00000000-0008-0000-0700-00008A767A01}"/>
              </a:ext>
            </a:extLst>
          </xdr:cNvPr>
          <xdr:cNvGrpSpPr>
            <a:grpSpLocks/>
          </xdr:cNvGrpSpPr>
        </xdr:nvGrpSpPr>
        <xdr:grpSpPr bwMode="auto">
          <a:xfrm>
            <a:off x="476249" y="76200"/>
            <a:ext cx="9153525" cy="1114424"/>
            <a:chOff x="866774" y="104775"/>
            <a:chExt cx="9153525" cy="1114424"/>
          </a:xfrm>
        </xdr:grpSpPr>
        <xdr:sp macro="" textlink="">
          <xdr:nvSpPr>
            <xdr:cNvPr id="35" name="TextBox 34">
              <a:extLst>
                <a:ext uri="{FF2B5EF4-FFF2-40B4-BE49-F238E27FC236}">
                  <a16:creationId xmlns:a16="http://schemas.microsoft.com/office/drawing/2014/main" id="{00000000-0008-0000-0700-000023000000}"/>
                </a:ext>
              </a:extLst>
            </xdr:cNvPr>
            <xdr:cNvSpPr txBox="1"/>
          </xdr:nvSpPr>
          <xdr:spPr bwMode="auto">
            <a:xfrm>
              <a:off x="866774" y="104775"/>
              <a:ext cx="8531441"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Transport</a:t>
              </a:r>
            </a:p>
          </xdr:txBody>
        </xdr:sp>
        <xdr:sp macro="" textlink="">
          <xdr:nvSpPr>
            <xdr:cNvPr id="36" name="Rounded Rectangle 35">
              <a:extLst>
                <a:ext uri="{FF2B5EF4-FFF2-40B4-BE49-F238E27FC236}">
                  <a16:creationId xmlns:a16="http://schemas.microsoft.com/office/drawing/2014/main" id="{00000000-0008-0000-0700-000024000000}"/>
                </a:ext>
              </a:extLst>
            </xdr:cNvPr>
            <xdr:cNvSpPr/>
          </xdr:nvSpPr>
          <xdr:spPr bwMode="auto">
            <a:xfrm>
              <a:off x="966752" y="826618"/>
              <a:ext cx="8975787"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Rounded Rectangle 36">
              <a:extLst>
                <a:ext uri="{FF2B5EF4-FFF2-40B4-BE49-F238E27FC236}">
                  <a16:creationId xmlns:a16="http://schemas.microsoft.com/office/drawing/2014/main" id="{00000000-0008-0000-0700-000025000000}"/>
                </a:ext>
              </a:extLst>
            </xdr:cNvPr>
            <xdr:cNvSpPr/>
          </xdr:nvSpPr>
          <xdr:spPr bwMode="auto">
            <a:xfrm>
              <a:off x="7798570" y="661987"/>
              <a:ext cx="151077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TextBox 37">
              <a:hlinkClick xmlns:r="http://schemas.openxmlformats.org/officeDocument/2006/relationships" r:id="rId1"/>
              <a:extLst>
                <a:ext uri="{FF2B5EF4-FFF2-40B4-BE49-F238E27FC236}">
                  <a16:creationId xmlns:a16="http://schemas.microsoft.com/office/drawing/2014/main" id="{00000000-0008-0000-0700-000026000000}"/>
                </a:ext>
              </a:extLst>
            </xdr:cNvPr>
            <xdr:cNvSpPr txBox="1">
              <a:spLocks/>
            </xdr:cNvSpPr>
          </xdr:nvSpPr>
          <xdr:spPr bwMode="auto">
            <a:xfrm>
              <a:off x="1033404" y="712643"/>
              <a:ext cx="699845"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9" name="TextBox 38">
              <a:hlinkClick xmlns:r="http://schemas.openxmlformats.org/officeDocument/2006/relationships" r:id="rId2"/>
              <a:extLst>
                <a:ext uri="{FF2B5EF4-FFF2-40B4-BE49-F238E27FC236}">
                  <a16:creationId xmlns:a16="http://schemas.microsoft.com/office/drawing/2014/main" id="{00000000-0008-0000-0700-000027000000}"/>
                </a:ext>
              </a:extLst>
            </xdr:cNvPr>
            <xdr:cNvSpPr txBox="1"/>
          </xdr:nvSpPr>
          <xdr:spPr bwMode="auto">
            <a:xfrm>
              <a:off x="2633049" y="712643"/>
              <a:ext cx="71095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0" name="TextBox 39">
              <a:hlinkClick xmlns:r="http://schemas.openxmlformats.org/officeDocument/2006/relationships" r:id="rId3"/>
              <a:extLst>
                <a:ext uri="{FF2B5EF4-FFF2-40B4-BE49-F238E27FC236}">
                  <a16:creationId xmlns:a16="http://schemas.microsoft.com/office/drawing/2014/main" id="{00000000-0008-0000-0700-000028000000}"/>
                </a:ext>
              </a:extLst>
            </xdr:cNvPr>
            <xdr:cNvSpPr txBox="1"/>
          </xdr:nvSpPr>
          <xdr:spPr bwMode="auto">
            <a:xfrm>
              <a:off x="3377328" y="712643"/>
              <a:ext cx="141079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1" name="TextBox 40">
              <a:hlinkClick xmlns:r="http://schemas.openxmlformats.org/officeDocument/2006/relationships" r:id="rId4"/>
              <a:extLst>
                <a:ext uri="{FF2B5EF4-FFF2-40B4-BE49-F238E27FC236}">
                  <a16:creationId xmlns:a16="http://schemas.microsoft.com/office/drawing/2014/main" id="{00000000-0008-0000-0700-000029000000}"/>
                </a:ext>
              </a:extLst>
            </xdr:cNvPr>
            <xdr:cNvSpPr txBox="1"/>
          </xdr:nvSpPr>
          <xdr:spPr bwMode="auto">
            <a:xfrm>
              <a:off x="5832339" y="712643"/>
              <a:ext cx="1066430"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2" name="TextBox 41">
              <a:hlinkClick xmlns:r="http://schemas.openxmlformats.org/officeDocument/2006/relationships" r:id="rId5"/>
              <a:extLst>
                <a:ext uri="{FF2B5EF4-FFF2-40B4-BE49-F238E27FC236}">
                  <a16:creationId xmlns:a16="http://schemas.microsoft.com/office/drawing/2014/main" id="{00000000-0008-0000-0700-00002A000000}"/>
                </a:ext>
              </a:extLst>
            </xdr:cNvPr>
            <xdr:cNvSpPr txBox="1"/>
          </xdr:nvSpPr>
          <xdr:spPr bwMode="auto">
            <a:xfrm>
              <a:off x="6909878" y="712643"/>
              <a:ext cx="1077539"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3" name="TextBox 42">
              <a:hlinkClick xmlns:r="http://schemas.openxmlformats.org/officeDocument/2006/relationships" r:id="rId6"/>
              <a:extLst>
                <a:ext uri="{FF2B5EF4-FFF2-40B4-BE49-F238E27FC236}">
                  <a16:creationId xmlns:a16="http://schemas.microsoft.com/office/drawing/2014/main" id="{00000000-0008-0000-0700-00002B000000}"/>
                </a:ext>
              </a:extLst>
            </xdr:cNvPr>
            <xdr:cNvSpPr txBox="1"/>
          </xdr:nvSpPr>
          <xdr:spPr bwMode="auto">
            <a:xfrm>
              <a:off x="4810344" y="712643"/>
              <a:ext cx="99977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4" name="TextBox 43">
              <a:hlinkClick xmlns:r="http://schemas.openxmlformats.org/officeDocument/2006/relationships" r:id="rId7"/>
              <a:extLst>
                <a:ext uri="{FF2B5EF4-FFF2-40B4-BE49-F238E27FC236}">
                  <a16:creationId xmlns:a16="http://schemas.microsoft.com/office/drawing/2014/main" id="{00000000-0008-0000-0700-00002C000000}"/>
                </a:ext>
              </a:extLst>
            </xdr:cNvPr>
            <xdr:cNvSpPr txBox="1"/>
          </xdr:nvSpPr>
          <xdr:spPr bwMode="auto">
            <a:xfrm>
              <a:off x="8009634" y="712643"/>
              <a:ext cx="1066430" cy="253278"/>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5" name="TextBox 44">
              <a:hlinkClick xmlns:r="http://schemas.openxmlformats.org/officeDocument/2006/relationships" r:id="rId8"/>
              <a:extLst>
                <a:ext uri="{FF2B5EF4-FFF2-40B4-BE49-F238E27FC236}">
                  <a16:creationId xmlns:a16="http://schemas.microsoft.com/office/drawing/2014/main" id="{00000000-0008-0000-0700-00002D000000}"/>
                </a:ext>
              </a:extLst>
            </xdr:cNvPr>
            <xdr:cNvSpPr txBox="1"/>
          </xdr:nvSpPr>
          <xdr:spPr bwMode="auto">
            <a:xfrm>
              <a:off x="1766574" y="712643"/>
              <a:ext cx="84425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7" name="TextBox 46">
              <a:hlinkClick xmlns:r="http://schemas.openxmlformats.org/officeDocument/2006/relationships" r:id="rId9"/>
              <a:extLst>
                <a:ext uri="{FF2B5EF4-FFF2-40B4-BE49-F238E27FC236}">
                  <a16:creationId xmlns:a16="http://schemas.microsoft.com/office/drawing/2014/main" id="{00000000-0008-0000-0700-00002F000000}"/>
                </a:ext>
              </a:extLst>
            </xdr:cNvPr>
            <xdr:cNvSpPr txBox="1"/>
          </xdr:nvSpPr>
          <xdr:spPr bwMode="auto">
            <a:xfrm>
              <a:off x="9098281" y="712643"/>
              <a:ext cx="922018"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4" name="Rectangle 33">
            <a:extLst>
              <a:ext uri="{FF2B5EF4-FFF2-40B4-BE49-F238E27FC236}">
                <a16:creationId xmlns:a16="http://schemas.microsoft.com/office/drawing/2014/main" id="{00000000-0008-0000-0700-000022000000}"/>
              </a:ext>
            </a:extLst>
          </xdr:cNvPr>
          <xdr:cNvSpPr/>
        </xdr:nvSpPr>
        <xdr:spPr bwMode="auto">
          <a:xfrm rot="10800000" flipV="1">
            <a:off x="709531" y="975338"/>
            <a:ext cx="112197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4</xdr:col>
      <xdr:colOff>95250</xdr:colOff>
      <xdr:row>0</xdr:row>
      <xdr:rowOff>942975</xdr:rowOff>
    </xdr:from>
    <xdr:to>
      <xdr:col>5</xdr:col>
      <xdr:colOff>133350</xdr:colOff>
      <xdr:row>0</xdr:row>
      <xdr:rowOff>1181100</xdr:rowOff>
    </xdr:to>
    <xdr:sp macro="" textlink="">
      <xdr:nvSpPr>
        <xdr:cNvPr id="57" name="TextBox 56">
          <a:hlinkClick xmlns:r="http://schemas.openxmlformats.org/officeDocument/2006/relationships" r:id="rId10"/>
          <a:extLst>
            <a:ext uri="{FF2B5EF4-FFF2-40B4-BE49-F238E27FC236}">
              <a16:creationId xmlns:a16="http://schemas.microsoft.com/office/drawing/2014/main" id="{00000000-0008-0000-0700-000039000000}"/>
            </a:ext>
          </a:extLst>
        </xdr:cNvPr>
        <xdr:cNvSpPr txBox="1"/>
      </xdr:nvSpPr>
      <xdr:spPr bwMode="auto">
        <a:xfrm>
          <a:off x="1828800" y="942975"/>
          <a:ext cx="629602"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Road</a:t>
          </a:r>
        </a:p>
      </xdr:txBody>
    </xdr:sp>
    <xdr:clientData/>
  </xdr:twoCellAnchor>
  <xdr:twoCellAnchor editAs="absolute">
    <xdr:from>
      <xdr:col>5</xdr:col>
      <xdr:colOff>295275</xdr:colOff>
      <xdr:row>0</xdr:row>
      <xdr:rowOff>942975</xdr:rowOff>
    </xdr:from>
    <xdr:to>
      <xdr:col>5</xdr:col>
      <xdr:colOff>904875</xdr:colOff>
      <xdr:row>0</xdr:row>
      <xdr:rowOff>1181100</xdr:rowOff>
    </xdr:to>
    <xdr:sp macro="" textlink="">
      <xdr:nvSpPr>
        <xdr:cNvPr id="58" name="TextBox 57">
          <a:hlinkClick xmlns:r="http://schemas.openxmlformats.org/officeDocument/2006/relationships" r:id="rId11"/>
          <a:extLst>
            <a:ext uri="{FF2B5EF4-FFF2-40B4-BE49-F238E27FC236}">
              <a16:creationId xmlns:a16="http://schemas.microsoft.com/office/drawing/2014/main" id="{00000000-0008-0000-0700-00003A000000}"/>
            </a:ext>
          </a:extLst>
        </xdr:cNvPr>
        <xdr:cNvSpPr txBox="1"/>
      </xdr:nvSpPr>
      <xdr:spPr bwMode="auto">
        <a:xfrm>
          <a:off x="2613025" y="942975"/>
          <a:ext cx="533894"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Rail</a:t>
          </a:r>
        </a:p>
      </xdr:txBody>
    </xdr:sp>
    <xdr:clientData/>
  </xdr:twoCellAnchor>
  <xdr:twoCellAnchor editAs="absolute">
    <xdr:from>
      <xdr:col>5</xdr:col>
      <xdr:colOff>1009650</xdr:colOff>
      <xdr:row>0</xdr:row>
      <xdr:rowOff>942975</xdr:rowOff>
    </xdr:from>
    <xdr:to>
      <xdr:col>6</xdr:col>
      <xdr:colOff>560618</xdr:colOff>
      <xdr:row>0</xdr:row>
      <xdr:rowOff>1181100</xdr:rowOff>
    </xdr:to>
    <xdr:sp macro="" textlink="">
      <xdr:nvSpPr>
        <xdr:cNvPr id="59" name="TextBox 58">
          <a:hlinkClick xmlns:r="http://schemas.openxmlformats.org/officeDocument/2006/relationships" r:id="rId12"/>
          <a:extLst>
            <a:ext uri="{FF2B5EF4-FFF2-40B4-BE49-F238E27FC236}">
              <a16:creationId xmlns:a16="http://schemas.microsoft.com/office/drawing/2014/main" id="{00000000-0008-0000-0700-00003B000000}"/>
            </a:ext>
          </a:extLst>
        </xdr:cNvPr>
        <xdr:cNvSpPr txBox="1"/>
      </xdr:nvSpPr>
      <xdr:spPr bwMode="auto">
        <a:xfrm>
          <a:off x="3235325" y="942975"/>
          <a:ext cx="527497"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Air</a:t>
          </a:r>
        </a:p>
      </xdr:txBody>
    </xdr:sp>
    <xdr:clientData/>
  </xdr:twoCellAnchor>
  <xdr:twoCellAnchor editAs="absolute">
    <xdr:from>
      <xdr:col>6</xdr:col>
      <xdr:colOff>476250</xdr:colOff>
      <xdr:row>0</xdr:row>
      <xdr:rowOff>942975</xdr:rowOff>
    </xdr:from>
    <xdr:to>
      <xdr:col>7</xdr:col>
      <xdr:colOff>562118</xdr:colOff>
      <xdr:row>0</xdr:row>
      <xdr:rowOff>1181100</xdr:rowOff>
    </xdr:to>
    <xdr:sp macro="" textlink="">
      <xdr:nvSpPr>
        <xdr:cNvPr id="60" name="TextBox 59">
          <a:hlinkClick xmlns:r="http://schemas.openxmlformats.org/officeDocument/2006/relationships" r:id="rId13"/>
          <a:extLst>
            <a:ext uri="{FF2B5EF4-FFF2-40B4-BE49-F238E27FC236}">
              <a16:creationId xmlns:a16="http://schemas.microsoft.com/office/drawing/2014/main" id="{00000000-0008-0000-0700-00003C000000}"/>
            </a:ext>
          </a:extLst>
        </xdr:cNvPr>
        <xdr:cNvSpPr txBox="1"/>
      </xdr:nvSpPr>
      <xdr:spPr bwMode="auto">
        <a:xfrm>
          <a:off x="3714750" y="942975"/>
          <a:ext cx="654429"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Ship</a:t>
          </a:r>
        </a:p>
      </xdr:txBody>
    </xdr:sp>
    <xdr:clientData/>
  </xdr:twoCellAnchor>
  <xdr:twoCellAnchor editAs="absolute">
    <xdr:from>
      <xdr:col>7</xdr:col>
      <xdr:colOff>257175</xdr:colOff>
      <xdr:row>0</xdr:row>
      <xdr:rowOff>947737</xdr:rowOff>
    </xdr:from>
    <xdr:to>
      <xdr:col>8</xdr:col>
      <xdr:colOff>970655</xdr:colOff>
      <xdr:row>0</xdr:row>
      <xdr:rowOff>1176337</xdr:rowOff>
    </xdr:to>
    <xdr:sp macro="" textlink="">
      <xdr:nvSpPr>
        <xdr:cNvPr id="61" name="TextBox 60">
          <a:hlinkClick xmlns:r="http://schemas.openxmlformats.org/officeDocument/2006/relationships" r:id="rId14"/>
          <a:extLst>
            <a:ext uri="{FF2B5EF4-FFF2-40B4-BE49-F238E27FC236}">
              <a16:creationId xmlns:a16="http://schemas.microsoft.com/office/drawing/2014/main" id="{00000000-0008-0000-0700-00003D000000}"/>
            </a:ext>
          </a:extLst>
        </xdr:cNvPr>
        <xdr:cNvSpPr txBox="1"/>
      </xdr:nvSpPr>
      <xdr:spPr bwMode="auto">
        <a:xfrm>
          <a:off x="4089400" y="947737"/>
          <a:ext cx="138743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Results</a:t>
          </a:r>
        </a:p>
      </xdr:txBody>
    </xdr:sp>
    <xdr:clientData/>
  </xdr:twoCellAnchor>
  <xdr:twoCellAnchor editAs="absolute">
    <xdr:from>
      <xdr:col>7</xdr:col>
      <xdr:colOff>279400</xdr:colOff>
      <xdr:row>0</xdr:row>
      <xdr:rowOff>101600</xdr:rowOff>
    </xdr:from>
    <xdr:to>
      <xdr:col>11</xdr:col>
      <xdr:colOff>2057400</xdr:colOff>
      <xdr:row>0</xdr:row>
      <xdr:rowOff>609600</xdr:rowOff>
    </xdr:to>
    <xdr:grpSp>
      <xdr:nvGrpSpPr>
        <xdr:cNvPr id="24802944" name="Group 54">
          <a:extLst>
            <a:ext uri="{FF2B5EF4-FFF2-40B4-BE49-F238E27FC236}">
              <a16:creationId xmlns:a16="http://schemas.microsoft.com/office/drawing/2014/main" id="{00000000-0008-0000-0700-000080767A01}"/>
            </a:ext>
          </a:extLst>
        </xdr:cNvPr>
        <xdr:cNvGrpSpPr>
          <a:grpSpLocks/>
        </xdr:cNvGrpSpPr>
      </xdr:nvGrpSpPr>
      <xdr:grpSpPr bwMode="auto">
        <a:xfrm>
          <a:off x="4075989" y="101600"/>
          <a:ext cx="4974742" cy="508000"/>
          <a:chOff x="4651422" y="144888"/>
          <a:chExt cx="4784558" cy="512703"/>
        </a:xfrm>
      </xdr:grpSpPr>
      <xdr:sp macro="" textlink="'8.ResultsGraphs'!I27">
        <xdr:nvSpPr>
          <xdr:cNvPr id="33" name="TextBox 32">
            <a:extLst>
              <a:ext uri="{FF2B5EF4-FFF2-40B4-BE49-F238E27FC236}">
                <a16:creationId xmlns:a16="http://schemas.microsoft.com/office/drawing/2014/main" id="{00000000-0008-0000-0700-000021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3A5D97-DE12-F940-9722-C2309F25AF22}"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46" name="TextBox 45">
            <a:extLst>
              <a:ext uri="{FF2B5EF4-FFF2-40B4-BE49-F238E27FC236}">
                <a16:creationId xmlns:a16="http://schemas.microsoft.com/office/drawing/2014/main" id="{00000000-0008-0000-0700-00002E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8E9623-32B7-E549-B3B2-27BDEFECB6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2" name="TextBox 61">
            <a:extLst>
              <a:ext uri="{FF2B5EF4-FFF2-40B4-BE49-F238E27FC236}">
                <a16:creationId xmlns:a16="http://schemas.microsoft.com/office/drawing/2014/main" id="{00000000-0008-0000-0700-00003E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7E7B9A7-8F39-1844-8477-7C0417E315F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700-00003F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4" name="TextBox 63">
            <a:extLst>
              <a:ext uri="{FF2B5EF4-FFF2-40B4-BE49-F238E27FC236}">
                <a16:creationId xmlns:a16="http://schemas.microsoft.com/office/drawing/2014/main" id="{00000000-0008-0000-0700-000040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9CC6608-98C0-4A42-9E73-B96F6939E527}"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65" name="TextBox 64">
            <a:extLst>
              <a:ext uri="{FF2B5EF4-FFF2-40B4-BE49-F238E27FC236}">
                <a16:creationId xmlns:a16="http://schemas.microsoft.com/office/drawing/2014/main" id="{00000000-0008-0000-0700-000041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A88205B-34BA-5145-BE15-4126DA3A3936}"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6" name="TextBox 65">
            <a:extLst>
              <a:ext uri="{FF2B5EF4-FFF2-40B4-BE49-F238E27FC236}">
                <a16:creationId xmlns:a16="http://schemas.microsoft.com/office/drawing/2014/main" id="{00000000-0008-0000-0700-000042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CC3C1B88-F0D6-CA46-9BED-B29034E2D6CC}"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7" name="TextBox 66">
            <a:extLst>
              <a:ext uri="{FF2B5EF4-FFF2-40B4-BE49-F238E27FC236}">
                <a16:creationId xmlns:a16="http://schemas.microsoft.com/office/drawing/2014/main" id="{00000000-0008-0000-0700-000043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8" name="TextBox 67">
            <a:extLst>
              <a:ext uri="{FF2B5EF4-FFF2-40B4-BE49-F238E27FC236}">
                <a16:creationId xmlns:a16="http://schemas.microsoft.com/office/drawing/2014/main" id="{00000000-0008-0000-0700-000044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292100</xdr:colOff>
      <xdr:row>140</xdr:row>
      <xdr:rowOff>63500</xdr:rowOff>
    </xdr:from>
    <xdr:to>
      <xdr:col>18</xdr:col>
      <xdr:colOff>203200</xdr:colOff>
      <xdr:row>150</xdr:row>
      <xdr:rowOff>152400</xdr:rowOff>
    </xdr:to>
    <xdr:grpSp>
      <xdr:nvGrpSpPr>
        <xdr:cNvPr id="25378821" name="Group 101">
          <a:extLst>
            <a:ext uri="{FF2B5EF4-FFF2-40B4-BE49-F238E27FC236}">
              <a16:creationId xmlns:a16="http://schemas.microsoft.com/office/drawing/2014/main" id="{00000000-0008-0000-0800-000005408301}"/>
            </a:ext>
          </a:extLst>
        </xdr:cNvPr>
        <xdr:cNvGrpSpPr>
          <a:grpSpLocks/>
        </xdr:cNvGrpSpPr>
      </xdr:nvGrpSpPr>
      <xdr:grpSpPr bwMode="auto">
        <a:xfrm>
          <a:off x="4264254" y="38585343"/>
          <a:ext cx="9113621" cy="3132023"/>
          <a:chOff x="618" y="4117"/>
          <a:chExt cx="1015" cy="359"/>
        </a:xfrm>
      </xdr:grpSpPr>
      <xdr:graphicFrame macro="">
        <xdr:nvGraphicFramePr>
          <xdr:cNvPr id="25378864" name="Chart 40">
            <a:extLst>
              <a:ext uri="{FF2B5EF4-FFF2-40B4-BE49-F238E27FC236}">
                <a16:creationId xmlns:a16="http://schemas.microsoft.com/office/drawing/2014/main" id="{00000000-0008-0000-0800-0000304083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378865" name="Chart 41">
            <a:extLst>
              <a:ext uri="{FF2B5EF4-FFF2-40B4-BE49-F238E27FC236}">
                <a16:creationId xmlns:a16="http://schemas.microsoft.com/office/drawing/2014/main" id="{00000000-0008-0000-0800-0000314083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378866" name="Chart 21">
            <a:extLst>
              <a:ext uri="{FF2B5EF4-FFF2-40B4-BE49-F238E27FC236}">
                <a16:creationId xmlns:a16="http://schemas.microsoft.com/office/drawing/2014/main" id="{00000000-0008-0000-0800-0000324083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160</xdr:row>
      <xdr:rowOff>101600</xdr:rowOff>
    </xdr:from>
    <xdr:to>
      <xdr:col>17</xdr:col>
      <xdr:colOff>965200</xdr:colOff>
      <xdr:row>173</xdr:row>
      <xdr:rowOff>0</xdr:rowOff>
    </xdr:to>
    <xdr:graphicFrame macro="">
      <xdr:nvGraphicFramePr>
        <xdr:cNvPr id="25378822" name="Chart 1516">
          <a:extLst>
            <a:ext uri="{FF2B5EF4-FFF2-40B4-BE49-F238E27FC236}">
              <a16:creationId xmlns:a16="http://schemas.microsoft.com/office/drawing/2014/main" id="{00000000-0008-0000-0800-00000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67</xdr:row>
      <xdr:rowOff>152400</xdr:rowOff>
    </xdr:from>
    <xdr:to>
      <xdr:col>11</xdr:col>
      <xdr:colOff>406400</xdr:colOff>
      <xdr:row>85</xdr:row>
      <xdr:rowOff>114300</xdr:rowOff>
    </xdr:to>
    <xdr:graphicFrame macro="">
      <xdr:nvGraphicFramePr>
        <xdr:cNvPr id="25378823" name="Chart 1517">
          <a:extLst>
            <a:ext uri="{FF2B5EF4-FFF2-40B4-BE49-F238E27FC236}">
              <a16:creationId xmlns:a16="http://schemas.microsoft.com/office/drawing/2014/main" id="{00000000-0008-0000-0800-00000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67</xdr:row>
      <xdr:rowOff>152400</xdr:rowOff>
    </xdr:from>
    <xdr:to>
      <xdr:col>17</xdr:col>
      <xdr:colOff>762000</xdr:colOff>
      <xdr:row>85</xdr:row>
      <xdr:rowOff>114300</xdr:rowOff>
    </xdr:to>
    <xdr:graphicFrame macro="">
      <xdr:nvGraphicFramePr>
        <xdr:cNvPr id="25378824" name="Chart 1518">
          <a:extLst>
            <a:ext uri="{FF2B5EF4-FFF2-40B4-BE49-F238E27FC236}">
              <a16:creationId xmlns:a16="http://schemas.microsoft.com/office/drawing/2014/main" id="{00000000-0008-0000-0800-00000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50</xdr:row>
      <xdr:rowOff>38100</xdr:rowOff>
    </xdr:from>
    <xdr:to>
      <xdr:col>18</xdr:col>
      <xdr:colOff>266700</xdr:colOff>
      <xdr:row>65</xdr:row>
      <xdr:rowOff>114300</xdr:rowOff>
    </xdr:to>
    <xdr:graphicFrame macro="">
      <xdr:nvGraphicFramePr>
        <xdr:cNvPr id="25378825" name="Chart 97">
          <a:extLst>
            <a:ext uri="{FF2B5EF4-FFF2-40B4-BE49-F238E27FC236}">
              <a16:creationId xmlns:a16="http://schemas.microsoft.com/office/drawing/2014/main" id="{00000000-0008-0000-0800-000009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109</xdr:row>
      <xdr:rowOff>101600</xdr:rowOff>
    </xdr:from>
    <xdr:to>
      <xdr:col>18</xdr:col>
      <xdr:colOff>190500</xdr:colOff>
      <xdr:row>129</xdr:row>
      <xdr:rowOff>139700</xdr:rowOff>
    </xdr:to>
    <xdr:graphicFrame macro="">
      <xdr:nvGraphicFramePr>
        <xdr:cNvPr id="25378826" name="Chart 98">
          <a:extLst>
            <a:ext uri="{FF2B5EF4-FFF2-40B4-BE49-F238E27FC236}">
              <a16:creationId xmlns:a16="http://schemas.microsoft.com/office/drawing/2014/main" id="{00000000-0008-0000-0800-00000A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33</xdr:row>
      <xdr:rowOff>419100</xdr:rowOff>
    </xdr:from>
    <xdr:to>
      <xdr:col>17</xdr:col>
      <xdr:colOff>685800</xdr:colOff>
      <xdr:row>41</xdr:row>
      <xdr:rowOff>38100</xdr:rowOff>
    </xdr:to>
    <xdr:graphicFrame macro="">
      <xdr:nvGraphicFramePr>
        <xdr:cNvPr id="25378827" name="Chart 100">
          <a:extLst>
            <a:ext uri="{FF2B5EF4-FFF2-40B4-BE49-F238E27FC236}">
              <a16:creationId xmlns:a16="http://schemas.microsoft.com/office/drawing/2014/main" id="{00000000-0008-0000-0800-00000B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12</xdr:col>
      <xdr:colOff>419100</xdr:colOff>
      <xdr:row>0</xdr:row>
      <xdr:rowOff>1193800</xdr:rowOff>
    </xdr:to>
    <xdr:grpSp>
      <xdr:nvGrpSpPr>
        <xdr:cNvPr id="25378828" name="Group 48">
          <a:extLst>
            <a:ext uri="{FF2B5EF4-FFF2-40B4-BE49-F238E27FC236}">
              <a16:creationId xmlns:a16="http://schemas.microsoft.com/office/drawing/2014/main" id="{00000000-0008-0000-0800-00000C408301}"/>
            </a:ext>
          </a:extLst>
        </xdr:cNvPr>
        <xdr:cNvGrpSpPr>
          <a:grpSpLocks/>
        </xdr:cNvGrpSpPr>
      </xdr:nvGrpSpPr>
      <xdr:grpSpPr bwMode="auto">
        <a:xfrm>
          <a:off x="456590" y="88900"/>
          <a:ext cx="9113825" cy="1104900"/>
          <a:chOff x="476249" y="76200"/>
          <a:chExt cx="9172576" cy="1114424"/>
        </a:xfrm>
      </xdr:grpSpPr>
      <xdr:grpSp>
        <xdr:nvGrpSpPr>
          <xdr:cNvPr id="25378850" name="Group 78">
            <a:extLst>
              <a:ext uri="{FF2B5EF4-FFF2-40B4-BE49-F238E27FC236}">
                <a16:creationId xmlns:a16="http://schemas.microsoft.com/office/drawing/2014/main" id="{00000000-0008-0000-0800-0000224083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8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8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8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8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8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8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8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8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8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8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8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8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8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969962</xdr:colOff>
      <xdr:row>0</xdr:row>
      <xdr:rowOff>974725</xdr:rowOff>
    </xdr:from>
    <xdr:to>
      <xdr:col>2</xdr:col>
      <xdr:colOff>1880909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800-00004A000000}"/>
            </a:ext>
          </a:extLst>
        </xdr:cNvPr>
        <xdr:cNvSpPr txBox="1"/>
      </xdr:nvSpPr>
      <xdr:spPr bwMode="auto">
        <a:xfrm>
          <a:off x="1236662" y="974725"/>
          <a:ext cx="777673"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209550</xdr:colOff>
      <xdr:row>0</xdr:row>
      <xdr:rowOff>971550</xdr:rowOff>
    </xdr:from>
    <xdr:to>
      <xdr:col>5</xdr:col>
      <xdr:colOff>568658</xdr:colOff>
      <xdr:row>0</xdr:row>
      <xdr:rowOff>1187742</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800-00004B000000}"/>
            </a:ext>
          </a:extLst>
        </xdr:cNvPr>
        <xdr:cNvSpPr txBox="1"/>
      </xdr:nvSpPr>
      <xdr:spPr bwMode="auto">
        <a:xfrm>
          <a:off x="2505075" y="962025"/>
          <a:ext cx="2026341"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342901</xdr:colOff>
      <xdr:row>0</xdr:row>
      <xdr:rowOff>952500</xdr:rowOff>
    </xdr:from>
    <xdr:to>
      <xdr:col>7</xdr:col>
      <xdr:colOff>206585</xdr:colOff>
      <xdr:row>0</xdr:row>
      <xdr:rowOff>1187768</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800-00004C000000}"/>
            </a:ext>
          </a:extLst>
        </xdr:cNvPr>
        <xdr:cNvSpPr txBox="1"/>
      </xdr:nvSpPr>
      <xdr:spPr bwMode="auto">
        <a:xfrm>
          <a:off x="4324351" y="952500"/>
          <a:ext cx="1606900" cy="24765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7</xdr:col>
      <xdr:colOff>130203</xdr:colOff>
      <xdr:row>0</xdr:row>
      <xdr:rowOff>974725</xdr:rowOff>
    </xdr:from>
    <xdr:to>
      <xdr:col>8</xdr:col>
      <xdr:colOff>659423</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800-00004D000000}"/>
            </a:ext>
          </a:extLst>
        </xdr:cNvPr>
        <xdr:cNvSpPr txBox="1"/>
      </xdr:nvSpPr>
      <xdr:spPr bwMode="auto">
        <a:xfrm>
          <a:off x="5873778" y="974725"/>
          <a:ext cx="1300757"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8</xdr:col>
      <xdr:colOff>474922</xdr:colOff>
      <xdr:row>0</xdr:row>
      <xdr:rowOff>974724</xdr:rowOff>
    </xdr:from>
    <xdr:to>
      <xdr:col>11</xdr:col>
      <xdr:colOff>48345</xdr:colOff>
      <xdr:row>0</xdr:row>
      <xdr:rowOff>1187625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800-00004E000000}"/>
            </a:ext>
          </a:extLst>
        </xdr:cNvPr>
        <xdr:cNvSpPr txBox="1"/>
      </xdr:nvSpPr>
      <xdr:spPr bwMode="auto">
        <a:xfrm>
          <a:off x="7028122" y="974724"/>
          <a:ext cx="1792028" cy="2254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10</xdr:col>
      <xdr:colOff>316345</xdr:colOff>
      <xdr:row>0</xdr:row>
      <xdr:rowOff>974725</xdr:rowOff>
    </xdr:from>
    <xdr:to>
      <xdr:col>12</xdr:col>
      <xdr:colOff>291274</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800-00004F000000}"/>
            </a:ext>
          </a:extLst>
        </xdr:cNvPr>
        <xdr:cNvSpPr txBox="1"/>
      </xdr:nvSpPr>
      <xdr:spPr bwMode="auto">
        <a:xfrm>
          <a:off x="8660245" y="974725"/>
          <a:ext cx="860715"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8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11</xdr:col>
      <xdr:colOff>152400</xdr:colOff>
      <xdr:row>0</xdr:row>
      <xdr:rowOff>635000</xdr:rowOff>
    </xdr:to>
    <xdr:grpSp>
      <xdr:nvGrpSpPr>
        <xdr:cNvPr id="25378836" name="Group 54">
          <a:extLst>
            <a:ext uri="{FF2B5EF4-FFF2-40B4-BE49-F238E27FC236}">
              <a16:creationId xmlns:a16="http://schemas.microsoft.com/office/drawing/2014/main" id="{00000000-0008-0000-0800-000014408301}"/>
            </a:ext>
          </a:extLst>
        </xdr:cNvPr>
        <xdr:cNvGrpSpPr>
          <a:grpSpLocks/>
        </xdr:cNvGrpSpPr>
      </xdr:nvGrpSpPr>
      <xdr:grpSpPr bwMode="auto">
        <a:xfrm>
          <a:off x="4099154" y="101600"/>
          <a:ext cx="4714443"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8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4B194FA-9C85-5146-8D06-ADF896E5DC29}"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8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00EA819-5EC9-884F-AA7B-4484FEF83C37}"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8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504371-4DB7-9E45-AB82-B919118FA1A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8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8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B7F2158-7D7C-4F43-A524-469C9B5EC424}"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8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12F4CDC-D571-3F4F-9A2C-50FF729F88D4}"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8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B2CC29ED-ED20-9445-8193-62AECED20166}"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8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8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241300</xdr:colOff>
      <xdr:row>5</xdr:row>
      <xdr:rowOff>127000</xdr:rowOff>
    </xdr:from>
    <xdr:to>
      <xdr:col>18</xdr:col>
      <xdr:colOff>203200</xdr:colOff>
      <xdr:row>11</xdr:row>
      <xdr:rowOff>254000</xdr:rowOff>
    </xdr:to>
    <xdr:graphicFrame macro="">
      <xdr:nvGraphicFramePr>
        <xdr:cNvPr id="25378837" name="Chart 64">
          <a:extLst>
            <a:ext uri="{FF2B5EF4-FFF2-40B4-BE49-F238E27FC236}">
              <a16:creationId xmlns:a16="http://schemas.microsoft.com/office/drawing/2014/main" id="{00000000-0008-0000-0800-000015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266700</xdr:colOff>
      <xdr:row>12</xdr:row>
      <xdr:rowOff>76200</xdr:rowOff>
    </xdr:from>
    <xdr:to>
      <xdr:col>18</xdr:col>
      <xdr:colOff>215900</xdr:colOff>
      <xdr:row>20</xdr:row>
      <xdr:rowOff>0</xdr:rowOff>
    </xdr:to>
    <xdr:graphicFrame macro="">
      <xdr:nvGraphicFramePr>
        <xdr:cNvPr id="25378838" name="Chart 67">
          <a:extLst>
            <a:ext uri="{FF2B5EF4-FFF2-40B4-BE49-F238E27FC236}">
              <a16:creationId xmlns:a16="http://schemas.microsoft.com/office/drawing/2014/main" id="{00000000-0008-0000-0800-00001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10</xdr:col>
      <xdr:colOff>292100</xdr:colOff>
      <xdr:row>28</xdr:row>
      <xdr:rowOff>139700</xdr:rowOff>
    </xdr:from>
    <xdr:to>
      <xdr:col>18</xdr:col>
      <xdr:colOff>215900</xdr:colOff>
      <xdr:row>28</xdr:row>
      <xdr:rowOff>2882900</xdr:rowOff>
    </xdr:to>
    <xdr:graphicFrame macro="">
      <xdr:nvGraphicFramePr>
        <xdr:cNvPr id="25378839" name="Chart 70">
          <a:extLst>
            <a:ext uri="{FF2B5EF4-FFF2-40B4-BE49-F238E27FC236}">
              <a16:creationId xmlns:a16="http://schemas.microsoft.com/office/drawing/2014/main" id="{00000000-0008-0000-0800-00001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266700</xdr:colOff>
      <xdr:row>20</xdr:row>
      <xdr:rowOff>12700</xdr:rowOff>
    </xdr:from>
    <xdr:to>
      <xdr:col>18</xdr:col>
      <xdr:colOff>241300</xdr:colOff>
      <xdr:row>28</xdr:row>
      <xdr:rowOff>50800</xdr:rowOff>
    </xdr:to>
    <xdr:graphicFrame macro="">
      <xdr:nvGraphicFramePr>
        <xdr:cNvPr id="25378840" name="Chart 71">
          <a:extLst>
            <a:ext uri="{FF2B5EF4-FFF2-40B4-BE49-F238E27FC236}">
              <a16:creationId xmlns:a16="http://schemas.microsoft.com/office/drawing/2014/main" id="{00000000-0008-0000-0800-00001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292100</xdr:colOff>
      <xdr:row>157</xdr:row>
      <xdr:rowOff>63500</xdr:rowOff>
    </xdr:from>
    <xdr:to>
      <xdr:col>18</xdr:col>
      <xdr:colOff>203200</xdr:colOff>
      <xdr:row>167</xdr:row>
      <xdr:rowOff>152400</xdr:rowOff>
    </xdr:to>
    <xdr:grpSp>
      <xdr:nvGrpSpPr>
        <xdr:cNvPr id="25253132" name="Group 101">
          <a:extLst>
            <a:ext uri="{FF2B5EF4-FFF2-40B4-BE49-F238E27FC236}">
              <a16:creationId xmlns:a16="http://schemas.microsoft.com/office/drawing/2014/main" id="{00000000-0008-0000-0900-00000C558101}"/>
            </a:ext>
          </a:extLst>
        </xdr:cNvPr>
        <xdr:cNvGrpSpPr>
          <a:grpSpLocks/>
        </xdr:cNvGrpSpPr>
      </xdr:nvGrpSpPr>
      <xdr:grpSpPr bwMode="auto">
        <a:xfrm>
          <a:off x="4264254" y="36771174"/>
          <a:ext cx="10444988" cy="3132023"/>
          <a:chOff x="618" y="4117"/>
          <a:chExt cx="1015" cy="359"/>
        </a:xfrm>
      </xdr:grpSpPr>
      <xdr:graphicFrame macro="">
        <xdr:nvGraphicFramePr>
          <xdr:cNvPr id="25253175" name="Chart 40">
            <a:extLst>
              <a:ext uri="{FF2B5EF4-FFF2-40B4-BE49-F238E27FC236}">
                <a16:creationId xmlns:a16="http://schemas.microsoft.com/office/drawing/2014/main" id="{00000000-0008-0000-0900-0000375581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253176" name="Chart 41">
            <a:extLst>
              <a:ext uri="{FF2B5EF4-FFF2-40B4-BE49-F238E27FC236}">
                <a16:creationId xmlns:a16="http://schemas.microsoft.com/office/drawing/2014/main" id="{00000000-0008-0000-0900-0000385581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253177" name="Chart 21">
            <a:extLst>
              <a:ext uri="{FF2B5EF4-FFF2-40B4-BE49-F238E27FC236}">
                <a16:creationId xmlns:a16="http://schemas.microsoft.com/office/drawing/2014/main" id="{00000000-0008-0000-0900-0000395581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177</xdr:row>
      <xdr:rowOff>101600</xdr:rowOff>
    </xdr:from>
    <xdr:to>
      <xdr:col>17</xdr:col>
      <xdr:colOff>965200</xdr:colOff>
      <xdr:row>190</xdr:row>
      <xdr:rowOff>0</xdr:rowOff>
    </xdr:to>
    <xdr:graphicFrame macro="">
      <xdr:nvGraphicFramePr>
        <xdr:cNvPr id="25253133" name="Chart 1516">
          <a:extLst>
            <a:ext uri="{FF2B5EF4-FFF2-40B4-BE49-F238E27FC236}">
              <a16:creationId xmlns:a16="http://schemas.microsoft.com/office/drawing/2014/main" id="{00000000-0008-0000-0900-00000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84</xdr:row>
      <xdr:rowOff>152400</xdr:rowOff>
    </xdr:from>
    <xdr:to>
      <xdr:col>11</xdr:col>
      <xdr:colOff>406400</xdr:colOff>
      <xdr:row>102</xdr:row>
      <xdr:rowOff>114300</xdr:rowOff>
    </xdr:to>
    <xdr:graphicFrame macro="">
      <xdr:nvGraphicFramePr>
        <xdr:cNvPr id="25253134" name="Chart 1517">
          <a:extLst>
            <a:ext uri="{FF2B5EF4-FFF2-40B4-BE49-F238E27FC236}">
              <a16:creationId xmlns:a16="http://schemas.microsoft.com/office/drawing/2014/main" id="{00000000-0008-0000-0900-00000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84</xdr:row>
      <xdr:rowOff>152400</xdr:rowOff>
    </xdr:from>
    <xdr:to>
      <xdr:col>17</xdr:col>
      <xdr:colOff>762000</xdr:colOff>
      <xdr:row>102</xdr:row>
      <xdr:rowOff>114300</xdr:rowOff>
    </xdr:to>
    <xdr:graphicFrame macro="">
      <xdr:nvGraphicFramePr>
        <xdr:cNvPr id="25253135" name="Chart 1518">
          <a:extLst>
            <a:ext uri="{FF2B5EF4-FFF2-40B4-BE49-F238E27FC236}">
              <a16:creationId xmlns:a16="http://schemas.microsoft.com/office/drawing/2014/main" id="{00000000-0008-0000-0900-00000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67</xdr:row>
      <xdr:rowOff>38100</xdr:rowOff>
    </xdr:from>
    <xdr:to>
      <xdr:col>18</xdr:col>
      <xdr:colOff>254000</xdr:colOff>
      <xdr:row>82</xdr:row>
      <xdr:rowOff>114300</xdr:rowOff>
    </xdr:to>
    <xdr:graphicFrame macro="">
      <xdr:nvGraphicFramePr>
        <xdr:cNvPr id="25253136" name="Chart 97">
          <a:extLst>
            <a:ext uri="{FF2B5EF4-FFF2-40B4-BE49-F238E27FC236}">
              <a16:creationId xmlns:a16="http://schemas.microsoft.com/office/drawing/2014/main" id="{00000000-0008-0000-0900-000010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126</xdr:row>
      <xdr:rowOff>101600</xdr:rowOff>
    </xdr:from>
    <xdr:to>
      <xdr:col>18</xdr:col>
      <xdr:colOff>190500</xdr:colOff>
      <xdr:row>146</xdr:row>
      <xdr:rowOff>139700</xdr:rowOff>
    </xdr:to>
    <xdr:graphicFrame macro="">
      <xdr:nvGraphicFramePr>
        <xdr:cNvPr id="25253137" name="Chart 98">
          <a:extLst>
            <a:ext uri="{FF2B5EF4-FFF2-40B4-BE49-F238E27FC236}">
              <a16:creationId xmlns:a16="http://schemas.microsoft.com/office/drawing/2014/main" id="{00000000-0008-0000-0900-000011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50</xdr:row>
      <xdr:rowOff>419100</xdr:rowOff>
    </xdr:from>
    <xdr:to>
      <xdr:col>17</xdr:col>
      <xdr:colOff>685800</xdr:colOff>
      <xdr:row>58</xdr:row>
      <xdr:rowOff>38100</xdr:rowOff>
    </xdr:to>
    <xdr:graphicFrame macro="">
      <xdr:nvGraphicFramePr>
        <xdr:cNvPr id="25253138" name="Chart 100">
          <a:extLst>
            <a:ext uri="{FF2B5EF4-FFF2-40B4-BE49-F238E27FC236}">
              <a16:creationId xmlns:a16="http://schemas.microsoft.com/office/drawing/2014/main" id="{00000000-0008-0000-0900-000012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11</xdr:col>
      <xdr:colOff>355600</xdr:colOff>
      <xdr:row>0</xdr:row>
      <xdr:rowOff>1193800</xdr:rowOff>
    </xdr:to>
    <xdr:grpSp>
      <xdr:nvGrpSpPr>
        <xdr:cNvPr id="25253139" name="Group 48">
          <a:extLst>
            <a:ext uri="{FF2B5EF4-FFF2-40B4-BE49-F238E27FC236}">
              <a16:creationId xmlns:a16="http://schemas.microsoft.com/office/drawing/2014/main" id="{00000000-0008-0000-0900-000013558101}"/>
            </a:ext>
          </a:extLst>
        </xdr:cNvPr>
        <xdr:cNvGrpSpPr>
          <a:grpSpLocks/>
        </xdr:cNvGrpSpPr>
      </xdr:nvGrpSpPr>
      <xdr:grpSpPr bwMode="auto">
        <a:xfrm>
          <a:off x="456590" y="88900"/>
          <a:ext cx="9101532" cy="1104900"/>
          <a:chOff x="476249" y="76200"/>
          <a:chExt cx="9172576" cy="1114424"/>
        </a:xfrm>
      </xdr:grpSpPr>
      <xdr:grpSp>
        <xdr:nvGrpSpPr>
          <xdr:cNvPr id="25253161" name="Group 78">
            <a:extLst>
              <a:ext uri="{FF2B5EF4-FFF2-40B4-BE49-F238E27FC236}">
                <a16:creationId xmlns:a16="http://schemas.microsoft.com/office/drawing/2014/main" id="{00000000-0008-0000-0900-0000295581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9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9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9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9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9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9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9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9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9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9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9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9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9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903287</xdr:colOff>
      <xdr:row>0</xdr:row>
      <xdr:rowOff>974725</xdr:rowOff>
    </xdr:from>
    <xdr:to>
      <xdr:col>2</xdr:col>
      <xdr:colOff>1787669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900-00004A000000}"/>
            </a:ext>
          </a:extLst>
        </xdr:cNvPr>
        <xdr:cNvSpPr txBox="1"/>
      </xdr:nvSpPr>
      <xdr:spPr bwMode="auto">
        <a:xfrm>
          <a:off x="1162050" y="962025"/>
          <a:ext cx="8286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258445</xdr:colOff>
      <xdr:row>0</xdr:row>
      <xdr:rowOff>974725</xdr:rowOff>
    </xdr:from>
    <xdr:to>
      <xdr:col>5</xdr:col>
      <xdr:colOff>168853</xdr:colOff>
      <xdr:row>0</xdr:row>
      <xdr:rowOff>1190625</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900-00004B000000}"/>
            </a:ext>
          </a:extLst>
        </xdr:cNvPr>
        <xdr:cNvSpPr txBox="1"/>
      </xdr:nvSpPr>
      <xdr:spPr bwMode="auto">
        <a:xfrm>
          <a:off x="2602865" y="962025"/>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36916</xdr:colOff>
      <xdr:row>0</xdr:row>
      <xdr:rowOff>974725</xdr:rowOff>
    </xdr:from>
    <xdr:to>
      <xdr:col>6</xdr:col>
      <xdr:colOff>701634</xdr:colOff>
      <xdr:row>0</xdr:row>
      <xdr:rowOff>1190625</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900-00004C000000}"/>
            </a:ext>
          </a:extLst>
        </xdr:cNvPr>
        <xdr:cNvSpPr txBox="1"/>
      </xdr:nvSpPr>
      <xdr:spPr bwMode="auto">
        <a:xfrm>
          <a:off x="4053840" y="962025"/>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6</xdr:col>
      <xdr:colOff>571528</xdr:colOff>
      <xdr:row>0</xdr:row>
      <xdr:rowOff>974725</xdr:rowOff>
    </xdr:from>
    <xdr:to>
      <xdr:col>8</xdr:col>
      <xdr:colOff>2209</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900-00004D000000}"/>
            </a:ext>
          </a:extLst>
        </xdr:cNvPr>
        <xdr:cNvSpPr txBox="1"/>
      </xdr:nvSpPr>
      <xdr:spPr bwMode="auto">
        <a:xfrm>
          <a:off x="5321935"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7</xdr:col>
      <xdr:colOff>865447</xdr:colOff>
      <xdr:row>0</xdr:row>
      <xdr:rowOff>974725</xdr:rowOff>
    </xdr:from>
    <xdr:to>
      <xdr:col>9</xdr:col>
      <xdr:colOff>318493</xdr:colOff>
      <xdr:row>0</xdr:row>
      <xdr:rowOff>1190625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900-00004E000000}"/>
            </a:ext>
          </a:extLst>
        </xdr:cNvPr>
        <xdr:cNvSpPr txBox="1"/>
      </xdr:nvSpPr>
      <xdr:spPr bwMode="auto">
        <a:xfrm>
          <a:off x="6498590" y="962025"/>
          <a:ext cx="14630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9</xdr:col>
      <xdr:colOff>211570</xdr:colOff>
      <xdr:row>0</xdr:row>
      <xdr:rowOff>974725</xdr:rowOff>
    </xdr:from>
    <xdr:to>
      <xdr:col>10</xdr:col>
      <xdr:colOff>184255</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900-00004F000000}"/>
            </a:ext>
          </a:extLst>
        </xdr:cNvPr>
        <xdr:cNvSpPr txBox="1"/>
      </xdr:nvSpPr>
      <xdr:spPr bwMode="auto">
        <a:xfrm>
          <a:off x="7858125"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9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10</xdr:col>
      <xdr:colOff>419100</xdr:colOff>
      <xdr:row>0</xdr:row>
      <xdr:rowOff>635000</xdr:rowOff>
    </xdr:to>
    <xdr:grpSp>
      <xdr:nvGrpSpPr>
        <xdr:cNvPr id="25253147" name="Group 54">
          <a:extLst>
            <a:ext uri="{FF2B5EF4-FFF2-40B4-BE49-F238E27FC236}">
              <a16:creationId xmlns:a16="http://schemas.microsoft.com/office/drawing/2014/main" id="{00000000-0008-0000-0900-00001B558101}"/>
            </a:ext>
          </a:extLst>
        </xdr:cNvPr>
        <xdr:cNvGrpSpPr>
          <a:grpSpLocks/>
        </xdr:cNvGrpSpPr>
      </xdr:nvGrpSpPr>
      <xdr:grpSpPr bwMode="auto">
        <a:xfrm>
          <a:off x="4099154" y="101600"/>
          <a:ext cx="4747056"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9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8D4232-1B9C-984E-AC88-285F7217A92C}" type="TxLink">
              <a:rPr lang="en-US" sz="1200" b="1" i="0" u="none" strike="noStrike" baseline="0">
                <a:solidFill>
                  <a:srgbClr val="FFFFFF"/>
                </a:solidFill>
                <a:latin typeface="Myriad Pro"/>
                <a:cs typeface="Arial"/>
              </a:rPr>
              <a:pPr algn="r" rtl="0">
                <a:defRPr sz="1000"/>
              </a:pPr>
              <a:t> 55.1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9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703A0EA-F3B4-A349-BF99-A5472E89FC82}"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9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5E8FFF2F-F2C5-3044-A217-D59CA6D499B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9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9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AF0D7F9-B046-0E41-8D2A-1B247220E789}" type="TxLink">
              <a:rPr lang="en-US" sz="1200" b="1" i="0" u="none" strike="noStrike" baseline="0">
                <a:solidFill>
                  <a:srgbClr val="FFFFFF"/>
                </a:solidFill>
                <a:latin typeface="Myriad Pro"/>
                <a:cs typeface="Arial"/>
              </a:rPr>
              <a:pPr algn="r" rtl="0">
                <a:defRPr sz="1000"/>
              </a:pPr>
              <a:t> 474.2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9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B57619C-1DBE-1E4E-8232-809CABFA8DB9}"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9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68DB98D-12BD-1A47-A865-B9157198DDB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9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9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939800</xdr:colOff>
      <xdr:row>5</xdr:row>
      <xdr:rowOff>241300</xdr:rowOff>
    </xdr:from>
    <xdr:to>
      <xdr:col>15</xdr:col>
      <xdr:colOff>1257300</xdr:colOff>
      <xdr:row>12</xdr:row>
      <xdr:rowOff>88900</xdr:rowOff>
    </xdr:to>
    <xdr:graphicFrame macro="">
      <xdr:nvGraphicFramePr>
        <xdr:cNvPr id="25253148" name="Chart 64">
          <a:extLst>
            <a:ext uri="{FF2B5EF4-FFF2-40B4-BE49-F238E27FC236}">
              <a16:creationId xmlns:a16="http://schemas.microsoft.com/office/drawing/2014/main" id="{00000000-0008-0000-0900-00001C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12700</xdr:colOff>
      <xdr:row>5</xdr:row>
      <xdr:rowOff>266700</xdr:rowOff>
    </xdr:from>
    <xdr:to>
      <xdr:col>18</xdr:col>
      <xdr:colOff>2908300</xdr:colOff>
      <xdr:row>12</xdr:row>
      <xdr:rowOff>88900</xdr:rowOff>
    </xdr:to>
    <xdr:graphicFrame macro="">
      <xdr:nvGraphicFramePr>
        <xdr:cNvPr id="25253149" name="Chart 67">
          <a:extLst>
            <a:ext uri="{FF2B5EF4-FFF2-40B4-BE49-F238E27FC236}">
              <a16:creationId xmlns:a16="http://schemas.microsoft.com/office/drawing/2014/main" id="{00000000-0008-0000-0900-00001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16</xdr:col>
      <xdr:colOff>76200</xdr:colOff>
      <xdr:row>12</xdr:row>
      <xdr:rowOff>203200</xdr:rowOff>
    </xdr:from>
    <xdr:to>
      <xdr:col>18</xdr:col>
      <xdr:colOff>2959100</xdr:colOff>
      <xdr:row>21</xdr:row>
      <xdr:rowOff>254000</xdr:rowOff>
    </xdr:to>
    <xdr:graphicFrame macro="">
      <xdr:nvGraphicFramePr>
        <xdr:cNvPr id="25253150" name="Chart 70">
          <a:extLst>
            <a:ext uri="{FF2B5EF4-FFF2-40B4-BE49-F238E27FC236}">
              <a16:creationId xmlns:a16="http://schemas.microsoft.com/office/drawing/2014/main" id="{00000000-0008-0000-0900-00001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11</xdr:col>
      <xdr:colOff>12700</xdr:colOff>
      <xdr:row>12</xdr:row>
      <xdr:rowOff>254000</xdr:rowOff>
    </xdr:from>
    <xdr:to>
      <xdr:col>15</xdr:col>
      <xdr:colOff>1295400</xdr:colOff>
      <xdr:row>21</xdr:row>
      <xdr:rowOff>241300</xdr:rowOff>
    </xdr:to>
    <xdr:graphicFrame macro="">
      <xdr:nvGraphicFramePr>
        <xdr:cNvPr id="25253151" name="Chart 71">
          <a:extLst>
            <a:ext uri="{FF2B5EF4-FFF2-40B4-BE49-F238E27FC236}">
              <a16:creationId xmlns:a16="http://schemas.microsoft.com/office/drawing/2014/main" id="{00000000-0008-0000-0900-00001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215900</xdr:colOff>
      <xdr:row>59</xdr:row>
      <xdr:rowOff>0</xdr:rowOff>
    </xdr:from>
    <xdr:to>
      <xdr:col>1</xdr:col>
      <xdr:colOff>431800</xdr:colOff>
      <xdr:row>59</xdr:row>
      <xdr:rowOff>139700</xdr:rowOff>
    </xdr:to>
    <xdr:pic>
      <xdr:nvPicPr>
        <xdr:cNvPr id="15655493" name="Picture 5" hidden="1">
          <a:extLst>
            <a:ext uri="{FF2B5EF4-FFF2-40B4-BE49-F238E27FC236}">
              <a16:creationId xmlns:a16="http://schemas.microsoft.com/office/drawing/2014/main" id="{00000000-0008-0000-0B00-000045E2EE00}"/>
            </a:ext>
          </a:extLst>
        </xdr:cNvPr>
        <xdr:cNvPicPr>
          <a:picLocks noGrp="1"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64000" y="10007600"/>
          <a:ext cx="215900" cy="13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lexa Varah" id="{FFF862A2-C637-479F-884A-C39A8F00859E}" userId="S::Alexa.Varah@ioz.ac.uk::b36d3d10-1a8e-405b-abba-9db04978f55f" providerId="AD"/>
</personList>
</file>

<file path=xl/theme/theme1.xml><?xml version="1.0" encoding="utf-8"?>
<a:theme xmlns:a="http://schemas.openxmlformats.org/drawingml/2006/main" name="Office Theme">
  <a:themeElements>
    <a:clrScheme name="Farm Tool Colors">
      <a:dk1>
        <a:srgbClr val="432203"/>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5" dT="2020-02-28T11:28:06.87" personId="{FFF862A2-C637-479F-884A-C39A8F00859E}" id="{F9F40D96-CFC3-448C-9619-6F013DF72174}">
    <text>this is fertiliser application (in our situation - if other inputs are added it might also be other things)</text>
  </threadedComment>
  <threadedComment ref="C23" dT="2020-02-28T11:28:51.25" personId="{FFF862A2-C637-479F-884A-C39A8F00859E}" id="{2F435443-4C78-4EAB-AB39-C8F83F4569D5}">
    <text>as we're only inputting data on tillage operations this is entirely tillage emissions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creativecommons.org/licenses/by-nc-nd/3.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hyperlink" Target="http://www.kayelaby.npl.co.uk/chemistry/3_11/3_11_4.html" TargetMode="Externa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6/AD582E/ad582e00.pdf" TargetMode="External"/></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www.localpower.org/documents_pub/report_bagasse_cogeneration.pdf" TargetMode="External"/><Relationship Id="rId7" Type="http://schemas.openxmlformats.org/officeDocument/2006/relationships/drawing" Target="../drawings/drawing11.xm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4/AB780E/AB780E06.htm" TargetMode="External"/><Relationship Id="rId6" Type="http://schemas.openxmlformats.org/officeDocument/2006/relationships/hyperlink" Target="http://www.kayelaby.npl.co.uk/chemistry/3_11/3_11_4.html" TargetMode="External"/><Relationship Id="rId5" Type="http://schemas.openxmlformats.org/officeDocument/2006/relationships/hyperlink" Target="http://www.kayelaby.npl.co.uk/chemistry/3_11/3_11_4.html" TargetMode="External"/><Relationship Id="rId4" Type="http://schemas.openxmlformats.org/officeDocument/2006/relationships/hyperlink" Target="http://www.fao.org/DOCREP/006/AD582E/ad582e00.pdf" TargetMode="External"/><Relationship Id="rId9"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hyperlink" Target="http://www.fertilizer.org/ifa/Home-Page/LIBRARY/Our-selection2/World-Fertilizer-Use-Manual/by-type-of-crops"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X69"/>
  <sheetViews>
    <sheetView workbookViewId="0">
      <pane ySplit="1" topLeftCell="A26" activePane="bottomLeft" state="frozen"/>
      <selection activeCell="E31" sqref="E31"/>
      <selection pane="bottomLeft" activeCell="E37" sqref="E37"/>
    </sheetView>
  </sheetViews>
  <sheetFormatPr defaultColWidth="8.77734375" defaultRowHeight="12.7" x14ac:dyDescent="0.25"/>
  <cols>
    <col min="1" max="1" width="5.6640625" customWidth="1" collapsed="1"/>
    <col min="2" max="2" width="10.44140625" customWidth="1" collapsed="1"/>
    <col min="4" max="4" width="16.21875" customWidth="1" collapsed="1"/>
    <col min="16" max="16" width="4.33203125" customWidth="1" collapsed="1"/>
    <col min="17" max="27" width="9.21875" customWidth="1" collapsed="1"/>
  </cols>
  <sheetData>
    <row r="1" spans="1:50" ht="105" customHeight="1" x14ac:dyDescent="0.25">
      <c r="A1" s="166"/>
      <c r="B1" s="158"/>
      <c r="C1" s="158"/>
      <c r="D1" s="158"/>
      <c r="E1" s="158"/>
      <c r="F1" s="158"/>
      <c r="G1" s="158"/>
      <c r="H1" s="158"/>
      <c r="I1" s="158"/>
      <c r="J1" s="158"/>
      <c r="K1" s="158"/>
      <c r="L1" s="158"/>
      <c r="M1" s="158"/>
      <c r="N1" s="158"/>
      <c r="O1" s="158"/>
      <c r="P1" s="158"/>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row>
    <row r="2" spans="1:50" ht="15" customHeight="1" thickBot="1" x14ac:dyDescent="0.3">
      <c r="A2" s="47"/>
      <c r="B2" s="46"/>
      <c r="C2" s="46"/>
      <c r="D2" s="46"/>
      <c r="E2" s="46"/>
      <c r="F2" s="46"/>
      <c r="G2" s="46"/>
      <c r="H2" s="46"/>
      <c r="I2" s="46"/>
      <c r="J2" s="46"/>
      <c r="K2" s="46"/>
      <c r="L2" s="46"/>
      <c r="M2" s="46"/>
      <c r="N2" s="46"/>
      <c r="O2" s="46"/>
      <c r="P2" s="46"/>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row>
    <row r="3" spans="1:50" ht="14.4" thickBot="1" x14ac:dyDescent="0.3">
      <c r="A3" s="2"/>
      <c r="B3" s="890"/>
      <c r="C3" s="891" t="s">
        <v>1389</v>
      </c>
      <c r="D3" s="892"/>
      <c r="E3" s="892"/>
      <c r="F3" s="892"/>
      <c r="G3" s="892"/>
      <c r="H3" s="892"/>
      <c r="I3" s="892"/>
      <c r="J3" s="892"/>
      <c r="K3" s="892"/>
      <c r="L3" s="892"/>
      <c r="M3" s="892"/>
      <c r="N3" s="892"/>
      <c r="O3" s="892"/>
      <c r="P3" s="893"/>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row>
    <row r="4" spans="1:50" ht="6.05" customHeight="1" x14ac:dyDescent="0.25">
      <c r="A4" s="2"/>
      <c r="B4" s="32"/>
      <c r="C4" s="33"/>
      <c r="D4" s="34"/>
      <c r="E4" s="34"/>
      <c r="F4" s="34"/>
      <c r="G4" s="34"/>
      <c r="H4" s="34"/>
      <c r="I4" s="34"/>
      <c r="J4" s="34"/>
      <c r="K4" s="34"/>
      <c r="L4" s="12"/>
      <c r="M4" s="12"/>
      <c r="N4" s="12"/>
      <c r="O4" s="12"/>
      <c r="P4" s="27"/>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row>
    <row r="5" spans="1:50" ht="13.85" x14ac:dyDescent="0.25">
      <c r="A5" s="2"/>
      <c r="B5" s="32"/>
      <c r="C5" s="35" t="s">
        <v>991</v>
      </c>
      <c r="D5" s="36"/>
      <c r="E5" s="36"/>
      <c r="F5" s="36"/>
      <c r="G5" s="36"/>
      <c r="H5" s="36"/>
      <c r="I5" s="36"/>
      <c r="J5" s="36"/>
      <c r="K5" s="36"/>
      <c r="L5" s="30"/>
      <c r="M5" s="30"/>
      <c r="N5" s="12"/>
      <c r="O5" s="12"/>
      <c r="P5" s="27"/>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row>
    <row r="6" spans="1:50" ht="13.85" x14ac:dyDescent="0.25">
      <c r="A6" s="2"/>
      <c r="B6" s="32"/>
      <c r="C6" s="31" t="s">
        <v>1240</v>
      </c>
      <c r="D6" s="36"/>
      <c r="E6" s="36"/>
      <c r="F6" s="36"/>
      <c r="G6" s="36"/>
      <c r="H6" s="36"/>
      <c r="I6" s="36"/>
      <c r="J6" s="36"/>
      <c r="K6" s="36"/>
      <c r="L6" s="30"/>
      <c r="M6" s="30"/>
      <c r="N6" s="12"/>
      <c r="O6" s="12"/>
      <c r="P6" s="27"/>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row>
    <row r="7" spans="1:50" ht="13.85" x14ac:dyDescent="0.25">
      <c r="A7" s="2"/>
      <c r="B7" s="32"/>
      <c r="C7" s="37" t="s">
        <v>782</v>
      </c>
      <c r="D7" s="30"/>
      <c r="E7" s="30"/>
      <c r="F7" s="30"/>
      <c r="G7" s="30"/>
      <c r="H7" s="30"/>
      <c r="I7" s="30"/>
      <c r="J7" s="30"/>
      <c r="K7" s="30"/>
      <c r="L7" s="30"/>
      <c r="M7" s="30"/>
      <c r="N7" s="12"/>
      <c r="O7" s="12"/>
      <c r="P7" s="27"/>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row>
    <row r="8" spans="1:50" ht="31" customHeight="1" x14ac:dyDescent="0.25">
      <c r="A8" s="2"/>
      <c r="B8" s="32"/>
      <c r="C8" s="2249" t="s">
        <v>2096</v>
      </c>
      <c r="D8" s="2250"/>
      <c r="E8" s="2250"/>
      <c r="F8" s="2250"/>
      <c r="G8" s="2250"/>
      <c r="H8" s="2250"/>
      <c r="I8" s="2250"/>
      <c r="J8" s="2250"/>
      <c r="K8" s="2250"/>
      <c r="L8" s="2250"/>
      <c r="M8" s="2250"/>
      <c r="N8" s="2250"/>
      <c r="O8" s="2250"/>
      <c r="P8" s="27"/>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row>
    <row r="9" spans="1:50" ht="7.5" customHeight="1" thickBot="1" x14ac:dyDescent="0.3">
      <c r="A9" s="2"/>
      <c r="B9" s="38"/>
      <c r="C9" s="39"/>
      <c r="D9" s="40"/>
      <c r="E9" s="40"/>
      <c r="F9" s="40"/>
      <c r="G9" s="40"/>
      <c r="H9" s="40"/>
      <c r="I9" s="40"/>
      <c r="J9" s="40"/>
      <c r="K9" s="40"/>
      <c r="L9" s="40"/>
      <c r="M9" s="40"/>
      <c r="N9" s="28"/>
      <c r="O9" s="28"/>
      <c r="P9" s="41"/>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row>
    <row r="10" spans="1:50" ht="14.4" thickBot="1" x14ac:dyDescent="0.3">
      <c r="A10" s="2"/>
      <c r="B10" s="44"/>
      <c r="C10" s="24"/>
      <c r="D10" s="45"/>
      <c r="E10" s="45"/>
      <c r="F10" s="45"/>
      <c r="G10" s="45"/>
      <c r="H10" s="45"/>
      <c r="I10" s="45"/>
      <c r="J10" s="45"/>
      <c r="K10" s="45"/>
      <c r="L10" s="45"/>
      <c r="M10" s="45"/>
      <c r="N10" s="24"/>
      <c r="O10" s="24"/>
      <c r="P10" s="24"/>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row>
    <row r="11" spans="1:50" ht="43.05" customHeight="1" thickBot="1" x14ac:dyDescent="0.3">
      <c r="A11" s="2"/>
      <c r="B11" s="890"/>
      <c r="C11" s="2261" t="s">
        <v>2098</v>
      </c>
      <c r="D11" s="2261"/>
      <c r="E11" s="2261"/>
      <c r="F11" s="2261"/>
      <c r="G11" s="2261"/>
      <c r="H11" s="2261"/>
      <c r="I11" s="2261"/>
      <c r="J11" s="2261"/>
      <c r="K11" s="2261"/>
      <c r="L11" s="2261"/>
      <c r="M11" s="2261"/>
      <c r="N11" s="2261"/>
      <c r="O11" s="2261"/>
      <c r="P11" s="226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row>
    <row r="12" spans="1:50" ht="5.2" customHeight="1" x14ac:dyDescent="0.25">
      <c r="A12" s="2"/>
      <c r="B12" s="32"/>
      <c r="C12" s="2252"/>
      <c r="D12" s="2252"/>
      <c r="E12" s="2252"/>
      <c r="F12" s="2252"/>
      <c r="G12" s="2252"/>
      <c r="H12" s="2252"/>
      <c r="I12" s="2252"/>
      <c r="J12" s="2252"/>
      <c r="K12" s="2252"/>
      <c r="L12" s="2252"/>
      <c r="M12" s="2252"/>
      <c r="N12" s="2252"/>
      <c r="O12" s="29"/>
      <c r="P12" s="27"/>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row>
    <row r="13" spans="1:50" ht="5.2" customHeight="1" x14ac:dyDescent="0.25">
      <c r="A13" s="2"/>
      <c r="B13" s="32"/>
      <c r="C13" s="2251" t="s">
        <v>2099</v>
      </c>
      <c r="D13" s="2251"/>
      <c r="E13" s="2251"/>
      <c r="F13" s="2251"/>
      <c r="G13" s="2251"/>
      <c r="H13" s="2251"/>
      <c r="I13" s="2251"/>
      <c r="J13" s="2251"/>
      <c r="K13" s="2251"/>
      <c r="L13" s="2251"/>
      <c r="M13" s="2251"/>
      <c r="N13" s="2251"/>
      <c r="O13" s="29"/>
      <c r="P13" s="27"/>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row>
    <row r="14" spans="1:50" ht="13.85" x14ac:dyDescent="0.25">
      <c r="A14" s="2"/>
      <c r="B14" s="32"/>
      <c r="C14" s="2251"/>
      <c r="D14" s="2251"/>
      <c r="E14" s="2251"/>
      <c r="F14" s="2251"/>
      <c r="G14" s="2251"/>
      <c r="H14" s="2251"/>
      <c r="I14" s="2251"/>
      <c r="J14" s="2251"/>
      <c r="K14" s="2251"/>
      <c r="L14" s="2251"/>
      <c r="M14" s="2251"/>
      <c r="N14" s="2251"/>
      <c r="O14" s="29"/>
      <c r="P14" s="27"/>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row>
    <row r="15" spans="1:50" ht="51" customHeight="1" x14ac:dyDescent="0.25">
      <c r="A15" s="2"/>
      <c r="B15" s="32"/>
      <c r="C15" s="2251"/>
      <c r="D15" s="2251"/>
      <c r="E15" s="2251"/>
      <c r="F15" s="2251"/>
      <c r="G15" s="2251"/>
      <c r="H15" s="2251"/>
      <c r="I15" s="2251"/>
      <c r="J15" s="2251"/>
      <c r="K15" s="2251"/>
      <c r="L15" s="2251"/>
      <c r="M15" s="2251"/>
      <c r="N15" s="2251"/>
      <c r="O15" s="29"/>
      <c r="P15" s="27"/>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row>
    <row r="16" spans="1:50" ht="141.69999999999999" customHeight="1" x14ac:dyDescent="0.25">
      <c r="A16" s="2"/>
      <c r="B16" s="32"/>
      <c r="C16" s="2257" t="s">
        <v>2100</v>
      </c>
      <c r="D16" s="2257"/>
      <c r="E16" s="2257"/>
      <c r="F16" s="2257"/>
      <c r="G16" s="2257"/>
      <c r="H16" s="2257"/>
      <c r="I16" s="2257"/>
      <c r="J16" s="2257"/>
      <c r="K16" s="2257"/>
      <c r="L16" s="2257"/>
      <c r="M16" s="2257"/>
      <c r="N16" s="2257"/>
      <c r="O16" s="42"/>
      <c r="P16" s="27"/>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row>
    <row r="17" spans="1:50" ht="123" customHeight="1" thickBot="1" x14ac:dyDescent="0.3">
      <c r="A17" s="2"/>
      <c r="B17" s="38"/>
      <c r="C17" s="2256" t="s">
        <v>2101</v>
      </c>
      <c r="D17" s="2256"/>
      <c r="E17" s="2256"/>
      <c r="F17" s="2256"/>
      <c r="G17" s="2256"/>
      <c r="H17" s="2256"/>
      <c r="I17" s="2256"/>
      <c r="J17" s="2256"/>
      <c r="K17" s="2256"/>
      <c r="L17" s="2256"/>
      <c r="M17" s="2256"/>
      <c r="N17" s="2256"/>
      <c r="O17" s="43"/>
      <c r="P17" s="41"/>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row>
    <row r="18" spans="1:50" ht="14.4" thickBot="1" x14ac:dyDescent="0.3">
      <c r="A18" s="2"/>
      <c r="B18" s="44"/>
      <c r="C18" s="44"/>
      <c r="D18" s="44"/>
      <c r="E18" s="44"/>
      <c r="F18" s="44"/>
      <c r="G18" s="44"/>
      <c r="H18" s="44"/>
      <c r="I18" s="44"/>
      <c r="J18" s="44"/>
      <c r="K18" s="44"/>
      <c r="L18" s="44"/>
      <c r="M18" s="44"/>
      <c r="N18" s="44"/>
      <c r="O18" s="44"/>
      <c r="P18" s="44"/>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row>
    <row r="19" spans="1:50" ht="14.4" thickBot="1" x14ac:dyDescent="0.3">
      <c r="A19" s="2"/>
      <c r="B19" s="890"/>
      <c r="C19" s="891" t="s">
        <v>1241</v>
      </c>
      <c r="D19" s="892"/>
      <c r="E19" s="892"/>
      <c r="F19" s="892"/>
      <c r="G19" s="892"/>
      <c r="H19" s="892"/>
      <c r="I19" s="892"/>
      <c r="J19" s="892"/>
      <c r="K19" s="892"/>
      <c r="L19" s="892"/>
      <c r="M19" s="892"/>
      <c r="N19" s="892"/>
      <c r="O19" s="892"/>
      <c r="P19" s="893"/>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row>
    <row r="20" spans="1:50" ht="13.85" x14ac:dyDescent="0.25">
      <c r="A20" s="2"/>
      <c r="B20" s="32"/>
      <c r="C20" s="12"/>
      <c r="D20" s="12"/>
      <c r="E20" s="12"/>
      <c r="F20" s="12"/>
      <c r="G20" s="12"/>
      <c r="H20" s="12"/>
      <c r="I20" s="12"/>
      <c r="J20" s="12"/>
      <c r="K20" s="12"/>
      <c r="L20" s="12"/>
      <c r="M20" s="12"/>
      <c r="N20" s="12"/>
      <c r="O20" s="12"/>
      <c r="P20" s="27"/>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row>
    <row r="21" spans="1:50" ht="13.85" x14ac:dyDescent="0.25">
      <c r="A21" s="2"/>
      <c r="B21" s="32"/>
      <c r="C21" s="1001" t="s">
        <v>1136</v>
      </c>
      <c r="D21" s="12"/>
      <c r="E21" s="12"/>
      <c r="F21" s="12"/>
      <c r="G21" s="12"/>
      <c r="H21" s="12"/>
      <c r="I21" s="12"/>
      <c r="J21" s="12"/>
      <c r="K21" s="12"/>
      <c r="L21" s="12"/>
      <c r="M21" s="12"/>
      <c r="N21" s="12"/>
      <c r="O21" s="12"/>
      <c r="P21" s="27"/>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row>
    <row r="22" spans="1:50" ht="13.85" x14ac:dyDescent="0.25">
      <c r="A22" s="2"/>
      <c r="B22" s="32"/>
      <c r="C22" s="1001"/>
      <c r="D22" s="12"/>
      <c r="E22" s="12"/>
      <c r="F22" s="12"/>
      <c r="G22" s="12"/>
      <c r="H22" s="12"/>
      <c r="I22" s="12"/>
      <c r="J22" s="12"/>
      <c r="K22" s="12"/>
      <c r="L22" s="12"/>
      <c r="M22" s="12"/>
      <c r="N22" s="12"/>
      <c r="O22" s="12"/>
      <c r="P22" s="27"/>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row>
    <row r="23" spans="1:50" ht="13.85" x14ac:dyDescent="0.25">
      <c r="A23" s="2"/>
      <c r="B23" s="32"/>
      <c r="C23" s="12"/>
      <c r="D23" s="12" t="s">
        <v>1137</v>
      </c>
      <c r="E23" s="12"/>
      <c r="F23" s="12"/>
      <c r="G23" s="12"/>
      <c r="H23" s="12"/>
      <c r="I23" s="12"/>
      <c r="J23" s="12"/>
      <c r="K23" s="12"/>
      <c r="L23" s="12"/>
      <c r="M23" s="12"/>
      <c r="N23" s="12"/>
      <c r="O23" s="12"/>
      <c r="P23" s="27"/>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row>
    <row r="24" spans="1:50" ht="13.85" x14ac:dyDescent="0.25">
      <c r="A24" s="2"/>
      <c r="B24" s="32"/>
      <c r="C24" s="12"/>
      <c r="D24" s="26" t="s">
        <v>1164</v>
      </c>
      <c r="E24" s="12"/>
      <c r="F24" s="12"/>
      <c r="G24" s="12"/>
      <c r="H24" s="12"/>
      <c r="I24" s="12"/>
      <c r="J24" s="12"/>
      <c r="K24" s="12"/>
      <c r="L24" s="12"/>
      <c r="M24" s="12"/>
      <c r="N24" s="12"/>
      <c r="O24" s="12"/>
      <c r="P24" s="27"/>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row>
    <row r="25" spans="1:50" ht="13.85" x14ac:dyDescent="0.25">
      <c r="A25" s="2"/>
      <c r="B25" s="32"/>
      <c r="C25" s="12"/>
      <c r="D25" s="26" t="s">
        <v>1165</v>
      </c>
      <c r="E25" s="12"/>
      <c r="F25" s="12"/>
      <c r="G25" s="12"/>
      <c r="H25" s="12"/>
      <c r="I25" s="12"/>
      <c r="J25" s="12"/>
      <c r="K25" s="12"/>
      <c r="L25" s="12"/>
      <c r="M25" s="12"/>
      <c r="N25" s="12"/>
      <c r="O25" s="12"/>
      <c r="P25" s="27"/>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row>
    <row r="26" spans="1:50" ht="13.85" x14ac:dyDescent="0.25">
      <c r="A26" s="2"/>
      <c r="B26" s="32"/>
      <c r="C26" s="12"/>
      <c r="D26" s="26" t="s">
        <v>1166</v>
      </c>
      <c r="E26" s="12"/>
      <c r="F26" s="12"/>
      <c r="G26" s="12"/>
      <c r="H26" s="12"/>
      <c r="I26" s="12"/>
      <c r="J26" s="12"/>
      <c r="K26" s="12"/>
      <c r="L26" s="12"/>
      <c r="M26" s="12"/>
      <c r="N26" s="12"/>
      <c r="O26" s="12"/>
      <c r="P26" s="27"/>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row>
    <row r="27" spans="1:50" ht="13.85" x14ac:dyDescent="0.25">
      <c r="A27" s="2"/>
      <c r="B27" s="32"/>
      <c r="C27" s="12"/>
      <c r="D27" s="26" t="s">
        <v>1167</v>
      </c>
      <c r="E27" s="12"/>
      <c r="F27" s="12"/>
      <c r="G27" s="12"/>
      <c r="H27" s="12"/>
      <c r="I27" s="12"/>
      <c r="J27" s="12"/>
      <c r="K27" s="12"/>
      <c r="L27" s="12"/>
      <c r="M27" s="12"/>
      <c r="N27" s="12"/>
      <c r="O27" s="12"/>
      <c r="P27" s="27"/>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row>
    <row r="28" spans="1:50" ht="13.85" x14ac:dyDescent="0.25">
      <c r="A28" s="2"/>
      <c r="B28" s="32"/>
      <c r="C28" s="12"/>
      <c r="D28" s="26" t="s">
        <v>1168</v>
      </c>
      <c r="E28" s="12"/>
      <c r="F28" s="12"/>
      <c r="G28" s="12"/>
      <c r="H28" s="12"/>
      <c r="I28" s="12"/>
      <c r="J28" s="12"/>
      <c r="K28" s="12"/>
      <c r="L28" s="12"/>
      <c r="M28" s="12"/>
      <c r="N28" s="12"/>
      <c r="O28" s="12"/>
      <c r="P28" s="27"/>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row>
    <row r="29" spans="1:50" ht="13.85" x14ac:dyDescent="0.25">
      <c r="A29" s="2"/>
      <c r="B29" s="32"/>
      <c r="C29" s="12"/>
      <c r="D29" s="26" t="s">
        <v>1175</v>
      </c>
      <c r="I29" s="12"/>
      <c r="J29" s="12"/>
      <c r="K29" s="12"/>
      <c r="L29" s="12"/>
      <c r="M29" s="12"/>
      <c r="N29" s="12"/>
      <c r="O29" s="12"/>
      <c r="P29" s="27"/>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row>
    <row r="30" spans="1:50" ht="13.85" x14ac:dyDescent="0.25">
      <c r="A30" s="2"/>
      <c r="B30" s="32"/>
      <c r="C30" s="12"/>
      <c r="D30" s="12" t="s">
        <v>930</v>
      </c>
      <c r="E30" s="12"/>
      <c r="F30" s="12"/>
      <c r="G30" s="12"/>
      <c r="H30" s="12"/>
      <c r="I30" s="12"/>
      <c r="J30" s="12"/>
      <c r="K30" s="12"/>
      <c r="L30" s="12"/>
      <c r="M30" s="12"/>
      <c r="N30" s="12"/>
      <c r="O30" s="12"/>
      <c r="P30" s="27"/>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row>
    <row r="31" spans="1:50" ht="13.85" x14ac:dyDescent="0.25">
      <c r="A31" s="2"/>
      <c r="B31" s="32"/>
      <c r="C31" s="11"/>
      <c r="D31" s="26" t="s">
        <v>1719</v>
      </c>
      <c r="E31" s="11"/>
      <c r="F31" s="11"/>
      <c r="G31" s="11"/>
      <c r="H31" s="11"/>
      <c r="I31" s="11"/>
      <c r="J31" s="11"/>
      <c r="K31" s="11"/>
      <c r="L31" s="11"/>
      <c r="M31" s="12"/>
      <c r="N31" s="12"/>
      <c r="O31" s="12"/>
      <c r="P31" s="27"/>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row>
    <row r="32" spans="1:50" ht="13.85" x14ac:dyDescent="0.25">
      <c r="A32" s="2"/>
      <c r="B32" s="32"/>
      <c r="C32" s="11"/>
      <c r="D32" s="11"/>
      <c r="E32" s="11"/>
      <c r="F32" s="11"/>
      <c r="G32" s="11"/>
      <c r="H32" s="11"/>
      <c r="I32" s="11"/>
      <c r="J32" s="11"/>
      <c r="K32" s="11"/>
      <c r="L32" s="11"/>
      <c r="M32" s="11"/>
      <c r="N32" s="12"/>
      <c r="O32" s="12"/>
      <c r="P32" s="27"/>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row>
    <row r="33" spans="1:50" ht="13.85" x14ac:dyDescent="0.25">
      <c r="A33" s="2"/>
      <c r="B33" s="32"/>
      <c r="C33" s="1001" t="s">
        <v>932</v>
      </c>
      <c r="D33" s="11"/>
      <c r="E33" s="11"/>
      <c r="F33" s="11"/>
      <c r="G33" s="11"/>
      <c r="H33" s="11"/>
      <c r="I33" s="11"/>
      <c r="J33" s="11"/>
      <c r="K33" s="11"/>
      <c r="L33" s="11"/>
      <c r="M33" s="11"/>
      <c r="N33" s="12"/>
      <c r="O33" s="12"/>
      <c r="P33" s="27"/>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row>
    <row r="34" spans="1:50" ht="13.85" x14ac:dyDescent="0.25">
      <c r="A34" s="2"/>
      <c r="B34" s="32"/>
      <c r="C34" s="12"/>
      <c r="D34" s="12"/>
      <c r="E34" s="12"/>
      <c r="F34" s="12"/>
      <c r="G34" s="12"/>
      <c r="H34" s="12"/>
      <c r="I34" s="12"/>
      <c r="J34" s="12"/>
      <c r="K34" s="12"/>
      <c r="L34" s="12"/>
      <c r="M34" s="12"/>
      <c r="N34" s="12"/>
      <c r="O34" s="12"/>
      <c r="P34" s="27"/>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row>
    <row r="35" spans="1:50" ht="29.95" customHeight="1" x14ac:dyDescent="0.25">
      <c r="A35" s="2"/>
      <c r="B35" s="32"/>
      <c r="C35" s="12"/>
      <c r="D35" s="1111" t="s">
        <v>1434</v>
      </c>
      <c r="E35" s="177" t="s">
        <v>931</v>
      </c>
      <c r="F35" s="2258" t="s">
        <v>1901</v>
      </c>
      <c r="G35" s="2259"/>
      <c r="H35" s="2259"/>
      <c r="I35" s="2259"/>
      <c r="J35" s="2259"/>
      <c r="K35" s="2259"/>
      <c r="L35" s="2259"/>
      <c r="M35" s="2259"/>
      <c r="N35" s="2259"/>
      <c r="O35" s="2259"/>
      <c r="P35" s="2260"/>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row>
    <row r="36" spans="1:50" ht="25.35" x14ac:dyDescent="0.25">
      <c r="A36" s="2"/>
      <c r="B36" s="32"/>
      <c r="C36" s="12"/>
      <c r="D36" s="1111" t="s">
        <v>1686</v>
      </c>
      <c r="E36" s="1005" t="s">
        <v>931</v>
      </c>
      <c r="F36" s="26" t="s">
        <v>1197</v>
      </c>
      <c r="G36" s="26"/>
      <c r="H36" s="26"/>
      <c r="I36" s="26"/>
      <c r="J36" s="26"/>
      <c r="K36" s="26"/>
      <c r="L36" s="26"/>
      <c r="M36" s="26"/>
      <c r="N36" s="26"/>
      <c r="O36" s="12"/>
      <c r="P36" s="27"/>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row>
    <row r="37" spans="1:50" ht="43.5" customHeight="1" x14ac:dyDescent="0.25">
      <c r="A37" s="2"/>
      <c r="B37" s="32"/>
      <c r="C37" s="12"/>
      <c r="D37" s="1016" t="s">
        <v>1192</v>
      </c>
      <c r="E37" s="177" t="s">
        <v>931</v>
      </c>
      <c r="F37" s="2255" t="s">
        <v>1900</v>
      </c>
      <c r="G37" s="2255"/>
      <c r="H37" s="2255"/>
      <c r="I37" s="2255"/>
      <c r="J37" s="2255"/>
      <c r="K37" s="2255"/>
      <c r="L37" s="2255"/>
      <c r="M37" s="2255"/>
      <c r="N37" s="2255"/>
      <c r="O37" s="12"/>
      <c r="P37" s="27"/>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row>
    <row r="38" spans="1:50" ht="13.85" x14ac:dyDescent="0.25">
      <c r="A38" s="2"/>
      <c r="B38" s="32"/>
      <c r="C38" s="12"/>
      <c r="D38" s="12"/>
      <c r="E38" s="12"/>
      <c r="F38" s="2255"/>
      <c r="G38" s="2255"/>
      <c r="H38" s="2255"/>
      <c r="I38" s="2255"/>
      <c r="J38" s="2255"/>
      <c r="K38" s="2255"/>
      <c r="L38" s="2255"/>
      <c r="M38" s="2255"/>
      <c r="N38" s="2255"/>
      <c r="O38" s="12"/>
      <c r="P38" s="27"/>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row>
    <row r="39" spans="1:50" ht="13.85" x14ac:dyDescent="0.25">
      <c r="A39" s="2"/>
      <c r="B39" s="32"/>
      <c r="C39" s="1001" t="s">
        <v>1388</v>
      </c>
      <c r="D39" s="11"/>
      <c r="E39" s="12"/>
      <c r="F39" s="12"/>
      <c r="G39" s="12"/>
      <c r="H39" s="12"/>
      <c r="I39" s="12"/>
      <c r="J39" s="12"/>
      <c r="K39" s="12"/>
      <c r="L39" s="12"/>
      <c r="M39" s="12"/>
      <c r="N39" s="12"/>
      <c r="O39" s="12"/>
      <c r="P39" s="27"/>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row>
    <row r="40" spans="1:50" ht="13.85" x14ac:dyDescent="0.25">
      <c r="A40" s="2"/>
      <c r="B40" s="32"/>
      <c r="C40" s="12"/>
      <c r="D40" s="11"/>
      <c r="E40" s="12"/>
      <c r="F40" s="12"/>
      <c r="G40" s="12"/>
      <c r="H40" s="12"/>
      <c r="I40" s="12"/>
      <c r="J40" s="12"/>
      <c r="K40" s="12"/>
      <c r="L40" s="12"/>
      <c r="M40" s="12"/>
      <c r="N40" s="12"/>
      <c r="O40" s="12"/>
      <c r="P40" s="27"/>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row>
    <row r="41" spans="1:50" ht="13.85" x14ac:dyDescent="0.25">
      <c r="A41" s="2"/>
      <c r="B41" s="32"/>
      <c r="C41" s="12"/>
      <c r="D41" s="12" t="s">
        <v>423</v>
      </c>
      <c r="E41" s="12"/>
      <c r="F41" s="12"/>
      <c r="G41" s="12"/>
      <c r="H41" s="12"/>
      <c r="I41" s="12"/>
      <c r="J41" s="12"/>
      <c r="K41" s="12"/>
      <c r="L41" s="12"/>
      <c r="M41" s="12"/>
      <c r="N41" s="12"/>
      <c r="O41" s="12"/>
      <c r="P41" s="27"/>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row>
    <row r="42" spans="1:50" ht="13.85" x14ac:dyDescent="0.25">
      <c r="A42" s="2"/>
      <c r="B42" s="32"/>
      <c r="C42" s="12"/>
      <c r="D42" s="12" t="s">
        <v>408</v>
      </c>
      <c r="E42" s="11"/>
      <c r="F42" s="11"/>
      <c r="G42" s="11"/>
      <c r="H42" s="11"/>
      <c r="I42" s="11"/>
      <c r="J42" s="11"/>
      <c r="K42" s="11"/>
      <c r="L42" s="11"/>
      <c r="M42" s="11"/>
      <c r="N42" s="12"/>
      <c r="O42" s="12"/>
      <c r="P42" s="27"/>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row>
    <row r="43" spans="1:50" ht="15" customHeight="1" x14ac:dyDescent="0.25">
      <c r="A43" s="2"/>
      <c r="B43" s="32"/>
      <c r="C43" s="29"/>
      <c r="D43" s="11"/>
      <c r="E43" s="11"/>
      <c r="F43" s="11"/>
      <c r="G43" s="11"/>
      <c r="H43" s="11"/>
      <c r="I43" s="11"/>
      <c r="J43" s="11"/>
      <c r="K43" s="11"/>
      <c r="L43" s="11"/>
      <c r="M43" s="11"/>
      <c r="N43" s="29"/>
      <c r="O43" s="29"/>
      <c r="P43" s="100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row>
    <row r="44" spans="1:50" ht="15" customHeight="1" x14ac:dyDescent="0.25">
      <c r="A44" s="2"/>
      <c r="B44" s="32"/>
      <c r="C44" s="29"/>
      <c r="D44" s="2253" t="s">
        <v>1652</v>
      </c>
      <c r="E44" s="2253"/>
      <c r="F44" s="2253"/>
      <c r="G44" s="2253"/>
      <c r="H44" s="2253"/>
      <c r="I44" s="2253"/>
      <c r="J44" s="2253"/>
      <c r="K44" s="2253"/>
      <c r="L44" s="2253"/>
      <c r="M44" s="2253"/>
      <c r="N44" s="29"/>
      <c r="O44" s="29"/>
      <c r="P44" s="100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row>
    <row r="45" spans="1:50" ht="33" customHeight="1" thickBot="1" x14ac:dyDescent="0.3">
      <c r="A45" s="2"/>
      <c r="B45" s="38"/>
      <c r="C45" s="1003"/>
      <c r="D45" s="2254"/>
      <c r="E45" s="2254"/>
      <c r="F45" s="2254"/>
      <c r="G45" s="2254"/>
      <c r="H45" s="2254"/>
      <c r="I45" s="2254"/>
      <c r="J45" s="2254"/>
      <c r="K45" s="2254"/>
      <c r="L45" s="2254"/>
      <c r="M45" s="2254"/>
      <c r="N45" s="1003"/>
      <c r="O45" s="1003"/>
      <c r="P45" s="1004"/>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row>
    <row r="46" spans="1:50" ht="13.85" x14ac:dyDescent="0.25">
      <c r="A46" s="2"/>
      <c r="B46" s="44"/>
      <c r="C46" s="24"/>
      <c r="D46" s="24"/>
      <c r="E46" s="24"/>
      <c r="F46" s="24"/>
      <c r="G46" s="24"/>
      <c r="H46" s="24"/>
      <c r="I46" s="24"/>
      <c r="J46" s="24"/>
      <c r="K46" s="24"/>
      <c r="L46" s="24"/>
      <c r="M46" s="24"/>
      <c r="N46" s="24"/>
      <c r="O46" s="24"/>
      <c r="P46" s="24"/>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row>
    <row r="47" spans="1:50" ht="13.85" x14ac:dyDescent="0.25">
      <c r="A47" s="2"/>
      <c r="B47" s="44"/>
      <c r="C47" s="24"/>
      <c r="D47" s="24"/>
      <c r="E47" s="24"/>
      <c r="F47" s="24"/>
      <c r="G47" s="24"/>
      <c r="H47" s="24"/>
      <c r="I47" s="24"/>
      <c r="J47" s="24"/>
      <c r="K47" s="24"/>
      <c r="L47" s="24"/>
      <c r="M47" s="24"/>
      <c r="N47" s="24"/>
      <c r="O47" s="24"/>
      <c r="P47" s="24"/>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4.4" thickBot="1" x14ac:dyDescent="0.3">
      <c r="A48" s="2"/>
      <c r="B48" s="44"/>
      <c r="C48" s="24"/>
      <c r="D48" s="24"/>
      <c r="E48" s="24"/>
      <c r="F48" s="24"/>
      <c r="G48" s="24"/>
      <c r="H48" s="24"/>
      <c r="I48" s="24"/>
      <c r="J48" s="24"/>
      <c r="K48" s="24"/>
      <c r="L48" s="24"/>
      <c r="M48" s="24"/>
      <c r="N48" s="24"/>
      <c r="O48" s="24"/>
      <c r="P48" s="24"/>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row>
    <row r="49" spans="1:50" ht="14.4" thickBot="1" x14ac:dyDescent="0.3">
      <c r="A49" s="2"/>
      <c r="B49" s="890"/>
      <c r="C49" s="891" t="s">
        <v>2065</v>
      </c>
      <c r="D49" s="892"/>
      <c r="E49" s="892"/>
      <c r="F49" s="892"/>
      <c r="G49" s="892"/>
      <c r="H49" s="892"/>
      <c r="I49" s="892"/>
      <c r="J49" s="892"/>
      <c r="K49" s="892"/>
      <c r="L49" s="892"/>
      <c r="M49" s="892"/>
      <c r="N49" s="892"/>
      <c r="O49" s="892"/>
      <c r="P49" s="893"/>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row>
    <row r="50" spans="1:50" ht="13.85" hidden="1" x14ac:dyDescent="0.25">
      <c r="A50" s="2"/>
      <c r="B50" s="32"/>
      <c r="C50" s="2245" t="s">
        <v>2097</v>
      </c>
      <c r="D50" s="2245"/>
      <c r="E50" s="2245"/>
      <c r="F50" s="2245"/>
      <c r="G50" s="2245"/>
      <c r="H50" s="2245"/>
      <c r="I50" s="2245"/>
      <c r="J50" s="2245"/>
      <c r="K50" s="2245"/>
      <c r="L50" s="2245"/>
      <c r="M50" s="2245"/>
      <c r="N50" s="2245"/>
      <c r="O50" s="12"/>
      <c r="P50" s="27"/>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row>
    <row r="51" spans="1:50" ht="13.85" hidden="1" x14ac:dyDescent="0.25">
      <c r="A51" s="2"/>
      <c r="B51" s="32"/>
      <c r="C51" s="2245"/>
      <c r="D51" s="2245"/>
      <c r="E51" s="2245"/>
      <c r="F51" s="2245"/>
      <c r="G51" s="2245"/>
      <c r="H51" s="2245"/>
      <c r="I51" s="2245"/>
      <c r="J51" s="2245"/>
      <c r="K51" s="2245"/>
      <c r="L51" s="2245"/>
      <c r="M51" s="2245"/>
      <c r="N51" s="2245"/>
      <c r="O51" s="12"/>
      <c r="P51" s="27"/>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row>
    <row r="52" spans="1:50" ht="13.85" hidden="1" x14ac:dyDescent="0.25">
      <c r="A52" s="2"/>
      <c r="B52" s="32"/>
      <c r="C52" s="2245" t="s">
        <v>611</v>
      </c>
      <c r="D52" s="2245"/>
      <c r="E52" s="2245"/>
      <c r="F52" s="2245"/>
      <c r="G52" s="2245"/>
      <c r="H52" s="2245"/>
      <c r="I52" s="2245"/>
      <c r="J52" s="2245"/>
      <c r="K52" s="2245"/>
      <c r="L52" s="2245"/>
      <c r="M52" s="2245"/>
      <c r="N52" s="2245"/>
      <c r="O52" s="12"/>
      <c r="P52" s="27"/>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row>
    <row r="53" spans="1:50" ht="13.85" hidden="1" x14ac:dyDescent="0.25">
      <c r="A53" s="2"/>
      <c r="B53" s="32"/>
      <c r="C53" s="2245"/>
      <c r="D53" s="2245" t="s">
        <v>609</v>
      </c>
      <c r="E53" s="2245"/>
      <c r="F53" s="2245"/>
      <c r="G53" s="2245"/>
      <c r="H53" s="2245"/>
      <c r="I53" s="2245"/>
      <c r="J53" s="2245"/>
      <c r="K53" s="2245"/>
      <c r="L53" s="2245"/>
      <c r="M53" s="2245"/>
      <c r="N53" s="2245"/>
      <c r="O53" s="12"/>
      <c r="P53" s="27"/>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row>
    <row r="54" spans="1:50" ht="13.85" hidden="1" x14ac:dyDescent="0.25">
      <c r="A54" s="2"/>
      <c r="B54" s="32"/>
      <c r="C54" s="2245"/>
      <c r="D54" s="2245" t="s">
        <v>610</v>
      </c>
      <c r="E54" s="2245"/>
      <c r="F54" s="2245"/>
      <c r="G54" s="2245"/>
      <c r="H54" s="2245"/>
      <c r="I54" s="2245"/>
      <c r="J54" s="2245"/>
      <c r="K54" s="2245"/>
      <c r="L54" s="2245"/>
      <c r="M54" s="2245"/>
      <c r="N54" s="2245"/>
      <c r="O54" s="12"/>
      <c r="P54" s="27"/>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row>
    <row r="55" spans="1:50" ht="13.85" hidden="1" x14ac:dyDescent="0.25">
      <c r="A55" s="2"/>
      <c r="B55" s="32"/>
      <c r="C55" s="2245"/>
      <c r="D55" s="2245" t="s">
        <v>1888</v>
      </c>
      <c r="E55" s="2245"/>
      <c r="F55" s="2245"/>
      <c r="G55" s="2245"/>
      <c r="H55" s="2245"/>
      <c r="I55" s="2245"/>
      <c r="J55" s="2245"/>
      <c r="K55" s="2245"/>
      <c r="L55" s="2245"/>
      <c r="M55" s="2245"/>
      <c r="N55" s="2245"/>
      <c r="O55" s="12"/>
      <c r="P55" s="27"/>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row>
    <row r="56" spans="1:50" ht="13.85" hidden="1" x14ac:dyDescent="0.25">
      <c r="A56" s="2"/>
      <c r="B56" s="32"/>
      <c r="C56" s="2245"/>
      <c r="D56" s="2245" t="s">
        <v>984</v>
      </c>
      <c r="E56" s="2245"/>
      <c r="F56" s="2245"/>
      <c r="G56" s="2245"/>
      <c r="H56" s="2245"/>
      <c r="I56" s="2245"/>
      <c r="J56" s="2245"/>
      <c r="K56" s="2245"/>
      <c r="L56" s="2245"/>
      <c r="M56" s="2245"/>
      <c r="N56" s="2245"/>
      <c r="O56" s="12"/>
      <c r="P56" s="27"/>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row>
    <row r="57" spans="1:50" ht="13.85" hidden="1" x14ac:dyDescent="0.25">
      <c r="A57" s="2"/>
      <c r="B57" s="32"/>
      <c r="C57" s="2246"/>
      <c r="D57" s="2245" t="s">
        <v>876</v>
      </c>
      <c r="E57" s="2245"/>
      <c r="F57" s="2245"/>
      <c r="G57" s="2245"/>
      <c r="H57" s="2245"/>
      <c r="I57" s="2245"/>
      <c r="J57" s="2245"/>
      <c r="K57" s="2245"/>
      <c r="L57" s="2245"/>
      <c r="M57" s="2245"/>
      <c r="N57" s="2245"/>
      <c r="O57" s="12"/>
      <c r="P57" s="27"/>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row>
    <row r="58" spans="1:50" ht="13.85" hidden="1" x14ac:dyDescent="0.25">
      <c r="A58" s="2"/>
      <c r="B58" s="32"/>
      <c r="C58" s="2245"/>
      <c r="D58" s="2245"/>
      <c r="E58" s="2245"/>
      <c r="F58" s="2245"/>
      <c r="G58" s="2245"/>
      <c r="H58" s="2245"/>
      <c r="I58" s="2245"/>
      <c r="J58" s="2245"/>
      <c r="K58" s="2245"/>
      <c r="L58" s="2245"/>
      <c r="M58" s="2245"/>
      <c r="N58" s="2245"/>
      <c r="O58" s="12"/>
      <c r="P58" s="27"/>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row>
    <row r="59" spans="1:50" ht="13.85" x14ac:dyDescent="0.25">
      <c r="A59" s="2"/>
      <c r="B59" s="32"/>
      <c r="C59" s="2245"/>
      <c r="D59" s="2245"/>
      <c r="E59" s="2245"/>
      <c r="F59" s="2245"/>
      <c r="G59" s="2245"/>
      <c r="H59" s="2245"/>
      <c r="I59" s="2245"/>
      <c r="J59" s="2245"/>
      <c r="K59" s="2245"/>
      <c r="L59" s="2245"/>
      <c r="M59" s="2245"/>
      <c r="N59" s="2245"/>
      <c r="O59" s="12"/>
      <c r="P59" s="27"/>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row>
    <row r="60" spans="1:50" ht="13.85" x14ac:dyDescent="0.25">
      <c r="A60" s="2"/>
      <c r="B60" s="32"/>
      <c r="C60" s="2245" t="s">
        <v>2103</v>
      </c>
      <c r="D60" s="2245"/>
      <c r="E60" s="2245"/>
      <c r="F60" s="2245"/>
      <c r="G60" s="2245"/>
      <c r="H60" s="2245"/>
      <c r="I60" s="2245" t="s">
        <v>959</v>
      </c>
      <c r="J60" s="2247">
        <v>1.0378000000000001</v>
      </c>
      <c r="K60" s="2245" t="s">
        <v>960</v>
      </c>
      <c r="L60" s="2248" t="s">
        <v>2102</v>
      </c>
      <c r="M60" s="2245"/>
      <c r="N60" s="2245"/>
      <c r="O60" s="12"/>
      <c r="P60" s="27"/>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row>
    <row r="61" spans="1:50" ht="13.85" x14ac:dyDescent="0.25">
      <c r="A61" s="2"/>
      <c r="B61" s="32"/>
      <c r="C61" s="2245"/>
      <c r="D61" s="2245"/>
      <c r="E61" s="2245"/>
      <c r="F61" s="2245"/>
      <c r="G61" s="2245"/>
      <c r="H61" s="2245"/>
      <c r="I61" s="2245"/>
      <c r="J61" s="2245"/>
      <c r="K61" s="2245"/>
      <c r="L61" s="2245"/>
      <c r="M61" s="2245"/>
      <c r="N61" s="2245"/>
      <c r="O61" s="12"/>
      <c r="P61" s="27"/>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row>
    <row r="62" spans="1:50" ht="13.85" hidden="1" x14ac:dyDescent="0.25">
      <c r="A62" s="2"/>
      <c r="B62" s="32"/>
      <c r="C62" s="2245" t="s">
        <v>343</v>
      </c>
      <c r="D62" s="2245"/>
      <c r="E62" s="2245"/>
      <c r="F62" s="2245"/>
      <c r="G62" s="2245"/>
      <c r="H62" s="2245"/>
      <c r="I62" s="2245"/>
      <c r="J62" s="2245"/>
      <c r="K62" s="2245"/>
      <c r="L62" s="2245"/>
      <c r="M62" s="2245"/>
      <c r="N62" s="2245"/>
      <c r="O62" s="12"/>
      <c r="P62" s="27"/>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row>
    <row r="63" spans="1:50" ht="5.2" hidden="1" customHeight="1" x14ac:dyDescent="0.25">
      <c r="A63" s="2"/>
      <c r="B63" s="32"/>
      <c r="C63" s="110"/>
      <c r="D63" s="110"/>
      <c r="E63" s="110"/>
      <c r="F63" s="110"/>
      <c r="G63" s="110"/>
      <c r="H63" s="110"/>
      <c r="I63" s="110"/>
      <c r="J63" s="110"/>
      <c r="K63" s="110"/>
      <c r="L63" s="110"/>
      <c r="M63" s="110"/>
      <c r="N63" s="110"/>
      <c r="O63" s="12"/>
      <c r="P63" s="27"/>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row>
    <row r="64" spans="1:50" ht="5.2" customHeight="1" x14ac:dyDescent="0.25">
      <c r="A64" s="2"/>
      <c r="B64" s="32"/>
      <c r="C64" s="110"/>
      <c r="D64" s="110"/>
      <c r="E64" s="110"/>
      <c r="F64" s="110"/>
      <c r="G64" s="110"/>
      <c r="H64" s="110"/>
      <c r="I64" s="110"/>
      <c r="J64" s="110"/>
      <c r="K64" s="110"/>
      <c r="L64" s="110"/>
      <c r="M64" s="110"/>
      <c r="N64" s="110"/>
      <c r="O64" s="12"/>
      <c r="P64" s="27"/>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row>
    <row r="65" spans="1:50" ht="5.2" customHeight="1" x14ac:dyDescent="0.25">
      <c r="A65" s="2"/>
      <c r="B65" s="32"/>
      <c r="C65" s="110"/>
      <c r="D65" s="110"/>
      <c r="E65" s="110"/>
      <c r="F65" s="110"/>
      <c r="G65" s="110"/>
      <c r="H65" s="110"/>
      <c r="I65" s="110"/>
      <c r="J65" s="110"/>
      <c r="K65" s="110"/>
      <c r="L65" s="110"/>
      <c r="M65" s="110"/>
      <c r="N65" s="110"/>
      <c r="O65" s="12"/>
      <c r="P65" s="27"/>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row>
    <row r="66" spans="1:50" ht="5.2" customHeight="1" x14ac:dyDescent="0.25">
      <c r="A66" s="2"/>
      <c r="B66" s="32"/>
      <c r="C66" s="110"/>
      <c r="D66" s="110"/>
      <c r="E66" s="110"/>
      <c r="F66" s="110"/>
      <c r="G66" s="110"/>
      <c r="H66" s="110"/>
      <c r="I66" s="110"/>
      <c r="J66" s="110"/>
      <c r="K66" s="110"/>
      <c r="L66" s="110"/>
      <c r="M66" s="110"/>
      <c r="N66" s="110"/>
      <c r="O66" s="12"/>
      <c r="P66" s="27"/>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row>
    <row r="67" spans="1:50" ht="5.2" customHeight="1" thickBot="1" x14ac:dyDescent="0.3">
      <c r="A67" s="2"/>
      <c r="B67" s="38"/>
      <c r="C67" s="111"/>
      <c r="D67" s="111"/>
      <c r="E67" s="111"/>
      <c r="F67" s="111"/>
      <c r="G67" s="111"/>
      <c r="H67" s="111"/>
      <c r="I67" s="111"/>
      <c r="J67" s="111"/>
      <c r="K67" s="111"/>
      <c r="L67" s="111"/>
      <c r="M67" s="111"/>
      <c r="N67" s="111"/>
      <c r="O67" s="28"/>
      <c r="P67" s="41"/>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row>
    <row r="68" spans="1:50" ht="13.85" x14ac:dyDescent="0.25">
      <c r="A68" s="2"/>
      <c r="B68" s="44"/>
      <c r="C68" s="24"/>
      <c r="D68" s="24"/>
      <c r="E68" s="24"/>
      <c r="F68" s="24"/>
      <c r="G68" s="24"/>
      <c r="H68" s="24"/>
      <c r="I68" s="24"/>
      <c r="J68" s="24"/>
      <c r="K68" s="24"/>
      <c r="L68" s="24"/>
      <c r="M68" s="24"/>
      <c r="N68" s="24"/>
      <c r="O68" s="24"/>
      <c r="P68" s="24"/>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row>
    <row r="69" spans="1:50" ht="13.85" x14ac:dyDescent="0.25">
      <c r="A69" s="2"/>
      <c r="B69" s="44"/>
      <c r="C69" s="24"/>
      <c r="D69" s="24"/>
      <c r="E69" s="24"/>
      <c r="F69" s="24"/>
      <c r="G69" s="24"/>
      <c r="H69" s="24"/>
      <c r="I69" s="24"/>
      <c r="J69" s="24"/>
      <c r="K69" s="24"/>
      <c r="L69" s="24"/>
      <c r="M69" s="24"/>
      <c r="N69" s="24"/>
      <c r="O69" s="24"/>
      <c r="P69" s="24"/>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row>
  </sheetData>
  <sheetProtection password="838D" sheet="1" objects="1" scenarios="1"/>
  <customSheetViews>
    <customSheetView guid="{BD1481C3-A8C6-46E4-9B09-3BB5EA0E455E}" showRuler="0">
      <selection activeCell="A45" sqref="A45"/>
      <pageMargins left="0.7" right="0.7" top="0.75" bottom="0.75" header="0.3" footer="0.3"/>
      <pageSetup paperSize="9" orientation="portrait"/>
    </customSheetView>
  </customSheetViews>
  <mergeCells count="9">
    <mergeCell ref="C8:O8"/>
    <mergeCell ref="C13:N15"/>
    <mergeCell ref="C12:N12"/>
    <mergeCell ref="D44:M45"/>
    <mergeCell ref="F37:N38"/>
    <mergeCell ref="C17:N17"/>
    <mergeCell ref="C16:N16"/>
    <mergeCell ref="F35:P35"/>
    <mergeCell ref="C11:P11"/>
  </mergeCells>
  <phoneticPr fontId="3" type="noConversion"/>
  <dataValidations count="1">
    <dataValidation allowBlank="1" showInputMessage="1" showErrorMessage="1" prompt="Enter average annual temperature (not just for the crop cycle) if known. If not known an average of 10 degrees C (~50F) will be assumed for temperate climates and 18 degrees C (~65F) for tropical." sqref="D37" xr:uid="{00000000-0002-0000-0000-000000000000}"/>
  </dataValidations>
  <hyperlinks>
    <hyperlink ref="C7" r:id="rId1" xr:uid="{00000000-0004-0000-0000-000000000000}"/>
  </hyperlinks>
  <pageMargins left="0.75" right="0.75" top="1" bottom="1" header="0.5" footer="0.5"/>
  <pageSetup paperSize="9" orientation="portrait"/>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V297"/>
  <sheetViews>
    <sheetView showGridLines="0" showZeros="0" workbookViewId="0">
      <pane ySplit="1" topLeftCell="A2" activePane="bottomLeft" state="frozen"/>
      <selection activeCell="E31" sqref="E31"/>
      <selection pane="bottomLeft" activeCell="F14" sqref="F14"/>
    </sheetView>
  </sheetViews>
  <sheetFormatPr defaultColWidth="11.44140625" defaultRowHeight="12.7" x14ac:dyDescent="0.25"/>
  <cols>
    <col min="1" max="1" width="5.6640625" customWidth="1" collapsed="1"/>
    <col min="2" max="2" width="14.33203125" customWidth="1" collapsed="1"/>
    <col min="3" max="3" width="4.77734375" customWidth="1" collapsed="1"/>
    <col min="4" max="4" width="22.77734375" customWidth="1" collapsed="1"/>
    <col min="5" max="5" width="28.44140625" customWidth="1" collapsed="1"/>
    <col min="6" max="6" width="14.33203125" customWidth="1" collapsed="1"/>
    <col min="7" max="7" width="9.44140625" customWidth="1" collapsed="1"/>
    <col min="8" max="8" width="8.44140625" customWidth="1" collapsed="1"/>
    <col min="9" max="9" width="27.6640625" customWidth="1" collapsed="1"/>
    <col min="10" max="10" width="15.21875" customWidth="1" collapsed="1"/>
    <col min="11" max="11" width="14.44140625" customWidth="1" collapsed="1"/>
    <col min="12" max="12" width="17" customWidth="1" collapsed="1"/>
    <col min="13" max="13" width="17.44140625" customWidth="1" collapsed="1"/>
    <col min="14" max="14" width="13.21875" customWidth="1" collapsed="1"/>
    <col min="15" max="15" width="16" customWidth="1" collapsed="1"/>
    <col min="16" max="16" width="48" customWidth="1" collapsed="1"/>
    <col min="17" max="17" width="31.33203125" customWidth="1" collapsed="1"/>
    <col min="18" max="18" width="21.44140625" customWidth="1" collapsed="1"/>
    <col min="19" max="19" width="27.33203125" customWidth="1" collapsed="1"/>
    <col min="20" max="20" width="23.21875" customWidth="1" collapsed="1"/>
    <col min="21" max="21" width="15.21875" customWidth="1" collapsed="1"/>
    <col min="22" max="22" width="24.6640625" customWidth="1" collapsed="1"/>
    <col min="23" max="23" width="12.77734375" customWidth="1" collapsed="1"/>
    <col min="24" max="24" width="9.21875" bestFit="1" customWidth="1" collapsed="1"/>
    <col min="25" max="25" width="14.6640625" customWidth="1" collapsed="1"/>
    <col min="26" max="26" width="16.77734375" customWidth="1" collapsed="1"/>
    <col min="27" max="27" width="10.6640625" customWidth="1" collapsed="1"/>
    <col min="28" max="28" width="29" customWidth="1" collapsed="1"/>
    <col min="29" max="29" width="19.21875" customWidth="1" collapsed="1"/>
    <col min="30" max="30" width="22.33203125" customWidth="1" collapsed="1"/>
    <col min="31" max="31" width="14" customWidth="1" collapsed="1"/>
    <col min="32" max="32" width="31" customWidth="1" collapsed="1"/>
    <col min="33" max="34" width="14" customWidth="1" collapsed="1"/>
    <col min="35" max="35" width="16" customWidth="1" collapsed="1"/>
    <col min="36" max="36" width="15.77734375" customWidth="1" collapsed="1"/>
    <col min="37" max="44" width="18" customWidth="1" collapsed="1"/>
    <col min="45" max="45" width="26.33203125" customWidth="1" collapsed="1"/>
    <col min="46" max="46" width="22.21875" customWidth="1" collapsed="1"/>
    <col min="47" max="47" width="15.44140625" customWidth="1" collapsed="1"/>
    <col min="51" max="51" width="15.77734375" customWidth="1" collapsed="1"/>
    <col min="59" max="59" width="46.6640625" customWidth="1" collapsed="1"/>
    <col min="61" max="61" width="18.33203125" customWidth="1" collapsed="1"/>
    <col min="62" max="62" width="8" customWidth="1" collapsed="1"/>
    <col min="73" max="73" width="23.44140625" customWidth="1" collapsed="1"/>
    <col min="76" max="100" width="11.44140625" style="1616" collapsed="1"/>
  </cols>
  <sheetData>
    <row r="1" spans="1:100" ht="97.5" customHeight="1" x14ac:dyDescent="0.25">
      <c r="A1" s="149"/>
      <c r="B1" s="149"/>
      <c r="C1" s="149"/>
      <c r="D1" s="149"/>
      <c r="E1" s="149"/>
      <c r="F1" s="149"/>
      <c r="G1" s="149"/>
      <c r="H1" s="149"/>
      <c r="I1" s="149"/>
      <c r="J1" s="149"/>
      <c r="K1" s="149"/>
      <c r="L1" s="149"/>
      <c r="M1" s="149"/>
      <c r="N1" s="149"/>
      <c r="O1" s="149"/>
      <c r="P1" s="149" t="s">
        <v>2066</v>
      </c>
      <c r="Q1" s="149"/>
      <c r="R1" s="149"/>
      <c r="S1" s="149"/>
      <c r="T1" s="149"/>
      <c r="U1" s="149"/>
      <c r="V1" s="149"/>
      <c r="W1" s="149"/>
      <c r="X1" s="149"/>
      <c r="Y1" s="149"/>
      <c r="Z1" s="149"/>
      <c r="AA1" s="149"/>
      <c r="AB1" s="149"/>
      <c r="AC1" s="149"/>
      <c r="AD1" s="149"/>
      <c r="AE1" s="149"/>
      <c r="AF1" s="149"/>
      <c r="AG1" s="149"/>
      <c r="AH1" s="149"/>
      <c r="AI1" s="149"/>
      <c r="AJ1" s="149"/>
      <c r="AK1" s="149"/>
      <c r="AL1" s="149"/>
      <c r="AM1" s="149"/>
      <c r="AN1" s="149"/>
      <c r="AO1" s="149"/>
      <c r="AP1" s="149"/>
      <c r="AQ1" s="149"/>
      <c r="AR1" s="149"/>
      <c r="AS1" s="149"/>
      <c r="AT1" s="149"/>
      <c r="AU1" s="149"/>
      <c r="AV1" s="149"/>
      <c r="AW1" s="149"/>
      <c r="AX1" s="149"/>
      <c r="AY1" s="149"/>
      <c r="AZ1" s="149"/>
      <c r="BA1" s="149"/>
      <c r="BB1" s="149"/>
      <c r="BC1" s="149"/>
      <c r="BD1" s="149"/>
      <c r="BE1" s="149"/>
      <c r="BF1" s="149"/>
      <c r="BG1" s="149"/>
      <c r="BH1" s="149"/>
      <c r="BI1" s="149"/>
      <c r="BJ1" s="149"/>
      <c r="BK1" s="149"/>
      <c r="BL1" s="149"/>
      <c r="BM1" s="149"/>
      <c r="BN1" s="181"/>
      <c r="BO1" s="181"/>
      <c r="BP1" s="181"/>
      <c r="BQ1" s="181"/>
      <c r="BR1" s="181"/>
      <c r="BS1" s="181"/>
      <c r="BT1" s="181"/>
      <c r="BU1" s="181"/>
      <c r="BV1" s="181"/>
      <c r="BW1" s="181"/>
      <c r="BX1" s="291"/>
      <c r="BY1" s="291"/>
      <c r="BZ1" s="291"/>
      <c r="CA1" s="291"/>
      <c r="CB1" s="291"/>
      <c r="CC1" s="291"/>
      <c r="CD1" s="291"/>
      <c r="CE1" s="291"/>
      <c r="CF1" s="291"/>
      <c r="CG1" s="291"/>
      <c r="CH1" s="291"/>
      <c r="CI1" s="291"/>
      <c r="CJ1" s="291"/>
      <c r="CK1" s="291"/>
      <c r="CL1" s="291"/>
      <c r="CM1" s="291"/>
      <c r="CN1" s="291"/>
      <c r="CO1" s="291"/>
      <c r="CP1" s="291"/>
      <c r="CQ1" s="291"/>
      <c r="CR1" s="291"/>
      <c r="CS1" s="291"/>
      <c r="CT1" s="291"/>
      <c r="CU1" s="291"/>
      <c r="CV1" s="291"/>
    </row>
    <row r="2" spans="1:100" ht="7.5" customHeight="1" x14ac:dyDescent="0.25">
      <c r="A2" s="149"/>
      <c r="B2" s="2263"/>
      <c r="C2" s="2263"/>
      <c r="D2" s="2263"/>
      <c r="E2" s="2263"/>
      <c r="F2" s="2263"/>
      <c r="G2" s="2263"/>
      <c r="H2" s="2263"/>
      <c r="I2" s="2263"/>
      <c r="J2" s="2263"/>
      <c r="K2" s="399"/>
      <c r="L2" s="399"/>
      <c r="M2" s="399"/>
      <c r="N2" s="399"/>
      <c r="O2" s="39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291"/>
      <c r="BY2" s="291"/>
      <c r="BZ2" s="291"/>
      <c r="CA2" s="291"/>
      <c r="CB2" s="291"/>
      <c r="CC2" s="291"/>
      <c r="CD2" s="291"/>
      <c r="CE2" s="291"/>
      <c r="CF2" s="291"/>
      <c r="CG2" s="291"/>
      <c r="CH2" s="291"/>
      <c r="CI2" s="291"/>
      <c r="CJ2" s="291"/>
      <c r="CK2" s="291"/>
      <c r="CL2" s="291"/>
      <c r="CM2" s="291"/>
      <c r="CN2" s="291"/>
      <c r="CO2" s="291"/>
      <c r="CP2" s="291"/>
      <c r="CQ2" s="291"/>
      <c r="CR2" s="291"/>
      <c r="CS2" s="291"/>
      <c r="CT2" s="291"/>
      <c r="CU2" s="291"/>
      <c r="CV2" s="291"/>
    </row>
    <row r="3" spans="1:100" ht="7.5" customHeight="1" thickBot="1" x14ac:dyDescent="0.3">
      <c r="A3" s="149"/>
      <c r="B3" s="2263"/>
      <c r="C3" s="2263"/>
      <c r="D3" s="2263"/>
      <c r="E3" s="2263"/>
      <c r="F3" s="2263"/>
      <c r="G3" s="2263"/>
      <c r="H3" s="2263"/>
      <c r="I3" s="2263"/>
      <c r="J3" s="2263"/>
      <c r="K3" s="854"/>
      <c r="L3" s="854"/>
      <c r="M3" s="854"/>
      <c r="N3" s="854"/>
      <c r="O3" s="855"/>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c r="BD3" s="149"/>
      <c r="BE3" s="149"/>
      <c r="BF3" s="149"/>
      <c r="BG3" s="149"/>
      <c r="BH3" s="149"/>
      <c r="BI3" s="149"/>
      <c r="BJ3" s="149"/>
      <c r="BK3" s="149"/>
      <c r="BL3" s="149"/>
      <c r="BM3" s="149"/>
      <c r="BN3" s="149"/>
      <c r="BO3" s="149"/>
      <c r="BP3" s="149"/>
      <c r="BQ3" s="149"/>
      <c r="BR3" s="149"/>
      <c r="BS3" s="149"/>
      <c r="BT3" s="149"/>
      <c r="BU3" s="149"/>
      <c r="BV3" s="149"/>
      <c r="BW3" s="149"/>
      <c r="BX3" s="291"/>
      <c r="BY3" s="291"/>
      <c r="BZ3" s="291"/>
      <c r="CA3" s="291"/>
      <c r="CB3" s="291"/>
      <c r="CC3" s="291"/>
      <c r="CD3" s="291"/>
      <c r="CE3" s="291"/>
      <c r="CF3" s="291"/>
      <c r="CG3" s="291"/>
      <c r="CH3" s="291"/>
      <c r="CI3" s="291"/>
      <c r="CJ3" s="291"/>
      <c r="CK3" s="291"/>
      <c r="CL3" s="291"/>
      <c r="CM3" s="291"/>
      <c r="CN3" s="448"/>
      <c r="CO3" s="448"/>
      <c r="CP3" s="448"/>
      <c r="CQ3" s="291"/>
      <c r="CR3" s="291"/>
      <c r="CS3" s="291"/>
      <c r="CT3" s="291"/>
      <c r="CU3" s="291"/>
      <c r="CV3" s="291"/>
    </row>
    <row r="4" spans="1:100" x14ac:dyDescent="0.25">
      <c r="A4" s="166"/>
      <c r="B4" s="894"/>
      <c r="C4" s="167"/>
      <c r="D4" s="168"/>
      <c r="E4" s="169"/>
      <c r="F4" s="169"/>
      <c r="G4" s="169"/>
      <c r="H4" s="169"/>
      <c r="I4" s="1574"/>
      <c r="J4" s="1563"/>
      <c r="K4" s="1563"/>
      <c r="L4" s="1564"/>
      <c r="M4" s="1564"/>
      <c r="N4" s="1564"/>
      <c r="O4" s="699"/>
      <c r="P4" s="1570"/>
      <c r="Q4" s="171"/>
      <c r="R4" s="2"/>
      <c r="S4" s="2"/>
      <c r="T4" s="2"/>
      <c r="U4" s="2"/>
      <c r="V4" s="2"/>
      <c r="W4" s="2"/>
      <c r="X4" s="2"/>
      <c r="Y4" s="2"/>
      <c r="Z4" s="2"/>
      <c r="AA4" s="2"/>
      <c r="AB4" s="2"/>
      <c r="AC4" s="2"/>
      <c r="AD4" s="2"/>
      <c r="AE4" s="2"/>
      <c r="AF4" s="149"/>
      <c r="AG4" s="149"/>
      <c r="AH4" s="149"/>
      <c r="AI4" s="149"/>
      <c r="AJ4" s="149"/>
      <c r="AK4" s="149"/>
      <c r="AL4" s="149"/>
      <c r="AM4" s="149"/>
      <c r="AN4" s="149"/>
      <c r="AO4" s="149"/>
      <c r="AP4" s="149"/>
      <c r="AQ4" s="149"/>
      <c r="AR4" s="149"/>
      <c r="AS4" s="149"/>
      <c r="AT4" s="149"/>
      <c r="AU4" s="149"/>
      <c r="AV4" s="149"/>
      <c r="AW4" s="149"/>
      <c r="AX4" s="149"/>
      <c r="AY4" s="149"/>
      <c r="AZ4" s="166"/>
      <c r="BA4" s="166"/>
      <c r="BB4" s="166"/>
      <c r="BC4" s="166"/>
      <c r="BD4" s="166"/>
      <c r="BE4" s="166"/>
      <c r="BF4" s="166"/>
      <c r="BG4" s="166"/>
      <c r="BH4" s="166"/>
      <c r="BI4" s="166"/>
      <c r="BJ4" s="166"/>
      <c r="BK4" s="166"/>
      <c r="BL4" s="166"/>
      <c r="BM4" s="166"/>
      <c r="BN4" s="146"/>
      <c r="BO4" s="146"/>
      <c r="BP4" s="146"/>
      <c r="BQ4" s="146"/>
      <c r="BR4" s="146"/>
      <c r="BS4" s="146"/>
      <c r="BT4" s="146"/>
      <c r="BU4" s="60"/>
      <c r="BV4" s="60"/>
      <c r="BW4" s="60"/>
      <c r="BX4" s="159"/>
      <c r="BY4" s="159"/>
      <c r="BZ4" s="10"/>
      <c r="CA4" s="159"/>
      <c r="CB4" s="159"/>
      <c r="CC4" s="159"/>
      <c r="CD4" s="159"/>
      <c r="CE4" s="159"/>
      <c r="CF4" s="159"/>
      <c r="CG4" s="159"/>
      <c r="CH4" s="159"/>
      <c r="CI4" s="159"/>
      <c r="CJ4" s="159"/>
      <c r="CK4" s="159"/>
      <c r="CL4" s="159"/>
      <c r="CM4" s="159"/>
      <c r="CN4" s="292"/>
      <c r="CO4" s="292"/>
      <c r="CP4" s="292"/>
      <c r="CQ4" s="159"/>
      <c r="CR4" s="159"/>
      <c r="CS4" s="159"/>
      <c r="CT4" s="159"/>
      <c r="CU4" s="159"/>
      <c r="CV4" s="159"/>
    </row>
    <row r="5" spans="1:100" ht="12.85" customHeight="1" x14ac:dyDescent="0.25">
      <c r="A5" s="166"/>
      <c r="B5" s="895" t="s">
        <v>1790</v>
      </c>
      <c r="C5" s="175"/>
      <c r="D5" s="176" t="s">
        <v>1790</v>
      </c>
      <c r="E5" s="1193" t="str">
        <f>IF(ISBLANK(Import!D3), "", Import!D3)</f>
        <v/>
      </c>
      <c r="F5" s="172"/>
      <c r="G5" s="2264"/>
      <c r="H5" s="2265"/>
      <c r="I5" s="1575"/>
      <c r="J5" s="1565"/>
      <c r="K5" s="1565"/>
      <c r="L5" s="1565"/>
      <c r="M5" s="1565"/>
      <c r="N5" s="1565"/>
      <c r="O5" s="697"/>
      <c r="P5" s="1571" t="s">
        <v>1946</v>
      </c>
      <c r="Q5" s="2">
        <v>0</v>
      </c>
      <c r="R5" s="2"/>
      <c r="S5" s="2"/>
      <c r="T5" s="2"/>
      <c r="U5" s="2"/>
      <c r="V5" s="2"/>
      <c r="W5" s="2"/>
      <c r="X5" s="2"/>
      <c r="Y5" s="2"/>
      <c r="Z5" s="2"/>
      <c r="AA5" s="2"/>
      <c r="AB5" s="2"/>
      <c r="AC5" s="2"/>
      <c r="AD5" s="2"/>
      <c r="AE5" s="2"/>
      <c r="AF5" s="149"/>
      <c r="AG5" s="149"/>
      <c r="AH5" s="149"/>
      <c r="AI5" s="149"/>
      <c r="AJ5" s="149"/>
      <c r="AK5" s="149"/>
      <c r="AL5" s="149"/>
      <c r="AM5" s="149"/>
      <c r="AN5" s="149"/>
      <c r="AO5" s="149"/>
      <c r="AP5" s="149"/>
      <c r="AQ5" s="149"/>
      <c r="AR5" s="149"/>
      <c r="AS5" s="149"/>
      <c r="AT5" s="149"/>
      <c r="AU5" s="149"/>
      <c r="AV5" s="149"/>
      <c r="AW5" s="149"/>
      <c r="AX5" s="149"/>
      <c r="AY5" s="149"/>
      <c r="AZ5" s="166"/>
      <c r="BA5" s="166"/>
      <c r="BB5" s="166"/>
      <c r="BC5" s="166"/>
      <c r="BD5" s="166"/>
      <c r="BE5" s="166"/>
      <c r="BF5" s="166"/>
      <c r="BG5" s="166"/>
      <c r="BH5" s="166"/>
      <c r="BI5" s="166"/>
      <c r="BJ5" s="166"/>
      <c r="BK5" s="166"/>
      <c r="BL5" s="166"/>
      <c r="BM5" s="166"/>
      <c r="BN5" s="146"/>
      <c r="BO5" s="146"/>
      <c r="BP5" s="146"/>
      <c r="BQ5" s="146"/>
      <c r="BR5" s="146"/>
      <c r="BS5" s="146"/>
      <c r="BT5" s="146"/>
      <c r="BU5" s="60"/>
      <c r="BV5" s="60"/>
      <c r="BW5" s="60"/>
      <c r="BX5" s="159"/>
      <c r="BY5" s="159"/>
      <c r="BZ5" s="159"/>
      <c r="CA5" s="159"/>
      <c r="CB5" s="159"/>
      <c r="CC5" s="159"/>
      <c r="CD5" s="159"/>
      <c r="CE5" s="159"/>
      <c r="CF5" s="159"/>
      <c r="CG5" s="159"/>
      <c r="CH5" s="159"/>
      <c r="CI5" s="159"/>
      <c r="CJ5" s="159"/>
      <c r="CK5" s="159"/>
      <c r="CL5" s="159"/>
      <c r="CM5" s="159"/>
      <c r="CN5" s="292"/>
      <c r="CO5" s="292"/>
      <c r="CP5" s="292"/>
      <c r="CQ5" s="159"/>
      <c r="CR5" s="159"/>
      <c r="CS5" s="159"/>
      <c r="CT5" s="159"/>
      <c r="CU5" s="159"/>
      <c r="CV5" s="159"/>
    </row>
    <row r="6" spans="1:100" ht="12.85" customHeight="1" x14ac:dyDescent="0.25">
      <c r="A6" s="166"/>
      <c r="B6" s="895"/>
      <c r="C6" s="175"/>
      <c r="D6" s="176" t="s">
        <v>1791</v>
      </c>
      <c r="E6" s="1193">
        <v>2020</v>
      </c>
      <c r="F6" s="172"/>
      <c r="G6" s="2266"/>
      <c r="H6" s="2267"/>
      <c r="I6" s="1575"/>
      <c r="J6" s="1565"/>
      <c r="K6" s="1565"/>
      <c r="L6" s="1565"/>
      <c r="M6" s="1565"/>
      <c r="N6" s="1565"/>
      <c r="O6" s="697"/>
      <c r="P6" s="1571" t="s">
        <v>2016</v>
      </c>
      <c r="Q6" s="2">
        <v>1</v>
      </c>
      <c r="R6" s="171" t="s">
        <v>362</v>
      </c>
      <c r="S6" s="2"/>
      <c r="T6" s="2"/>
      <c r="U6" s="2"/>
      <c r="V6" s="2"/>
      <c r="W6" s="2"/>
      <c r="X6" s="2"/>
      <c r="Y6" s="2"/>
      <c r="Z6" s="2"/>
      <c r="AA6" s="2"/>
      <c r="AB6" s="2"/>
      <c r="AC6" s="2"/>
      <c r="AD6" s="2"/>
      <c r="AE6" s="2"/>
      <c r="AF6" s="149"/>
      <c r="AG6" s="149"/>
      <c r="AH6" s="149"/>
      <c r="AI6" s="149"/>
      <c r="AJ6" s="149"/>
      <c r="AK6" s="149"/>
      <c r="AL6" s="149"/>
      <c r="AM6" s="149"/>
      <c r="AN6" s="149"/>
      <c r="AO6" s="149"/>
      <c r="AP6" s="149"/>
      <c r="AQ6" s="149"/>
      <c r="AR6" s="149"/>
      <c r="AS6" s="149"/>
      <c r="AT6" s="149"/>
      <c r="AU6" s="149"/>
      <c r="AV6" s="149"/>
      <c r="AW6" s="149"/>
      <c r="AX6" s="149"/>
      <c r="AY6" s="149"/>
      <c r="AZ6" s="166"/>
      <c r="BA6" s="166"/>
      <c r="BB6" s="166"/>
      <c r="BC6" s="166"/>
      <c r="BD6" s="166"/>
      <c r="BE6" s="166"/>
      <c r="BF6" s="166"/>
      <c r="BG6" s="166"/>
      <c r="BH6" s="166"/>
      <c r="BI6" s="166"/>
      <c r="BJ6" s="166"/>
      <c r="BK6" s="166"/>
      <c r="BL6" s="166"/>
      <c r="BM6" s="166"/>
      <c r="BN6" s="60"/>
      <c r="BO6" s="60"/>
      <c r="BP6" s="60"/>
      <c r="BQ6" s="60"/>
      <c r="BR6" s="60"/>
      <c r="BS6" s="60"/>
      <c r="BT6" s="60"/>
      <c r="BU6" s="60"/>
      <c r="BV6" s="60"/>
      <c r="BW6" s="60"/>
      <c r="BX6" s="159"/>
      <c r="BY6" s="159"/>
      <c r="BZ6" s="159"/>
      <c r="CA6" s="159"/>
      <c r="CB6" s="159"/>
      <c r="CC6" s="159"/>
      <c r="CD6" s="159"/>
      <c r="CE6" s="159"/>
      <c r="CF6" s="159"/>
      <c r="CG6" s="159"/>
      <c r="CH6" s="159"/>
      <c r="CI6" s="159"/>
      <c r="CJ6" s="159"/>
      <c r="CK6" s="159"/>
      <c r="CL6" s="159"/>
      <c r="CM6" s="159"/>
      <c r="CN6" s="292"/>
      <c r="CO6" s="292"/>
      <c r="CP6" s="292"/>
      <c r="CQ6" s="159"/>
      <c r="CR6" s="159"/>
      <c r="CS6" s="159"/>
      <c r="CT6" s="159"/>
      <c r="CU6" s="159"/>
      <c r="CV6" s="159"/>
    </row>
    <row r="7" spans="1:100" ht="12.85" customHeight="1" x14ac:dyDescent="0.25">
      <c r="A7" s="166"/>
      <c r="B7" s="895"/>
      <c r="C7" s="175"/>
      <c r="D7" s="176" t="s">
        <v>1829</v>
      </c>
      <c r="E7" s="1194" t="s">
        <v>211</v>
      </c>
      <c r="F7" s="179"/>
      <c r="G7" s="2266"/>
      <c r="H7" s="2267"/>
      <c r="I7" s="1575"/>
      <c r="J7" s="1565"/>
      <c r="K7" s="1565"/>
      <c r="L7" s="1565"/>
      <c r="M7" s="1565"/>
      <c r="N7" s="1565"/>
      <c r="O7" s="697"/>
      <c r="P7" s="1571" t="s">
        <v>1552</v>
      </c>
      <c r="Q7" s="2">
        <v>2</v>
      </c>
      <c r="R7" s="171" t="s">
        <v>892</v>
      </c>
      <c r="S7" s="2"/>
      <c r="T7" s="2"/>
      <c r="U7" s="2"/>
      <c r="V7" s="2"/>
      <c r="W7" s="2"/>
      <c r="X7" s="2"/>
      <c r="Y7" s="2"/>
      <c r="Z7" s="2"/>
      <c r="AA7" s="2"/>
      <c r="AB7" s="2"/>
      <c r="AC7" s="2"/>
      <c r="AD7" s="2"/>
      <c r="AE7" s="2"/>
      <c r="AF7" s="149"/>
      <c r="AG7" s="149"/>
      <c r="AH7" s="149"/>
      <c r="AI7" s="149"/>
      <c r="AJ7" s="149"/>
      <c r="AK7" s="149"/>
      <c r="AL7" s="149"/>
      <c r="AM7" s="149"/>
      <c r="AN7" s="149"/>
      <c r="AO7" s="149"/>
      <c r="AP7" s="149"/>
      <c r="AQ7" s="149"/>
      <c r="AR7" s="149"/>
      <c r="AS7" s="149"/>
      <c r="AT7" s="149"/>
      <c r="AU7" s="149"/>
      <c r="AV7" s="149"/>
      <c r="AW7" s="149"/>
      <c r="AX7" s="149"/>
      <c r="AY7" s="149"/>
      <c r="AZ7" s="166"/>
      <c r="BA7" s="166"/>
      <c r="BB7" s="166"/>
      <c r="BC7" s="166"/>
      <c r="BD7" s="166"/>
      <c r="BE7" s="166"/>
      <c r="BF7" s="166"/>
      <c r="BG7" s="166"/>
      <c r="BH7" s="60"/>
      <c r="BI7" s="60"/>
      <c r="BJ7" s="60"/>
      <c r="BK7" s="60"/>
      <c r="BL7" s="60"/>
      <c r="BM7" s="166"/>
      <c r="BN7" s="60"/>
      <c r="BO7" s="60"/>
      <c r="BP7" s="60"/>
      <c r="BQ7" s="60"/>
      <c r="BR7" s="60"/>
      <c r="BS7" s="60"/>
      <c r="BT7" s="60"/>
      <c r="BU7" s="60"/>
      <c r="BV7" s="60"/>
      <c r="BW7" s="60"/>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row>
    <row r="8" spans="1:100" ht="12.85" customHeight="1" x14ac:dyDescent="0.25">
      <c r="A8" s="166"/>
      <c r="B8" s="895"/>
      <c r="C8" s="175"/>
      <c r="D8" s="176" t="s">
        <v>1902</v>
      </c>
      <c r="E8" s="1194" t="s">
        <v>1552</v>
      </c>
      <c r="F8" s="172"/>
      <c r="G8" s="2266"/>
      <c r="H8" s="2267"/>
      <c r="I8" s="2270" t="s">
        <v>1255</v>
      </c>
      <c r="J8" s="2271"/>
      <c r="K8" s="2271"/>
      <c r="L8" s="2271"/>
      <c r="M8" s="2271"/>
      <c r="N8" s="1587"/>
      <c r="O8" s="1588"/>
      <c r="P8" s="1571"/>
      <c r="Q8" s="2"/>
      <c r="R8" s="166"/>
      <c r="S8" s="171"/>
      <c r="T8" s="171"/>
      <c r="U8" s="171"/>
      <c r="V8" s="171"/>
      <c r="W8" s="173"/>
      <c r="X8" s="166"/>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66"/>
      <c r="BC8" s="166"/>
      <c r="BD8" s="166"/>
      <c r="BE8" s="166"/>
      <c r="BF8" s="166"/>
      <c r="BG8" s="166"/>
      <c r="BH8" s="60"/>
      <c r="BI8" s="60"/>
      <c r="BJ8" s="60"/>
      <c r="BK8" s="60"/>
      <c r="BL8" s="60"/>
      <c r="BM8" s="166"/>
      <c r="BN8" s="60"/>
      <c r="BO8" s="60"/>
      <c r="BP8" s="60"/>
      <c r="BQ8" s="60"/>
      <c r="BR8" s="60"/>
      <c r="BS8" s="60"/>
      <c r="BT8" s="60"/>
      <c r="BU8" s="60"/>
      <c r="BV8" s="60"/>
      <c r="BW8" s="60"/>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row>
    <row r="9" spans="1:100" ht="12.85" customHeight="1" thickBot="1" x14ac:dyDescent="0.3">
      <c r="A9" s="166"/>
      <c r="B9" s="896"/>
      <c r="C9" s="182"/>
      <c r="D9" s="183"/>
      <c r="E9" s="184"/>
      <c r="F9" s="184"/>
      <c r="G9" s="2268"/>
      <c r="H9" s="2269"/>
      <c r="I9" s="2270"/>
      <c r="J9" s="2271"/>
      <c r="K9" s="2271"/>
      <c r="L9" s="2271"/>
      <c r="M9" s="2271"/>
      <c r="N9" s="1587"/>
      <c r="O9" s="1588"/>
      <c r="P9" s="1571"/>
      <c r="Q9" s="166"/>
      <c r="R9" s="166"/>
      <c r="S9" s="171"/>
      <c r="T9" s="171"/>
      <c r="U9" s="171"/>
      <c r="V9" s="171"/>
      <c r="W9" s="173"/>
      <c r="X9" s="166"/>
      <c r="Y9" s="149"/>
      <c r="Z9" s="149"/>
      <c r="AA9" s="149"/>
      <c r="AB9" s="14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66"/>
      <c r="BC9" s="166"/>
      <c r="BD9" s="166"/>
      <c r="BE9" s="166"/>
      <c r="BF9" s="166"/>
      <c r="BG9" s="166"/>
      <c r="BH9" s="60"/>
      <c r="BI9" s="60"/>
      <c r="BJ9" s="60"/>
      <c r="BK9" s="60"/>
      <c r="BL9" s="60"/>
      <c r="BM9" s="166"/>
      <c r="BN9" s="60"/>
      <c r="BO9" s="60"/>
      <c r="BP9" s="60"/>
      <c r="BQ9" s="60"/>
      <c r="BR9" s="60"/>
      <c r="BS9" s="60"/>
      <c r="BT9" s="60"/>
      <c r="BU9" s="60"/>
      <c r="BV9" s="60"/>
      <c r="BW9" s="60"/>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row>
    <row r="10" spans="1:100" ht="12.85" customHeight="1" thickBot="1" x14ac:dyDescent="0.3">
      <c r="A10" s="166"/>
      <c r="B10" s="895"/>
      <c r="C10" s="175"/>
      <c r="D10" s="176"/>
      <c r="E10" s="172"/>
      <c r="F10" s="172"/>
      <c r="G10" s="172"/>
      <c r="H10" s="172"/>
      <c r="I10" s="1580"/>
      <c r="J10" s="1583"/>
      <c r="K10" s="1561"/>
      <c r="L10" s="1565"/>
      <c r="M10" s="1565"/>
      <c r="N10" s="1565"/>
      <c r="O10" s="697"/>
      <c r="P10" s="1571"/>
      <c r="Q10" s="166"/>
      <c r="R10" s="166"/>
      <c r="S10" s="2"/>
      <c r="T10" s="171"/>
      <c r="U10" s="171"/>
      <c r="V10" s="171"/>
      <c r="W10" s="173"/>
      <c r="X10" s="166"/>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66"/>
      <c r="BC10" s="166"/>
      <c r="BD10" s="166"/>
      <c r="BE10" s="166"/>
      <c r="BF10" s="166"/>
      <c r="BG10" s="166"/>
      <c r="BH10" s="60"/>
      <c r="BI10" s="60"/>
      <c r="BJ10" s="60"/>
      <c r="BK10" s="60"/>
      <c r="BL10" s="60"/>
      <c r="BM10" s="166"/>
      <c r="BN10" s="60"/>
      <c r="BO10" s="60"/>
      <c r="BP10" s="60"/>
      <c r="BQ10" s="60"/>
      <c r="BR10" s="60"/>
      <c r="BS10" s="60"/>
      <c r="BT10" s="60"/>
      <c r="BU10" s="60"/>
      <c r="BV10" s="60"/>
      <c r="BW10" s="60"/>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row>
    <row r="11" spans="1:100" ht="47.95" customHeight="1" x14ac:dyDescent="0.25">
      <c r="A11" s="166"/>
      <c r="B11" s="895" t="s">
        <v>1161</v>
      </c>
      <c r="C11" s="175"/>
      <c r="D11" s="1223" t="s">
        <v>933</v>
      </c>
      <c r="E11" s="1193" t="s">
        <v>1451</v>
      </c>
      <c r="F11" s="179" t="s">
        <v>1264</v>
      </c>
      <c r="G11" s="172"/>
      <c r="H11" s="172"/>
      <c r="I11" s="1575"/>
      <c r="J11" s="61" t="s">
        <v>271</v>
      </c>
      <c r="K11" s="1586" t="s">
        <v>755</v>
      </c>
      <c r="L11" s="1584"/>
      <c r="M11" s="152" t="str">
        <f ca="1" xml:space="preserve"> "2. Finished product in " &amp; F14</f>
        <v xml:space="preserve">2. Finished product in tonnes </v>
      </c>
      <c r="N11" s="1586" t="s">
        <v>1306</v>
      </c>
      <c r="O11" s="697"/>
      <c r="P11" s="1571"/>
      <c r="Q11" s="171"/>
      <c r="R11" s="171"/>
      <c r="S11" s="1657" t="s">
        <v>1350</v>
      </c>
      <c r="T11" s="149"/>
      <c r="U11" s="171"/>
      <c r="V11" s="171"/>
      <c r="W11" s="173"/>
      <c r="X11" s="166"/>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66"/>
      <c r="BC11" s="166"/>
      <c r="BD11" s="166"/>
      <c r="BE11" s="166"/>
      <c r="BF11" s="166"/>
      <c r="BG11" s="166"/>
      <c r="BH11" s="60"/>
      <c r="BI11" s="60"/>
      <c r="BJ11" s="60"/>
      <c r="BK11" s="60"/>
      <c r="BL11" s="60"/>
      <c r="BM11" s="166"/>
      <c r="BN11" s="60"/>
      <c r="BO11" s="60"/>
      <c r="BP11" s="60"/>
      <c r="BQ11" s="60"/>
      <c r="BR11" s="60"/>
      <c r="BS11" s="60"/>
      <c r="BT11" s="60"/>
      <c r="BU11" s="60"/>
      <c r="BV11" s="60"/>
      <c r="BW11" s="60"/>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row>
    <row r="12" spans="1:100" ht="24.05" customHeight="1" x14ac:dyDescent="0.25">
      <c r="A12" s="166"/>
      <c r="B12" s="895"/>
      <c r="C12" s="175"/>
      <c r="D12" s="185" t="s">
        <v>711</v>
      </c>
      <c r="E12" s="1194">
        <v>7.2</v>
      </c>
      <c r="F12" s="1196" t="s">
        <v>884</v>
      </c>
      <c r="G12" s="172"/>
      <c r="H12" s="186"/>
      <c r="I12" s="1576" t="s">
        <v>501</v>
      </c>
      <c r="J12" s="1193">
        <f>IF(ISBLANK(Import!B504)," ",Import!B504)</f>
        <v>0</v>
      </c>
      <c r="K12" s="1193">
        <f>IF(ISBLANK(Import!C504)," ",Import!C504)</f>
        <v>0</v>
      </c>
      <c r="L12" s="1614" t="s">
        <v>1493</v>
      </c>
      <c r="M12" s="1193" t="str">
        <f>IF(ISBLANK(Import!E504),"",Import!E504)</f>
        <v/>
      </c>
      <c r="N12" s="1193" t="str">
        <f>IF(ISBLANK(Import!F504),"",Import!F504)</f>
        <v/>
      </c>
      <c r="O12" s="697"/>
      <c r="P12" s="1571"/>
      <c r="Q12" s="171"/>
      <c r="R12" s="171"/>
      <c r="S12" s="1693">
        <f>IF('1.GeneralInfo'!F12="Hectares",'1.GeneralInfo'!E12,'1.GeneralInfo'!E12*'2.CropManagement'!$Y$153)</f>
        <v>7.2</v>
      </c>
      <c r="T12" s="171"/>
      <c r="U12" s="173"/>
      <c r="V12" s="166"/>
      <c r="W12" s="190"/>
      <c r="X12" s="166"/>
      <c r="Y12" s="149"/>
      <c r="Z12" s="190"/>
      <c r="AA12" s="190"/>
      <c r="AB12" s="269"/>
      <c r="AC12" s="269"/>
      <c r="AD12" s="269"/>
      <c r="AE12" s="269"/>
      <c r="AF12" s="149"/>
      <c r="AG12" s="190"/>
      <c r="AH12" s="149"/>
      <c r="AI12" s="191"/>
      <c r="AJ12" s="191"/>
      <c r="AK12" s="149"/>
      <c r="AL12" s="149"/>
      <c r="AM12" s="191"/>
      <c r="AN12" s="191"/>
      <c r="AO12" s="191"/>
      <c r="AP12" s="149"/>
      <c r="AQ12" s="149"/>
      <c r="AR12" s="149"/>
      <c r="AS12" s="149"/>
      <c r="AT12" s="149"/>
      <c r="AU12" s="149"/>
      <c r="AV12" s="149"/>
      <c r="AW12" s="149"/>
      <c r="AX12" s="149"/>
      <c r="AY12" s="149"/>
      <c r="AZ12" s="149"/>
      <c r="BA12" s="149"/>
      <c r="BB12" s="166"/>
      <c r="BC12" s="166"/>
      <c r="BD12" s="166"/>
      <c r="BE12" s="166"/>
      <c r="BF12" s="166"/>
      <c r="BG12" s="166"/>
      <c r="BH12" s="60"/>
      <c r="BI12" s="60"/>
      <c r="BJ12" s="60"/>
      <c r="BK12" s="60"/>
      <c r="BL12" s="60"/>
      <c r="BM12" s="166"/>
      <c r="BN12" s="60"/>
      <c r="BO12" s="60"/>
      <c r="BP12" s="60"/>
      <c r="BQ12" s="60"/>
      <c r="BR12" s="60"/>
      <c r="BS12" s="60"/>
      <c r="BT12" s="60"/>
      <c r="BU12" s="60"/>
      <c r="BV12" s="60"/>
      <c r="BW12" s="60"/>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row>
    <row r="13" spans="1:100" ht="24.05" customHeight="1" x14ac:dyDescent="0.25">
      <c r="A13" s="166"/>
      <c r="B13" s="895"/>
      <c r="C13" s="195"/>
      <c r="D13" s="1223" t="s">
        <v>1262</v>
      </c>
      <c r="E13" s="1193"/>
      <c r="F13" s="1196"/>
      <c r="G13" s="198"/>
      <c r="H13" s="364"/>
      <c r="I13" s="1577" t="s">
        <v>502</v>
      </c>
      <c r="J13" s="1193">
        <f>IF(ISBLANK(Import!B505)," ",Import!B505)</f>
        <v>0</v>
      </c>
      <c r="K13" s="1193">
        <f>IF(ISBLANK(Import!C505)," ",Import!C505)</f>
        <v>0</v>
      </c>
      <c r="L13" s="1614"/>
      <c r="M13" s="1193" t="str">
        <f>IF(ISBLANK(Import!E505),"",Import!E505)</f>
        <v/>
      </c>
      <c r="N13" s="1193" t="str">
        <f>IF(ISBLANK(Import!F505),"",Import!F505)</f>
        <v/>
      </c>
      <c r="O13" s="1562"/>
      <c r="P13" s="1092"/>
      <c r="Q13" s="166"/>
      <c r="R13" s="166"/>
      <c r="S13" s="1693">
        <f>SUMIF('2.CropManagement'!X$156:X$164,'1.GeneralInfo'!F13,'2.CropManagement'!Y$156:Y$164)*'1.GeneralInfo'!$E13</f>
        <v>0</v>
      </c>
      <c r="T13" s="193"/>
      <c r="U13" s="173"/>
      <c r="V13" s="171"/>
      <c r="W13" s="243"/>
      <c r="X13" s="166"/>
      <c r="Y13" s="149"/>
      <c r="Z13" s="149"/>
      <c r="AA13" s="149"/>
      <c r="AB13" s="1052"/>
      <c r="AC13" s="1052"/>
      <c r="AD13" s="1052"/>
      <c r="AE13" s="1052"/>
      <c r="AF13" s="200"/>
      <c r="AG13" s="149"/>
      <c r="AH13" s="149"/>
      <c r="AI13" s="149"/>
      <c r="AJ13" s="149"/>
      <c r="AK13" s="149"/>
      <c r="AL13" s="149"/>
      <c r="AM13" s="149"/>
      <c r="AN13" s="149"/>
      <c r="AO13" s="149"/>
      <c r="AP13" s="149"/>
      <c r="AQ13" s="149"/>
      <c r="AR13" s="149"/>
      <c r="AS13" s="149"/>
      <c r="AT13" s="1062"/>
      <c r="AU13" s="1062"/>
      <c r="AV13" s="149"/>
      <c r="AW13" s="149"/>
      <c r="AX13" s="149"/>
      <c r="AY13" s="149"/>
      <c r="AZ13" s="149"/>
      <c r="BA13" s="166"/>
      <c r="BB13" s="166"/>
      <c r="BC13" s="166"/>
      <c r="BD13" s="166"/>
      <c r="BE13" s="166"/>
      <c r="BF13" s="166"/>
      <c r="BG13" s="166"/>
      <c r="BH13" s="60"/>
      <c r="BI13" s="60"/>
      <c r="BJ13" s="60"/>
      <c r="BK13" s="60"/>
      <c r="BL13" s="60"/>
      <c r="BM13" s="166"/>
      <c r="BN13" s="1137"/>
      <c r="BO13" s="1137"/>
      <c r="BP13" s="1137"/>
      <c r="BQ13" s="1137"/>
      <c r="BR13" s="1137"/>
      <c r="BS13" s="1137"/>
      <c r="BT13" s="1137"/>
      <c r="BU13" s="1137"/>
      <c r="BV13" s="1137"/>
      <c r="BW13" s="1137"/>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row>
    <row r="14" spans="1:100" ht="24.05" customHeight="1" thickBot="1" x14ac:dyDescent="0.3">
      <c r="A14" s="166"/>
      <c r="B14" s="895"/>
      <c r="C14" s="195"/>
      <c r="D14" s="1223" t="s">
        <v>1617</v>
      </c>
      <c r="E14" s="1194">
        <v>61.92</v>
      </c>
      <c r="F14" s="1196" t="str">
        <f ca="1">IF(ISBLANK(Import!D15),OFFSET(AJ28,SUMIF(AE28:AE30,$E$8,AF28:AF30),0), Import!D15)</f>
        <v xml:space="preserve">tonnes </v>
      </c>
      <c r="G14" s="198"/>
      <c r="H14" s="364"/>
      <c r="I14" s="1577" t="s">
        <v>503</v>
      </c>
      <c r="J14" s="1193">
        <f>IF(ISBLANK(Import!B506)," ",Import!B506)</f>
        <v>0</v>
      </c>
      <c r="K14" s="1193">
        <f>IF(ISBLANK(Import!C506)," ",Import!C506)</f>
        <v>0</v>
      </c>
      <c r="L14" s="1614"/>
      <c r="M14" s="1193" t="str">
        <f>IF(ISBLANK(Import!E506),"",Import!E506)</f>
        <v/>
      </c>
      <c r="N14" s="1193" t="str">
        <f>IF(ISBLANK(Import!F506),"",Import!F506)</f>
        <v/>
      </c>
      <c r="O14" s="1562"/>
      <c r="P14" s="1092"/>
      <c r="Q14" s="166"/>
      <c r="R14" s="166"/>
      <c r="S14" s="1694">
        <f ca="1">SUMIF('2.CropManagement'!X$156:X$164,'1.GeneralInfo'!F14,'2.CropManagement'!Y$156:Y$164)*'1.GeneralInfo'!$E14</f>
        <v>61.92</v>
      </c>
      <c r="T14" s="193"/>
      <c r="U14" s="173"/>
      <c r="V14" s="166"/>
      <c r="W14" s="243"/>
      <c r="X14" s="166"/>
      <c r="Y14" s="2"/>
      <c r="Z14" s="149"/>
      <c r="AA14" s="149"/>
      <c r="AB14" s="243"/>
      <c r="AC14" s="243"/>
      <c r="AD14" s="243"/>
      <c r="AE14" s="243"/>
      <c r="AF14" s="149"/>
      <c r="AG14" s="149"/>
      <c r="AH14" s="149"/>
      <c r="AI14" s="149"/>
      <c r="AJ14" s="149"/>
      <c r="AK14" s="149"/>
      <c r="AL14" s="149"/>
      <c r="AM14" s="149"/>
      <c r="AN14" s="149"/>
      <c r="AO14" s="149"/>
      <c r="AP14" s="149"/>
      <c r="AQ14" s="149"/>
      <c r="AR14" s="149"/>
      <c r="AS14" s="149"/>
      <c r="AT14" s="1098"/>
      <c r="AU14" s="436"/>
      <c r="AV14" s="149"/>
      <c r="AW14" s="149"/>
      <c r="AX14" s="149"/>
      <c r="AY14" s="149"/>
      <c r="AZ14" s="149"/>
      <c r="BA14" s="166"/>
      <c r="BB14" s="166"/>
      <c r="BC14" s="166"/>
      <c r="BD14" s="166"/>
      <c r="BE14" s="166"/>
      <c r="BF14" s="166"/>
      <c r="BG14" s="166"/>
      <c r="BH14" s="60"/>
      <c r="BI14" s="60"/>
      <c r="BJ14" s="60"/>
      <c r="BK14" s="60"/>
      <c r="BL14" s="60"/>
      <c r="BM14" s="166"/>
      <c r="BN14" s="1137"/>
      <c r="BO14" s="1137"/>
      <c r="BP14" s="1137"/>
      <c r="BQ14" s="1137"/>
      <c r="BR14" s="1137"/>
      <c r="BS14" s="1137"/>
      <c r="BT14" s="1137"/>
      <c r="BU14" s="1137"/>
      <c r="BV14" s="1137"/>
      <c r="BW14" s="1137"/>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row>
    <row r="15" spans="1:100" ht="24.05" customHeight="1" thickBot="1" x14ac:dyDescent="0.3">
      <c r="A15" s="166"/>
      <c r="B15" s="895"/>
      <c r="C15" s="216"/>
      <c r="D15" s="181"/>
      <c r="E15" s="181"/>
      <c r="F15" s="181"/>
      <c r="G15" s="181"/>
      <c r="H15" s="181"/>
      <c r="I15" s="1577" t="s">
        <v>1722</v>
      </c>
      <c r="J15" s="1193">
        <f>IF(ISBLANK(Import!B507)," ",Import!B507)</f>
        <v>0</v>
      </c>
      <c r="K15" s="1193">
        <f>IF(ISBLANK(Import!C507)," ",Import!C507)</f>
        <v>0</v>
      </c>
      <c r="L15" s="1614"/>
      <c r="M15" s="1193" t="str">
        <f>IF(ISBLANK(Import!E507),"",Import!E507)</f>
        <v/>
      </c>
      <c r="N15" s="1193" t="str">
        <f>IF(ISBLANK(Import!F507),"",Import!F507)</f>
        <v/>
      </c>
      <c r="O15" s="357"/>
      <c r="P15" s="356"/>
      <c r="Q15" s="171"/>
      <c r="R15" s="2"/>
      <c r="S15" s="2"/>
      <c r="T15" s="2"/>
      <c r="U15" s="2"/>
      <c r="V15" s="2"/>
      <c r="W15" s="243"/>
      <c r="X15" s="166"/>
      <c r="Y15" s="2"/>
      <c r="Z15" s="149"/>
      <c r="AA15" s="149"/>
      <c r="AB15" s="243"/>
      <c r="AC15" s="243"/>
      <c r="AD15" s="243"/>
      <c r="AE15" s="243"/>
      <c r="AF15" s="149"/>
      <c r="AG15" s="149"/>
      <c r="AH15" s="149"/>
      <c r="AI15" s="149"/>
      <c r="AJ15" s="149"/>
      <c r="AK15" s="149"/>
      <c r="AL15" s="149"/>
      <c r="AM15" s="149"/>
      <c r="AN15" s="149"/>
      <c r="AO15" s="149"/>
      <c r="AP15" s="149"/>
      <c r="AQ15" s="149"/>
      <c r="AR15" s="149"/>
      <c r="AS15" s="149"/>
      <c r="AT15" s="1098"/>
      <c r="AU15" s="436"/>
      <c r="AV15" s="149"/>
      <c r="AW15" s="149"/>
      <c r="AX15" s="149"/>
      <c r="AY15" s="149"/>
      <c r="AZ15" s="149"/>
      <c r="BA15" s="166"/>
      <c r="BB15" s="166"/>
      <c r="BC15" s="166"/>
      <c r="BD15" s="166"/>
      <c r="BE15" s="166"/>
      <c r="BF15" s="166"/>
      <c r="BG15" s="166"/>
      <c r="BH15" s="60"/>
      <c r="BI15" s="60"/>
      <c r="BJ15" s="60"/>
      <c r="BK15" s="60"/>
      <c r="BL15" s="60"/>
      <c r="BM15" s="166"/>
      <c r="BN15" s="1137"/>
      <c r="BO15" s="1137"/>
      <c r="BP15" s="1137"/>
      <c r="BQ15" s="1137"/>
      <c r="BR15" s="1137"/>
      <c r="BS15" s="1137"/>
      <c r="BT15" s="1137"/>
      <c r="BU15" s="1137"/>
      <c r="BV15" s="1137"/>
      <c r="BW15" s="1137"/>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row>
    <row r="16" spans="1:100" ht="24.05" customHeight="1" x14ac:dyDescent="0.25">
      <c r="A16" s="166"/>
      <c r="B16" s="1609" t="s">
        <v>1411</v>
      </c>
      <c r="C16" s="204"/>
      <c r="D16" s="205"/>
      <c r="E16" s="206"/>
      <c r="F16" s="207"/>
      <c r="G16" s="208"/>
      <c r="H16" s="206"/>
      <c r="I16" s="1578"/>
      <c r="J16" s="1561"/>
      <c r="K16" s="1561"/>
      <c r="L16" s="1565"/>
      <c r="M16" s="1565"/>
      <c r="N16" s="1565"/>
      <c r="O16" s="1567"/>
      <c r="P16" s="1572"/>
      <c r="Q16" s="193"/>
      <c r="R16" s="2"/>
      <c r="S16" s="1656"/>
      <c r="T16" s="1127"/>
      <c r="U16" s="1127"/>
      <c r="V16" s="1127"/>
      <c r="W16" s="1127"/>
      <c r="X16" s="1127"/>
      <c r="Y16" s="1127"/>
      <c r="Z16" s="1128"/>
      <c r="AA16" s="149"/>
      <c r="AB16" s="1052"/>
      <c r="AC16" s="1052"/>
      <c r="AD16" s="1052"/>
      <c r="AE16" s="1052"/>
      <c r="AF16" s="200"/>
      <c r="AG16" s="149"/>
      <c r="AH16" s="149"/>
      <c r="AI16" s="149"/>
      <c r="AJ16" s="149"/>
      <c r="AK16" s="149"/>
      <c r="AL16" s="149"/>
      <c r="AM16" s="149"/>
      <c r="AN16" s="149"/>
      <c r="AO16" s="149"/>
      <c r="AP16" s="149"/>
      <c r="AQ16" s="149"/>
      <c r="AR16" s="149"/>
      <c r="AS16" s="149"/>
      <c r="AT16" s="149"/>
      <c r="AU16" s="149"/>
      <c r="AV16" s="149"/>
      <c r="AW16" s="149"/>
      <c r="AX16" s="149"/>
      <c r="AY16" s="149"/>
      <c r="AZ16" s="149"/>
      <c r="BA16" s="166"/>
      <c r="BB16" s="166"/>
      <c r="BC16" s="166"/>
      <c r="BD16" s="166"/>
      <c r="BE16" s="166"/>
      <c r="BF16" s="166"/>
      <c r="BG16" s="166"/>
      <c r="BH16" s="60"/>
      <c r="BI16" s="60"/>
      <c r="BJ16" s="60"/>
      <c r="BK16" s="60"/>
      <c r="BL16" s="60"/>
      <c r="BM16" s="166"/>
      <c r="BN16" s="1137"/>
      <c r="BO16" s="1137"/>
      <c r="BP16" s="1137"/>
      <c r="BQ16" s="1137"/>
      <c r="BR16" s="1137"/>
      <c r="BS16" s="1137"/>
      <c r="BT16" s="1137"/>
      <c r="BU16" s="1137"/>
      <c r="BV16" s="1137"/>
      <c r="BW16" s="1137"/>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row>
    <row r="17" spans="1:100" ht="24.05" customHeight="1" x14ac:dyDescent="0.25">
      <c r="A17" s="166"/>
      <c r="B17" s="1610"/>
      <c r="C17" s="209"/>
      <c r="D17" s="1223" t="s">
        <v>849</v>
      </c>
      <c r="E17" s="1526" t="s">
        <v>528</v>
      </c>
      <c r="F17" s="1050" t="s">
        <v>1264</v>
      </c>
      <c r="G17" s="181"/>
      <c r="H17" s="194"/>
      <c r="I17" s="363"/>
      <c r="J17" s="1561"/>
      <c r="K17" s="1561"/>
      <c r="L17" s="1565"/>
      <c r="M17" s="1565"/>
      <c r="N17" s="1565"/>
      <c r="O17" s="1567"/>
      <c r="P17" s="1572" t="s">
        <v>636</v>
      </c>
      <c r="Q17" s="211"/>
      <c r="R17" s="2"/>
      <c r="S17" s="1659" t="s">
        <v>1551</v>
      </c>
      <c r="T17" s="77">
        <f>W17</f>
        <v>10</v>
      </c>
      <c r="U17" s="180">
        <v>1</v>
      </c>
      <c r="V17" s="180"/>
      <c r="W17" s="1658">
        <f>SUMIF('2.CropManagement'!BF156:BF157,'1.GeneralInfo'!E17,'2.CropManagement'!BE156:BE157)</f>
        <v>10</v>
      </c>
      <c r="X17" s="188"/>
      <c r="Y17" s="180">
        <f ca="1">IF('1.GeneralInfo'!F18=S17,'1.GeneralInfo'!E18,('1.GeneralInfo'!E18-V18)/U18)</f>
        <v>10</v>
      </c>
      <c r="Z17" s="1130"/>
      <c r="AA17" s="149"/>
      <c r="AB17" s="1052"/>
      <c r="AC17" s="1052"/>
      <c r="AD17" s="1052"/>
      <c r="AE17" s="1052"/>
      <c r="AF17" s="200"/>
      <c r="AG17" s="149"/>
      <c r="AH17" s="149"/>
      <c r="AI17" s="149"/>
      <c r="AJ17" s="149"/>
      <c r="AK17" s="149"/>
      <c r="AL17" s="149"/>
      <c r="AM17" s="149"/>
      <c r="AN17" s="149"/>
      <c r="AO17" s="149"/>
      <c r="AP17" s="149"/>
      <c r="AQ17" s="149"/>
      <c r="AR17" s="149"/>
      <c r="AS17" s="149"/>
      <c r="AT17" s="149"/>
      <c r="AU17" s="149"/>
      <c r="AV17" s="149"/>
      <c r="AW17" s="149"/>
      <c r="AX17" s="149"/>
      <c r="AY17" s="149"/>
      <c r="AZ17" s="149"/>
      <c r="BA17" s="166"/>
      <c r="BB17" s="166"/>
      <c r="BC17" s="166"/>
      <c r="BD17" s="166"/>
      <c r="BE17" s="166"/>
      <c r="BF17" s="166"/>
      <c r="BG17" s="166"/>
      <c r="BH17" s="60"/>
      <c r="BI17" s="60"/>
      <c r="BJ17" s="60"/>
      <c r="BK17" s="60"/>
      <c r="BL17" s="60"/>
      <c r="BM17" s="166"/>
      <c r="BN17" s="1137"/>
      <c r="BO17" s="1137"/>
      <c r="BP17" s="1137"/>
      <c r="BQ17" s="1137"/>
      <c r="BR17" s="1137"/>
      <c r="BS17" s="1137"/>
      <c r="BT17" s="1137"/>
      <c r="BU17" s="1137"/>
      <c r="BV17" s="1137"/>
      <c r="BW17" s="1137"/>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row>
    <row r="18" spans="1:100" ht="24.05" customHeight="1" x14ac:dyDescent="0.25">
      <c r="A18" s="166"/>
      <c r="B18" s="1610"/>
      <c r="C18" s="209"/>
      <c r="D18" s="1224" t="s">
        <v>70</v>
      </c>
      <c r="E18" s="1197">
        <v>10</v>
      </c>
      <c r="F18" s="1198" t="str">
        <f ca="1">IF(ISBLANK(Import!D21),OFFSET(AB42,SUMIF(AA38:AA40,$E$8,AA42:AA44),0), Import!D21)</f>
        <v>°C</v>
      </c>
      <c r="G18" s="194"/>
      <c r="H18" s="194"/>
      <c r="I18" s="363"/>
      <c r="J18" s="1561"/>
      <c r="K18" s="1561"/>
      <c r="L18" s="1565"/>
      <c r="M18" s="1565"/>
      <c r="N18" s="1565"/>
      <c r="O18" s="1567"/>
      <c r="P18" s="356" t="str">
        <f ca="1">SUMIF('2.CropManagement'!W106:W107,F18,'2.CropManagement'!X106:X107) &amp; F18</f>
        <v>0°C</v>
      </c>
      <c r="Q18" s="166"/>
      <c r="R18" s="2"/>
      <c r="S18" s="1659" t="s">
        <v>1655</v>
      </c>
      <c r="T18" s="77">
        <f>T17/5*9+32</f>
        <v>50</v>
      </c>
      <c r="U18" s="180">
        <v>1.8</v>
      </c>
      <c r="V18" s="180">
        <v>32</v>
      </c>
      <c r="W18" s="180"/>
      <c r="X18" s="188"/>
      <c r="Y18" s="188"/>
      <c r="Z18" s="1130"/>
      <c r="AA18" s="149"/>
      <c r="AB18" s="1052"/>
      <c r="AC18" s="1052"/>
      <c r="AD18" s="1052"/>
      <c r="AE18" s="1052"/>
      <c r="AF18" s="200"/>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66"/>
      <c r="BH18" s="60"/>
      <c r="BI18" s="60"/>
      <c r="BJ18" s="60"/>
      <c r="BK18" s="60"/>
      <c r="BL18" s="60"/>
      <c r="BM18" s="149"/>
      <c r="BN18" s="1137"/>
      <c r="BO18" s="1137"/>
      <c r="BP18" s="1137"/>
      <c r="BQ18" s="1137"/>
      <c r="BR18" s="1137"/>
      <c r="BS18" s="1137"/>
      <c r="BT18" s="1137"/>
      <c r="BU18" s="1137"/>
      <c r="BV18" s="1137"/>
      <c r="BW18" s="1137"/>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row>
    <row r="19" spans="1:100" ht="24.05" customHeight="1" thickBot="1" x14ac:dyDescent="0.3">
      <c r="A19" s="166"/>
      <c r="B19" s="1611"/>
      <c r="C19" s="213"/>
      <c r="D19" s="214"/>
      <c r="E19" s="215"/>
      <c r="F19" s="215"/>
      <c r="G19" s="215"/>
      <c r="H19" s="215"/>
      <c r="I19" s="1579"/>
      <c r="J19" s="1568"/>
      <c r="K19" s="1568"/>
      <c r="L19" s="1566"/>
      <c r="M19" s="1566"/>
      <c r="N19" s="1566"/>
      <c r="O19" s="1569"/>
      <c r="P19" s="1573"/>
      <c r="Q19" s="171"/>
      <c r="R19" s="2"/>
      <c r="S19" s="1131"/>
      <c r="T19" s="240"/>
      <c r="U19" s="240"/>
      <c r="V19" s="240"/>
      <c r="W19" s="240"/>
      <c r="X19" s="240"/>
      <c r="Y19" s="240"/>
      <c r="Z19" s="1132"/>
      <c r="AA19" s="149"/>
      <c r="AB19" s="1052"/>
      <c r="AC19" s="1052"/>
      <c r="AD19" s="1052"/>
      <c r="AE19" s="1052"/>
      <c r="AF19" s="200"/>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66"/>
      <c r="BH19" s="60"/>
      <c r="BI19" s="60"/>
      <c r="BJ19" s="60"/>
      <c r="BK19" s="60"/>
      <c r="BL19" s="60"/>
      <c r="BM19" s="149"/>
      <c r="BN19" s="60"/>
      <c r="BO19" s="60"/>
      <c r="BP19" s="60"/>
      <c r="BQ19" s="60"/>
      <c r="BR19" s="60"/>
      <c r="BS19" s="60"/>
      <c r="BT19" s="60"/>
      <c r="BU19" s="60"/>
      <c r="BV19" s="60"/>
      <c r="BW19" s="60"/>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row>
    <row r="20" spans="1:100" ht="25.5" customHeight="1" x14ac:dyDescent="0.25">
      <c r="A20" s="149"/>
      <c r="B20" s="1612"/>
      <c r="C20" s="211"/>
      <c r="D20" s="1051"/>
      <c r="E20" s="211"/>
      <c r="F20" s="211"/>
      <c r="G20" s="211"/>
      <c r="H20" s="211"/>
      <c r="I20" s="211"/>
      <c r="J20" s="211"/>
      <c r="K20" s="211"/>
      <c r="L20" s="211"/>
      <c r="M20" s="211"/>
      <c r="N20" s="211"/>
      <c r="O20" s="211"/>
      <c r="P20" s="171"/>
      <c r="Q20" s="171"/>
      <c r="R20" s="2"/>
      <c r="S20" s="149"/>
      <c r="T20" s="149"/>
      <c r="U20" s="149"/>
      <c r="V20" s="149"/>
      <c r="W20" s="149"/>
      <c r="X20" s="149"/>
      <c r="Y20" s="149"/>
      <c r="Z20" s="149"/>
      <c r="AA20" s="149"/>
      <c r="AB20" s="1052"/>
      <c r="AC20" s="1052"/>
      <c r="AD20" s="1052"/>
      <c r="AE20" s="1052"/>
      <c r="AF20" s="200"/>
      <c r="AG20" s="149"/>
      <c r="AH20" s="149"/>
      <c r="AI20" s="149"/>
      <c r="AJ20" s="149"/>
      <c r="AK20" s="149"/>
      <c r="AL20" s="149"/>
      <c r="AM20" s="149"/>
      <c r="AN20" s="149"/>
      <c r="AO20" s="149"/>
      <c r="AP20" s="149"/>
      <c r="AQ20" s="149"/>
      <c r="AR20" s="149"/>
      <c r="AS20" s="149"/>
      <c r="AT20" s="149"/>
      <c r="AU20" s="149"/>
      <c r="AV20" s="149"/>
      <c r="AW20" s="149"/>
      <c r="AX20" s="149"/>
      <c r="AY20" s="149"/>
      <c r="AZ20" s="149"/>
      <c r="BA20" s="149"/>
      <c r="BB20" s="149"/>
      <c r="BC20" s="149"/>
      <c r="BD20" s="149"/>
      <c r="BE20" s="149"/>
      <c r="BF20" s="149"/>
      <c r="BG20" s="166"/>
      <c r="BH20" s="166"/>
      <c r="BI20" s="166"/>
      <c r="BJ20" s="166"/>
      <c r="BK20" s="166"/>
      <c r="BL20" s="166"/>
      <c r="BM20" s="149"/>
      <c r="BN20" s="60"/>
      <c r="BO20" s="60"/>
      <c r="BP20" s="60"/>
      <c r="BQ20" s="60"/>
      <c r="BR20" s="60"/>
      <c r="BS20" s="60"/>
      <c r="BT20" s="60"/>
      <c r="BU20" s="60"/>
      <c r="BV20" s="60"/>
      <c r="BW20" s="60"/>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row>
    <row r="21" spans="1:100" ht="24.05" customHeight="1" x14ac:dyDescent="0.25">
      <c r="A21" s="149"/>
      <c r="B21" s="1612"/>
      <c r="C21" s="211"/>
      <c r="D21" s="1053"/>
      <c r="E21" s="171"/>
      <c r="F21" s="211"/>
      <c r="G21" s="211"/>
      <c r="H21" s="211"/>
      <c r="I21" s="211"/>
      <c r="J21" s="211"/>
      <c r="K21" s="211"/>
      <c r="L21" s="211"/>
      <c r="M21" s="211"/>
      <c r="N21" s="211"/>
      <c r="O21" s="211"/>
      <c r="P21" s="171"/>
      <c r="Q21" s="171"/>
      <c r="R21" s="2"/>
      <c r="S21" s="2"/>
      <c r="T21" s="2"/>
      <c r="U21" s="2"/>
      <c r="V21" s="2"/>
      <c r="W21" s="243"/>
      <c r="X21" s="149"/>
      <c r="Y21" s="2"/>
      <c r="Z21" s="149"/>
      <c r="AA21" s="149"/>
      <c r="AB21" s="1052"/>
      <c r="AC21" s="1052"/>
      <c r="AD21" s="1052"/>
      <c r="AE21" s="1052"/>
      <c r="AF21" s="200"/>
      <c r="AG21" s="149"/>
      <c r="AH21" s="149"/>
      <c r="AI21" s="149"/>
      <c r="AJ21" s="149"/>
      <c r="AK21" s="149"/>
      <c r="AL21" s="149"/>
      <c r="AM21" s="149"/>
      <c r="AN21" s="149"/>
      <c r="AO21" s="149"/>
      <c r="AP21" s="149"/>
      <c r="AQ21" s="149"/>
      <c r="AR21" s="149"/>
      <c r="AS21" s="149"/>
      <c r="AT21" s="149"/>
      <c r="AU21" s="149"/>
      <c r="AV21" s="166"/>
      <c r="AW21" s="166"/>
      <c r="AX21" s="166"/>
      <c r="AY21" s="166"/>
      <c r="AZ21" s="166"/>
      <c r="BA21" s="166"/>
      <c r="BB21" s="166"/>
      <c r="BC21" s="166"/>
      <c r="BD21" s="166"/>
      <c r="BE21" s="166"/>
      <c r="BF21" s="166"/>
      <c r="BG21" s="166"/>
      <c r="BH21" s="166"/>
      <c r="BI21" s="166"/>
      <c r="BJ21" s="166"/>
      <c r="BK21" s="166"/>
      <c r="BL21" s="166"/>
      <c r="BM21" s="166"/>
      <c r="BN21" s="60"/>
      <c r="BO21" s="60"/>
      <c r="BP21" s="60"/>
      <c r="BQ21" s="60"/>
      <c r="BR21" s="60"/>
      <c r="BS21" s="60"/>
      <c r="BT21" s="60"/>
      <c r="BU21" s="60"/>
      <c r="BV21" s="60"/>
      <c r="BW21" s="60"/>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row>
    <row r="22" spans="1:100" ht="34.6" customHeight="1" x14ac:dyDescent="0.25">
      <c r="A22" s="149"/>
      <c r="B22" s="1612"/>
      <c r="C22" s="211"/>
      <c r="D22" s="1053"/>
      <c r="E22" s="171"/>
      <c r="F22" s="211"/>
      <c r="G22" s="211"/>
      <c r="H22" s="171"/>
      <c r="I22" s="171"/>
      <c r="J22" s="171"/>
      <c r="K22" s="171"/>
      <c r="L22" s="171"/>
      <c r="M22" s="171"/>
      <c r="N22" s="171"/>
      <c r="O22" s="211"/>
      <c r="P22" s="171"/>
      <c r="Q22" s="171"/>
      <c r="R22" s="2"/>
      <c r="S22" s="2"/>
      <c r="T22" s="2"/>
      <c r="U22" s="2"/>
      <c r="V22" s="2"/>
      <c r="W22" s="243"/>
      <c r="X22" s="149"/>
      <c r="Y22" s="2"/>
      <c r="Z22" s="243"/>
      <c r="AA22" s="243"/>
      <c r="AB22" s="243"/>
      <c r="AC22" s="243"/>
      <c r="AD22" s="243"/>
      <c r="AE22" s="243"/>
      <c r="AF22" s="149"/>
      <c r="AG22" s="149"/>
      <c r="AH22" s="149"/>
      <c r="AI22" s="149"/>
      <c r="AJ22" s="149"/>
      <c r="AK22" s="149"/>
      <c r="AL22" s="149"/>
      <c r="AM22" s="149"/>
      <c r="AN22" s="149"/>
      <c r="AO22" s="149"/>
      <c r="AP22" s="149"/>
      <c r="AQ22" s="1046"/>
      <c r="AR22" s="149"/>
      <c r="AS22" s="149"/>
      <c r="AT22" s="149"/>
      <c r="AU22" s="149"/>
      <c r="AV22" s="149"/>
      <c r="AW22" s="166"/>
      <c r="AX22" s="166"/>
      <c r="AY22" s="166"/>
      <c r="AZ22" s="166"/>
      <c r="BA22" s="166"/>
      <c r="BB22" s="166"/>
      <c r="BC22" s="166"/>
      <c r="BD22" s="166"/>
      <c r="BE22" s="166"/>
      <c r="BF22" s="166"/>
      <c r="BG22" s="166"/>
      <c r="BH22" s="166"/>
      <c r="BI22" s="166"/>
      <c r="BJ22" s="166"/>
      <c r="BK22" s="166"/>
      <c r="BL22" s="166"/>
      <c r="BM22" s="166"/>
      <c r="BN22" s="60"/>
      <c r="BO22" s="60"/>
      <c r="BP22" s="60"/>
      <c r="BQ22" s="60"/>
      <c r="BR22" s="60"/>
      <c r="BS22" s="60"/>
      <c r="BT22" s="60"/>
      <c r="BU22" s="60"/>
      <c r="BV22" s="60"/>
      <c r="BW22" s="60"/>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row>
    <row r="23" spans="1:100" ht="34.6" customHeight="1" x14ac:dyDescent="0.25">
      <c r="A23" s="149"/>
      <c r="B23" s="1612"/>
      <c r="C23" s="211"/>
      <c r="D23" s="1054"/>
      <c r="E23" s="193"/>
      <c r="F23" s="211"/>
      <c r="G23" s="211"/>
      <c r="H23" s="171"/>
      <c r="I23" s="171"/>
      <c r="J23" s="171"/>
      <c r="K23" s="171"/>
      <c r="L23" s="171"/>
      <c r="M23" s="171"/>
      <c r="N23" s="171"/>
      <c r="O23" s="211"/>
      <c r="P23" s="171"/>
      <c r="Q23" s="171"/>
      <c r="R23" s="2"/>
      <c r="S23" s="2"/>
      <c r="T23" s="2"/>
      <c r="U23" s="2"/>
      <c r="V23" s="2"/>
      <c r="W23" s="2"/>
      <c r="X23" s="2"/>
      <c r="Y23" s="2"/>
      <c r="Z23" s="149"/>
      <c r="AA23" s="149"/>
      <c r="AB23" s="149"/>
      <c r="AC23" s="149"/>
      <c r="AD23" s="149"/>
      <c r="AE23" s="149"/>
      <c r="AF23" s="149"/>
      <c r="AG23" s="149"/>
      <c r="AH23" s="149"/>
      <c r="AI23" s="149"/>
      <c r="AJ23" s="149"/>
      <c r="AK23" s="149"/>
      <c r="AL23" s="149"/>
      <c r="AM23" s="149"/>
      <c r="AN23" s="149"/>
      <c r="AO23" s="149"/>
      <c r="AP23" s="149"/>
      <c r="AQ23" s="1046"/>
      <c r="AR23" s="149"/>
      <c r="AS23" s="149"/>
      <c r="AT23" s="1062"/>
      <c r="AU23" s="1062"/>
      <c r="AV23" s="149"/>
      <c r="AW23" s="149"/>
      <c r="AX23" s="149"/>
      <c r="AY23" s="166"/>
      <c r="AZ23" s="166"/>
      <c r="BA23" s="166"/>
      <c r="BB23" s="166"/>
      <c r="BC23" s="166"/>
      <c r="BD23" s="166"/>
      <c r="BE23" s="166"/>
      <c r="BF23" s="166"/>
      <c r="BG23" s="166"/>
      <c r="BH23" s="166"/>
      <c r="BI23" s="166"/>
      <c r="BJ23" s="166"/>
      <c r="BK23" s="166"/>
      <c r="BL23" s="166"/>
      <c r="BM23" s="166"/>
      <c r="BN23" s="60"/>
      <c r="BO23" s="60"/>
      <c r="BP23" s="60"/>
      <c r="BQ23" s="60"/>
      <c r="BR23" s="60"/>
      <c r="BS23" s="60"/>
      <c r="BT23" s="60"/>
      <c r="BU23" s="60"/>
      <c r="BV23" s="60"/>
      <c r="BW23" s="60"/>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row>
    <row r="24" spans="1:100" ht="34.6" customHeight="1" thickBot="1" x14ac:dyDescent="0.3">
      <c r="A24" s="149"/>
      <c r="B24" s="1612"/>
      <c r="C24" s="211"/>
      <c r="D24" s="1053"/>
      <c r="E24" s="171"/>
      <c r="F24" s="211"/>
      <c r="G24" s="211"/>
      <c r="H24" s="171"/>
      <c r="I24" s="171"/>
      <c r="J24" s="171"/>
      <c r="K24" s="171"/>
      <c r="L24" s="171"/>
      <c r="M24" s="171"/>
      <c r="N24" s="171"/>
      <c r="O24" s="211"/>
      <c r="P24" s="218"/>
      <c r="Q24" s="218"/>
      <c r="R24" s="2"/>
      <c r="S24" s="2"/>
      <c r="T24" s="2"/>
      <c r="U24" s="2"/>
      <c r="V24" s="2"/>
      <c r="W24" s="2"/>
      <c r="X24" s="2"/>
      <c r="Y24" s="2"/>
      <c r="Z24" s="149"/>
      <c r="AA24" s="149"/>
      <c r="AB24" s="149"/>
      <c r="AC24" s="149"/>
      <c r="AD24" s="149"/>
      <c r="AE24" s="149"/>
      <c r="AF24" s="149"/>
      <c r="AG24" s="149"/>
      <c r="AH24" s="149"/>
      <c r="AI24" s="149"/>
      <c r="AJ24" s="149"/>
      <c r="AK24" s="149"/>
      <c r="AL24" s="149"/>
      <c r="AM24" s="149"/>
      <c r="AN24" s="149"/>
      <c r="AO24" s="149"/>
      <c r="AP24" s="149"/>
      <c r="AQ24" s="1046"/>
      <c r="AR24" s="149"/>
      <c r="AS24" s="149"/>
      <c r="AT24" s="1062"/>
      <c r="AU24" s="1062"/>
      <c r="AV24" s="149"/>
      <c r="AW24" s="149"/>
      <c r="AX24" s="149"/>
      <c r="AY24" s="166"/>
      <c r="AZ24" s="166"/>
      <c r="BA24" s="166"/>
      <c r="BB24" s="166"/>
      <c r="BC24" s="166"/>
      <c r="BD24" s="166"/>
      <c r="BE24" s="166"/>
      <c r="BF24" s="166"/>
      <c r="BG24" s="166"/>
      <c r="BH24" s="166"/>
      <c r="BI24" s="166"/>
      <c r="BJ24" s="166"/>
      <c r="BK24" s="166"/>
      <c r="BL24" s="166"/>
      <c r="BM24" s="166"/>
      <c r="BN24" s="181"/>
      <c r="BO24" s="60"/>
      <c r="BP24" s="60"/>
      <c r="BQ24" s="60"/>
      <c r="BR24" s="60"/>
      <c r="BS24" s="60"/>
      <c r="BT24" s="60"/>
      <c r="BU24" s="60"/>
      <c r="BV24" s="60"/>
      <c r="BW24" s="60"/>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row>
    <row r="25" spans="1:100" ht="34.6" customHeight="1" x14ac:dyDescent="0.55000000000000004">
      <c r="A25" s="149"/>
      <c r="B25" s="1612"/>
      <c r="C25" s="211"/>
      <c r="D25" s="1053"/>
      <c r="E25" s="171"/>
      <c r="F25" s="211"/>
      <c r="G25" s="211"/>
      <c r="H25" s="211"/>
      <c r="I25" s="211"/>
      <c r="J25" s="211"/>
      <c r="K25" s="211"/>
      <c r="L25" s="211"/>
      <c r="M25" s="211"/>
      <c r="N25" s="211"/>
      <c r="O25" s="211"/>
      <c r="P25" s="219"/>
      <c r="Q25" s="1682"/>
      <c r="R25" s="1683" t="s">
        <v>1143</v>
      </c>
      <c r="S25" s="1524"/>
      <c r="T25" s="1524"/>
      <c r="U25" s="1524"/>
      <c r="V25" s="1524"/>
      <c r="W25" s="1525"/>
      <c r="X25" s="2"/>
      <c r="Y25" s="2"/>
      <c r="Z25" s="1664"/>
      <c r="AA25" s="1665" t="s">
        <v>1142</v>
      </c>
      <c r="AB25" s="1666"/>
      <c r="AC25" s="1667"/>
      <c r="AD25" s="243"/>
      <c r="AE25" s="1676" t="s">
        <v>1144</v>
      </c>
      <c r="AF25" s="1127"/>
      <c r="AG25" s="1677"/>
      <c r="AH25" s="1127"/>
      <c r="AI25" s="1678"/>
      <c r="AJ25" s="1678"/>
      <c r="AK25" s="1679"/>
      <c r="AL25" s="1679"/>
      <c r="AM25" s="1678"/>
      <c r="AN25" s="1678"/>
      <c r="AO25" s="1678"/>
      <c r="AP25" s="1679"/>
      <c r="AQ25" s="1127"/>
      <c r="AR25" s="1127"/>
      <c r="AS25" s="1128"/>
      <c r="AT25" s="1062"/>
      <c r="AU25" s="1062"/>
      <c r="AV25" s="149"/>
      <c r="AW25" s="166"/>
      <c r="AX25" s="166"/>
      <c r="AY25" s="166"/>
      <c r="AZ25" s="166"/>
      <c r="BA25" s="166"/>
      <c r="BB25" s="166"/>
      <c r="BC25" s="166"/>
      <c r="BD25" s="166"/>
      <c r="BE25" s="166"/>
      <c r="BF25" s="166"/>
      <c r="BG25" s="166"/>
      <c r="BH25" s="166"/>
      <c r="BI25" s="166"/>
      <c r="BJ25" s="166"/>
      <c r="BK25" s="166"/>
      <c r="BL25" s="166"/>
      <c r="BM25" s="166"/>
      <c r="BN25" s="181"/>
      <c r="BO25" s="60"/>
      <c r="BP25" s="60"/>
      <c r="BQ25" s="60"/>
      <c r="BR25" s="60"/>
      <c r="BS25" s="60"/>
      <c r="BT25" s="60"/>
      <c r="BU25" s="60"/>
      <c r="BV25" s="60"/>
      <c r="BW25" s="60"/>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row>
    <row r="26" spans="1:100" ht="34.6" customHeight="1" x14ac:dyDescent="0.25">
      <c r="A26" s="149"/>
      <c r="B26" s="1612"/>
      <c r="C26" s="211"/>
      <c r="D26" s="1051"/>
      <c r="E26" s="211"/>
      <c r="F26" s="211"/>
      <c r="G26" s="211"/>
      <c r="H26" s="211"/>
      <c r="I26" s="211"/>
      <c r="J26" s="211"/>
      <c r="K26" s="211"/>
      <c r="L26" s="211"/>
      <c r="M26" s="211"/>
      <c r="N26" s="211"/>
      <c r="O26" s="211"/>
      <c r="P26" s="149"/>
      <c r="Q26" s="1626"/>
      <c r="R26" s="180">
        <f>'2.CropManagement'!O151</f>
        <v>0</v>
      </c>
      <c r="S26" s="1731" t="s">
        <v>875</v>
      </c>
      <c r="T26" s="180">
        <f>'2.CropManagement'!Q151</f>
        <v>0</v>
      </c>
      <c r="U26" s="180">
        <f>'2.CropManagement'!R151</f>
        <v>0</v>
      </c>
      <c r="V26" s="180" t="str">
        <f>'2.CropManagement'!P151</f>
        <v>index</v>
      </c>
      <c r="W26" s="1675"/>
      <c r="X26" s="2"/>
      <c r="Y26" s="2"/>
      <c r="Z26" s="1668"/>
      <c r="AA26" s="1620"/>
      <c r="AB26" s="192"/>
      <c r="AC26" s="1669"/>
      <c r="AD26" s="243"/>
      <c r="AE26" s="1668"/>
      <c r="AF26" s="188"/>
      <c r="AG26" s="192"/>
      <c r="AH26" s="188"/>
      <c r="AI26" s="192"/>
      <c r="AJ26" s="192"/>
      <c r="AK26" s="192"/>
      <c r="AL26" s="188"/>
      <c r="AM26" s="192"/>
      <c r="AN26" s="192"/>
      <c r="AO26" s="192"/>
      <c r="AP26" s="192"/>
      <c r="AQ26" s="188"/>
      <c r="AR26" s="188"/>
      <c r="AS26" s="1130"/>
      <c r="AT26" s="1062"/>
      <c r="AU26" s="1062"/>
      <c r="AV26" s="149"/>
      <c r="AW26" s="149"/>
      <c r="AX26" s="166"/>
      <c r="AY26" s="166"/>
      <c r="AZ26" s="166"/>
      <c r="BA26" s="166"/>
      <c r="BB26" s="166"/>
      <c r="BC26" s="166"/>
      <c r="BD26" s="166"/>
      <c r="BE26" s="166"/>
      <c r="BF26" s="166"/>
      <c r="BG26" s="166"/>
      <c r="BH26" s="166"/>
      <c r="BI26" s="166"/>
      <c r="BJ26" s="166"/>
      <c r="BK26" s="166"/>
      <c r="BL26" s="166"/>
      <c r="BM26" s="166"/>
      <c r="BN26" s="149"/>
      <c r="BO26" s="166"/>
      <c r="BP26" s="166"/>
      <c r="BQ26" s="166"/>
      <c r="BR26" s="166"/>
      <c r="BS26" s="166"/>
      <c r="BT26" s="166"/>
      <c r="BU26" s="166"/>
      <c r="BV26" s="166"/>
      <c r="BW26" s="166"/>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row>
    <row r="27" spans="1:100" ht="34.6" customHeight="1" x14ac:dyDescent="0.25">
      <c r="A27" s="149"/>
      <c r="B27" s="1065"/>
      <c r="C27" s="1066"/>
      <c r="D27" s="1067"/>
      <c r="E27" s="1068"/>
      <c r="F27" s="1068"/>
      <c r="G27" s="1068"/>
      <c r="H27" s="1068"/>
      <c r="I27" s="1068"/>
      <c r="J27" s="1068"/>
      <c r="K27" s="849"/>
      <c r="L27" s="849"/>
      <c r="M27" s="849"/>
      <c r="N27" s="849"/>
      <c r="O27" s="1066"/>
      <c r="P27" s="219"/>
      <c r="Q27" s="1626"/>
      <c r="R27" s="180" t="str">
        <f>'2.CropManagement'!O152</f>
        <v>[Select]</v>
      </c>
      <c r="S27" s="180">
        <f>'2.CropManagement'!P152</f>
        <v>0</v>
      </c>
      <c r="T27" s="180" t="str">
        <f>'2.CropManagement'!Q152</f>
        <v>Fill in Field management cell C5!</v>
      </c>
      <c r="U27" s="180">
        <f>'2.CropManagement'!R152</f>
        <v>0</v>
      </c>
      <c r="V27" s="180">
        <f>'2.CropManagement'!S152</f>
        <v>0</v>
      </c>
      <c r="W27" s="1669"/>
      <c r="X27" s="243"/>
      <c r="Y27" s="1136"/>
      <c r="Z27" s="1668"/>
      <c r="AA27" s="1660" t="s">
        <v>1426</v>
      </c>
      <c r="AB27" s="192"/>
      <c r="AC27" s="1669"/>
      <c r="AD27" s="243"/>
      <c r="AE27" s="1650" t="str">
        <f>'2.CropManagement'!W181</f>
        <v>Unit systems</v>
      </c>
      <c r="AF27" s="188"/>
      <c r="AG27" s="188"/>
      <c r="AH27" s="187"/>
      <c r="AI27" s="188"/>
      <c r="AJ27" s="188"/>
      <c r="AK27" s="188"/>
      <c r="AL27" s="188"/>
      <c r="AM27" s="188"/>
      <c r="AN27" s="188"/>
      <c r="AO27" s="188"/>
      <c r="AP27" s="188"/>
      <c r="AQ27" s="188"/>
      <c r="AR27" s="188"/>
      <c r="AS27" s="1130"/>
      <c r="AT27" s="1062"/>
      <c r="AU27" s="1062"/>
      <c r="AV27" s="149"/>
      <c r="AW27" s="149"/>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row>
    <row r="28" spans="1:100" ht="34.6" customHeight="1" x14ac:dyDescent="0.25">
      <c r="A28" s="149"/>
      <c r="B28" s="1065"/>
      <c r="C28" s="1069"/>
      <c r="D28" s="1056"/>
      <c r="E28" s="1070"/>
      <c r="F28" s="1070"/>
      <c r="G28" s="1070"/>
      <c r="H28" s="1070"/>
      <c r="I28" s="1070"/>
      <c r="J28" s="1070"/>
      <c r="K28" s="1057"/>
      <c r="L28" s="149"/>
      <c r="M28" s="149"/>
      <c r="N28" s="149"/>
      <c r="O28" s="1069"/>
      <c r="P28" s="219"/>
      <c r="Q28" s="1626"/>
      <c r="R28" s="180" t="str">
        <f>'2.CropManagement'!O153</f>
        <v xml:space="preserve"> - Albania</v>
      </c>
      <c r="S28" s="180">
        <f>'2.CropManagement'!P153</f>
        <v>1</v>
      </c>
      <c r="T28" s="180" t="str">
        <f>'2.CropManagement'!Q153</f>
        <v>Eastern Europe</v>
      </c>
      <c r="U28" s="180">
        <f>'2.CropManagement'!R153</f>
        <v>125</v>
      </c>
      <c r="V28" s="180">
        <f>'2.CropManagement'!S153</f>
        <v>0</v>
      </c>
      <c r="W28" s="1669"/>
      <c r="X28" s="243"/>
      <c r="Y28" s="2"/>
      <c r="Z28" s="1668"/>
      <c r="AA28" s="1660" t="s">
        <v>442</v>
      </c>
      <c r="AB28" s="192"/>
      <c r="AC28" s="1669"/>
      <c r="AD28" s="243"/>
      <c r="AE28" s="1650" t="str">
        <f>'2.CropManagement'!W182</f>
        <v>[Select]</v>
      </c>
      <c r="AF28" s="180">
        <f>'2.CropManagement'!X182</f>
        <v>1</v>
      </c>
      <c r="AG28" s="180" t="str">
        <f>'2.CropManagement'!Y182</f>
        <v>[Select]</v>
      </c>
      <c r="AH28" s="180" t="str">
        <f>'2.CropManagement'!Z182</f>
        <v>[Select]</v>
      </c>
      <c r="AI28" s="180" t="str">
        <f>'2.CropManagement'!AA182</f>
        <v>[Select]</v>
      </c>
      <c r="AJ28" s="180" t="str">
        <f>'2.CropManagement'!AB182</f>
        <v>[Select]</v>
      </c>
      <c r="AK28" s="180" t="str">
        <f>'2.CropManagement'!AC182</f>
        <v>[Select]</v>
      </c>
      <c r="AL28" s="180" t="str">
        <f>'2.CropManagement'!AD182</f>
        <v>[Select]</v>
      </c>
      <c r="AM28" s="180" t="str">
        <f>'2.CropManagement'!AE182</f>
        <v>[Select]</v>
      </c>
      <c r="AN28" s="180" t="str">
        <f>'2.CropManagement'!AF182</f>
        <v>[Select]</v>
      </c>
      <c r="AO28" s="180" t="str">
        <f>'2.CropManagement'!AG182</f>
        <v>[Select]</v>
      </c>
      <c r="AP28" s="180" t="str">
        <f>'2.CropManagement'!AH182</f>
        <v>[Select]</v>
      </c>
      <c r="AQ28" s="180" t="str">
        <f>'2.CropManagement'!AI182</f>
        <v>[Select]</v>
      </c>
      <c r="AR28" s="180" t="str">
        <f>'2.CropManagement'!AJ182</f>
        <v>[Select]</v>
      </c>
      <c r="AS28" s="1130"/>
      <c r="AT28" s="1062"/>
      <c r="AU28" s="1062"/>
      <c r="AV28" s="149"/>
      <c r="AW28" s="149"/>
      <c r="AX28" s="166"/>
      <c r="AY28" s="149"/>
      <c r="AZ28" s="149"/>
      <c r="BA28" s="149"/>
      <c r="BB28" s="149"/>
      <c r="BC28" s="149"/>
      <c r="BD28" s="149"/>
      <c r="BE28" s="149"/>
      <c r="BF28" s="149"/>
      <c r="BG28" s="166"/>
      <c r="BH28" s="166"/>
      <c r="BI28" s="166"/>
      <c r="BJ28" s="166"/>
      <c r="BK28" s="166"/>
      <c r="BL28" s="166"/>
      <c r="BM28" s="166"/>
      <c r="BN28" s="166"/>
      <c r="BO28" s="166"/>
      <c r="BP28" s="166"/>
      <c r="BQ28" s="166"/>
      <c r="BR28" s="166"/>
      <c r="BS28" s="166"/>
      <c r="BT28" s="166"/>
      <c r="BU28" s="166"/>
      <c r="BV28" s="166"/>
      <c r="BW28" s="166"/>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row>
    <row r="29" spans="1:100" ht="34.6" customHeight="1" x14ac:dyDescent="0.25">
      <c r="A29" s="149"/>
      <c r="B29" s="1065"/>
      <c r="C29" s="1069"/>
      <c r="D29" s="1056"/>
      <c r="E29" s="1070"/>
      <c r="F29" s="1070"/>
      <c r="G29" s="1070"/>
      <c r="H29" s="1070"/>
      <c r="I29" s="1070"/>
      <c r="J29" s="1070"/>
      <c r="K29" s="1057"/>
      <c r="L29" s="1057"/>
      <c r="M29" s="1057"/>
      <c r="N29" s="1057"/>
      <c r="O29" s="1069"/>
      <c r="P29" s="219"/>
      <c r="Q29" s="1626"/>
      <c r="R29" s="180" t="str">
        <f>'2.CropManagement'!O154</f>
        <v xml:space="preserve"> - Algeria</v>
      </c>
      <c r="S29" s="180">
        <f>'2.CropManagement'!P154</f>
        <v>2</v>
      </c>
      <c r="T29" s="180" t="str">
        <f>'2.CropManagement'!Q154</f>
        <v>Africa</v>
      </c>
      <c r="U29" s="180">
        <f>'2.CropManagement'!R154</f>
        <v>0</v>
      </c>
      <c r="V29" s="180">
        <f>'2.CropManagement'!S154</f>
        <v>0</v>
      </c>
      <c r="W29" s="1130"/>
      <c r="X29" s="166"/>
      <c r="Y29" s="2"/>
      <c r="Z29" s="1668"/>
      <c r="AA29" s="1660" t="s">
        <v>443</v>
      </c>
      <c r="AB29" s="192"/>
      <c r="AC29" s="1669"/>
      <c r="AD29" s="243"/>
      <c r="AE29" s="1650" t="str">
        <f>'2.CropManagement'!W183</f>
        <v>Metric</v>
      </c>
      <c r="AF29" s="180">
        <f>'2.CropManagement'!X183</f>
        <v>1</v>
      </c>
      <c r="AG29" s="180" t="str">
        <f>'2.CropManagement'!Y183</f>
        <v>hectares</v>
      </c>
      <c r="AH29" s="180" t="str">
        <f>'2.CropManagement'!Z183</f>
        <v>kg/ha</v>
      </c>
      <c r="AI29" s="180" t="str">
        <f>'2.CropManagement'!AA183</f>
        <v>kgs</v>
      </c>
      <c r="AJ29" s="180" t="str">
        <f>'2.CropManagement'!AB183</f>
        <v xml:space="preserve">tonnes </v>
      </c>
      <c r="AK29" s="180" t="str">
        <f>'2.CropManagement'!AC183</f>
        <v>tonnes/ha</v>
      </c>
      <c r="AL29" s="180" t="str">
        <f>'2.CropManagement'!AD183</f>
        <v>hectare</v>
      </c>
      <c r="AM29" s="180" t="str">
        <f>'2.CropManagement'!AE183</f>
        <v>litres</v>
      </c>
      <c r="AN29" s="180" t="str">
        <f>'2.CropManagement'!AF183</f>
        <v>km</v>
      </c>
      <c r="AO29" s="180" t="str">
        <f>'2.CropManagement'!AG183</f>
        <v>°C</v>
      </c>
      <c r="AP29" s="180" t="str">
        <f>'2.CropManagement'!AH183</f>
        <v>kgs/day</v>
      </c>
      <c r="AQ29" s="180" t="str">
        <f>'2.CropManagement'!AI183</f>
        <v>cm</v>
      </c>
      <c r="AR29" s="180" t="str">
        <f>'2.CropManagement'!AJ183</f>
        <v>litre</v>
      </c>
      <c r="AS29" s="1130"/>
      <c r="AT29" s="1062"/>
      <c r="AU29" s="1062"/>
      <c r="AV29" s="149"/>
      <c r="AW29" s="149"/>
      <c r="AX29" s="166"/>
      <c r="AY29" s="149"/>
      <c r="AZ29" s="149"/>
      <c r="BA29" s="149"/>
      <c r="BB29" s="149"/>
      <c r="BC29" s="149"/>
      <c r="BD29" s="149"/>
      <c r="BE29" s="149"/>
      <c r="BF29" s="149"/>
      <c r="BG29" s="166"/>
      <c r="BH29" s="166"/>
      <c r="BI29" s="166"/>
      <c r="BJ29" s="166"/>
      <c r="BK29" s="166"/>
      <c r="BL29" s="166"/>
      <c r="BM29" s="166"/>
      <c r="BN29" s="166"/>
      <c r="BO29" s="166"/>
      <c r="BP29" s="166"/>
      <c r="BQ29" s="166"/>
      <c r="BR29" s="166"/>
      <c r="BS29" s="166"/>
      <c r="BT29" s="166"/>
      <c r="BU29" s="166"/>
      <c r="BV29" s="166"/>
      <c r="BW29" s="166"/>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row>
    <row r="30" spans="1:100" ht="34.6" customHeight="1" x14ac:dyDescent="0.25">
      <c r="A30" s="149"/>
      <c r="B30" s="1613"/>
      <c r="C30" s="1069"/>
      <c r="D30" s="1056"/>
      <c r="E30" s="1070"/>
      <c r="F30" s="1070"/>
      <c r="G30" s="1070"/>
      <c r="H30" s="1070"/>
      <c r="I30" s="1070"/>
      <c r="J30" s="1070"/>
      <c r="K30" s="1057"/>
      <c r="L30" s="1057"/>
      <c r="M30" s="1057"/>
      <c r="N30" s="1057"/>
      <c r="O30" s="1069"/>
      <c r="P30" s="219"/>
      <c r="Q30" s="1626"/>
      <c r="R30" s="180" t="str">
        <f>'2.CropManagement'!O155</f>
        <v xml:space="preserve"> - Angola</v>
      </c>
      <c r="S30" s="180">
        <f>'2.CropManagement'!P155</f>
        <v>3</v>
      </c>
      <c r="T30" s="180" t="str">
        <f>'2.CropManagement'!Q155</f>
        <v>Africa</v>
      </c>
      <c r="U30" s="180">
        <f>'2.CropManagement'!R155</f>
        <v>0</v>
      </c>
      <c r="V30" s="180">
        <f>'2.CropManagement'!S155</f>
        <v>0</v>
      </c>
      <c r="W30" s="1130"/>
      <c r="X30" s="166"/>
      <c r="Y30" s="2"/>
      <c r="Z30" s="1668"/>
      <c r="AA30" s="1660" t="s">
        <v>444</v>
      </c>
      <c r="AB30" s="192"/>
      <c r="AC30" s="1669"/>
      <c r="AD30" s="243"/>
      <c r="AE30" s="1650" t="str">
        <f>'2.CropManagement'!W184</f>
        <v>U.S.</v>
      </c>
      <c r="AF30" s="180">
        <f>'2.CropManagement'!X184</f>
        <v>2</v>
      </c>
      <c r="AG30" s="180" t="str">
        <f>'2.CropManagement'!Y184</f>
        <v>acres</v>
      </c>
      <c r="AH30" s="180" t="str">
        <f>'2.CropManagement'!Z184</f>
        <v>pounds/acre (US)</v>
      </c>
      <c r="AI30" s="180" t="str">
        <f>'2.CropManagement'!AA184</f>
        <v>pounds</v>
      </c>
      <c r="AJ30" s="180" t="str">
        <f>'2.CropManagement'!AB184</f>
        <v>tons (US, short)</v>
      </c>
      <c r="AK30" s="180" t="str">
        <f>'2.CropManagement'!AC184</f>
        <v>tons/acre</v>
      </c>
      <c r="AL30" s="180" t="str">
        <f>'2.CropManagement'!AD184</f>
        <v>acre</v>
      </c>
      <c r="AM30" s="180" t="str">
        <f>'2.CropManagement'!AE184</f>
        <v>US Gallons</v>
      </c>
      <c r="AN30" s="180" t="str">
        <f>'2.CropManagement'!AF184</f>
        <v>mile</v>
      </c>
      <c r="AO30" s="180" t="str">
        <f>'2.CropManagement'!AG184</f>
        <v>°F</v>
      </c>
      <c r="AP30" s="180" t="str">
        <f>'2.CropManagement'!AH184</f>
        <v>pounds/day</v>
      </c>
      <c r="AQ30" s="180" t="str">
        <f>'2.CropManagement'!AI184</f>
        <v>inch</v>
      </c>
      <c r="AR30" s="180" t="str">
        <f>'2.CropManagement'!AJ184</f>
        <v>gallon</v>
      </c>
      <c r="AS30" s="1130"/>
      <c r="AT30" s="1062"/>
      <c r="AU30" s="1062"/>
      <c r="AV30" s="149"/>
      <c r="AW30" s="149"/>
      <c r="AX30" s="149"/>
      <c r="AY30" s="149"/>
      <c r="AZ30" s="149"/>
      <c r="BA30" s="149"/>
      <c r="BB30" s="149"/>
      <c r="BC30" s="149"/>
      <c r="BD30" s="149"/>
      <c r="BE30" s="149"/>
      <c r="BF30" s="149"/>
      <c r="BG30" s="166"/>
      <c r="BH30" s="166"/>
      <c r="BI30" s="166"/>
      <c r="BJ30" s="166"/>
      <c r="BK30" s="166"/>
      <c r="BL30" s="166"/>
      <c r="BM30" s="166"/>
      <c r="BN30" s="166"/>
      <c r="BO30" s="166"/>
      <c r="BP30" s="166"/>
      <c r="BQ30" s="166"/>
      <c r="BR30" s="166"/>
      <c r="BS30" s="166"/>
      <c r="BT30" s="166"/>
      <c r="BU30" s="166"/>
      <c r="BV30" s="166"/>
      <c r="BW30" s="166"/>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row>
    <row r="31" spans="1:100" ht="34.6" customHeight="1" thickBot="1" x14ac:dyDescent="0.3">
      <c r="A31" s="149"/>
      <c r="B31" s="1613"/>
      <c r="C31" s="1069"/>
      <c r="D31" s="1056"/>
      <c r="E31" s="1070"/>
      <c r="F31" s="1070"/>
      <c r="G31" s="1070"/>
      <c r="H31" s="1070"/>
      <c r="I31" s="1070"/>
      <c r="J31" s="1070"/>
      <c r="K31" s="1057"/>
      <c r="L31" s="1057"/>
      <c r="M31" s="1057"/>
      <c r="N31" s="1057"/>
      <c r="O31" s="1069"/>
      <c r="P31" s="231"/>
      <c r="Q31" s="1626"/>
      <c r="R31" s="180" t="str">
        <f>'2.CropManagement'!O156</f>
        <v xml:space="preserve"> - Argentina</v>
      </c>
      <c r="S31" s="180">
        <f>'2.CropManagement'!P156</f>
        <v>4</v>
      </c>
      <c r="T31" s="180" t="str">
        <f>'2.CropManagement'!Q156</f>
        <v>Latin America</v>
      </c>
      <c r="U31" s="180">
        <f>'2.CropManagement'!R156</f>
        <v>0</v>
      </c>
      <c r="V31" s="180">
        <f>'2.CropManagement'!S156</f>
        <v>0</v>
      </c>
      <c r="W31" s="1130"/>
      <c r="X31" s="166"/>
      <c r="Y31" s="1055"/>
      <c r="Z31" s="1668"/>
      <c r="AA31" s="1661" t="s">
        <v>1679</v>
      </c>
      <c r="AB31" s="192"/>
      <c r="AC31" s="1669"/>
      <c r="AD31" s="243"/>
      <c r="AE31" s="1680"/>
      <c r="AF31" s="240"/>
      <c r="AG31" s="1681"/>
      <c r="AH31" s="240"/>
      <c r="AI31" s="1681"/>
      <c r="AJ31" s="1681"/>
      <c r="AK31" s="1681"/>
      <c r="AL31" s="240"/>
      <c r="AM31" s="1681"/>
      <c r="AN31" s="1681"/>
      <c r="AO31" s="1681"/>
      <c r="AP31" s="1681"/>
      <c r="AQ31" s="240"/>
      <c r="AR31" s="240"/>
      <c r="AS31" s="1132"/>
      <c r="AT31" s="1062"/>
      <c r="AU31" s="1062"/>
      <c r="AV31" s="149"/>
      <c r="AW31" s="149"/>
      <c r="AX31" s="149"/>
      <c r="AY31" s="149"/>
      <c r="AZ31" s="149"/>
      <c r="BA31" s="149"/>
      <c r="BB31" s="149"/>
      <c r="BC31" s="149"/>
      <c r="BD31" s="149"/>
      <c r="BE31" s="149"/>
      <c r="BF31" s="149"/>
      <c r="BG31" s="166"/>
      <c r="BH31" s="166"/>
      <c r="BI31" s="166"/>
      <c r="BJ31" s="166"/>
      <c r="BK31" s="166"/>
      <c r="BL31" s="166"/>
      <c r="BM31" s="166"/>
      <c r="BN31" s="166"/>
      <c r="BO31" s="166"/>
      <c r="BP31" s="166"/>
      <c r="BQ31" s="166"/>
      <c r="BR31" s="166"/>
      <c r="BS31" s="166"/>
      <c r="BT31" s="166"/>
      <c r="BU31" s="166"/>
      <c r="BV31" s="166"/>
      <c r="BW31" s="166"/>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row>
    <row r="32" spans="1:100" ht="34.6" customHeight="1" x14ac:dyDescent="0.25">
      <c r="A32" s="149"/>
      <c r="B32" s="1613"/>
      <c r="C32" s="1069"/>
      <c r="D32" s="1056"/>
      <c r="E32" s="1070"/>
      <c r="F32" s="1070"/>
      <c r="G32" s="1070"/>
      <c r="H32" s="1070"/>
      <c r="I32" s="1070"/>
      <c r="J32" s="1070"/>
      <c r="K32" s="1057"/>
      <c r="L32" s="1057"/>
      <c r="M32" s="1057"/>
      <c r="N32" s="1057"/>
      <c r="O32" s="1069"/>
      <c r="P32" s="171"/>
      <c r="Q32" s="1624"/>
      <c r="R32" s="180" t="str">
        <f>'2.CropManagement'!O157</f>
        <v xml:space="preserve"> - Armenia</v>
      </c>
      <c r="S32" s="180">
        <f>'2.CropManagement'!P157</f>
        <v>5</v>
      </c>
      <c r="T32" s="180" t="str">
        <f>'2.CropManagement'!Q157</f>
        <v>Asia</v>
      </c>
      <c r="U32" s="180">
        <f>'2.CropManagement'!R157</f>
        <v>0</v>
      </c>
      <c r="V32" s="180">
        <f>'2.CropManagement'!S157</f>
        <v>0</v>
      </c>
      <c r="W32" s="1684"/>
      <c r="X32" s="166"/>
      <c r="Y32" s="1058"/>
      <c r="Z32" s="1670"/>
      <c r="AA32" s="1661" t="s">
        <v>1680</v>
      </c>
      <c r="AB32" s="258"/>
      <c r="AC32" s="1130"/>
      <c r="AD32" s="1095"/>
      <c r="AE32" s="1095"/>
      <c r="AF32" s="236"/>
      <c r="AG32" s="243"/>
      <c r="AH32" s="149"/>
      <c r="AI32" s="243"/>
      <c r="AJ32" s="243"/>
      <c r="AK32" s="243"/>
      <c r="AL32" s="243"/>
      <c r="AM32" s="243"/>
      <c r="AN32" s="243"/>
      <c r="AO32" s="243"/>
      <c r="AP32" s="243"/>
      <c r="AQ32" s="149"/>
      <c r="AR32" s="149"/>
      <c r="AS32" s="149"/>
      <c r="AT32" s="1062"/>
      <c r="AU32" s="1062"/>
      <c r="AV32" s="149"/>
      <c r="AW32" s="149"/>
      <c r="AX32" s="149"/>
      <c r="AY32" s="149"/>
      <c r="AZ32" s="149"/>
      <c r="BA32" s="149"/>
      <c r="BB32" s="149"/>
      <c r="BC32" s="149"/>
      <c r="BD32" s="149"/>
      <c r="BE32" s="149"/>
      <c r="BF32" s="149"/>
      <c r="BG32" s="166"/>
      <c r="BH32" s="166"/>
      <c r="BI32" s="166"/>
      <c r="BJ32" s="166"/>
      <c r="BK32" s="166"/>
      <c r="BL32" s="166"/>
      <c r="BM32" s="166"/>
      <c r="BN32" s="166"/>
      <c r="BO32" s="166"/>
      <c r="BP32" s="166"/>
      <c r="BQ32" s="166"/>
      <c r="BR32" s="166"/>
      <c r="BS32" s="166"/>
      <c r="BT32" s="166"/>
      <c r="BU32" s="166"/>
      <c r="BV32" s="166"/>
      <c r="BW32" s="166"/>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row>
    <row r="33" spans="1:100" ht="34.6" customHeight="1" x14ac:dyDescent="0.25">
      <c r="A33" s="149"/>
      <c r="B33" s="1065"/>
      <c r="C33" s="1069"/>
      <c r="D33" s="1056"/>
      <c r="E33" s="1070"/>
      <c r="F33" s="1070"/>
      <c r="G33" s="1070"/>
      <c r="H33" s="1070"/>
      <c r="I33" s="1070"/>
      <c r="J33" s="1070"/>
      <c r="K33" s="1057"/>
      <c r="L33" s="1057"/>
      <c r="M33" s="1057"/>
      <c r="N33" s="1057"/>
      <c r="O33" s="1069"/>
      <c r="P33" s="171"/>
      <c r="Q33" s="1624"/>
      <c r="R33" s="180" t="str">
        <f>'2.CropManagement'!O158</f>
        <v xml:space="preserve"> - Australia</v>
      </c>
      <c r="S33" s="180">
        <f>'2.CropManagement'!P158</f>
        <v>6</v>
      </c>
      <c r="T33" s="180" t="str">
        <f>'2.CropManagement'!Q158</f>
        <v>Oceania</v>
      </c>
      <c r="U33" s="180">
        <f>'2.CropManagement'!R158</f>
        <v>0</v>
      </c>
      <c r="V33" s="180">
        <f>'2.CropManagement'!S158</f>
        <v>1</v>
      </c>
      <c r="W33" s="1684"/>
      <c r="X33" s="166"/>
      <c r="Y33" s="1058"/>
      <c r="Z33" s="1129"/>
      <c r="AA33" s="1662" t="s">
        <v>977</v>
      </c>
      <c r="AB33" s="188"/>
      <c r="AC33" s="1671" t="s">
        <v>1946</v>
      </c>
      <c r="AD33" s="1096"/>
      <c r="AE33" s="1096"/>
      <c r="AF33" s="149"/>
      <c r="AG33" s="149"/>
      <c r="AH33" s="149"/>
      <c r="AI33" s="149"/>
      <c r="AJ33" s="149"/>
      <c r="AK33" s="149"/>
      <c r="AL33" s="149"/>
      <c r="AM33" s="149"/>
      <c r="AN33" s="149"/>
      <c r="AO33" s="149"/>
      <c r="AP33" s="149"/>
      <c r="AQ33" s="149"/>
      <c r="AR33" s="149"/>
      <c r="AS33" s="149"/>
      <c r="AT33" s="1062"/>
      <c r="AU33" s="1062"/>
      <c r="AV33" s="149"/>
      <c r="AW33" s="149"/>
      <c r="AX33" s="149"/>
      <c r="AY33" s="149"/>
      <c r="AZ33" s="149"/>
      <c r="BA33" s="149"/>
      <c r="BB33" s="149"/>
      <c r="BC33" s="149"/>
      <c r="BD33" s="149"/>
      <c r="BE33" s="149"/>
      <c r="BF33" s="149"/>
      <c r="BG33" s="166"/>
      <c r="BH33" s="166"/>
      <c r="BI33" s="166"/>
      <c r="BJ33" s="166"/>
      <c r="BK33" s="166"/>
      <c r="BL33" s="166"/>
      <c r="BM33" s="166"/>
      <c r="BN33" s="166"/>
      <c r="BO33" s="166"/>
      <c r="BP33" s="166"/>
      <c r="BQ33" s="166"/>
      <c r="BR33" s="166"/>
      <c r="BS33" s="166"/>
      <c r="BT33" s="166"/>
      <c r="BU33" s="166"/>
      <c r="BV33" s="166"/>
      <c r="BW33" s="166"/>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row>
    <row r="34" spans="1:100" ht="34.6" customHeight="1" x14ac:dyDescent="0.25">
      <c r="A34" s="149"/>
      <c r="B34" s="1065"/>
      <c r="C34" s="1069"/>
      <c r="D34" s="1071"/>
      <c r="E34" s="231"/>
      <c r="F34" s="231"/>
      <c r="G34" s="231"/>
      <c r="H34" s="231"/>
      <c r="I34" s="231"/>
      <c r="J34" s="231"/>
      <c r="K34" s="231"/>
      <c r="L34" s="231"/>
      <c r="M34" s="231"/>
      <c r="N34" s="231"/>
      <c r="O34" s="1069"/>
      <c r="P34" s="171"/>
      <c r="Q34" s="1624"/>
      <c r="R34" s="180" t="str">
        <f>'2.CropManagement'!O159</f>
        <v xml:space="preserve"> - Austria</v>
      </c>
      <c r="S34" s="180">
        <f>'2.CropManagement'!P159</f>
        <v>7</v>
      </c>
      <c r="T34" s="180" t="str">
        <f>'2.CropManagement'!Q159</f>
        <v>Western Europe</v>
      </c>
      <c r="U34" s="180">
        <f>'2.CropManagement'!R159</f>
        <v>0</v>
      </c>
      <c r="V34" s="180">
        <f>'2.CropManagement'!S159</f>
        <v>1</v>
      </c>
      <c r="W34" s="1130"/>
      <c r="X34" s="166"/>
      <c r="Y34" s="149"/>
      <c r="Z34" s="1129"/>
      <c r="AA34" s="1662" t="s">
        <v>1427</v>
      </c>
      <c r="AB34" s="188"/>
      <c r="AC34" s="1672" t="s">
        <v>528</v>
      </c>
      <c r="AD34" s="149"/>
      <c r="AE34" s="1097"/>
      <c r="AF34" s="149"/>
      <c r="AG34" s="149"/>
      <c r="AH34" s="149"/>
      <c r="AI34" s="149"/>
      <c r="AJ34" s="149"/>
      <c r="AK34" s="149"/>
      <c r="AL34" s="149"/>
      <c r="AM34" s="149"/>
      <c r="AN34" s="149"/>
      <c r="AO34" s="149"/>
      <c r="AP34" s="149"/>
      <c r="AQ34" s="149"/>
      <c r="AR34" s="149"/>
      <c r="AS34" s="149"/>
      <c r="AT34" s="1062"/>
      <c r="AU34" s="1062"/>
      <c r="AV34" s="149"/>
      <c r="AW34" s="149"/>
      <c r="AX34" s="149"/>
      <c r="AY34" s="149"/>
      <c r="AZ34" s="149"/>
      <c r="BA34" s="149"/>
      <c r="BB34" s="149"/>
      <c r="BC34" s="149"/>
      <c r="BD34" s="149"/>
      <c r="BE34" s="149"/>
      <c r="BF34" s="149"/>
      <c r="BG34" s="166"/>
      <c r="BH34" s="166"/>
      <c r="BI34" s="166"/>
      <c r="BJ34" s="166"/>
      <c r="BK34" s="166"/>
      <c r="BL34" s="166"/>
      <c r="BM34" s="166"/>
      <c r="BN34" s="166"/>
      <c r="BO34" s="166"/>
      <c r="BP34" s="166"/>
      <c r="BQ34" s="166"/>
      <c r="BR34" s="166"/>
      <c r="BS34" s="166"/>
      <c r="BT34" s="166"/>
      <c r="BU34" s="166"/>
      <c r="BV34" s="166"/>
      <c r="BW34" s="166"/>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row>
    <row r="35" spans="1:100" ht="34.6" customHeight="1" x14ac:dyDescent="0.25">
      <c r="A35" s="149"/>
      <c r="B35" s="1072"/>
      <c r="C35" s="1066"/>
      <c r="D35" s="1059"/>
      <c r="E35" s="171"/>
      <c r="F35" s="171"/>
      <c r="G35" s="171"/>
      <c r="H35" s="171"/>
      <c r="I35" s="171"/>
      <c r="J35" s="171"/>
      <c r="K35" s="171"/>
      <c r="L35" s="171"/>
      <c r="M35" s="171"/>
      <c r="N35" s="171"/>
      <c r="O35" s="1073"/>
      <c r="P35" s="171"/>
      <c r="Q35" s="1624"/>
      <c r="R35" s="180" t="str">
        <f>'2.CropManagement'!O160</f>
        <v xml:space="preserve"> - Azerbaijan</v>
      </c>
      <c r="S35" s="180">
        <f>'2.CropManagement'!P160</f>
        <v>8</v>
      </c>
      <c r="T35" s="180" t="str">
        <f>'2.CropManagement'!Q160</f>
        <v>Asia</v>
      </c>
      <c r="U35" s="180">
        <f>'2.CropManagement'!R160</f>
        <v>0</v>
      </c>
      <c r="V35" s="180">
        <f>'2.CropManagement'!S160</f>
        <v>0</v>
      </c>
      <c r="W35" s="1684"/>
      <c r="X35" s="166"/>
      <c r="Y35" s="149"/>
      <c r="Z35" s="1129"/>
      <c r="AA35" s="188"/>
      <c r="AB35" s="188"/>
      <c r="AC35" s="1672" t="s">
        <v>527</v>
      </c>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66"/>
      <c r="BH35" s="166"/>
      <c r="BI35" s="166"/>
      <c r="BJ35" s="166"/>
      <c r="BK35" s="166"/>
      <c r="BL35" s="166"/>
      <c r="BM35" s="166"/>
      <c r="BN35" s="166"/>
      <c r="BO35" s="166"/>
      <c r="BP35" s="166"/>
      <c r="BQ35" s="166"/>
      <c r="BR35" s="166"/>
      <c r="BS35" s="166"/>
      <c r="BT35" s="166"/>
      <c r="BU35" s="166"/>
      <c r="BV35" s="166"/>
      <c r="BW35" s="166"/>
      <c r="BX35" s="159"/>
      <c r="BY35" s="159"/>
      <c r="BZ35" s="599"/>
      <c r="CA35" s="10"/>
      <c r="CB35" s="10"/>
      <c r="CC35" s="10"/>
      <c r="CD35" s="10"/>
      <c r="CE35" s="10"/>
      <c r="CF35" s="10"/>
      <c r="CG35" s="10"/>
      <c r="CH35" s="10"/>
      <c r="CI35" s="159"/>
      <c r="CJ35" s="159"/>
      <c r="CK35" s="159"/>
      <c r="CL35" s="159"/>
      <c r="CM35" s="159"/>
      <c r="CN35" s="159"/>
      <c r="CO35" s="159"/>
      <c r="CP35" s="159"/>
      <c r="CQ35" s="159"/>
      <c r="CR35" s="159"/>
      <c r="CS35" s="159"/>
      <c r="CT35" s="159"/>
      <c r="CU35" s="159"/>
      <c r="CV35" s="159"/>
    </row>
    <row r="36" spans="1:100" ht="34.6" customHeight="1" x14ac:dyDescent="0.25">
      <c r="A36" s="149"/>
      <c r="B36" s="1072"/>
      <c r="C36" s="1073"/>
      <c r="D36" s="1054"/>
      <c r="E36" s="171"/>
      <c r="F36" s="272"/>
      <c r="G36" s="171"/>
      <c r="H36" s="272"/>
      <c r="I36" s="272"/>
      <c r="J36" s="272"/>
      <c r="K36" s="171"/>
      <c r="L36" s="171"/>
      <c r="M36" s="171"/>
      <c r="N36" s="171"/>
      <c r="O36" s="1073"/>
      <c r="P36" s="171"/>
      <c r="Q36" s="1624"/>
      <c r="R36" s="180" t="str">
        <f>'2.CropManagement'!O161</f>
        <v xml:space="preserve"> - Bahrain</v>
      </c>
      <c r="S36" s="180">
        <f>'2.CropManagement'!P161</f>
        <v>9</v>
      </c>
      <c r="T36" s="180" t="str">
        <f>'2.CropManagement'!Q161</f>
        <v>Middle East</v>
      </c>
      <c r="U36" s="180">
        <f>'2.CropManagement'!R161</f>
        <v>0</v>
      </c>
      <c r="V36" s="180">
        <f>'2.CropManagement'!S161</f>
        <v>1</v>
      </c>
      <c r="W36" s="1684"/>
      <c r="X36" s="149"/>
      <c r="Y36" s="149"/>
      <c r="Z36" s="1129"/>
      <c r="AA36" s="188"/>
      <c r="AB36" s="188"/>
      <c r="AC36" s="1130"/>
      <c r="AD36" s="149"/>
      <c r="AE36" s="149"/>
      <c r="AF36" s="149"/>
      <c r="AG36" s="149"/>
      <c r="AH36" s="149"/>
      <c r="AI36" s="149"/>
      <c r="AJ36" s="149"/>
      <c r="AK36" s="149"/>
      <c r="AL36" s="149"/>
      <c r="AM36" s="149"/>
      <c r="AN36" s="149"/>
      <c r="AO36" s="149"/>
      <c r="AP36" s="149"/>
      <c r="AQ36" s="149"/>
      <c r="AR36" s="149"/>
      <c r="AS36" s="149"/>
      <c r="AT36" s="149"/>
      <c r="AU36" s="149"/>
      <c r="AV36" s="171"/>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row>
    <row r="37" spans="1:100" ht="34.6" customHeight="1" x14ac:dyDescent="0.25">
      <c r="A37" s="149"/>
      <c r="B37" s="1074"/>
      <c r="C37" s="1075"/>
      <c r="D37" s="1060"/>
      <c r="E37" s="272"/>
      <c r="F37" s="1061"/>
      <c r="G37" s="548"/>
      <c r="H37" s="297"/>
      <c r="I37" s="297"/>
      <c r="J37" s="297"/>
      <c r="K37" s="297"/>
      <c r="L37" s="297"/>
      <c r="M37" s="297"/>
      <c r="N37" s="297"/>
      <c r="O37" s="1075"/>
      <c r="P37" s="171"/>
      <c r="Q37" s="1624"/>
      <c r="R37" s="180" t="str">
        <f>'2.CropManagement'!O162</f>
        <v xml:space="preserve"> - Bangladesh</v>
      </c>
      <c r="S37" s="180">
        <f>'2.CropManagement'!P162</f>
        <v>10</v>
      </c>
      <c r="T37" s="180" t="str">
        <f>'2.CropManagement'!Q162</f>
        <v>Indian Subcontinent</v>
      </c>
      <c r="U37" s="180">
        <f>'2.CropManagement'!R162</f>
        <v>0</v>
      </c>
      <c r="V37" s="180">
        <f>'2.CropManagement'!S162</f>
        <v>0</v>
      </c>
      <c r="W37" s="1685"/>
      <c r="X37" s="263"/>
      <c r="Y37" s="263"/>
      <c r="Z37" s="1673"/>
      <c r="AA37" s="180" t="s">
        <v>1036</v>
      </c>
      <c r="AB37" s="188"/>
      <c r="AC37" s="1674"/>
      <c r="AD37" s="166"/>
      <c r="AE37" s="166"/>
      <c r="AF37" s="149"/>
      <c r="AG37" s="259"/>
      <c r="AH37" s="259"/>
      <c r="AI37" s="259"/>
      <c r="AJ37" s="259"/>
      <c r="AK37" s="259"/>
      <c r="AL37" s="259"/>
      <c r="AM37" s="259"/>
      <c r="AN37" s="259"/>
      <c r="AO37" s="259"/>
      <c r="AP37" s="259"/>
      <c r="AQ37" s="259"/>
      <c r="AR37" s="259"/>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row>
    <row r="38" spans="1:100" ht="34.6" customHeight="1" x14ac:dyDescent="0.25">
      <c r="A38" s="149"/>
      <c r="B38" s="1608"/>
      <c r="C38" s="849"/>
      <c r="D38" s="1059"/>
      <c r="E38" s="171"/>
      <c r="F38" s="4"/>
      <c r="G38" s="75"/>
      <c r="H38" s="171"/>
      <c r="I38" s="171"/>
      <c r="J38" s="171"/>
      <c r="K38" s="171"/>
      <c r="L38" s="171"/>
      <c r="M38" s="171"/>
      <c r="N38" s="171"/>
      <c r="O38" s="1070"/>
      <c r="P38" s="263"/>
      <c r="Q38" s="1673"/>
      <c r="R38" s="180" t="str">
        <f>'2.CropManagement'!O163</f>
        <v xml:space="preserve"> - Belarus</v>
      </c>
      <c r="S38" s="180">
        <f>'2.CropManagement'!P163</f>
        <v>11</v>
      </c>
      <c r="T38" s="180" t="str">
        <f>'2.CropManagement'!Q163</f>
        <v>Eastern Europe</v>
      </c>
      <c r="U38" s="180">
        <f>'2.CropManagement'!R163</f>
        <v>0</v>
      </c>
      <c r="V38" s="180">
        <f>'2.CropManagement'!S163</f>
        <v>0</v>
      </c>
      <c r="W38" s="1684"/>
      <c r="X38" s="173"/>
      <c r="Y38" s="173"/>
      <c r="Z38" s="1624"/>
      <c r="AA38" s="180" t="s">
        <v>1946</v>
      </c>
      <c r="AB38" s="1523"/>
      <c r="AC38" s="1675"/>
      <c r="AD38" s="166"/>
      <c r="AE38" s="166"/>
      <c r="AF38" s="149"/>
      <c r="AG38" s="149"/>
      <c r="AH38" s="149"/>
      <c r="AI38" s="149"/>
      <c r="AJ38" s="149"/>
      <c r="AK38" s="149"/>
      <c r="AL38" s="149"/>
      <c r="AM38" s="149"/>
      <c r="AN38" s="149"/>
      <c r="AO38" s="149"/>
      <c r="AP38" s="149"/>
      <c r="AQ38" s="149"/>
      <c r="AR38" s="149"/>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row>
    <row r="39" spans="1:100" ht="34.6" customHeight="1" x14ac:dyDescent="0.25">
      <c r="A39" s="259"/>
      <c r="B39" s="1608"/>
      <c r="C39" s="149"/>
      <c r="D39" s="1054"/>
      <c r="E39" s="400"/>
      <c r="F39" s="149"/>
      <c r="G39" s="149"/>
      <c r="H39" s="4"/>
      <c r="I39" s="171"/>
      <c r="J39" s="1053"/>
      <c r="K39" s="269"/>
      <c r="L39" s="269"/>
      <c r="M39" s="269"/>
      <c r="N39" s="269"/>
      <c r="O39" s="171"/>
      <c r="P39" s="171"/>
      <c r="Q39" s="1624"/>
      <c r="R39" s="180" t="str">
        <f>'2.CropManagement'!O164</f>
        <v xml:space="preserve"> - Belgium</v>
      </c>
      <c r="S39" s="180">
        <f>'2.CropManagement'!P164</f>
        <v>12</v>
      </c>
      <c r="T39" s="180" t="str">
        <f>'2.CropManagement'!Q164</f>
        <v>Western Europe</v>
      </c>
      <c r="U39" s="180">
        <f>'2.CropManagement'!R164</f>
        <v>0</v>
      </c>
      <c r="V39" s="180">
        <f>'2.CropManagement'!S164</f>
        <v>1</v>
      </c>
      <c r="W39" s="1686"/>
      <c r="X39" s="166"/>
      <c r="Y39" s="149"/>
      <c r="Z39" s="1129"/>
      <c r="AA39" s="180" t="s">
        <v>1552</v>
      </c>
      <c r="AB39" s="1523"/>
      <c r="AC39" s="1675"/>
      <c r="AD39" s="166"/>
      <c r="AE39" s="166"/>
      <c r="AF39" s="149"/>
      <c r="AG39" s="149"/>
      <c r="AH39" s="149"/>
      <c r="AI39" s="149"/>
      <c r="AJ39" s="149"/>
      <c r="AK39" s="149"/>
      <c r="AL39" s="149"/>
      <c r="AM39" s="149"/>
      <c r="AN39" s="149"/>
      <c r="AO39" s="149"/>
      <c r="AP39" s="149"/>
      <c r="AQ39" s="149"/>
      <c r="AR39" s="149"/>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row>
    <row r="40" spans="1:100" ht="34.6" customHeight="1" x14ac:dyDescent="0.25">
      <c r="A40" s="149"/>
      <c r="B40" s="1608"/>
      <c r="C40" s="149"/>
      <c r="D40" s="1054"/>
      <c r="E40" s="149"/>
      <c r="F40" s="149"/>
      <c r="G40" s="149"/>
      <c r="H40" s="149"/>
      <c r="I40" s="271"/>
      <c r="J40" s="271"/>
      <c r="K40" s="272"/>
      <c r="L40" s="272"/>
      <c r="M40" s="272"/>
      <c r="N40" s="272"/>
      <c r="O40" s="272"/>
      <c r="P40" s="272"/>
      <c r="Q40" s="1687"/>
      <c r="R40" s="180" t="str">
        <f>'2.CropManagement'!O165</f>
        <v xml:space="preserve"> - Benin</v>
      </c>
      <c r="S40" s="180">
        <f>'2.CropManagement'!P165</f>
        <v>13</v>
      </c>
      <c r="T40" s="180" t="str">
        <f>'2.CropManagement'!Q165</f>
        <v>Africa</v>
      </c>
      <c r="U40" s="180">
        <f>'2.CropManagement'!R165</f>
        <v>0</v>
      </c>
      <c r="V40" s="180">
        <f>'2.CropManagement'!S165</f>
        <v>0</v>
      </c>
      <c r="W40" s="1130"/>
      <c r="X40" s="149"/>
      <c r="Y40" s="149"/>
      <c r="Z40" s="1129"/>
      <c r="AA40" s="180" t="s">
        <v>2016</v>
      </c>
      <c r="AB40" s="1523"/>
      <c r="AC40" s="1675"/>
      <c r="AD40" s="149"/>
      <c r="AE40" s="149"/>
      <c r="AF40" s="149"/>
      <c r="AG40" s="149"/>
      <c r="AH40" s="149"/>
      <c r="AI40" s="149"/>
      <c r="AJ40" s="149"/>
      <c r="AK40" s="149"/>
      <c r="AL40" s="149"/>
      <c r="AM40" s="149"/>
      <c r="AN40" s="149"/>
      <c r="AO40" s="149"/>
      <c r="AP40" s="149"/>
      <c r="AQ40" s="149"/>
      <c r="AR40" s="149"/>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row>
    <row r="41" spans="1:100" ht="34.6" customHeight="1" x14ac:dyDescent="0.25">
      <c r="A41" s="149"/>
      <c r="B41" s="1608"/>
      <c r="C41" s="149"/>
      <c r="D41" s="149"/>
      <c r="E41" s="149"/>
      <c r="F41" s="149"/>
      <c r="G41" s="149"/>
      <c r="H41" s="149"/>
      <c r="I41" s="1076"/>
      <c r="J41" s="1076"/>
      <c r="K41" s="990"/>
      <c r="L41" s="990"/>
      <c r="M41" s="990"/>
      <c r="N41" s="990"/>
      <c r="O41" s="990"/>
      <c r="P41" s="272"/>
      <c r="Q41" s="1687"/>
      <c r="R41" s="180" t="str">
        <f>'2.CropManagement'!O166</f>
        <v xml:space="preserve"> - Bolivia</v>
      </c>
      <c r="S41" s="180">
        <f>'2.CropManagement'!P166</f>
        <v>14</v>
      </c>
      <c r="T41" s="180" t="str">
        <f>'2.CropManagement'!Q166</f>
        <v>Latin America</v>
      </c>
      <c r="U41" s="180">
        <f>'2.CropManagement'!R166</f>
        <v>0</v>
      </c>
      <c r="V41" s="180">
        <f>'2.CropManagement'!S166</f>
        <v>0</v>
      </c>
      <c r="W41" s="1130"/>
      <c r="X41" s="149"/>
      <c r="Y41" s="149"/>
      <c r="Z41" s="1129"/>
      <c r="AA41" s="188"/>
      <c r="AB41" s="188"/>
      <c r="AC41" s="1130"/>
      <c r="AD41" s="149"/>
      <c r="AE41" s="149"/>
      <c r="AF41" s="149"/>
      <c r="AG41" s="149"/>
      <c r="AH41" s="149"/>
      <c r="AI41" s="149"/>
      <c r="AJ41" s="149"/>
      <c r="AK41" s="149"/>
      <c r="AL41" s="149"/>
      <c r="AM41" s="149"/>
      <c r="AN41" s="149"/>
      <c r="AO41" s="149"/>
      <c r="AP41" s="149"/>
      <c r="AQ41" s="149"/>
      <c r="AR41" s="149"/>
      <c r="AS41" s="166"/>
      <c r="AT41" s="149"/>
      <c r="AU41" s="149"/>
      <c r="AV41" s="166"/>
      <c r="AW41" s="166"/>
      <c r="AX41" s="166"/>
      <c r="AY41" s="166"/>
      <c r="AZ41" s="166"/>
      <c r="BA41" s="149"/>
      <c r="BB41" s="149"/>
      <c r="BC41" s="149"/>
      <c r="BD41" s="149"/>
      <c r="BE41" s="149"/>
      <c r="BF41" s="149"/>
      <c r="BG41" s="166"/>
      <c r="BH41" s="166"/>
      <c r="BI41" s="166"/>
      <c r="BJ41" s="166"/>
      <c r="BK41" s="166"/>
      <c r="BL41" s="166"/>
      <c r="BM41" s="166"/>
      <c r="BN41" s="166"/>
      <c r="BO41" s="166"/>
      <c r="BP41" s="166"/>
      <c r="BQ41" s="166"/>
      <c r="BR41" s="166"/>
      <c r="BS41" s="166"/>
      <c r="BT41" s="166"/>
      <c r="BU41" s="166"/>
      <c r="BV41" s="166"/>
      <c r="BW41" s="166"/>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row>
    <row r="42" spans="1:100" ht="34.6" customHeight="1" x14ac:dyDescent="0.25">
      <c r="A42" s="149"/>
      <c r="B42" s="149"/>
      <c r="C42" s="149"/>
      <c r="D42" s="149"/>
      <c r="E42" s="149"/>
      <c r="F42" s="149"/>
      <c r="G42" s="149"/>
      <c r="H42" s="149"/>
      <c r="I42" s="271"/>
      <c r="J42" s="272"/>
      <c r="K42" s="272"/>
      <c r="L42" s="272"/>
      <c r="M42" s="272"/>
      <c r="N42" s="272"/>
      <c r="O42" s="269"/>
      <c r="P42" s="272"/>
      <c r="Q42" s="1687"/>
      <c r="R42" s="180" t="str">
        <f>'2.CropManagement'!O167</f>
        <v xml:space="preserve"> - Bosnia &amp; Herzegovina</v>
      </c>
      <c r="S42" s="180">
        <f>'2.CropManagement'!P167</f>
        <v>15</v>
      </c>
      <c r="T42" s="180" t="str">
        <f>'2.CropManagement'!Q167</f>
        <v>Eastern Europe</v>
      </c>
      <c r="U42" s="180">
        <f>'2.CropManagement'!R167</f>
        <v>0</v>
      </c>
      <c r="V42" s="180">
        <f>'2.CropManagement'!S167</f>
        <v>0</v>
      </c>
      <c r="W42" s="1648"/>
      <c r="X42" s="253"/>
      <c r="Y42" s="253"/>
      <c r="Z42" s="1633"/>
      <c r="AA42" s="180">
        <v>1</v>
      </c>
      <c r="AB42" s="1663" t="s">
        <v>1946</v>
      </c>
      <c r="AC42" s="1130"/>
      <c r="AD42" s="166"/>
      <c r="AE42" s="253"/>
      <c r="AF42" s="253"/>
      <c r="AG42" s="253"/>
      <c r="AH42" s="253"/>
      <c r="AI42" s="253"/>
      <c r="AJ42" s="253"/>
      <c r="AK42" s="253"/>
      <c r="AL42" s="253"/>
      <c r="AM42" s="253"/>
      <c r="AN42" s="149"/>
      <c r="AO42" s="149"/>
      <c r="AP42" s="149"/>
      <c r="AQ42" s="149"/>
      <c r="AR42" s="149"/>
      <c r="AS42" s="259"/>
      <c r="AT42" s="259"/>
      <c r="AU42" s="259"/>
      <c r="AV42" s="259"/>
      <c r="AW42" s="259"/>
      <c r="AX42" s="259"/>
      <c r="AY42" s="259"/>
      <c r="AZ42" s="259"/>
      <c r="BA42" s="253"/>
      <c r="BB42" s="253"/>
      <c r="BC42" s="253"/>
      <c r="BD42" s="253"/>
      <c r="BE42" s="253"/>
      <c r="BF42" s="253"/>
      <c r="BG42" s="253"/>
      <c r="BH42" s="253"/>
      <c r="BI42" s="253"/>
      <c r="BJ42" s="253"/>
      <c r="BK42" s="253"/>
      <c r="BL42" s="253"/>
      <c r="BM42" s="253"/>
      <c r="BN42" s="166"/>
      <c r="BO42" s="166"/>
      <c r="BP42" s="166"/>
      <c r="BQ42" s="166"/>
      <c r="BR42" s="166"/>
      <c r="BS42" s="166"/>
      <c r="BT42" s="166"/>
      <c r="BU42" s="166"/>
      <c r="BV42" s="166"/>
      <c r="BW42" s="166"/>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row>
    <row r="43" spans="1:100" ht="34.6" customHeight="1" x14ac:dyDescent="0.25">
      <c r="A43" s="149"/>
      <c r="B43" s="149"/>
      <c r="C43" s="149"/>
      <c r="D43" s="149"/>
      <c r="E43" s="149"/>
      <c r="F43" s="149"/>
      <c r="G43" s="149"/>
      <c r="H43" s="149"/>
      <c r="I43" s="271"/>
      <c r="J43" s="272"/>
      <c r="K43" s="272"/>
      <c r="L43" s="272"/>
      <c r="M43" s="272"/>
      <c r="N43" s="272"/>
      <c r="O43" s="272"/>
      <c r="P43" s="272"/>
      <c r="Q43" s="1687"/>
      <c r="R43" s="180" t="str">
        <f>'2.CropManagement'!O168</f>
        <v xml:space="preserve"> - Brazil</v>
      </c>
      <c r="S43" s="180">
        <f>'2.CropManagement'!P168</f>
        <v>16</v>
      </c>
      <c r="T43" s="180" t="str">
        <f>'2.CropManagement'!Q168</f>
        <v>Latin America</v>
      </c>
      <c r="U43" s="180">
        <f>'2.CropManagement'!R168</f>
        <v>0</v>
      </c>
      <c r="V43" s="180">
        <f>'2.CropManagement'!S168</f>
        <v>0</v>
      </c>
      <c r="W43" s="1130"/>
      <c r="X43" s="149"/>
      <c r="Y43" s="149"/>
      <c r="Z43" s="1633"/>
      <c r="AA43" s="180">
        <v>1</v>
      </c>
      <c r="AB43" s="77" t="s">
        <v>1551</v>
      </c>
      <c r="AC43" s="1130"/>
      <c r="AD43" s="166"/>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66"/>
      <c r="BH43" s="166"/>
      <c r="BI43" s="166"/>
      <c r="BJ43" s="166"/>
      <c r="BK43" s="166"/>
      <c r="BL43" s="166"/>
      <c r="BM43" s="166"/>
      <c r="BN43" s="166"/>
      <c r="BO43" s="166"/>
      <c r="BP43" s="166"/>
      <c r="BQ43" s="166"/>
      <c r="BR43" s="166"/>
      <c r="BS43" s="166"/>
      <c r="BT43" s="166"/>
      <c r="BU43" s="166"/>
      <c r="BV43" s="166"/>
      <c r="BW43" s="166"/>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row>
    <row r="44" spans="1:100" ht="34.6" customHeight="1" x14ac:dyDescent="0.25">
      <c r="A44" s="149"/>
      <c r="B44" s="75"/>
      <c r="C44" s="75"/>
      <c r="D44" s="1046"/>
      <c r="E44" s="1046"/>
      <c r="F44" s="1046"/>
      <c r="G44" s="1077"/>
      <c r="H44" s="259"/>
      <c r="I44" s="190"/>
      <c r="J44" s="272"/>
      <c r="K44" s="272"/>
      <c r="L44" s="259"/>
      <c r="M44" s="259"/>
      <c r="N44" s="259"/>
      <c r="O44" s="259"/>
      <c r="P44" s="272"/>
      <c r="Q44" s="1687"/>
      <c r="R44" s="180" t="str">
        <f>'2.CropManagement'!O169</f>
        <v xml:space="preserve"> - Brunei Darussalam</v>
      </c>
      <c r="S44" s="180">
        <f>'2.CropManagement'!P169</f>
        <v>17</v>
      </c>
      <c r="T44" s="180" t="str">
        <f>'2.CropManagement'!Q169</f>
        <v>Asia</v>
      </c>
      <c r="U44" s="180">
        <f>'2.CropManagement'!R169</f>
        <v>0</v>
      </c>
      <c r="V44" s="180">
        <f>'2.CropManagement'!S169</f>
        <v>0</v>
      </c>
      <c r="W44" s="1130"/>
      <c r="X44" s="149"/>
      <c r="Y44" s="149"/>
      <c r="Z44" s="1633"/>
      <c r="AA44" s="180">
        <v>2</v>
      </c>
      <c r="AB44" s="77" t="s">
        <v>1655</v>
      </c>
      <c r="AC44" s="1130"/>
      <c r="AD44" s="166"/>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66"/>
      <c r="BH44" s="166"/>
      <c r="BI44" s="166"/>
      <c r="BJ44" s="166"/>
      <c r="BK44" s="166"/>
      <c r="BL44" s="166"/>
      <c r="BM44" s="166"/>
      <c r="BN44" s="166"/>
      <c r="BO44" s="166"/>
      <c r="BP44" s="166"/>
      <c r="BQ44" s="166"/>
      <c r="BR44" s="166"/>
      <c r="BS44" s="166"/>
      <c r="BT44" s="166"/>
      <c r="BU44" s="166"/>
      <c r="BV44" s="166"/>
      <c r="BW44" s="166"/>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row>
    <row r="45" spans="1:100" ht="34.6" customHeight="1" x14ac:dyDescent="0.25">
      <c r="A45" s="149"/>
      <c r="B45" s="518"/>
      <c r="C45" s="75"/>
      <c r="D45" s="990"/>
      <c r="E45" s="990"/>
      <c r="F45" s="990"/>
      <c r="G45" s="400"/>
      <c r="H45" s="149"/>
      <c r="I45" s="277"/>
      <c r="J45" s="278"/>
      <c r="K45" s="278"/>
      <c r="L45" s="149"/>
      <c r="M45" s="149"/>
      <c r="N45" s="149"/>
      <c r="O45" s="149"/>
      <c r="P45" s="278"/>
      <c r="Q45" s="1688"/>
      <c r="R45" s="180" t="str">
        <f>'2.CropManagement'!O170</f>
        <v xml:space="preserve"> - Bulgaria</v>
      </c>
      <c r="S45" s="180">
        <f>'2.CropManagement'!P170</f>
        <v>18</v>
      </c>
      <c r="T45" s="180" t="str">
        <f>'2.CropManagement'!Q170</f>
        <v>Eastern Europe</v>
      </c>
      <c r="U45" s="180">
        <f>'2.CropManagement'!R170</f>
        <v>0</v>
      </c>
      <c r="V45" s="180">
        <f>'2.CropManagement'!S170</f>
        <v>0</v>
      </c>
      <c r="W45" s="1689"/>
      <c r="X45" s="149"/>
      <c r="Y45" s="149"/>
      <c r="Z45" s="1633"/>
      <c r="AA45" s="1523"/>
      <c r="AB45" s="188"/>
      <c r="AC45" s="1130"/>
      <c r="AD45" s="149"/>
      <c r="AE45" s="166"/>
      <c r="AF45" s="166"/>
      <c r="AG45" s="166"/>
      <c r="AH45" s="166"/>
      <c r="AI45" s="166"/>
      <c r="AJ45" s="166"/>
      <c r="AK45" s="149"/>
      <c r="AL45" s="166"/>
      <c r="AM45" s="166"/>
      <c r="AN45" s="149"/>
      <c r="AO45" s="149"/>
      <c r="AP45" s="149"/>
      <c r="AQ45" s="149"/>
      <c r="AR45" s="149"/>
      <c r="AS45" s="149"/>
      <c r="AT45" s="1100"/>
      <c r="AU45" s="149"/>
      <c r="AV45" s="149"/>
      <c r="AW45" s="1100"/>
      <c r="AX45" s="149"/>
      <c r="AY45" s="149"/>
      <c r="AZ45" s="149"/>
      <c r="BA45" s="166"/>
      <c r="BB45" s="149"/>
      <c r="BC45" s="149"/>
      <c r="BD45" s="149"/>
      <c r="BE45" s="149"/>
      <c r="BF45" s="149"/>
      <c r="BG45" s="149"/>
      <c r="BH45" s="166"/>
      <c r="BI45" s="166"/>
      <c r="BJ45" s="166"/>
      <c r="BK45" s="166"/>
      <c r="BL45" s="166"/>
      <c r="BM45" s="166"/>
      <c r="BN45" s="166"/>
      <c r="BO45" s="166"/>
      <c r="BP45" s="166"/>
      <c r="BQ45" s="166"/>
      <c r="BR45" s="166"/>
      <c r="BS45" s="166"/>
      <c r="BT45" s="166"/>
      <c r="BU45" s="166"/>
      <c r="BV45" s="166"/>
      <c r="BW45" s="166"/>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row>
    <row r="46" spans="1:100" ht="34.6" customHeight="1" thickBot="1" x14ac:dyDescent="0.3">
      <c r="A46" s="149"/>
      <c r="B46" s="147"/>
      <c r="C46" s="190"/>
      <c r="D46" s="272"/>
      <c r="E46" s="272"/>
      <c r="F46" s="272"/>
      <c r="G46" s="400"/>
      <c r="H46" s="149"/>
      <c r="I46" s="277"/>
      <c r="J46" s="149"/>
      <c r="K46" s="149"/>
      <c r="L46" s="149"/>
      <c r="M46" s="149"/>
      <c r="N46" s="149"/>
      <c r="O46" s="149"/>
      <c r="P46" s="149"/>
      <c r="Q46" s="1129"/>
      <c r="R46" s="180" t="str">
        <f>'2.CropManagement'!O171</f>
        <v xml:space="preserve"> - Cameroon</v>
      </c>
      <c r="S46" s="180">
        <f>'2.CropManagement'!P171</f>
        <v>19</v>
      </c>
      <c r="T46" s="180" t="str">
        <f>'2.CropManagement'!Q171</f>
        <v>Africa</v>
      </c>
      <c r="U46" s="180">
        <f>'2.CropManagement'!R171</f>
        <v>0</v>
      </c>
      <c r="V46" s="180">
        <f>'2.CropManagement'!S171</f>
        <v>0</v>
      </c>
      <c r="W46" s="1130"/>
      <c r="X46" s="166"/>
      <c r="Y46" s="149"/>
      <c r="Z46" s="1131"/>
      <c r="AA46" s="240"/>
      <c r="AB46" s="240"/>
      <c r="AC46" s="1132"/>
      <c r="AD46" s="149"/>
      <c r="AE46" s="166"/>
      <c r="AF46" s="166"/>
      <c r="AG46" s="166"/>
      <c r="AH46" s="166"/>
      <c r="AI46" s="166"/>
      <c r="AJ46" s="166"/>
      <c r="AK46" s="149"/>
      <c r="AL46" s="166"/>
      <c r="AM46" s="166"/>
      <c r="AN46" s="149"/>
      <c r="AO46" s="149"/>
      <c r="AP46" s="149"/>
      <c r="AQ46" s="149"/>
      <c r="AR46" s="149"/>
      <c r="AS46" s="149"/>
      <c r="AT46" s="149"/>
      <c r="AU46" s="149"/>
      <c r="AV46" s="149"/>
      <c r="AW46" s="149"/>
      <c r="AX46" s="149"/>
      <c r="AY46" s="149"/>
      <c r="AZ46" s="149"/>
      <c r="BA46" s="166"/>
      <c r="BB46" s="166"/>
      <c r="BC46" s="166"/>
      <c r="BD46" s="166"/>
      <c r="BE46" s="166"/>
      <c r="BF46" s="166"/>
      <c r="BG46" s="166"/>
      <c r="BH46" s="166"/>
      <c r="BI46" s="166"/>
      <c r="BJ46" s="166"/>
      <c r="BK46" s="166"/>
      <c r="BL46" s="166"/>
      <c r="BM46" s="166"/>
      <c r="BN46" s="166"/>
      <c r="BO46" s="166"/>
      <c r="BP46" s="166"/>
      <c r="BQ46" s="166"/>
      <c r="BR46" s="166"/>
      <c r="BS46" s="166"/>
      <c r="BT46" s="166"/>
      <c r="BU46" s="166"/>
      <c r="BV46" s="166"/>
      <c r="BW46" s="166"/>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row>
    <row r="47" spans="1:100" ht="34.6" customHeight="1" x14ac:dyDescent="0.25">
      <c r="A47" s="149"/>
      <c r="B47" s="147"/>
      <c r="C47" s="171"/>
      <c r="D47" s="171"/>
      <c r="E47" s="171"/>
      <c r="F47" s="171"/>
      <c r="G47" s="400"/>
      <c r="H47" s="149"/>
      <c r="I47" s="281"/>
      <c r="J47" s="149"/>
      <c r="K47" s="149"/>
      <c r="L47" s="149"/>
      <c r="M47" s="149"/>
      <c r="N47" s="149"/>
      <c r="O47" s="149"/>
      <c r="P47" s="149"/>
      <c r="Q47" s="1129"/>
      <c r="R47" s="180" t="str">
        <f>'2.CropManagement'!O172</f>
        <v xml:space="preserve"> - Canada</v>
      </c>
      <c r="S47" s="180">
        <f>'2.CropManagement'!P172</f>
        <v>20</v>
      </c>
      <c r="T47" s="180" t="str">
        <f>'2.CropManagement'!Q172</f>
        <v>North America</v>
      </c>
      <c r="U47" s="180">
        <f>'2.CropManagement'!R172</f>
        <v>0</v>
      </c>
      <c r="V47" s="180">
        <f>'2.CropManagement'!S172</f>
        <v>1</v>
      </c>
      <c r="W47" s="1130"/>
      <c r="X47" s="166"/>
      <c r="Y47" s="166"/>
      <c r="Z47" s="149"/>
      <c r="AA47" s="166"/>
      <c r="AB47" s="166"/>
      <c r="AC47" s="166"/>
      <c r="AD47" s="166"/>
      <c r="AE47" s="166"/>
      <c r="AF47" s="166"/>
      <c r="AG47" s="166"/>
      <c r="AH47" s="166"/>
      <c r="AI47" s="166"/>
      <c r="AJ47" s="166"/>
      <c r="AK47" s="149"/>
      <c r="AL47" s="166"/>
      <c r="AM47" s="166"/>
      <c r="AN47" s="149"/>
      <c r="AO47" s="149"/>
      <c r="AP47" s="149"/>
      <c r="AQ47" s="149"/>
      <c r="AR47" s="149"/>
      <c r="AS47" s="149"/>
      <c r="AT47" s="149"/>
      <c r="AU47" s="149"/>
      <c r="AV47" s="149"/>
      <c r="AW47" s="149"/>
      <c r="AX47" s="149"/>
      <c r="AY47" s="149"/>
      <c r="AZ47" s="149"/>
      <c r="BA47" s="166"/>
      <c r="BB47" s="166"/>
      <c r="BC47" s="166"/>
      <c r="BD47" s="166"/>
      <c r="BE47" s="166"/>
      <c r="BF47" s="166"/>
      <c r="BG47" s="166"/>
      <c r="BH47" s="166"/>
      <c r="BI47" s="166"/>
      <c r="BJ47" s="166"/>
      <c r="BK47" s="166"/>
      <c r="BL47" s="166"/>
      <c r="BM47" s="166"/>
      <c r="BN47" s="166"/>
      <c r="BO47" s="166"/>
      <c r="BP47" s="166"/>
      <c r="BQ47" s="166"/>
      <c r="BR47" s="166"/>
      <c r="BS47" s="166"/>
      <c r="BT47" s="166"/>
      <c r="BU47" s="166"/>
      <c r="BV47" s="166"/>
      <c r="BW47" s="166"/>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row>
    <row r="48" spans="1:100" ht="34.6" customHeight="1" x14ac:dyDescent="0.25">
      <c r="A48" s="149"/>
      <c r="B48" s="147"/>
      <c r="C48" s="269"/>
      <c r="D48" s="272"/>
      <c r="E48" s="272"/>
      <c r="F48" s="272"/>
      <c r="G48" s="400"/>
      <c r="H48" s="149"/>
      <c r="I48" s="281"/>
      <c r="J48" s="284"/>
      <c r="K48" s="284"/>
      <c r="L48" s="284"/>
      <c r="M48" s="284"/>
      <c r="N48" s="284"/>
      <c r="O48" s="278"/>
      <c r="P48" s="284"/>
      <c r="Q48" s="1690"/>
      <c r="R48" s="180" t="str">
        <f>'2.CropManagement'!O173</f>
        <v xml:space="preserve"> - Chile</v>
      </c>
      <c r="S48" s="180">
        <f>'2.CropManagement'!P173</f>
        <v>21</v>
      </c>
      <c r="T48" s="180" t="str">
        <f>'2.CropManagement'!Q173</f>
        <v>Latin America</v>
      </c>
      <c r="U48" s="180">
        <f>'2.CropManagement'!R173</f>
        <v>0</v>
      </c>
      <c r="V48" s="180">
        <f>'2.CropManagement'!S173</f>
        <v>0</v>
      </c>
      <c r="W48" s="1130"/>
      <c r="X48" s="166"/>
      <c r="Y48" s="166"/>
      <c r="Z48" s="149"/>
      <c r="AA48" s="149"/>
      <c r="AB48" s="166"/>
      <c r="AC48" s="166"/>
      <c r="AD48" s="166"/>
      <c r="AE48" s="166"/>
      <c r="AF48" s="166"/>
      <c r="AG48" s="166"/>
      <c r="AH48" s="166"/>
      <c r="AI48" s="166"/>
      <c r="AJ48" s="166"/>
      <c r="AK48" s="149"/>
      <c r="AL48" s="166"/>
      <c r="AM48" s="166"/>
      <c r="AN48" s="149"/>
      <c r="AO48" s="149"/>
      <c r="AP48" s="149"/>
      <c r="AQ48" s="149"/>
      <c r="AR48" s="149"/>
      <c r="AS48" s="149"/>
      <c r="AT48" s="149"/>
      <c r="AU48" s="149"/>
      <c r="AV48" s="149"/>
      <c r="AW48" s="149"/>
      <c r="AX48" s="149"/>
      <c r="AY48" s="149"/>
      <c r="AZ48" s="149"/>
      <c r="BA48" s="166"/>
      <c r="BB48" s="166"/>
      <c r="BC48" s="166"/>
      <c r="BD48" s="166"/>
      <c r="BE48" s="166"/>
      <c r="BF48" s="166"/>
      <c r="BG48" s="166"/>
      <c r="BH48" s="166"/>
      <c r="BI48" s="166"/>
      <c r="BJ48" s="166"/>
      <c r="BK48" s="166"/>
      <c r="BL48" s="166"/>
      <c r="BM48" s="166"/>
      <c r="BN48" s="253"/>
      <c r="BO48" s="253"/>
      <c r="BP48" s="253"/>
      <c r="BQ48" s="253"/>
      <c r="BR48" s="253"/>
      <c r="BS48" s="253"/>
      <c r="BT48" s="253"/>
      <c r="BU48" s="253"/>
      <c r="BV48" s="253"/>
      <c r="BW48" s="253"/>
      <c r="BX48" s="1615"/>
      <c r="BY48" s="1615"/>
      <c r="BZ48" s="1615"/>
      <c r="CA48" s="1615"/>
      <c r="CB48" s="1615"/>
      <c r="CC48" s="1615"/>
      <c r="CD48" s="1615"/>
      <c r="CE48" s="1615"/>
      <c r="CF48" s="1615"/>
      <c r="CG48" s="1615"/>
      <c r="CH48" s="1615"/>
      <c r="CI48" s="1615"/>
      <c r="CJ48" s="1615"/>
      <c r="CK48" s="1615"/>
      <c r="CL48" s="1615"/>
      <c r="CM48" s="1615"/>
      <c r="CN48" s="1615"/>
      <c r="CO48" s="1615"/>
      <c r="CP48" s="1615"/>
      <c r="CQ48" s="1615"/>
      <c r="CR48" s="1615"/>
      <c r="CS48" s="1615"/>
      <c r="CT48" s="1615"/>
      <c r="CU48" s="1615"/>
      <c r="CV48" s="1615"/>
    </row>
    <row r="49" spans="1:100" ht="34.6" customHeight="1" x14ac:dyDescent="0.25">
      <c r="A49" s="149"/>
      <c r="B49" s="147"/>
      <c r="C49" s="171"/>
      <c r="D49" s="171"/>
      <c r="E49" s="400"/>
      <c r="F49" s="272"/>
      <c r="G49" s="400"/>
      <c r="H49" s="149"/>
      <c r="I49" s="149"/>
      <c r="J49" s="284"/>
      <c r="K49" s="284"/>
      <c r="L49" s="284"/>
      <c r="M49" s="284"/>
      <c r="N49" s="284"/>
      <c r="O49" s="149"/>
      <c r="P49" s="284"/>
      <c r="Q49" s="1690"/>
      <c r="R49" s="180" t="str">
        <f>'2.CropManagement'!O174</f>
        <v xml:space="preserve"> - China, People's Rep. of</v>
      </c>
      <c r="S49" s="180">
        <f>'2.CropManagement'!P174</f>
        <v>22</v>
      </c>
      <c r="T49" s="180" t="str">
        <f>'2.CropManagement'!Q174</f>
        <v>Asia</v>
      </c>
      <c r="U49" s="180">
        <f>'2.CropManagement'!R174</f>
        <v>0</v>
      </c>
      <c r="V49" s="180">
        <f>'2.CropManagement'!S174</f>
        <v>0</v>
      </c>
      <c r="W49" s="1130"/>
      <c r="X49" s="166"/>
      <c r="Y49" s="166"/>
      <c r="Z49" s="149"/>
      <c r="AA49" s="149"/>
      <c r="AB49" s="166"/>
      <c r="AC49" s="166"/>
      <c r="AD49" s="166"/>
      <c r="AE49" s="166"/>
      <c r="AF49" s="166"/>
      <c r="AG49" s="166"/>
      <c r="AH49" s="166"/>
      <c r="AI49" s="166"/>
      <c r="AJ49" s="166"/>
      <c r="AK49" s="149"/>
      <c r="AL49" s="166"/>
      <c r="AM49" s="166"/>
      <c r="AN49" s="149"/>
      <c r="AO49" s="149"/>
      <c r="AP49" s="149"/>
      <c r="AQ49" s="149"/>
      <c r="AR49" s="149"/>
      <c r="AS49" s="149"/>
      <c r="AT49" s="149"/>
      <c r="AU49" s="149"/>
      <c r="AV49" s="149"/>
      <c r="AW49" s="149"/>
      <c r="AX49" s="149"/>
      <c r="AY49" s="149"/>
      <c r="AZ49" s="149"/>
      <c r="BA49" s="166"/>
      <c r="BB49" s="166"/>
      <c r="BC49" s="166"/>
      <c r="BD49" s="166"/>
      <c r="BE49" s="166"/>
      <c r="BF49" s="166"/>
      <c r="BG49" s="166"/>
      <c r="BH49" s="166"/>
      <c r="BI49" s="166"/>
      <c r="BJ49" s="166"/>
      <c r="BK49" s="166"/>
      <c r="BL49" s="166"/>
      <c r="BM49" s="166"/>
      <c r="BN49" s="166"/>
      <c r="BO49" s="149"/>
      <c r="BP49" s="149"/>
      <c r="BQ49" s="149"/>
      <c r="BR49" s="149"/>
      <c r="BS49" s="149"/>
      <c r="BT49" s="166"/>
      <c r="BU49" s="166"/>
      <c r="BV49" s="166"/>
      <c r="BW49" s="166"/>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row>
    <row r="50" spans="1:100" ht="34.6" customHeight="1" x14ac:dyDescent="0.25">
      <c r="A50" s="149"/>
      <c r="B50" s="1078"/>
      <c r="C50" s="1079"/>
      <c r="D50" s="1080"/>
      <c r="E50" s="1080"/>
      <c r="F50" s="1080"/>
      <c r="G50" s="1081"/>
      <c r="H50" s="149"/>
      <c r="I50" s="149"/>
      <c r="J50" s="149"/>
      <c r="K50" s="149"/>
      <c r="L50" s="149"/>
      <c r="M50" s="149"/>
      <c r="N50" s="149"/>
      <c r="O50" s="149"/>
      <c r="P50" s="149"/>
      <c r="Q50" s="1129"/>
      <c r="R50" s="180" t="str">
        <f>'2.CropManagement'!O175</f>
        <v xml:space="preserve"> - Chinese Taipei</v>
      </c>
      <c r="S50" s="180">
        <f>'2.CropManagement'!P175</f>
        <v>23</v>
      </c>
      <c r="T50" s="180" t="str">
        <f>'2.CropManagement'!Q175</f>
        <v>Asia</v>
      </c>
      <c r="U50" s="180">
        <f>'2.CropManagement'!R175</f>
        <v>0</v>
      </c>
      <c r="V50" s="180">
        <f>'2.CropManagement'!S175</f>
        <v>1</v>
      </c>
      <c r="W50" s="1130"/>
      <c r="X50" s="166"/>
      <c r="Y50" s="166"/>
      <c r="Z50" s="149"/>
      <c r="AA50" s="149"/>
      <c r="AB50" s="166"/>
      <c r="AC50" s="166"/>
      <c r="AD50" s="166"/>
      <c r="AE50" s="166"/>
      <c r="AF50" s="166"/>
      <c r="AG50" s="166"/>
      <c r="AH50" s="166"/>
      <c r="AI50" s="166"/>
      <c r="AJ50" s="166"/>
      <c r="AK50" s="149"/>
      <c r="AL50" s="166"/>
      <c r="AM50" s="166"/>
      <c r="AN50" s="149"/>
      <c r="AO50" s="149"/>
      <c r="AP50" s="149"/>
      <c r="AQ50" s="149"/>
      <c r="AR50" s="149"/>
      <c r="AS50" s="149"/>
      <c r="AT50" s="149"/>
      <c r="AU50" s="149"/>
      <c r="AV50" s="149"/>
      <c r="AW50" s="149"/>
      <c r="AX50" s="149"/>
      <c r="AY50" s="149"/>
      <c r="AZ50" s="149"/>
      <c r="BA50" s="166"/>
      <c r="BB50" s="166"/>
      <c r="BC50" s="166"/>
      <c r="BD50" s="166"/>
      <c r="BE50" s="166"/>
      <c r="BF50" s="166"/>
      <c r="BG50" s="166"/>
      <c r="BH50" s="166"/>
      <c r="BI50" s="166"/>
      <c r="BJ50" s="166"/>
      <c r="BK50" s="166"/>
      <c r="BL50" s="166"/>
      <c r="BM50" s="166"/>
      <c r="BN50" s="166"/>
      <c r="BO50" s="149"/>
      <c r="BP50" s="149"/>
      <c r="BQ50" s="149"/>
      <c r="BR50" s="149"/>
      <c r="BS50" s="149"/>
      <c r="BT50" s="166"/>
      <c r="BU50" s="166"/>
      <c r="BV50" s="166"/>
      <c r="BW50" s="166"/>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row>
    <row r="51" spans="1:100" ht="34.6" customHeight="1" x14ac:dyDescent="0.25">
      <c r="A51" s="149"/>
      <c r="B51" s="149"/>
      <c r="C51" s="149"/>
      <c r="D51" s="149"/>
      <c r="E51" s="149"/>
      <c r="F51" s="149"/>
      <c r="G51" s="149"/>
      <c r="H51" s="149"/>
      <c r="I51" s="149"/>
      <c r="J51" s="149"/>
      <c r="K51" s="149"/>
      <c r="L51" s="149"/>
      <c r="M51" s="149"/>
      <c r="N51" s="149"/>
      <c r="O51" s="284"/>
      <c r="P51" s="149"/>
      <c r="Q51" s="1129"/>
      <c r="R51" s="180" t="str">
        <f>'2.CropManagement'!O176</f>
        <v xml:space="preserve"> - Colombia</v>
      </c>
      <c r="S51" s="180">
        <f>'2.CropManagement'!P176</f>
        <v>24</v>
      </c>
      <c r="T51" s="180" t="str">
        <f>'2.CropManagement'!Q176</f>
        <v>Latin America</v>
      </c>
      <c r="U51" s="180">
        <f>'2.CropManagement'!R176</f>
        <v>0</v>
      </c>
      <c r="V51" s="180">
        <f>'2.CropManagement'!S176</f>
        <v>0</v>
      </c>
      <c r="W51" s="1130"/>
      <c r="X51" s="166"/>
      <c r="Y51" s="166"/>
      <c r="Z51" s="166"/>
      <c r="AA51" s="149"/>
      <c r="AB51" s="149"/>
      <c r="AC51" s="149"/>
      <c r="AD51" s="149"/>
      <c r="AE51" s="166"/>
      <c r="AF51" s="166"/>
      <c r="AG51" s="166"/>
      <c r="AH51" s="166"/>
      <c r="AI51" s="166"/>
      <c r="AJ51" s="166"/>
      <c r="AK51" s="149"/>
      <c r="AL51" s="166"/>
      <c r="AM51" s="166"/>
      <c r="AN51" s="149"/>
      <c r="AO51" s="149"/>
      <c r="AP51" s="149"/>
      <c r="AQ51" s="149"/>
      <c r="AR51" s="149"/>
      <c r="AS51" s="149"/>
      <c r="AT51" s="149"/>
      <c r="AU51" s="149"/>
      <c r="AV51" s="149"/>
      <c r="AW51" s="149"/>
      <c r="AX51" s="149"/>
      <c r="AY51" s="149"/>
      <c r="AZ51" s="149"/>
      <c r="BA51" s="149"/>
      <c r="BB51" s="166"/>
      <c r="BC51" s="166"/>
      <c r="BD51" s="166"/>
      <c r="BE51" s="166"/>
      <c r="BF51" s="166"/>
      <c r="BG51" s="166"/>
      <c r="BH51" s="166"/>
      <c r="BI51" s="166"/>
      <c r="BJ51" s="166"/>
      <c r="BK51" s="166"/>
      <c r="BL51" s="166"/>
      <c r="BM51" s="166"/>
      <c r="BN51" s="166"/>
      <c r="BO51" s="149"/>
      <c r="BP51" s="149"/>
      <c r="BQ51" s="149"/>
      <c r="BR51" s="1062"/>
      <c r="BS51" s="149"/>
      <c r="BT51" s="166"/>
      <c r="BU51" s="166"/>
      <c r="BV51" s="166"/>
      <c r="BW51" s="166"/>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row>
    <row r="52" spans="1:100" ht="34.6" customHeight="1" x14ac:dyDescent="0.25">
      <c r="A52" s="149"/>
      <c r="B52" s="149"/>
      <c r="C52" s="149"/>
      <c r="D52" s="149"/>
      <c r="E52" s="149"/>
      <c r="F52" s="149"/>
      <c r="G52" s="149"/>
      <c r="H52" s="149"/>
      <c r="I52" s="149"/>
      <c r="J52" s="149"/>
      <c r="K52" s="149"/>
      <c r="L52" s="149"/>
      <c r="M52" s="149"/>
      <c r="N52" s="149"/>
      <c r="O52" s="284"/>
      <c r="P52" s="149"/>
      <c r="Q52" s="1129"/>
      <c r="R52" s="180" t="str">
        <f>'2.CropManagement'!O177</f>
        <v xml:space="preserve"> - Congo Dem. Rep.</v>
      </c>
      <c r="S52" s="180">
        <f>'2.CropManagement'!P177</f>
        <v>25</v>
      </c>
      <c r="T52" s="180" t="str">
        <f>'2.CropManagement'!Q177</f>
        <v>Africa</v>
      </c>
      <c r="U52" s="180">
        <f>'2.CropManagement'!R177</f>
        <v>0</v>
      </c>
      <c r="V52" s="180">
        <f>'2.CropManagement'!S177</f>
        <v>0</v>
      </c>
      <c r="W52" s="1130"/>
      <c r="X52" s="166"/>
      <c r="Y52" s="166"/>
      <c r="Z52" s="166"/>
      <c r="AA52" s="166"/>
      <c r="AB52" s="149"/>
      <c r="AC52" s="149"/>
      <c r="AD52" s="166"/>
      <c r="AE52" s="166"/>
      <c r="AF52" s="166"/>
      <c r="AG52" s="166"/>
      <c r="AH52" s="166"/>
      <c r="AI52" s="166"/>
      <c r="AJ52" s="166"/>
      <c r="AK52" s="149"/>
      <c r="AL52" s="166"/>
      <c r="AM52" s="166"/>
      <c r="AN52" s="149"/>
      <c r="AO52" s="149"/>
      <c r="AP52" s="149"/>
      <c r="AQ52" s="149"/>
      <c r="AR52" s="149"/>
      <c r="AS52" s="149"/>
      <c r="AT52" s="149"/>
      <c r="AU52" s="149"/>
      <c r="AV52" s="149"/>
      <c r="AW52" s="149"/>
      <c r="AX52" s="149"/>
      <c r="AY52" s="149"/>
      <c r="AZ52" s="149"/>
      <c r="BA52" s="149"/>
      <c r="BB52" s="166"/>
      <c r="BC52" s="166"/>
      <c r="BD52" s="166"/>
      <c r="BE52" s="166"/>
      <c r="BF52" s="166"/>
      <c r="BG52" s="166"/>
      <c r="BH52" s="166"/>
      <c r="BI52" s="166"/>
      <c r="BJ52" s="166"/>
      <c r="BK52" s="166"/>
      <c r="BL52" s="166"/>
      <c r="BM52" s="166"/>
      <c r="BN52" s="166"/>
      <c r="BO52" s="149"/>
      <c r="BP52" s="149"/>
      <c r="BQ52" s="149"/>
      <c r="BR52" s="1062"/>
      <c r="BS52" s="149"/>
      <c r="BT52" s="166"/>
      <c r="BU52" s="166"/>
      <c r="BV52" s="166"/>
      <c r="BW52" s="166"/>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row>
    <row r="53" spans="1:100" ht="34.6" customHeight="1" x14ac:dyDescent="0.25">
      <c r="A53" s="149"/>
      <c r="B53" s="149"/>
      <c r="C53" s="149"/>
      <c r="D53" s="149"/>
      <c r="E53" s="149"/>
      <c r="F53" s="149"/>
      <c r="G53" s="149"/>
      <c r="H53" s="149"/>
      <c r="I53" s="149"/>
      <c r="J53" s="149"/>
      <c r="K53" s="149"/>
      <c r="L53" s="149"/>
      <c r="M53" s="149"/>
      <c r="N53" s="149"/>
      <c r="O53" s="149"/>
      <c r="P53" s="149"/>
      <c r="Q53" s="1129"/>
      <c r="R53" s="180" t="str">
        <f>'2.CropManagement'!O178</f>
        <v xml:space="preserve"> - Costa Rica</v>
      </c>
      <c r="S53" s="180">
        <f>'2.CropManagement'!P178</f>
        <v>26</v>
      </c>
      <c r="T53" s="180" t="str">
        <f>'2.CropManagement'!Q178</f>
        <v>Latin America</v>
      </c>
      <c r="U53" s="180">
        <f>'2.CropManagement'!R178</f>
        <v>0</v>
      </c>
      <c r="V53" s="180">
        <f>'2.CropManagement'!S178</f>
        <v>0</v>
      </c>
      <c r="W53" s="1130"/>
      <c r="X53" s="166"/>
      <c r="Y53" s="166"/>
      <c r="Z53" s="166"/>
      <c r="AA53" s="166"/>
      <c r="AB53" s="149"/>
      <c r="AC53" s="149"/>
      <c r="AD53" s="166"/>
      <c r="AE53" s="166"/>
      <c r="AF53" s="166"/>
      <c r="AG53" s="166"/>
      <c r="AH53" s="166"/>
      <c r="AI53" s="166"/>
      <c r="AJ53" s="166"/>
      <c r="AK53" s="149"/>
      <c r="AL53" s="166"/>
      <c r="AM53" s="166"/>
      <c r="AN53" s="149"/>
      <c r="AO53" s="149"/>
      <c r="AP53" s="149"/>
      <c r="AQ53" s="149"/>
      <c r="AR53" s="149"/>
      <c r="AS53" s="149"/>
      <c r="AT53" s="149"/>
      <c r="AU53" s="149"/>
      <c r="AV53" s="149"/>
      <c r="AW53" s="149"/>
      <c r="AX53" s="149"/>
      <c r="AY53" s="149"/>
      <c r="AZ53" s="149"/>
      <c r="BA53" s="149"/>
      <c r="BB53" s="166"/>
      <c r="BC53" s="166"/>
      <c r="BD53" s="166"/>
      <c r="BE53" s="166"/>
      <c r="BF53" s="166"/>
      <c r="BG53" s="166"/>
      <c r="BH53" s="166"/>
      <c r="BI53" s="166"/>
      <c r="BJ53" s="166"/>
      <c r="BK53" s="166"/>
      <c r="BL53" s="166"/>
      <c r="BM53" s="166"/>
      <c r="BN53" s="166"/>
      <c r="BO53" s="149"/>
      <c r="BP53" s="149"/>
      <c r="BQ53" s="149"/>
      <c r="BR53" s="149"/>
      <c r="BS53" s="149"/>
      <c r="BT53" s="166"/>
      <c r="BU53" s="166"/>
      <c r="BV53" s="166"/>
      <c r="BW53" s="166"/>
      <c r="BX53" s="159"/>
      <c r="BY53" s="159"/>
      <c r="BZ53" s="159"/>
      <c r="CA53" s="159"/>
      <c r="CB53" s="159"/>
      <c r="CC53" s="159"/>
      <c r="CD53" s="159"/>
      <c r="CE53" s="159"/>
      <c r="CF53" s="159"/>
      <c r="CG53" s="159"/>
      <c r="CH53" s="159"/>
      <c r="CI53" s="159"/>
      <c r="CJ53" s="159"/>
      <c r="CK53" s="159"/>
      <c r="CL53" s="159"/>
      <c r="CM53" s="159"/>
      <c r="CN53" s="159"/>
      <c r="CO53" s="159"/>
      <c r="CP53" s="159"/>
      <c r="CQ53" s="159"/>
      <c r="CR53" s="159"/>
      <c r="CS53" s="159"/>
      <c r="CT53" s="159"/>
      <c r="CU53" s="159"/>
      <c r="CV53" s="159"/>
    </row>
    <row r="54" spans="1:100" ht="34.6" customHeight="1" x14ac:dyDescent="0.25">
      <c r="A54" s="149"/>
      <c r="B54" s="149"/>
      <c r="C54" s="149"/>
      <c r="D54" s="149"/>
      <c r="E54" s="149"/>
      <c r="F54" s="149"/>
      <c r="G54" s="149"/>
      <c r="H54" s="149"/>
      <c r="I54" s="149"/>
      <c r="J54" s="149"/>
      <c r="K54" s="149"/>
      <c r="L54" s="149"/>
      <c r="M54" s="149"/>
      <c r="N54" s="149"/>
      <c r="O54" s="149"/>
      <c r="P54" s="149"/>
      <c r="Q54" s="1129"/>
      <c r="R54" s="180" t="str">
        <f>'2.CropManagement'!O179</f>
        <v xml:space="preserve"> - Cote d'Ivoire</v>
      </c>
      <c r="S54" s="180">
        <f>'2.CropManagement'!P179</f>
        <v>27</v>
      </c>
      <c r="T54" s="180" t="str">
        <f>'2.CropManagement'!Q179</f>
        <v>Africa</v>
      </c>
      <c r="U54" s="180">
        <f>'2.CropManagement'!R179</f>
        <v>0</v>
      </c>
      <c r="V54" s="180">
        <f>'2.CropManagement'!S179</f>
        <v>0</v>
      </c>
      <c r="W54" s="1130"/>
      <c r="X54" s="166"/>
      <c r="Y54" s="166"/>
      <c r="Z54" s="166"/>
      <c r="AA54" s="166"/>
      <c r="AB54" s="149"/>
      <c r="AC54" s="149"/>
      <c r="AD54" s="166"/>
      <c r="AE54" s="166"/>
      <c r="AF54" s="166"/>
      <c r="AG54" s="166"/>
      <c r="AH54" s="166"/>
      <c r="AI54" s="166"/>
      <c r="AJ54" s="166"/>
      <c r="AK54" s="149"/>
      <c r="AL54" s="166"/>
      <c r="AM54" s="166"/>
      <c r="AN54" s="149"/>
      <c r="AO54" s="149"/>
      <c r="AP54" s="149"/>
      <c r="AQ54" s="149"/>
      <c r="AR54" s="149"/>
      <c r="AS54" s="149"/>
      <c r="AT54" s="149"/>
      <c r="AU54" s="149"/>
      <c r="AV54" s="149"/>
      <c r="AW54" s="149"/>
      <c r="AX54" s="149"/>
      <c r="AY54" s="149"/>
      <c r="AZ54" s="149"/>
      <c r="BA54" s="149"/>
      <c r="BB54" s="166"/>
      <c r="BC54" s="166"/>
      <c r="BD54" s="166"/>
      <c r="BE54" s="166"/>
      <c r="BF54" s="166"/>
      <c r="BG54" s="166"/>
      <c r="BH54" s="166"/>
      <c r="BI54" s="166"/>
      <c r="BJ54" s="166"/>
      <c r="BK54" s="166"/>
      <c r="BL54" s="166"/>
      <c r="BM54" s="166"/>
      <c r="BN54" s="166"/>
      <c r="BO54" s="149"/>
      <c r="BP54" s="149"/>
      <c r="BQ54" s="149"/>
      <c r="BR54" s="149"/>
      <c r="BS54" s="149"/>
      <c r="BT54" s="166"/>
      <c r="BU54" s="166"/>
      <c r="BV54" s="166"/>
      <c r="BW54" s="166"/>
      <c r="BX54" s="159"/>
      <c r="BY54" s="159"/>
      <c r="BZ54" s="159"/>
      <c r="CA54" s="159"/>
      <c r="CB54" s="159"/>
      <c r="CC54" s="159"/>
      <c r="CD54" s="159"/>
      <c r="CE54" s="159"/>
      <c r="CF54" s="159"/>
      <c r="CG54" s="159"/>
      <c r="CH54" s="159"/>
      <c r="CI54" s="159"/>
      <c r="CJ54" s="159"/>
      <c r="CK54" s="159"/>
      <c r="CL54" s="159"/>
      <c r="CM54" s="159"/>
      <c r="CN54" s="159"/>
      <c r="CO54" s="159"/>
      <c r="CP54" s="159"/>
      <c r="CQ54" s="159"/>
      <c r="CR54" s="159"/>
      <c r="CS54" s="159"/>
      <c r="CT54" s="159"/>
      <c r="CU54" s="159"/>
      <c r="CV54" s="159"/>
    </row>
    <row r="55" spans="1:100" ht="34.6" customHeight="1" x14ac:dyDescent="0.25">
      <c r="A55" s="149"/>
      <c r="B55" s="171"/>
      <c r="C55" s="149"/>
      <c r="D55" s="149"/>
      <c r="E55" s="149"/>
      <c r="F55" s="149"/>
      <c r="G55" s="149"/>
      <c r="H55" s="149"/>
      <c r="I55" s="149"/>
      <c r="J55" s="149"/>
      <c r="K55" s="149"/>
      <c r="L55" s="149"/>
      <c r="M55" s="149"/>
      <c r="N55" s="149"/>
      <c r="O55" s="149"/>
      <c r="P55" s="149"/>
      <c r="Q55" s="1129"/>
      <c r="R55" s="180" t="str">
        <f>'2.CropManagement'!O180</f>
        <v xml:space="preserve"> - Croatia</v>
      </c>
      <c r="S55" s="180">
        <f>'2.CropManagement'!P180</f>
        <v>28</v>
      </c>
      <c r="T55" s="180" t="str">
        <f>'2.CropManagement'!Q180</f>
        <v>Eastern Europe</v>
      </c>
      <c r="U55" s="180">
        <f>'2.CropManagement'!R180</f>
        <v>0</v>
      </c>
      <c r="V55" s="180">
        <f>'2.CropManagement'!S180</f>
        <v>0</v>
      </c>
      <c r="W55" s="1130"/>
      <c r="X55" s="166"/>
      <c r="Y55" s="166"/>
      <c r="Z55" s="166"/>
      <c r="AA55" s="166"/>
      <c r="AB55" s="149"/>
      <c r="AC55" s="149"/>
      <c r="AD55" s="166"/>
      <c r="AE55" s="166"/>
      <c r="AF55" s="166"/>
      <c r="AG55" s="166"/>
      <c r="AH55" s="166"/>
      <c r="AI55" s="166"/>
      <c r="AJ55" s="166"/>
      <c r="AK55" s="149"/>
      <c r="AL55" s="166"/>
      <c r="AM55" s="166"/>
      <c r="AN55" s="149"/>
      <c r="AO55" s="149"/>
      <c r="AP55" s="149"/>
      <c r="AQ55" s="149"/>
      <c r="AR55" s="149"/>
      <c r="AS55" s="149"/>
      <c r="AT55" s="149"/>
      <c r="AU55" s="149"/>
      <c r="AV55" s="149"/>
      <c r="AW55" s="149"/>
      <c r="AX55" s="149"/>
      <c r="AY55" s="149"/>
      <c r="AZ55" s="149"/>
      <c r="BA55" s="149"/>
      <c r="BB55" s="166"/>
      <c r="BC55" s="166"/>
      <c r="BD55" s="166"/>
      <c r="BE55" s="166"/>
      <c r="BF55" s="166"/>
      <c r="BG55" s="166"/>
      <c r="BH55" s="166"/>
      <c r="BI55" s="166"/>
      <c r="BJ55" s="166"/>
      <c r="BK55" s="166"/>
      <c r="BL55" s="166"/>
      <c r="BM55" s="166"/>
      <c r="BN55" s="166"/>
      <c r="BO55" s="166"/>
      <c r="BP55" s="166"/>
      <c r="BQ55" s="166"/>
      <c r="BR55" s="166"/>
      <c r="BS55" s="166"/>
      <c r="BT55" s="166"/>
      <c r="BU55" s="166"/>
      <c r="BV55" s="166"/>
      <c r="BW55" s="166"/>
      <c r="BX55" s="159"/>
      <c r="BY55" s="159"/>
      <c r="BZ55" s="159"/>
      <c r="CA55" s="159"/>
      <c r="CB55" s="159"/>
      <c r="CC55" s="159"/>
      <c r="CD55" s="159"/>
      <c r="CE55" s="159"/>
      <c r="CF55" s="159"/>
      <c r="CG55" s="159"/>
      <c r="CH55" s="159"/>
      <c r="CI55" s="159"/>
      <c r="CJ55" s="159"/>
      <c r="CK55" s="159"/>
      <c r="CL55" s="159"/>
      <c r="CM55" s="159"/>
      <c r="CN55" s="159"/>
      <c r="CO55" s="159"/>
      <c r="CP55" s="159"/>
      <c r="CQ55" s="159"/>
      <c r="CR55" s="159"/>
      <c r="CS55" s="159"/>
      <c r="CT55" s="159"/>
      <c r="CU55" s="159"/>
      <c r="CV55" s="159"/>
    </row>
    <row r="56" spans="1:100" ht="34.6" customHeight="1" x14ac:dyDescent="0.25">
      <c r="A56" s="149"/>
      <c r="B56" s="193"/>
      <c r="C56" s="149"/>
      <c r="D56" s="149"/>
      <c r="E56" s="149"/>
      <c r="F56" s="149"/>
      <c r="G56" s="149"/>
      <c r="H56" s="149"/>
      <c r="I56" s="149"/>
      <c r="J56" s="149"/>
      <c r="K56" s="149"/>
      <c r="L56" s="149"/>
      <c r="M56" s="149"/>
      <c r="N56" s="149"/>
      <c r="O56" s="149"/>
      <c r="P56" s="149"/>
      <c r="Q56" s="1129"/>
      <c r="R56" s="180" t="str">
        <f>'2.CropManagement'!O181</f>
        <v xml:space="preserve"> - Cuba</v>
      </c>
      <c r="S56" s="180">
        <f>'2.CropManagement'!P181</f>
        <v>29</v>
      </c>
      <c r="T56" s="180" t="str">
        <f>'2.CropManagement'!Q181</f>
        <v>Latin America</v>
      </c>
      <c r="U56" s="180">
        <f>'2.CropManagement'!R181</f>
        <v>0</v>
      </c>
      <c r="V56" s="180">
        <f>'2.CropManagement'!S181</f>
        <v>0</v>
      </c>
      <c r="W56" s="1130"/>
      <c r="X56" s="166"/>
      <c r="Y56" s="166"/>
      <c r="Z56" s="166"/>
      <c r="AA56" s="166"/>
      <c r="AB56" s="149"/>
      <c r="AC56" s="149"/>
      <c r="AD56" s="166"/>
      <c r="AE56" s="166"/>
      <c r="AF56" s="166"/>
      <c r="AG56" s="166"/>
      <c r="AH56" s="166"/>
      <c r="AI56" s="166"/>
      <c r="AJ56" s="166"/>
      <c r="AK56" s="149"/>
      <c r="AL56" s="166"/>
      <c r="AM56" s="166"/>
      <c r="AN56" s="149"/>
      <c r="AO56" s="149"/>
      <c r="AP56" s="149"/>
      <c r="AQ56" s="149"/>
      <c r="AR56" s="149"/>
      <c r="AS56" s="149"/>
      <c r="AT56" s="149"/>
      <c r="AU56" s="149"/>
      <c r="AV56" s="149"/>
      <c r="AW56" s="149"/>
      <c r="AX56" s="149"/>
      <c r="AY56" s="149"/>
      <c r="AZ56" s="149"/>
      <c r="BA56" s="149"/>
      <c r="BB56" s="166"/>
      <c r="BC56" s="166"/>
      <c r="BD56" s="166"/>
      <c r="BE56" s="166"/>
      <c r="BF56" s="166"/>
      <c r="BG56" s="166"/>
      <c r="BH56" s="166"/>
      <c r="BI56" s="166"/>
      <c r="BJ56" s="166"/>
      <c r="BK56" s="166"/>
      <c r="BL56" s="166"/>
      <c r="BM56" s="166"/>
      <c r="BN56" s="166"/>
      <c r="BO56" s="166"/>
      <c r="BP56" s="166"/>
      <c r="BQ56" s="166"/>
      <c r="BR56" s="166"/>
      <c r="BS56" s="166"/>
      <c r="BT56" s="166"/>
      <c r="BU56" s="166"/>
      <c r="BV56" s="166"/>
      <c r="BW56" s="166"/>
      <c r="BX56" s="159"/>
      <c r="BY56" s="159"/>
      <c r="BZ56" s="159"/>
      <c r="CA56" s="159"/>
      <c r="CB56" s="159"/>
      <c r="CC56" s="159"/>
      <c r="CD56" s="159"/>
      <c r="CE56" s="159"/>
      <c r="CF56" s="159"/>
      <c r="CG56" s="159"/>
      <c r="CH56" s="159"/>
      <c r="CI56" s="159"/>
      <c r="CJ56" s="159"/>
      <c r="CK56" s="159"/>
      <c r="CL56" s="159"/>
      <c r="CM56" s="159"/>
      <c r="CN56" s="159"/>
      <c r="CO56" s="159"/>
      <c r="CP56" s="159"/>
      <c r="CQ56" s="159"/>
      <c r="CR56" s="159"/>
      <c r="CS56" s="159"/>
      <c r="CT56" s="159"/>
      <c r="CU56" s="159"/>
      <c r="CV56" s="159"/>
    </row>
    <row r="57" spans="1:100" ht="34.6" customHeight="1" x14ac:dyDescent="0.25">
      <c r="A57" s="149"/>
      <c r="B57" s="149"/>
      <c r="C57" s="149"/>
      <c r="D57" s="149"/>
      <c r="E57" s="149"/>
      <c r="F57" s="149"/>
      <c r="G57" s="149"/>
      <c r="H57" s="149"/>
      <c r="I57" s="149"/>
      <c r="J57" s="149"/>
      <c r="K57" s="149"/>
      <c r="L57" s="149"/>
      <c r="M57" s="149"/>
      <c r="N57" s="149"/>
      <c r="O57" s="149"/>
      <c r="P57" s="149"/>
      <c r="Q57" s="1129"/>
      <c r="R57" s="180" t="str">
        <f>'2.CropManagement'!O182</f>
        <v xml:space="preserve"> - Cyprus</v>
      </c>
      <c r="S57" s="180">
        <f>'2.CropManagement'!P182</f>
        <v>30</v>
      </c>
      <c r="T57" s="180" t="str">
        <f>'2.CropManagement'!Q182</f>
        <v>Western Europe</v>
      </c>
      <c r="U57" s="180">
        <f>'2.CropManagement'!R182</f>
        <v>0</v>
      </c>
      <c r="V57" s="180">
        <f>'2.CropManagement'!S182</f>
        <v>1</v>
      </c>
      <c r="W57" s="1130"/>
      <c r="X57" s="166"/>
      <c r="Y57" s="166"/>
      <c r="Z57" s="166"/>
      <c r="AA57" s="166"/>
      <c r="AB57" s="166"/>
      <c r="AC57" s="149"/>
      <c r="AD57" s="166"/>
      <c r="AE57" s="166"/>
      <c r="AF57" s="166"/>
      <c r="AG57" s="166"/>
      <c r="AH57" s="166"/>
      <c r="AI57" s="166"/>
      <c r="AJ57" s="166"/>
      <c r="AK57" s="149"/>
      <c r="AL57" s="166"/>
      <c r="AM57" s="166"/>
      <c r="AN57" s="149"/>
      <c r="AO57" s="149"/>
      <c r="AP57" s="149"/>
      <c r="AQ57" s="149"/>
      <c r="AR57" s="149"/>
      <c r="AS57" s="149"/>
      <c r="AT57" s="149"/>
      <c r="AU57" s="149"/>
      <c r="AV57" s="149"/>
      <c r="AW57" s="149"/>
      <c r="AX57" s="149"/>
      <c r="AY57" s="149"/>
      <c r="AZ57" s="149"/>
      <c r="BA57" s="149"/>
      <c r="BB57" s="166"/>
      <c r="BC57" s="166"/>
      <c r="BD57" s="166"/>
      <c r="BE57" s="166"/>
      <c r="BF57" s="166"/>
      <c r="BG57" s="166"/>
      <c r="BH57" s="166"/>
      <c r="BI57" s="166"/>
      <c r="BJ57" s="166"/>
      <c r="BK57" s="166"/>
      <c r="BL57" s="166"/>
      <c r="BM57" s="166"/>
      <c r="BN57" s="166"/>
      <c r="BO57" s="166"/>
      <c r="BP57" s="166"/>
      <c r="BQ57" s="166"/>
      <c r="BR57" s="166"/>
      <c r="BS57" s="166"/>
      <c r="BT57" s="166"/>
      <c r="BU57" s="166"/>
      <c r="BV57" s="166"/>
      <c r="BW57" s="166"/>
      <c r="BX57" s="159"/>
      <c r="BY57" s="159"/>
      <c r="BZ57" s="159"/>
      <c r="CA57" s="159"/>
      <c r="CB57" s="159"/>
      <c r="CC57" s="159"/>
      <c r="CD57" s="159"/>
      <c r="CE57" s="159"/>
      <c r="CF57" s="159"/>
      <c r="CG57" s="159"/>
      <c r="CH57" s="159"/>
      <c r="CI57" s="159"/>
      <c r="CJ57" s="159"/>
      <c r="CK57" s="159"/>
      <c r="CL57" s="159"/>
      <c r="CM57" s="159"/>
      <c r="CN57" s="159"/>
      <c r="CO57" s="159"/>
      <c r="CP57" s="159"/>
      <c r="CQ57" s="159"/>
      <c r="CR57" s="159"/>
      <c r="CS57" s="159"/>
      <c r="CT57" s="159"/>
      <c r="CU57" s="159"/>
      <c r="CV57" s="159"/>
    </row>
    <row r="58" spans="1:100" ht="34.6" customHeight="1" x14ac:dyDescent="0.25">
      <c r="A58" s="149"/>
      <c r="B58" s="149"/>
      <c r="C58" s="149"/>
      <c r="D58" s="149"/>
      <c r="E58" s="149"/>
      <c r="F58" s="149"/>
      <c r="G58" s="149"/>
      <c r="H58" s="149"/>
      <c r="I58" s="149"/>
      <c r="J58" s="149"/>
      <c r="K58" s="149"/>
      <c r="L58" s="149"/>
      <c r="M58" s="149"/>
      <c r="N58" s="149"/>
      <c r="O58" s="149"/>
      <c r="P58" s="149"/>
      <c r="Q58" s="1129"/>
      <c r="R58" s="180" t="str">
        <f>'2.CropManagement'!O183</f>
        <v xml:space="preserve"> - Czech Republic</v>
      </c>
      <c r="S58" s="180">
        <f>'2.CropManagement'!P183</f>
        <v>31</v>
      </c>
      <c r="T58" s="180" t="str">
        <f>'2.CropManagement'!Q183</f>
        <v>Western Europe</v>
      </c>
      <c r="U58" s="180">
        <f>'2.CropManagement'!R183</f>
        <v>0</v>
      </c>
      <c r="V58" s="180">
        <f>'2.CropManagement'!S183</f>
        <v>1</v>
      </c>
      <c r="W58" s="1130"/>
      <c r="X58" s="166"/>
      <c r="Y58" s="166"/>
      <c r="Z58" s="166"/>
      <c r="AA58" s="166"/>
      <c r="AB58" s="166"/>
      <c r="AC58" s="149"/>
      <c r="AD58" s="166"/>
      <c r="AE58" s="166"/>
      <c r="AF58" s="166"/>
      <c r="AG58" s="166"/>
      <c r="AH58" s="166"/>
      <c r="AI58" s="166"/>
      <c r="AJ58" s="166"/>
      <c r="AK58" s="149"/>
      <c r="AL58" s="149"/>
      <c r="AM58" s="149"/>
      <c r="AN58" s="149"/>
      <c r="AO58" s="149"/>
      <c r="AP58" s="149"/>
      <c r="AQ58" s="149"/>
      <c r="AR58" s="149"/>
      <c r="AS58" s="149"/>
      <c r="AT58" s="149"/>
      <c r="AU58" s="149"/>
      <c r="AV58" s="149"/>
      <c r="AW58" s="149"/>
      <c r="AX58" s="149"/>
      <c r="AY58" s="149"/>
      <c r="AZ58" s="149"/>
      <c r="BA58" s="149"/>
      <c r="BB58" s="166"/>
      <c r="BC58" s="166"/>
      <c r="BD58" s="166"/>
      <c r="BE58" s="166"/>
      <c r="BF58" s="166"/>
      <c r="BG58" s="166"/>
      <c r="BH58" s="166"/>
      <c r="BI58" s="166"/>
      <c r="BJ58" s="166"/>
      <c r="BK58" s="166"/>
      <c r="BL58" s="166"/>
      <c r="BM58" s="166"/>
      <c r="BN58" s="166"/>
      <c r="BO58" s="166"/>
      <c r="BP58" s="166"/>
      <c r="BQ58" s="166"/>
      <c r="BR58" s="166"/>
      <c r="BS58" s="166"/>
      <c r="BT58" s="166"/>
      <c r="BU58" s="166"/>
      <c r="BV58" s="166"/>
      <c r="BW58" s="166"/>
      <c r="BX58" s="159"/>
      <c r="BY58" s="159"/>
      <c r="BZ58" s="159"/>
      <c r="CA58" s="159"/>
      <c r="CB58" s="159"/>
      <c r="CC58" s="159"/>
      <c r="CD58" s="159"/>
      <c r="CE58" s="159"/>
      <c r="CF58" s="159"/>
      <c r="CG58" s="159"/>
      <c r="CH58" s="159"/>
      <c r="CI58" s="159"/>
      <c r="CJ58" s="159"/>
      <c r="CK58" s="159"/>
      <c r="CL58" s="159"/>
      <c r="CM58" s="159"/>
      <c r="CN58" s="159"/>
      <c r="CO58" s="159"/>
      <c r="CP58" s="159"/>
      <c r="CQ58" s="159"/>
      <c r="CR58" s="159"/>
      <c r="CS58" s="159"/>
      <c r="CT58" s="159"/>
      <c r="CU58" s="159"/>
      <c r="CV58" s="159"/>
    </row>
    <row r="59" spans="1:100" ht="34.6" customHeight="1" x14ac:dyDescent="0.25">
      <c r="A59" s="149"/>
      <c r="B59" s="149"/>
      <c r="C59" s="149"/>
      <c r="D59" s="149"/>
      <c r="E59" s="149"/>
      <c r="F59" s="149"/>
      <c r="G59" s="149"/>
      <c r="H59" s="149"/>
      <c r="I59" s="149"/>
      <c r="J59" s="149"/>
      <c r="K59" s="149"/>
      <c r="L59" s="149"/>
      <c r="M59" s="149"/>
      <c r="N59" s="149"/>
      <c r="O59" s="149"/>
      <c r="P59" s="149"/>
      <c r="Q59" s="1129"/>
      <c r="R59" s="180" t="str">
        <f>'2.CropManagement'!O184</f>
        <v xml:space="preserve"> - Denmark</v>
      </c>
      <c r="S59" s="180">
        <f>'2.CropManagement'!P184</f>
        <v>32</v>
      </c>
      <c r="T59" s="180" t="str">
        <f>'2.CropManagement'!Q184</f>
        <v>Western Europe</v>
      </c>
      <c r="U59" s="180">
        <f>'2.CropManagement'!R184</f>
        <v>0</v>
      </c>
      <c r="V59" s="180">
        <f>'2.CropManagement'!S184</f>
        <v>1</v>
      </c>
      <c r="W59" s="1130"/>
      <c r="X59" s="166"/>
      <c r="Y59" s="166"/>
      <c r="Z59" s="166"/>
      <c r="AA59" s="166"/>
      <c r="AB59" s="166"/>
      <c r="AC59" s="149"/>
      <c r="AD59" s="166"/>
      <c r="AE59" s="166"/>
      <c r="AF59" s="166"/>
      <c r="AG59" s="166"/>
      <c r="AH59" s="166"/>
      <c r="AI59" s="166"/>
      <c r="AJ59" s="166"/>
      <c r="AK59" s="149"/>
      <c r="AL59" s="149"/>
      <c r="AM59" s="149"/>
      <c r="AN59" s="149"/>
      <c r="AO59" s="149"/>
      <c r="AP59" s="149"/>
      <c r="AQ59" s="149"/>
      <c r="AR59" s="149"/>
      <c r="AS59" s="149"/>
      <c r="AT59" s="149"/>
      <c r="AU59" s="149"/>
      <c r="AV59" s="149"/>
      <c r="AW59" s="149"/>
      <c r="AX59" s="149"/>
      <c r="AY59" s="149"/>
      <c r="AZ59" s="149"/>
      <c r="BA59" s="149"/>
      <c r="BB59" s="166"/>
      <c r="BC59" s="166"/>
      <c r="BD59" s="166"/>
      <c r="BE59" s="166"/>
      <c r="BF59" s="166"/>
      <c r="BG59" s="166"/>
      <c r="BH59" s="166"/>
      <c r="BI59" s="166"/>
      <c r="BJ59" s="166"/>
      <c r="BK59" s="166"/>
      <c r="BL59" s="166"/>
      <c r="BM59" s="166"/>
      <c r="BN59" s="166"/>
      <c r="BO59" s="166"/>
      <c r="BP59" s="166"/>
      <c r="BQ59" s="166"/>
      <c r="BR59" s="166"/>
      <c r="BS59" s="166"/>
      <c r="BT59" s="166"/>
      <c r="BU59" s="166"/>
      <c r="BV59" s="166"/>
      <c r="BW59" s="166"/>
      <c r="BX59" s="159"/>
      <c r="BY59" s="159"/>
      <c r="BZ59" s="159"/>
      <c r="CA59" s="159"/>
      <c r="CB59" s="159"/>
      <c r="CC59" s="159"/>
      <c r="CD59" s="159"/>
      <c r="CE59" s="159"/>
      <c r="CF59" s="159"/>
      <c r="CG59" s="159"/>
      <c r="CH59" s="159"/>
      <c r="CI59" s="159"/>
      <c r="CJ59" s="159"/>
      <c r="CK59" s="159"/>
      <c r="CL59" s="159"/>
      <c r="CM59" s="159"/>
      <c r="CN59" s="159"/>
      <c r="CO59" s="159"/>
      <c r="CP59" s="159"/>
      <c r="CQ59" s="159"/>
      <c r="CR59" s="159"/>
      <c r="CS59" s="159"/>
      <c r="CT59" s="159"/>
      <c r="CU59" s="159"/>
      <c r="CV59" s="159"/>
    </row>
    <row r="60" spans="1:100" ht="34.6" customHeight="1" x14ac:dyDescent="0.25">
      <c r="A60" s="149"/>
      <c r="B60" s="149"/>
      <c r="C60" s="149"/>
      <c r="D60" s="149"/>
      <c r="E60" s="149"/>
      <c r="F60" s="149"/>
      <c r="G60" s="149"/>
      <c r="H60" s="149"/>
      <c r="I60" s="149"/>
      <c r="J60" s="149"/>
      <c r="K60" s="149"/>
      <c r="L60" s="149"/>
      <c r="M60" s="149"/>
      <c r="N60" s="149"/>
      <c r="O60" s="149"/>
      <c r="P60" s="149"/>
      <c r="Q60" s="1129"/>
      <c r="R60" s="180" t="str">
        <f>'2.CropManagement'!O185</f>
        <v xml:space="preserve"> - Dominican Republic</v>
      </c>
      <c r="S60" s="180">
        <f>'2.CropManagement'!P185</f>
        <v>33</v>
      </c>
      <c r="T60" s="180" t="str">
        <f>'2.CropManagement'!Q185</f>
        <v>Latin America</v>
      </c>
      <c r="U60" s="180">
        <f>'2.CropManagement'!R185</f>
        <v>0</v>
      </c>
      <c r="V60" s="180">
        <f>'2.CropManagement'!S185</f>
        <v>0</v>
      </c>
      <c r="W60" s="1130"/>
      <c r="X60" s="166"/>
      <c r="Y60" s="166"/>
      <c r="Z60" s="166"/>
      <c r="AA60" s="166"/>
      <c r="AB60" s="166"/>
      <c r="AC60" s="166"/>
      <c r="AD60" s="149"/>
      <c r="AE60" s="149"/>
      <c r="AF60" s="166"/>
      <c r="AG60" s="166"/>
      <c r="AH60" s="166"/>
      <c r="AI60" s="166"/>
      <c r="AJ60" s="166"/>
      <c r="AK60" s="149"/>
      <c r="AL60" s="149"/>
      <c r="AM60" s="149"/>
      <c r="AN60" s="149"/>
      <c r="AO60" s="149"/>
      <c r="AP60" s="149"/>
      <c r="AQ60" s="149"/>
      <c r="AR60" s="149"/>
      <c r="AS60" s="149"/>
      <c r="AT60" s="149"/>
      <c r="AU60" s="149"/>
      <c r="AV60" s="149"/>
      <c r="AW60" s="149"/>
      <c r="AX60" s="149"/>
      <c r="AY60" s="149"/>
      <c r="AZ60" s="149"/>
      <c r="BA60" s="149"/>
      <c r="BB60" s="166"/>
      <c r="BC60" s="166"/>
      <c r="BD60" s="166"/>
      <c r="BE60" s="166"/>
      <c r="BF60" s="166"/>
      <c r="BG60" s="166"/>
      <c r="BH60" s="166"/>
      <c r="BI60" s="166"/>
      <c r="BJ60" s="166"/>
      <c r="BK60" s="166"/>
      <c r="BL60" s="166"/>
      <c r="BM60" s="166"/>
      <c r="BN60" s="166"/>
      <c r="BO60" s="166"/>
      <c r="BP60" s="166"/>
      <c r="BQ60" s="166"/>
      <c r="BR60" s="166"/>
      <c r="BS60" s="166"/>
      <c r="BT60" s="166"/>
      <c r="BU60" s="166"/>
      <c r="BV60" s="166"/>
      <c r="BW60" s="166"/>
      <c r="BX60" s="159"/>
      <c r="BY60" s="159"/>
      <c r="BZ60" s="159"/>
      <c r="CA60" s="159"/>
      <c r="CB60" s="159"/>
      <c r="CC60" s="159"/>
      <c r="CD60" s="159"/>
      <c r="CE60" s="159"/>
      <c r="CF60" s="159"/>
      <c r="CG60" s="159"/>
      <c r="CH60" s="159"/>
      <c r="CI60" s="159"/>
      <c r="CJ60" s="159"/>
      <c r="CK60" s="159"/>
      <c r="CL60" s="159"/>
      <c r="CM60" s="159"/>
      <c r="CN60" s="159"/>
      <c r="CO60" s="159"/>
      <c r="CP60" s="159"/>
      <c r="CQ60" s="159"/>
      <c r="CR60" s="159"/>
      <c r="CS60" s="159"/>
      <c r="CT60" s="159"/>
      <c r="CU60" s="159"/>
      <c r="CV60" s="159"/>
    </row>
    <row r="61" spans="1:100" ht="34.6" customHeight="1" x14ac:dyDescent="0.25">
      <c r="A61" s="149"/>
      <c r="B61" s="149"/>
      <c r="C61" s="149"/>
      <c r="D61" s="149"/>
      <c r="E61" s="149"/>
      <c r="F61" s="149"/>
      <c r="G61" s="149"/>
      <c r="H61" s="149"/>
      <c r="I61" s="149"/>
      <c r="J61" s="149"/>
      <c r="K61" s="149"/>
      <c r="L61" s="149"/>
      <c r="M61" s="149"/>
      <c r="N61" s="149"/>
      <c r="O61" s="149"/>
      <c r="P61" s="149"/>
      <c r="Q61" s="1129"/>
      <c r="R61" s="180" t="str">
        <f>'2.CropManagement'!O186</f>
        <v xml:space="preserve"> - Ecuador</v>
      </c>
      <c r="S61" s="180">
        <f>'2.CropManagement'!P186</f>
        <v>34</v>
      </c>
      <c r="T61" s="180" t="str">
        <f>'2.CropManagement'!Q186</f>
        <v>Latin America</v>
      </c>
      <c r="U61" s="180">
        <f>'2.CropManagement'!R186</f>
        <v>0</v>
      </c>
      <c r="V61" s="180">
        <f>'2.CropManagement'!S186</f>
        <v>0</v>
      </c>
      <c r="W61" s="1130"/>
      <c r="X61" s="166"/>
      <c r="Y61" s="166"/>
      <c r="Z61" s="149"/>
      <c r="AA61" s="149"/>
      <c r="AB61" s="149"/>
      <c r="AC61" s="149"/>
      <c r="AD61" s="149"/>
      <c r="AE61" s="149"/>
      <c r="AF61" s="166"/>
      <c r="AG61" s="166"/>
      <c r="AH61" s="166"/>
      <c r="AI61" s="166"/>
      <c r="AJ61" s="166"/>
      <c r="AK61" s="149"/>
      <c r="AL61" s="149"/>
      <c r="AM61" s="149"/>
      <c r="AN61" s="149"/>
      <c r="AO61" s="149"/>
      <c r="AP61" s="149"/>
      <c r="AQ61" s="149"/>
      <c r="AR61" s="149"/>
      <c r="AS61" s="149"/>
      <c r="AT61" s="149"/>
      <c r="AU61" s="149"/>
      <c r="AV61" s="149"/>
      <c r="AW61" s="149"/>
      <c r="AX61" s="149"/>
      <c r="AY61" s="149"/>
      <c r="AZ61" s="149"/>
      <c r="BA61" s="149"/>
      <c r="BB61" s="166"/>
      <c r="BC61" s="166"/>
      <c r="BD61" s="166"/>
      <c r="BE61" s="166"/>
      <c r="BF61" s="166"/>
      <c r="BG61" s="166"/>
      <c r="BH61" s="166"/>
      <c r="BI61" s="166"/>
      <c r="BJ61" s="166"/>
      <c r="BK61" s="166"/>
      <c r="BL61" s="166"/>
      <c r="BM61" s="166"/>
      <c r="BN61" s="166"/>
      <c r="BO61" s="166"/>
      <c r="BP61" s="166"/>
      <c r="BQ61" s="166"/>
      <c r="BR61" s="166"/>
      <c r="BS61" s="166"/>
      <c r="BT61" s="166"/>
      <c r="BU61" s="166"/>
      <c r="BV61" s="166"/>
      <c r="BW61" s="166"/>
      <c r="BX61" s="159"/>
      <c r="BY61" s="159"/>
      <c r="BZ61" s="159"/>
      <c r="CA61" s="159"/>
      <c r="CB61" s="159"/>
      <c r="CC61" s="159"/>
      <c r="CD61" s="159"/>
      <c r="CE61" s="159"/>
      <c r="CF61" s="159"/>
      <c r="CG61" s="159"/>
      <c r="CH61" s="159"/>
      <c r="CI61" s="159"/>
      <c r="CJ61" s="159"/>
      <c r="CK61" s="159"/>
      <c r="CL61" s="159"/>
      <c r="CM61" s="159"/>
      <c r="CN61" s="159"/>
      <c r="CO61" s="159"/>
      <c r="CP61" s="159"/>
      <c r="CQ61" s="159"/>
      <c r="CR61" s="159"/>
      <c r="CS61" s="159"/>
      <c r="CT61" s="159"/>
      <c r="CU61" s="159"/>
      <c r="CV61" s="159"/>
    </row>
    <row r="62" spans="1:100" ht="34.6" customHeight="1" x14ac:dyDescent="0.25">
      <c r="A62" s="149"/>
      <c r="B62" s="149"/>
      <c r="C62" s="149"/>
      <c r="D62" s="149"/>
      <c r="E62" s="149"/>
      <c r="F62" s="149"/>
      <c r="G62" s="149"/>
      <c r="H62" s="149"/>
      <c r="I62" s="149"/>
      <c r="J62" s="149"/>
      <c r="K62" s="149"/>
      <c r="L62" s="149"/>
      <c r="M62" s="149"/>
      <c r="N62" s="149"/>
      <c r="O62" s="149"/>
      <c r="P62" s="149"/>
      <c r="Q62" s="1129"/>
      <c r="R62" s="180" t="str">
        <f>'2.CropManagement'!O187</f>
        <v xml:space="preserve"> - Egypt</v>
      </c>
      <c r="S62" s="180">
        <f>'2.CropManagement'!P187</f>
        <v>35</v>
      </c>
      <c r="T62" s="180" t="str">
        <f>'2.CropManagement'!Q187</f>
        <v>Africa</v>
      </c>
      <c r="U62" s="180">
        <f>'2.CropManagement'!R187</f>
        <v>0</v>
      </c>
      <c r="V62" s="180">
        <f>'2.CropManagement'!S187</f>
        <v>0</v>
      </c>
      <c r="W62" s="1130"/>
      <c r="X62" s="166"/>
      <c r="Y62" s="166"/>
      <c r="Z62" s="149"/>
      <c r="AA62" s="149"/>
      <c r="AB62" s="149"/>
      <c r="AC62" s="149"/>
      <c r="AD62" s="149"/>
      <c r="AE62" s="149"/>
      <c r="AF62" s="166"/>
      <c r="AG62" s="166"/>
      <c r="AH62" s="166"/>
      <c r="AI62" s="166"/>
      <c r="AJ62" s="166"/>
      <c r="AK62" s="149"/>
      <c r="AL62" s="149"/>
      <c r="AM62" s="149"/>
      <c r="AN62" s="149"/>
      <c r="AO62" s="149"/>
      <c r="AP62" s="149"/>
      <c r="AQ62" s="149"/>
      <c r="AR62" s="149"/>
      <c r="AS62" s="149"/>
      <c r="AT62" s="149"/>
      <c r="AU62" s="149"/>
      <c r="AV62" s="149"/>
      <c r="AW62" s="149"/>
      <c r="AX62" s="149"/>
      <c r="AY62" s="149"/>
      <c r="AZ62" s="149"/>
      <c r="BA62" s="149"/>
      <c r="BB62" s="166"/>
      <c r="BC62" s="166"/>
      <c r="BD62" s="166"/>
      <c r="BE62" s="166"/>
      <c r="BF62" s="166"/>
      <c r="BG62" s="166"/>
      <c r="BH62" s="166"/>
      <c r="BI62" s="166"/>
      <c r="BJ62" s="166"/>
      <c r="BK62" s="166"/>
      <c r="BL62" s="166"/>
      <c r="BM62" s="166"/>
      <c r="BN62" s="166"/>
      <c r="BO62" s="166"/>
      <c r="BP62" s="166"/>
      <c r="BQ62" s="166"/>
      <c r="BR62" s="166"/>
      <c r="BS62" s="166"/>
      <c r="BT62" s="166"/>
      <c r="BU62" s="166"/>
      <c r="BV62" s="166"/>
      <c r="BW62" s="166"/>
      <c r="BX62" s="159"/>
      <c r="BY62" s="159"/>
      <c r="BZ62" s="159"/>
      <c r="CA62" s="159"/>
      <c r="CB62" s="159"/>
      <c r="CC62" s="159"/>
      <c r="CD62" s="159"/>
      <c r="CE62" s="159"/>
      <c r="CF62" s="159"/>
      <c r="CG62" s="159"/>
      <c r="CH62" s="159"/>
      <c r="CI62" s="159"/>
      <c r="CJ62" s="159"/>
      <c r="CK62" s="159"/>
      <c r="CL62" s="159"/>
      <c r="CM62" s="159"/>
      <c r="CN62" s="159"/>
      <c r="CO62" s="159"/>
      <c r="CP62" s="159"/>
      <c r="CQ62" s="159"/>
      <c r="CR62" s="159"/>
      <c r="CS62" s="159"/>
      <c r="CT62" s="159"/>
      <c r="CU62" s="159"/>
      <c r="CV62" s="159"/>
    </row>
    <row r="63" spans="1:100" ht="34.6" customHeight="1" x14ac:dyDescent="0.25">
      <c r="A63" s="149"/>
      <c r="B63" s="149"/>
      <c r="C63" s="149"/>
      <c r="D63" s="149"/>
      <c r="E63" s="149"/>
      <c r="F63" s="149"/>
      <c r="G63" s="149"/>
      <c r="H63" s="149"/>
      <c r="I63" s="149"/>
      <c r="J63" s="149"/>
      <c r="K63" s="149"/>
      <c r="L63" s="149"/>
      <c r="M63" s="149"/>
      <c r="N63" s="149"/>
      <c r="O63" s="149"/>
      <c r="P63" s="149"/>
      <c r="Q63" s="1129"/>
      <c r="R63" s="180" t="str">
        <f>'2.CropManagement'!O188</f>
        <v xml:space="preserve"> - El Salvador</v>
      </c>
      <c r="S63" s="180">
        <f>'2.CropManagement'!P188</f>
        <v>36</v>
      </c>
      <c r="T63" s="180" t="str">
        <f>'2.CropManagement'!Q188</f>
        <v>Latin America</v>
      </c>
      <c r="U63" s="180">
        <f>'2.CropManagement'!R188</f>
        <v>0</v>
      </c>
      <c r="V63" s="180">
        <f>'2.CropManagement'!S188</f>
        <v>0</v>
      </c>
      <c r="W63" s="1130"/>
      <c r="X63" s="166"/>
      <c r="Y63" s="166"/>
      <c r="Z63" s="149"/>
      <c r="AA63" s="149"/>
      <c r="AB63" s="149"/>
      <c r="AC63" s="149"/>
      <c r="AD63" s="149"/>
      <c r="AE63" s="149"/>
      <c r="AF63" s="166"/>
      <c r="AG63" s="166"/>
      <c r="AH63" s="166"/>
      <c r="AI63" s="166"/>
      <c r="AJ63" s="166"/>
      <c r="AK63" s="149"/>
      <c r="AL63" s="149"/>
      <c r="AM63" s="149"/>
      <c r="AN63" s="149"/>
      <c r="AO63" s="149"/>
      <c r="AP63" s="149"/>
      <c r="AQ63" s="149"/>
      <c r="AR63" s="149"/>
      <c r="AS63" s="149"/>
      <c r="AT63" s="149"/>
      <c r="AU63" s="149"/>
      <c r="AV63" s="149"/>
      <c r="AW63" s="149"/>
      <c r="AX63" s="149"/>
      <c r="AY63" s="149"/>
      <c r="AZ63" s="149"/>
      <c r="BA63" s="149"/>
      <c r="BB63" s="166"/>
      <c r="BC63" s="166"/>
      <c r="BD63" s="166"/>
      <c r="BE63" s="166"/>
      <c r="BF63" s="166"/>
      <c r="BG63" s="166"/>
      <c r="BH63" s="166"/>
      <c r="BI63" s="166"/>
      <c r="BJ63" s="166"/>
      <c r="BK63" s="166"/>
      <c r="BL63" s="166"/>
      <c r="BM63" s="166"/>
      <c r="BN63" s="166"/>
      <c r="BO63" s="166"/>
      <c r="BP63" s="166"/>
      <c r="BQ63" s="166"/>
      <c r="BR63" s="166"/>
      <c r="BS63" s="166"/>
      <c r="BT63" s="166"/>
      <c r="BU63" s="166"/>
      <c r="BV63" s="166"/>
      <c r="BW63" s="166"/>
      <c r="BX63" s="159"/>
      <c r="BY63" s="159"/>
      <c r="BZ63" s="159"/>
      <c r="CA63" s="159"/>
      <c r="CB63" s="159"/>
      <c r="CC63" s="159"/>
      <c r="CD63" s="159"/>
      <c r="CE63" s="159"/>
      <c r="CF63" s="159"/>
      <c r="CG63" s="159"/>
      <c r="CH63" s="159"/>
      <c r="CI63" s="159"/>
      <c r="CJ63" s="159"/>
      <c r="CK63" s="159"/>
      <c r="CL63" s="159"/>
      <c r="CM63" s="159"/>
      <c r="CN63" s="159"/>
      <c r="CO63" s="159"/>
      <c r="CP63" s="159"/>
      <c r="CQ63" s="159"/>
      <c r="CR63" s="159"/>
      <c r="CS63" s="159"/>
      <c r="CT63" s="159"/>
      <c r="CU63" s="159"/>
      <c r="CV63" s="159"/>
    </row>
    <row r="64" spans="1:100" ht="34.6" customHeight="1" x14ac:dyDescent="0.25">
      <c r="A64" s="149"/>
      <c r="B64" s="149"/>
      <c r="C64" s="149"/>
      <c r="D64" s="149"/>
      <c r="E64" s="149"/>
      <c r="F64" s="149"/>
      <c r="G64" s="149"/>
      <c r="H64" s="149"/>
      <c r="I64" s="149"/>
      <c r="J64" s="149"/>
      <c r="K64" s="149"/>
      <c r="L64" s="149"/>
      <c r="M64" s="149"/>
      <c r="N64" s="149"/>
      <c r="O64" s="149"/>
      <c r="P64" s="149"/>
      <c r="Q64" s="1129"/>
      <c r="R64" s="180" t="str">
        <f>'2.CropManagement'!O189</f>
        <v xml:space="preserve"> - Eritrea</v>
      </c>
      <c r="S64" s="180">
        <f>'2.CropManagement'!P189</f>
        <v>37</v>
      </c>
      <c r="T64" s="180" t="str">
        <f>'2.CropManagement'!Q189</f>
        <v>Africa</v>
      </c>
      <c r="U64" s="180">
        <f>'2.CropManagement'!R189</f>
        <v>0</v>
      </c>
      <c r="V64" s="180">
        <f>'2.CropManagement'!S189</f>
        <v>0</v>
      </c>
      <c r="W64" s="1130"/>
      <c r="X64" s="166"/>
      <c r="Y64" s="166"/>
      <c r="Z64" s="149"/>
      <c r="AA64" s="149"/>
      <c r="AB64" s="149"/>
      <c r="AC64" s="149"/>
      <c r="AD64" s="149"/>
      <c r="AE64" s="149"/>
      <c r="AF64" s="166"/>
      <c r="AG64" s="166"/>
      <c r="AH64" s="166"/>
      <c r="AI64" s="166"/>
      <c r="AJ64" s="166"/>
      <c r="AK64" s="149"/>
      <c r="AL64" s="149"/>
      <c r="AM64" s="149"/>
      <c r="AN64" s="149"/>
      <c r="AO64" s="149"/>
      <c r="AP64" s="149"/>
      <c r="AQ64" s="149"/>
      <c r="AR64" s="149"/>
      <c r="AS64" s="149"/>
      <c r="AT64" s="149"/>
      <c r="AU64" s="149"/>
      <c r="AV64" s="149"/>
      <c r="AW64" s="149"/>
      <c r="AX64" s="149"/>
      <c r="AY64" s="149"/>
      <c r="AZ64" s="149"/>
      <c r="BA64" s="149"/>
      <c r="BB64" s="166"/>
      <c r="BC64" s="166"/>
      <c r="BD64" s="166"/>
      <c r="BE64" s="166"/>
      <c r="BF64" s="166"/>
      <c r="BG64" s="166"/>
      <c r="BH64" s="166"/>
      <c r="BI64" s="166"/>
      <c r="BJ64" s="166"/>
      <c r="BK64" s="166"/>
      <c r="BL64" s="166"/>
      <c r="BM64" s="166"/>
      <c r="BN64" s="166"/>
      <c r="BO64" s="166"/>
      <c r="BP64" s="166"/>
      <c r="BQ64" s="166"/>
      <c r="BR64" s="166"/>
      <c r="BS64" s="166"/>
      <c r="BT64" s="166"/>
      <c r="BU64" s="166"/>
      <c r="BV64" s="166"/>
      <c r="BW64" s="166"/>
      <c r="BX64" s="159"/>
      <c r="BY64" s="159"/>
      <c r="BZ64" s="159"/>
      <c r="CA64" s="159"/>
      <c r="CB64" s="159"/>
      <c r="CC64" s="159"/>
      <c r="CD64" s="159"/>
      <c r="CE64" s="159"/>
      <c r="CF64" s="159"/>
      <c r="CG64" s="159"/>
      <c r="CH64" s="159"/>
      <c r="CI64" s="159"/>
      <c r="CJ64" s="159"/>
      <c r="CK64" s="159"/>
      <c r="CL64" s="159"/>
      <c r="CM64" s="159"/>
      <c r="CN64" s="159"/>
      <c r="CO64" s="159"/>
      <c r="CP64" s="159"/>
      <c r="CQ64" s="159"/>
      <c r="CR64" s="159"/>
      <c r="CS64" s="159"/>
      <c r="CT64" s="159"/>
      <c r="CU64" s="159"/>
      <c r="CV64" s="159"/>
    </row>
    <row r="65" spans="1:100" ht="34.6" customHeight="1" x14ac:dyDescent="0.25">
      <c r="A65" s="149"/>
      <c r="B65" s="149"/>
      <c r="C65" s="149"/>
      <c r="D65" s="149"/>
      <c r="E65" s="149"/>
      <c r="F65" s="149"/>
      <c r="G65" s="149"/>
      <c r="H65" s="149"/>
      <c r="I65" s="149"/>
      <c r="J65" s="149"/>
      <c r="K65" s="149"/>
      <c r="L65" s="149"/>
      <c r="M65" s="149"/>
      <c r="N65" s="149"/>
      <c r="O65" s="149"/>
      <c r="P65" s="149"/>
      <c r="Q65" s="1129"/>
      <c r="R65" s="180" t="str">
        <f>'2.CropManagement'!O190</f>
        <v xml:space="preserve"> - Estonia</v>
      </c>
      <c r="S65" s="180">
        <f>'2.CropManagement'!P190</f>
        <v>38</v>
      </c>
      <c r="T65" s="180" t="str">
        <f>'2.CropManagement'!Q190</f>
        <v>Eastern Europe</v>
      </c>
      <c r="U65" s="180">
        <f>'2.CropManagement'!R190</f>
        <v>0</v>
      </c>
      <c r="V65" s="180">
        <f>'2.CropManagement'!S190</f>
        <v>0</v>
      </c>
      <c r="W65" s="1130"/>
      <c r="X65" s="166"/>
      <c r="Y65" s="166"/>
      <c r="Z65" s="149"/>
      <c r="AA65" s="149"/>
      <c r="AB65" s="149"/>
      <c r="AC65" s="149"/>
      <c r="AD65" s="149"/>
      <c r="AE65" s="149"/>
      <c r="AF65" s="166"/>
      <c r="AG65" s="166"/>
      <c r="AH65" s="166"/>
      <c r="AI65" s="166"/>
      <c r="AJ65" s="166"/>
      <c r="AK65" s="149"/>
      <c r="AL65" s="149"/>
      <c r="AM65" s="149"/>
      <c r="AN65" s="149"/>
      <c r="AO65" s="149"/>
      <c r="AP65" s="149"/>
      <c r="AQ65" s="149"/>
      <c r="AR65" s="149"/>
      <c r="AS65" s="149"/>
      <c r="AT65" s="149"/>
      <c r="AU65" s="149"/>
      <c r="AV65" s="149"/>
      <c r="AW65" s="149"/>
      <c r="AX65" s="149"/>
      <c r="AY65" s="149"/>
      <c r="AZ65" s="149"/>
      <c r="BA65" s="149"/>
      <c r="BB65" s="166"/>
      <c r="BC65" s="166"/>
      <c r="BD65" s="166"/>
      <c r="BE65" s="166"/>
      <c r="BF65" s="166"/>
      <c r="BG65" s="166"/>
      <c r="BH65" s="166"/>
      <c r="BI65" s="166"/>
      <c r="BJ65" s="166"/>
      <c r="BK65" s="166"/>
      <c r="BL65" s="166"/>
      <c r="BM65" s="166"/>
      <c r="BN65" s="166"/>
      <c r="BO65" s="166"/>
      <c r="BP65" s="166"/>
      <c r="BQ65" s="166"/>
      <c r="BR65" s="166"/>
      <c r="BS65" s="166"/>
      <c r="BT65" s="166"/>
      <c r="BU65" s="166"/>
      <c r="BV65" s="166"/>
      <c r="BW65" s="166"/>
      <c r="BX65" s="159"/>
      <c r="BY65" s="159"/>
      <c r="BZ65" s="159"/>
      <c r="CA65" s="159"/>
      <c r="CB65" s="159"/>
      <c r="CC65" s="159"/>
      <c r="CD65" s="159"/>
      <c r="CE65" s="159"/>
      <c r="CF65" s="159"/>
      <c r="CG65" s="159"/>
      <c r="CH65" s="159"/>
      <c r="CI65" s="159"/>
      <c r="CJ65" s="159"/>
      <c r="CK65" s="159"/>
      <c r="CL65" s="159"/>
      <c r="CM65" s="159"/>
      <c r="CN65" s="159"/>
      <c r="CO65" s="159"/>
      <c r="CP65" s="159"/>
      <c r="CQ65" s="159"/>
      <c r="CR65" s="159"/>
      <c r="CS65" s="159"/>
      <c r="CT65" s="159"/>
      <c r="CU65" s="159"/>
      <c r="CV65" s="159"/>
    </row>
    <row r="66" spans="1:100" ht="34.6" customHeight="1" x14ac:dyDescent="0.25">
      <c r="A66" s="149"/>
      <c r="B66" s="149"/>
      <c r="C66" s="149"/>
      <c r="D66" s="149"/>
      <c r="E66" s="149"/>
      <c r="F66" s="149"/>
      <c r="G66" s="149"/>
      <c r="H66" s="149"/>
      <c r="I66" s="149"/>
      <c r="J66" s="149"/>
      <c r="K66" s="149"/>
      <c r="L66" s="149"/>
      <c r="M66" s="149"/>
      <c r="N66" s="149"/>
      <c r="O66" s="149"/>
      <c r="P66" s="149"/>
      <c r="Q66" s="1129"/>
      <c r="R66" s="180" t="str">
        <f>'2.CropManagement'!O191</f>
        <v xml:space="preserve"> - Ethiopia</v>
      </c>
      <c r="S66" s="180">
        <f>'2.CropManagement'!P191</f>
        <v>39</v>
      </c>
      <c r="T66" s="180" t="str">
        <f>'2.CropManagement'!Q191</f>
        <v>Africa</v>
      </c>
      <c r="U66" s="180">
        <f>'2.CropManagement'!R191</f>
        <v>0</v>
      </c>
      <c r="V66" s="180">
        <f>'2.CropManagement'!S191</f>
        <v>0</v>
      </c>
      <c r="W66" s="1130"/>
      <c r="X66" s="166"/>
      <c r="Y66" s="166"/>
      <c r="Z66" s="149"/>
      <c r="AA66" s="166"/>
      <c r="AB66" s="166"/>
      <c r="AC66" s="166"/>
      <c r="AD66" s="149"/>
      <c r="AE66" s="149"/>
      <c r="AF66" s="166"/>
      <c r="AG66" s="166"/>
      <c r="AH66" s="166"/>
      <c r="AI66" s="166"/>
      <c r="AJ66" s="166"/>
      <c r="AK66" s="149"/>
      <c r="AL66" s="149"/>
      <c r="AM66" s="149"/>
      <c r="AN66" s="149"/>
      <c r="AO66" s="149"/>
      <c r="AP66" s="149"/>
      <c r="AQ66" s="149"/>
      <c r="AR66" s="149"/>
      <c r="AS66" s="149"/>
      <c r="AT66" s="149"/>
      <c r="AU66" s="149"/>
      <c r="AV66" s="149"/>
      <c r="AW66" s="149"/>
      <c r="AX66" s="149"/>
      <c r="AY66" s="149"/>
      <c r="AZ66" s="149"/>
      <c r="BA66" s="149"/>
      <c r="BB66" s="166"/>
      <c r="BC66" s="166"/>
      <c r="BD66" s="166"/>
      <c r="BE66" s="166"/>
      <c r="BF66" s="166"/>
      <c r="BG66" s="166"/>
      <c r="BH66" s="166"/>
      <c r="BI66" s="166"/>
      <c r="BJ66" s="166"/>
      <c r="BK66" s="166"/>
      <c r="BL66" s="166"/>
      <c r="BM66" s="166"/>
      <c r="BN66" s="166"/>
      <c r="BO66" s="166"/>
      <c r="BP66" s="166"/>
      <c r="BQ66" s="166"/>
      <c r="BR66" s="166"/>
      <c r="BS66" s="166"/>
      <c r="BT66" s="166"/>
      <c r="BU66" s="166"/>
      <c r="BV66" s="166"/>
      <c r="BW66" s="166"/>
      <c r="BX66" s="159"/>
      <c r="BY66" s="159"/>
      <c r="BZ66" s="159"/>
      <c r="CA66" s="159"/>
      <c r="CB66" s="159"/>
      <c r="CC66" s="159"/>
      <c r="CD66" s="159"/>
      <c r="CE66" s="159"/>
      <c r="CF66" s="159"/>
      <c r="CG66" s="159"/>
      <c r="CH66" s="159"/>
      <c r="CI66" s="159"/>
      <c r="CJ66" s="159"/>
      <c r="CK66" s="159"/>
      <c r="CL66" s="159"/>
      <c r="CM66" s="159"/>
      <c r="CN66" s="159"/>
      <c r="CO66" s="159"/>
      <c r="CP66" s="159"/>
      <c r="CQ66" s="159"/>
      <c r="CR66" s="159"/>
      <c r="CS66" s="159"/>
      <c r="CT66" s="159"/>
      <c r="CU66" s="159"/>
      <c r="CV66" s="159"/>
    </row>
    <row r="67" spans="1:100" ht="34.6" customHeight="1" x14ac:dyDescent="0.25">
      <c r="A67" s="149"/>
      <c r="B67" s="149"/>
      <c r="C67" s="149"/>
      <c r="D67" s="149"/>
      <c r="E67" s="149"/>
      <c r="F67" s="149"/>
      <c r="G67" s="149"/>
      <c r="H67" s="149"/>
      <c r="I67" s="149"/>
      <c r="J67" s="149"/>
      <c r="K67" s="149"/>
      <c r="L67" s="149"/>
      <c r="M67" s="149"/>
      <c r="N67" s="149"/>
      <c r="O67" s="149"/>
      <c r="P67" s="149"/>
      <c r="Q67" s="1129"/>
      <c r="R67" s="180" t="str">
        <f>'2.CropManagement'!O192</f>
        <v xml:space="preserve"> - Finland</v>
      </c>
      <c r="S67" s="180">
        <f>'2.CropManagement'!P192</f>
        <v>40</v>
      </c>
      <c r="T67" s="180" t="str">
        <f>'2.CropManagement'!Q192</f>
        <v>Western Europe</v>
      </c>
      <c r="U67" s="180">
        <f>'2.CropManagement'!R192</f>
        <v>0</v>
      </c>
      <c r="V67" s="180">
        <f>'2.CropManagement'!S192</f>
        <v>1</v>
      </c>
      <c r="W67" s="1130"/>
      <c r="X67" s="166"/>
      <c r="Y67" s="166"/>
      <c r="Z67" s="149"/>
      <c r="AA67" s="166"/>
      <c r="AB67" s="166"/>
      <c r="AC67" s="166"/>
      <c r="AD67" s="149"/>
      <c r="AE67" s="149"/>
      <c r="AF67" s="166"/>
      <c r="AG67" s="166"/>
      <c r="AH67" s="166"/>
      <c r="AI67" s="166"/>
      <c r="AJ67" s="166"/>
      <c r="AK67" s="149"/>
      <c r="AL67" s="149"/>
      <c r="AM67" s="149"/>
      <c r="AN67" s="149"/>
      <c r="AO67" s="149"/>
      <c r="AP67" s="149"/>
      <c r="AQ67" s="149"/>
      <c r="AR67" s="149"/>
      <c r="AS67" s="149"/>
      <c r="AT67" s="149"/>
      <c r="AU67" s="149"/>
      <c r="AV67" s="149"/>
      <c r="AW67" s="149"/>
      <c r="AX67" s="149"/>
      <c r="AY67" s="149"/>
      <c r="AZ67" s="149"/>
      <c r="BA67" s="149"/>
      <c r="BB67" s="166"/>
      <c r="BC67" s="166"/>
      <c r="BD67" s="166"/>
      <c r="BE67" s="166"/>
      <c r="BF67" s="166"/>
      <c r="BG67" s="166"/>
      <c r="BH67" s="166"/>
      <c r="BI67" s="166"/>
      <c r="BJ67" s="166"/>
      <c r="BK67" s="166"/>
      <c r="BL67" s="166"/>
      <c r="BM67" s="166"/>
      <c r="BN67" s="166"/>
      <c r="BO67" s="166"/>
      <c r="BP67" s="166"/>
      <c r="BQ67" s="166"/>
      <c r="BR67" s="166"/>
      <c r="BS67" s="166"/>
      <c r="BT67" s="166"/>
      <c r="BU67" s="166"/>
      <c r="BV67" s="166"/>
      <c r="BW67" s="166"/>
      <c r="BX67" s="159"/>
      <c r="BY67" s="159"/>
      <c r="BZ67" s="159"/>
      <c r="CA67" s="159"/>
      <c r="CB67" s="159"/>
      <c r="CC67" s="159"/>
      <c r="CD67" s="159"/>
      <c r="CE67" s="159"/>
      <c r="CF67" s="159"/>
      <c r="CG67" s="159"/>
      <c r="CH67" s="159"/>
      <c r="CI67" s="159"/>
      <c r="CJ67" s="159"/>
      <c r="CK67" s="159"/>
      <c r="CL67" s="159"/>
      <c r="CM67" s="159"/>
      <c r="CN67" s="159"/>
      <c r="CO67" s="159"/>
      <c r="CP67" s="159"/>
      <c r="CQ67" s="159"/>
      <c r="CR67" s="159"/>
      <c r="CS67" s="159"/>
      <c r="CT67" s="159"/>
      <c r="CU67" s="159"/>
      <c r="CV67" s="159"/>
    </row>
    <row r="68" spans="1:100" ht="34.6" customHeight="1" x14ac:dyDescent="0.25">
      <c r="A68" s="149"/>
      <c r="B68" s="149"/>
      <c r="C68" s="149"/>
      <c r="D68" s="149"/>
      <c r="E68" s="149"/>
      <c r="F68" s="149"/>
      <c r="G68" s="149"/>
      <c r="H68" s="149"/>
      <c r="I68" s="149"/>
      <c r="J68" s="149"/>
      <c r="K68" s="149"/>
      <c r="L68" s="149"/>
      <c r="M68" s="149"/>
      <c r="N68" s="149"/>
      <c r="O68" s="149"/>
      <c r="P68" s="149"/>
      <c r="Q68" s="1129"/>
      <c r="R68" s="180" t="str">
        <f>'2.CropManagement'!O193</f>
        <v xml:space="preserve"> - France</v>
      </c>
      <c r="S68" s="180">
        <f>'2.CropManagement'!P193</f>
        <v>41</v>
      </c>
      <c r="T68" s="180" t="str">
        <f>'2.CropManagement'!Q193</f>
        <v>Western Europe</v>
      </c>
      <c r="U68" s="180">
        <f>'2.CropManagement'!R193</f>
        <v>0</v>
      </c>
      <c r="V68" s="180">
        <f>'2.CropManagement'!S193</f>
        <v>1</v>
      </c>
      <c r="W68" s="1130"/>
      <c r="X68" s="166"/>
      <c r="Y68" s="166"/>
      <c r="Z68" s="149"/>
      <c r="AA68" s="166"/>
      <c r="AB68" s="166"/>
      <c r="AC68" s="166"/>
      <c r="AD68" s="149"/>
      <c r="AE68" s="149"/>
      <c r="AF68" s="166"/>
      <c r="AG68" s="166"/>
      <c r="AH68" s="166"/>
      <c r="AI68" s="166"/>
      <c r="AJ68" s="166"/>
      <c r="AK68" s="149"/>
      <c r="AL68" s="149"/>
      <c r="AM68" s="149"/>
      <c r="AN68" s="149"/>
      <c r="AO68" s="149"/>
      <c r="AP68" s="149"/>
      <c r="AQ68" s="149"/>
      <c r="AR68" s="149"/>
      <c r="AS68" s="149"/>
      <c r="AT68" s="149"/>
      <c r="AU68" s="149"/>
      <c r="AV68" s="149"/>
      <c r="AW68" s="149"/>
      <c r="AX68" s="149"/>
      <c r="AY68" s="149"/>
      <c r="AZ68" s="149"/>
      <c r="BA68" s="149"/>
      <c r="BB68" s="166"/>
      <c r="BC68" s="166"/>
      <c r="BD68" s="166"/>
      <c r="BE68" s="166"/>
      <c r="BF68" s="166"/>
      <c r="BG68" s="166"/>
      <c r="BH68" s="166"/>
      <c r="BI68" s="166"/>
      <c r="BJ68" s="166"/>
      <c r="BK68" s="166"/>
      <c r="BL68" s="166"/>
      <c r="BM68" s="166"/>
      <c r="BN68" s="166"/>
      <c r="BO68" s="166"/>
      <c r="BP68" s="166"/>
      <c r="BQ68" s="166"/>
      <c r="BR68" s="166"/>
      <c r="BS68" s="166"/>
      <c r="BT68" s="166"/>
      <c r="BU68" s="166"/>
      <c r="BV68" s="166"/>
      <c r="BW68" s="166"/>
      <c r="BX68" s="159"/>
      <c r="BY68" s="159"/>
      <c r="BZ68" s="159"/>
      <c r="CA68" s="159"/>
      <c r="CB68" s="159"/>
      <c r="CC68" s="159"/>
      <c r="CD68" s="159"/>
      <c r="CE68" s="159"/>
      <c r="CF68" s="159"/>
      <c r="CG68" s="159"/>
      <c r="CH68" s="159"/>
      <c r="CI68" s="159"/>
      <c r="CJ68" s="159"/>
      <c r="CK68" s="159"/>
      <c r="CL68" s="159"/>
      <c r="CM68" s="159"/>
      <c r="CN68" s="159"/>
      <c r="CO68" s="159"/>
      <c r="CP68" s="159"/>
      <c r="CQ68" s="159"/>
      <c r="CR68" s="159"/>
      <c r="CS68" s="159"/>
      <c r="CT68" s="159"/>
      <c r="CU68" s="159"/>
      <c r="CV68" s="159"/>
    </row>
    <row r="69" spans="1:100" ht="34.6" customHeight="1" x14ac:dyDescent="0.25">
      <c r="A69" s="149"/>
      <c r="B69" s="149"/>
      <c r="C69" s="149"/>
      <c r="D69" s="149"/>
      <c r="E69" s="149"/>
      <c r="F69" s="149"/>
      <c r="G69" s="149"/>
      <c r="H69" s="149"/>
      <c r="I69" s="149"/>
      <c r="J69" s="149"/>
      <c r="K69" s="149"/>
      <c r="L69" s="149"/>
      <c r="M69" s="149"/>
      <c r="N69" s="149"/>
      <c r="O69" s="149"/>
      <c r="P69" s="149"/>
      <c r="Q69" s="1129"/>
      <c r="R69" s="180" t="str">
        <f>'2.CropManagement'!O194</f>
        <v xml:space="preserve"> - Gabon</v>
      </c>
      <c r="S69" s="180">
        <f>'2.CropManagement'!P194</f>
        <v>42</v>
      </c>
      <c r="T69" s="180" t="str">
        <f>'2.CropManagement'!Q194</f>
        <v>Africa</v>
      </c>
      <c r="U69" s="180">
        <f>'2.CropManagement'!R194</f>
        <v>0</v>
      </c>
      <c r="V69" s="180">
        <f>'2.CropManagement'!S194</f>
        <v>0</v>
      </c>
      <c r="W69" s="1130"/>
      <c r="X69" s="166"/>
      <c r="Y69" s="166"/>
      <c r="Z69" s="149"/>
      <c r="AA69" s="166"/>
      <c r="AB69" s="166"/>
      <c r="AC69" s="166"/>
      <c r="AD69" s="149"/>
      <c r="AE69" s="149"/>
      <c r="AF69" s="166"/>
      <c r="AG69" s="166"/>
      <c r="AH69" s="166"/>
      <c r="AI69" s="166"/>
      <c r="AJ69" s="166"/>
      <c r="AK69" s="149"/>
      <c r="AL69" s="149"/>
      <c r="AM69" s="149"/>
      <c r="AN69" s="149"/>
      <c r="AO69" s="149"/>
      <c r="AP69" s="149"/>
      <c r="AQ69" s="149"/>
      <c r="AR69" s="149"/>
      <c r="AS69" s="149"/>
      <c r="AT69" s="149"/>
      <c r="AU69" s="149"/>
      <c r="AV69" s="149"/>
      <c r="AW69" s="149"/>
      <c r="AX69" s="149"/>
      <c r="AY69" s="149"/>
      <c r="AZ69" s="149"/>
      <c r="BA69" s="149"/>
      <c r="BB69" s="166"/>
      <c r="BC69" s="166"/>
      <c r="BD69" s="166"/>
      <c r="BE69" s="166"/>
      <c r="BF69" s="166"/>
      <c r="BG69" s="166"/>
      <c r="BH69" s="166"/>
      <c r="BI69" s="166"/>
      <c r="BJ69" s="166"/>
      <c r="BK69" s="166"/>
      <c r="BL69" s="166"/>
      <c r="BM69" s="166"/>
      <c r="BN69" s="166"/>
      <c r="BO69" s="166"/>
      <c r="BP69" s="166"/>
      <c r="BQ69" s="166"/>
      <c r="BR69" s="166"/>
      <c r="BS69" s="166"/>
      <c r="BT69" s="166"/>
      <c r="BU69" s="166"/>
      <c r="BV69" s="166"/>
      <c r="BW69" s="166"/>
      <c r="BX69" s="159"/>
      <c r="BY69" s="159"/>
      <c r="BZ69" s="159"/>
      <c r="CA69" s="159"/>
      <c r="CB69" s="159"/>
      <c r="CC69" s="159"/>
      <c r="CD69" s="159"/>
      <c r="CE69" s="159"/>
      <c r="CF69" s="159"/>
      <c r="CG69" s="159"/>
      <c r="CH69" s="159"/>
      <c r="CI69" s="159"/>
      <c r="CJ69" s="159"/>
      <c r="CK69" s="159"/>
      <c r="CL69" s="159"/>
      <c r="CM69" s="159"/>
      <c r="CN69" s="159"/>
      <c r="CO69" s="159"/>
      <c r="CP69" s="159"/>
      <c r="CQ69" s="159"/>
      <c r="CR69" s="159"/>
      <c r="CS69" s="159"/>
      <c r="CT69" s="159"/>
      <c r="CU69" s="159"/>
      <c r="CV69" s="159"/>
    </row>
    <row r="70" spans="1:100" ht="34.6" customHeight="1" x14ac:dyDescent="0.25">
      <c r="A70" s="166"/>
      <c r="B70" s="166"/>
      <c r="C70" s="166"/>
      <c r="D70" s="166"/>
      <c r="E70" s="166"/>
      <c r="F70" s="166"/>
      <c r="G70" s="166"/>
      <c r="H70" s="166"/>
      <c r="I70" s="166"/>
      <c r="J70" s="166"/>
      <c r="K70" s="166"/>
      <c r="L70" s="166"/>
      <c r="M70" s="166"/>
      <c r="N70" s="166"/>
      <c r="O70" s="166"/>
      <c r="P70" s="166"/>
      <c r="Q70" s="1129"/>
      <c r="R70" s="180" t="str">
        <f>'2.CropManagement'!O195</f>
        <v xml:space="preserve"> - Georgia</v>
      </c>
      <c r="S70" s="180">
        <f>'2.CropManagement'!P195</f>
        <v>43</v>
      </c>
      <c r="T70" s="180" t="str">
        <f>'2.CropManagement'!Q195</f>
        <v>Asia</v>
      </c>
      <c r="U70" s="180">
        <f>'2.CropManagement'!R195</f>
        <v>0</v>
      </c>
      <c r="V70" s="180">
        <f>'2.CropManagement'!S195</f>
        <v>0</v>
      </c>
      <c r="W70" s="1130"/>
      <c r="X70" s="166"/>
      <c r="Y70" s="166"/>
      <c r="Z70" s="149"/>
      <c r="AA70" s="166"/>
      <c r="AB70" s="166"/>
      <c r="AC70" s="166"/>
      <c r="AD70" s="149"/>
      <c r="AE70" s="149"/>
      <c r="AF70" s="166"/>
      <c r="AG70" s="166"/>
      <c r="AH70" s="166"/>
      <c r="AI70" s="166"/>
      <c r="AJ70" s="166"/>
      <c r="AK70" s="149"/>
      <c r="AL70" s="149"/>
      <c r="AM70" s="149"/>
      <c r="AN70" s="149"/>
      <c r="AO70" s="149"/>
      <c r="AP70" s="149"/>
      <c r="AQ70" s="149"/>
      <c r="AR70" s="149"/>
      <c r="AS70" s="149"/>
      <c r="AT70" s="149"/>
      <c r="AU70" s="149"/>
      <c r="AV70" s="149"/>
      <c r="AW70" s="149"/>
      <c r="AX70" s="149"/>
      <c r="AY70" s="149"/>
      <c r="AZ70" s="149"/>
      <c r="BA70" s="149"/>
      <c r="BB70" s="166"/>
      <c r="BC70" s="166"/>
      <c r="BD70" s="166"/>
      <c r="BE70" s="166"/>
      <c r="BF70" s="166"/>
      <c r="BG70" s="166"/>
      <c r="BH70" s="166"/>
      <c r="BI70" s="166"/>
      <c r="BJ70" s="166"/>
      <c r="BK70" s="166"/>
      <c r="BL70" s="166"/>
      <c r="BM70" s="166"/>
      <c r="BN70" s="166"/>
      <c r="BO70" s="166"/>
      <c r="BP70" s="166"/>
      <c r="BQ70" s="166"/>
      <c r="BR70" s="166"/>
      <c r="BS70" s="166"/>
      <c r="BT70" s="166"/>
      <c r="BU70" s="166"/>
      <c r="BV70" s="166"/>
      <c r="BW70" s="166"/>
      <c r="BX70" s="159"/>
      <c r="BY70" s="159"/>
      <c r="BZ70" s="159"/>
      <c r="CA70" s="159"/>
      <c r="CB70" s="159"/>
      <c r="CC70" s="159"/>
      <c r="CD70" s="159"/>
      <c r="CE70" s="159"/>
      <c r="CF70" s="159"/>
      <c r="CG70" s="159"/>
      <c r="CH70" s="159"/>
      <c r="CI70" s="159"/>
      <c r="CJ70" s="159"/>
      <c r="CK70" s="159"/>
      <c r="CL70" s="159"/>
      <c r="CM70" s="159"/>
      <c r="CN70" s="159"/>
      <c r="CO70" s="159"/>
      <c r="CP70" s="159"/>
      <c r="CQ70" s="159"/>
      <c r="CR70" s="159"/>
      <c r="CS70" s="159"/>
      <c r="CT70" s="159"/>
      <c r="CU70" s="159"/>
      <c r="CV70" s="159"/>
    </row>
    <row r="71" spans="1:100" ht="34.6" customHeight="1" x14ac:dyDescent="0.25">
      <c r="A71" s="166"/>
      <c r="B71" s="166"/>
      <c r="C71" s="166"/>
      <c r="D71" s="166"/>
      <c r="E71" s="166"/>
      <c r="F71" s="166"/>
      <c r="G71" s="166"/>
      <c r="H71" s="166"/>
      <c r="I71" s="166"/>
      <c r="J71" s="166"/>
      <c r="K71" s="166"/>
      <c r="L71" s="166"/>
      <c r="M71" s="166"/>
      <c r="N71" s="166"/>
      <c r="O71" s="166"/>
      <c r="P71" s="166"/>
      <c r="Q71" s="1129"/>
      <c r="R71" s="180" t="str">
        <f>'2.CropManagement'!O196</f>
        <v xml:space="preserve"> - Germany</v>
      </c>
      <c r="S71" s="180">
        <f>'2.CropManagement'!P196</f>
        <v>44</v>
      </c>
      <c r="T71" s="180" t="str">
        <f>'2.CropManagement'!Q196</f>
        <v>Western Europe</v>
      </c>
      <c r="U71" s="180">
        <f>'2.CropManagement'!R196</f>
        <v>0</v>
      </c>
      <c r="V71" s="180">
        <f>'2.CropManagement'!S196</f>
        <v>1</v>
      </c>
      <c r="W71" s="1130"/>
      <c r="X71" s="166"/>
      <c r="Y71" s="166"/>
      <c r="Z71" s="149"/>
      <c r="AA71" s="166"/>
      <c r="AB71" s="166"/>
      <c r="AC71" s="166"/>
      <c r="AD71" s="149"/>
      <c r="AE71" s="149"/>
      <c r="AF71" s="166"/>
      <c r="AG71" s="166"/>
      <c r="AH71" s="166"/>
      <c r="AI71" s="166"/>
      <c r="AJ71" s="166"/>
      <c r="AK71" s="149"/>
      <c r="AL71" s="149"/>
      <c r="AM71" s="149"/>
      <c r="AN71" s="149"/>
      <c r="AO71" s="149"/>
      <c r="AP71" s="149"/>
      <c r="AQ71" s="149"/>
      <c r="AR71" s="149"/>
      <c r="AS71" s="149"/>
      <c r="AT71" s="149"/>
      <c r="AU71" s="149"/>
      <c r="AV71" s="149"/>
      <c r="AW71" s="149"/>
      <c r="AX71" s="149"/>
      <c r="AY71" s="149"/>
      <c r="AZ71" s="149"/>
      <c r="BA71" s="149"/>
      <c r="BB71" s="166"/>
      <c r="BC71" s="166"/>
      <c r="BD71" s="166"/>
      <c r="BE71" s="166"/>
      <c r="BF71" s="166"/>
      <c r="BG71" s="166"/>
      <c r="BH71" s="166"/>
      <c r="BI71" s="166"/>
      <c r="BJ71" s="166"/>
      <c r="BK71" s="166"/>
      <c r="BL71" s="166"/>
      <c r="BM71" s="166"/>
      <c r="BN71" s="166"/>
      <c r="BO71" s="166"/>
      <c r="BP71" s="166"/>
      <c r="BQ71" s="166"/>
      <c r="BR71" s="166"/>
      <c r="BS71" s="166"/>
      <c r="BT71" s="166"/>
      <c r="BU71" s="166"/>
      <c r="BV71" s="166"/>
      <c r="BW71" s="166"/>
      <c r="BX71" s="159"/>
      <c r="BY71" s="159"/>
      <c r="BZ71" s="159"/>
      <c r="CA71" s="159"/>
      <c r="CB71" s="159"/>
      <c r="CC71" s="159"/>
      <c r="CD71" s="159"/>
      <c r="CE71" s="159"/>
      <c r="CF71" s="159"/>
      <c r="CG71" s="159"/>
      <c r="CH71" s="159"/>
      <c r="CI71" s="159"/>
      <c r="CJ71" s="159"/>
      <c r="CK71" s="159"/>
      <c r="CL71" s="159"/>
      <c r="CM71" s="159"/>
      <c r="CN71" s="159"/>
      <c r="CO71" s="159"/>
      <c r="CP71" s="159"/>
      <c r="CQ71" s="159"/>
      <c r="CR71" s="159"/>
      <c r="CS71" s="159"/>
      <c r="CT71" s="159"/>
      <c r="CU71" s="159"/>
      <c r="CV71" s="159"/>
    </row>
    <row r="72" spans="1:100" ht="34.6" customHeight="1" x14ac:dyDescent="0.25">
      <c r="A72" s="166"/>
      <c r="B72" s="166"/>
      <c r="C72" s="166"/>
      <c r="D72" s="166"/>
      <c r="E72" s="166"/>
      <c r="F72" s="166"/>
      <c r="G72" s="166"/>
      <c r="H72" s="166"/>
      <c r="I72" s="166"/>
      <c r="J72" s="166"/>
      <c r="K72" s="166"/>
      <c r="L72" s="166"/>
      <c r="M72" s="166"/>
      <c r="N72" s="166"/>
      <c r="O72" s="166"/>
      <c r="P72" s="166"/>
      <c r="Q72" s="1129"/>
      <c r="R72" s="180" t="str">
        <f>'2.CropManagement'!O197</f>
        <v xml:space="preserve"> - Ghana</v>
      </c>
      <c r="S72" s="180">
        <f>'2.CropManagement'!P197</f>
        <v>45</v>
      </c>
      <c r="T72" s="180" t="str">
        <f>'2.CropManagement'!Q197</f>
        <v>Africa</v>
      </c>
      <c r="U72" s="180">
        <f>'2.CropManagement'!R197</f>
        <v>0</v>
      </c>
      <c r="V72" s="180">
        <f>'2.CropManagement'!S197</f>
        <v>0</v>
      </c>
      <c r="W72" s="1130"/>
      <c r="X72" s="166"/>
      <c r="Y72" s="166"/>
      <c r="Z72" s="149"/>
      <c r="AA72" s="166"/>
      <c r="AB72" s="166"/>
      <c r="AC72" s="166"/>
      <c r="AD72" s="149"/>
      <c r="AE72" s="149"/>
      <c r="AF72" s="166"/>
      <c r="AG72" s="166"/>
      <c r="AH72" s="166"/>
      <c r="AI72" s="166"/>
      <c r="AJ72" s="166"/>
      <c r="AK72" s="149"/>
      <c r="AL72" s="149"/>
      <c r="AM72" s="149"/>
      <c r="AN72" s="149"/>
      <c r="AO72" s="149"/>
      <c r="AP72" s="149"/>
      <c r="AQ72" s="149"/>
      <c r="AR72" s="149"/>
      <c r="AS72" s="149"/>
      <c r="AT72" s="149"/>
      <c r="AU72" s="149"/>
      <c r="AV72" s="149"/>
      <c r="AW72" s="149"/>
      <c r="AX72" s="149"/>
      <c r="AY72" s="149"/>
      <c r="AZ72" s="149"/>
      <c r="BA72" s="149"/>
      <c r="BB72" s="166"/>
      <c r="BC72" s="166"/>
      <c r="BD72" s="166"/>
      <c r="BE72" s="166"/>
      <c r="BF72" s="166"/>
      <c r="BG72" s="166"/>
      <c r="BH72" s="166"/>
      <c r="BI72" s="166"/>
      <c r="BJ72" s="166"/>
      <c r="BK72" s="166"/>
      <c r="BL72" s="166"/>
      <c r="BM72" s="166"/>
      <c r="BN72" s="166"/>
      <c r="BO72" s="166"/>
      <c r="BP72" s="166"/>
      <c r="BQ72" s="166"/>
      <c r="BR72" s="166"/>
      <c r="BS72" s="166"/>
      <c r="BT72" s="166"/>
      <c r="BU72" s="166"/>
      <c r="BV72" s="166"/>
      <c r="BW72" s="166"/>
      <c r="BX72" s="159"/>
      <c r="BY72" s="159"/>
      <c r="BZ72" s="159"/>
      <c r="CA72" s="159"/>
      <c r="CB72" s="159"/>
      <c r="CC72" s="159"/>
      <c r="CD72" s="159"/>
      <c r="CE72" s="159"/>
      <c r="CF72" s="159"/>
      <c r="CG72" s="159"/>
      <c r="CH72" s="159"/>
      <c r="CI72" s="159"/>
      <c r="CJ72" s="159"/>
      <c r="CK72" s="159"/>
      <c r="CL72" s="159"/>
      <c r="CM72" s="159"/>
      <c r="CN72" s="159"/>
      <c r="CO72" s="159"/>
      <c r="CP72" s="159"/>
      <c r="CQ72" s="159"/>
      <c r="CR72" s="159"/>
      <c r="CS72" s="159"/>
      <c r="CT72" s="159"/>
      <c r="CU72" s="159"/>
      <c r="CV72" s="159"/>
    </row>
    <row r="73" spans="1:100" ht="34.6" customHeight="1" x14ac:dyDescent="0.25">
      <c r="A73" s="166"/>
      <c r="B73" s="166"/>
      <c r="C73" s="166"/>
      <c r="D73" s="166"/>
      <c r="E73" s="166"/>
      <c r="F73" s="166"/>
      <c r="G73" s="166"/>
      <c r="H73" s="166"/>
      <c r="I73" s="166"/>
      <c r="J73" s="166"/>
      <c r="K73" s="166"/>
      <c r="L73" s="166"/>
      <c r="M73" s="166"/>
      <c r="N73" s="166"/>
      <c r="O73" s="166"/>
      <c r="P73" s="166"/>
      <c r="Q73" s="1129"/>
      <c r="R73" s="180" t="str">
        <f>'2.CropManagement'!O198</f>
        <v xml:space="preserve"> - Greece</v>
      </c>
      <c r="S73" s="180">
        <f>'2.CropManagement'!P198</f>
        <v>46</v>
      </c>
      <c r="T73" s="180" t="str">
        <f>'2.CropManagement'!Q198</f>
        <v>Western Europe</v>
      </c>
      <c r="U73" s="180">
        <f>'2.CropManagement'!R198</f>
        <v>0</v>
      </c>
      <c r="V73" s="180">
        <f>'2.CropManagement'!S198</f>
        <v>1</v>
      </c>
      <c r="W73" s="1130"/>
      <c r="X73" s="166"/>
      <c r="Y73" s="166"/>
      <c r="Z73" s="149"/>
      <c r="AA73" s="166"/>
      <c r="AB73" s="166"/>
      <c r="AC73" s="166"/>
      <c r="AD73" s="149"/>
      <c r="AE73" s="149"/>
      <c r="AF73" s="166"/>
      <c r="AG73" s="166"/>
      <c r="AH73" s="166"/>
      <c r="AI73" s="166"/>
      <c r="AJ73" s="166"/>
      <c r="AK73" s="149"/>
      <c r="AL73" s="149"/>
      <c r="AM73" s="149"/>
      <c r="AN73" s="149"/>
      <c r="AO73" s="149"/>
      <c r="AP73" s="149"/>
      <c r="AQ73" s="149"/>
      <c r="AR73" s="149"/>
      <c r="AS73" s="149"/>
      <c r="AT73" s="149"/>
      <c r="AU73" s="149"/>
      <c r="AV73" s="149"/>
      <c r="AW73" s="149"/>
      <c r="AX73" s="149"/>
      <c r="AY73" s="149"/>
      <c r="AZ73" s="149"/>
      <c r="BA73" s="149"/>
      <c r="BB73" s="166"/>
      <c r="BC73" s="166"/>
      <c r="BD73" s="166"/>
      <c r="BE73" s="166"/>
      <c r="BF73" s="166"/>
      <c r="BG73" s="166"/>
      <c r="BH73" s="166"/>
      <c r="BI73" s="166"/>
      <c r="BJ73" s="166"/>
      <c r="BK73" s="166"/>
      <c r="BL73" s="166"/>
      <c r="BM73" s="166"/>
      <c r="BN73" s="166"/>
      <c r="BO73" s="166"/>
      <c r="BP73" s="166"/>
      <c r="BQ73" s="166"/>
      <c r="BR73" s="166"/>
      <c r="BS73" s="166"/>
      <c r="BT73" s="166"/>
      <c r="BU73" s="166"/>
      <c r="BV73" s="166"/>
      <c r="BW73" s="166"/>
      <c r="BX73" s="159"/>
      <c r="BY73" s="159"/>
      <c r="BZ73" s="159"/>
      <c r="CA73" s="159"/>
      <c r="CB73" s="159"/>
      <c r="CC73" s="159"/>
      <c r="CD73" s="159"/>
      <c r="CE73" s="159"/>
      <c r="CF73" s="159"/>
      <c r="CG73" s="159"/>
      <c r="CH73" s="159"/>
      <c r="CI73" s="159"/>
      <c r="CJ73" s="159"/>
      <c r="CK73" s="159"/>
      <c r="CL73" s="159"/>
      <c r="CM73" s="159"/>
      <c r="CN73" s="159"/>
      <c r="CO73" s="159"/>
      <c r="CP73" s="159"/>
      <c r="CQ73" s="159"/>
      <c r="CR73" s="159"/>
      <c r="CS73" s="159"/>
      <c r="CT73" s="159"/>
      <c r="CU73" s="159"/>
      <c r="CV73" s="159"/>
    </row>
    <row r="74" spans="1:100" ht="34.6" customHeight="1" x14ac:dyDescent="0.25">
      <c r="A74" s="166"/>
      <c r="B74" s="166"/>
      <c r="C74" s="166"/>
      <c r="D74" s="166"/>
      <c r="E74" s="166"/>
      <c r="F74" s="166"/>
      <c r="G74" s="166"/>
      <c r="H74" s="166"/>
      <c r="I74" s="166"/>
      <c r="J74" s="166"/>
      <c r="K74" s="166"/>
      <c r="L74" s="166"/>
      <c r="M74" s="166"/>
      <c r="N74" s="166"/>
      <c r="O74" s="166"/>
      <c r="P74" s="166"/>
      <c r="Q74" s="1129"/>
      <c r="R74" s="180" t="str">
        <f>'2.CropManagement'!O199</f>
        <v xml:space="preserve"> - Guatemala</v>
      </c>
      <c r="S74" s="180">
        <f>'2.CropManagement'!P199</f>
        <v>47</v>
      </c>
      <c r="T74" s="180" t="str">
        <f>'2.CropManagement'!Q199</f>
        <v>Latin America</v>
      </c>
      <c r="U74" s="180">
        <f>'2.CropManagement'!R199</f>
        <v>0</v>
      </c>
      <c r="V74" s="180">
        <f>'2.CropManagement'!S199</f>
        <v>0</v>
      </c>
      <c r="W74" s="1130"/>
      <c r="X74" s="166"/>
      <c r="Y74" s="166"/>
      <c r="Z74" s="149"/>
      <c r="AA74" s="166"/>
      <c r="AB74" s="166"/>
      <c r="AC74" s="166"/>
      <c r="AD74" s="149"/>
      <c r="AE74" s="149"/>
      <c r="AF74" s="166"/>
      <c r="AG74" s="166"/>
      <c r="AH74" s="166"/>
      <c r="AI74" s="166"/>
      <c r="AJ74" s="166"/>
      <c r="AK74" s="149"/>
      <c r="AL74" s="149"/>
      <c r="AM74" s="149"/>
      <c r="AN74" s="149"/>
      <c r="AO74" s="149"/>
      <c r="AP74" s="149"/>
      <c r="AQ74" s="149"/>
      <c r="AR74" s="149"/>
      <c r="AS74" s="149"/>
      <c r="AT74" s="149"/>
      <c r="AU74" s="149"/>
      <c r="AV74" s="149"/>
      <c r="AW74" s="149"/>
      <c r="AX74" s="149"/>
      <c r="AY74" s="149"/>
      <c r="AZ74" s="149"/>
      <c r="BA74" s="149"/>
      <c r="BB74" s="166"/>
      <c r="BC74" s="166"/>
      <c r="BD74" s="166"/>
      <c r="BE74" s="166"/>
      <c r="BF74" s="166"/>
      <c r="BG74" s="166"/>
      <c r="BH74" s="166"/>
      <c r="BI74" s="166"/>
      <c r="BJ74" s="166"/>
      <c r="BK74" s="166"/>
      <c r="BL74" s="166"/>
      <c r="BM74" s="166"/>
      <c r="BN74" s="166"/>
      <c r="BO74" s="166"/>
      <c r="BP74" s="166"/>
      <c r="BQ74" s="166"/>
      <c r="BR74" s="166"/>
      <c r="BS74" s="166"/>
      <c r="BT74" s="166"/>
      <c r="BU74" s="166"/>
      <c r="BV74" s="166"/>
      <c r="BW74" s="166"/>
      <c r="BX74" s="159"/>
      <c r="BY74" s="159"/>
      <c r="BZ74" s="159"/>
      <c r="CA74" s="159"/>
      <c r="CB74" s="159"/>
      <c r="CC74" s="159"/>
      <c r="CD74" s="159"/>
      <c r="CE74" s="159"/>
      <c r="CF74" s="159"/>
      <c r="CG74" s="159"/>
      <c r="CH74" s="159"/>
      <c r="CI74" s="159"/>
      <c r="CJ74" s="159"/>
      <c r="CK74" s="159"/>
      <c r="CL74" s="159"/>
      <c r="CM74" s="159"/>
      <c r="CN74" s="159"/>
      <c r="CO74" s="159"/>
      <c r="CP74" s="159"/>
      <c r="CQ74" s="159"/>
      <c r="CR74" s="159"/>
      <c r="CS74" s="159"/>
      <c r="CT74" s="159"/>
      <c r="CU74" s="159"/>
      <c r="CV74" s="159"/>
    </row>
    <row r="75" spans="1:100" ht="34.6" customHeight="1" x14ac:dyDescent="0.25">
      <c r="A75" s="166"/>
      <c r="B75" s="166"/>
      <c r="C75" s="166"/>
      <c r="D75" s="166"/>
      <c r="E75" s="166"/>
      <c r="F75" s="166"/>
      <c r="G75" s="166"/>
      <c r="H75" s="166"/>
      <c r="I75" s="166"/>
      <c r="J75" s="166"/>
      <c r="K75" s="166"/>
      <c r="L75" s="166"/>
      <c r="M75" s="166"/>
      <c r="N75" s="166"/>
      <c r="O75" s="166"/>
      <c r="P75" s="166"/>
      <c r="Q75" s="1129"/>
      <c r="R75" s="180" t="str">
        <f>'2.CropManagement'!O200</f>
        <v xml:space="preserve"> - Haiti</v>
      </c>
      <c r="S75" s="180">
        <f>'2.CropManagement'!P200</f>
        <v>48</v>
      </c>
      <c r="T75" s="180" t="str">
        <f>'2.CropManagement'!Q200</f>
        <v>Latin America</v>
      </c>
      <c r="U75" s="180">
        <f>'2.CropManagement'!R200</f>
        <v>0</v>
      </c>
      <c r="V75" s="180">
        <f>'2.CropManagement'!S200</f>
        <v>0</v>
      </c>
      <c r="W75" s="1130"/>
      <c r="X75" s="149"/>
      <c r="Y75" s="149"/>
      <c r="Z75" s="149"/>
      <c r="AA75" s="166"/>
      <c r="AB75" s="166"/>
      <c r="AC75" s="166"/>
      <c r="AD75" s="149"/>
      <c r="AE75" s="149"/>
      <c r="AF75" s="166"/>
      <c r="AG75" s="166"/>
      <c r="AH75" s="166"/>
      <c r="AI75" s="166"/>
      <c r="AJ75" s="166"/>
      <c r="AK75" s="149"/>
      <c r="AL75" s="149"/>
      <c r="AM75" s="149"/>
      <c r="AN75" s="149"/>
      <c r="AO75" s="149"/>
      <c r="AP75" s="149"/>
      <c r="AQ75" s="149"/>
      <c r="AR75" s="149"/>
      <c r="AS75" s="149"/>
      <c r="AT75" s="149"/>
      <c r="AU75" s="149"/>
      <c r="AV75" s="149"/>
      <c r="AW75" s="149"/>
      <c r="AX75" s="149"/>
      <c r="AY75" s="149"/>
      <c r="AZ75" s="149"/>
      <c r="BA75" s="149"/>
      <c r="BB75" s="166"/>
      <c r="BC75" s="166"/>
      <c r="BD75" s="166"/>
      <c r="BE75" s="166"/>
      <c r="BF75" s="166"/>
      <c r="BG75" s="166"/>
      <c r="BH75" s="166"/>
      <c r="BI75" s="166"/>
      <c r="BJ75" s="166"/>
      <c r="BK75" s="166"/>
      <c r="BL75" s="166"/>
      <c r="BM75" s="166"/>
      <c r="BN75" s="166"/>
      <c r="BO75" s="166"/>
      <c r="BP75" s="166"/>
      <c r="BQ75" s="166"/>
      <c r="BR75" s="166"/>
      <c r="BS75" s="166"/>
      <c r="BT75" s="166"/>
      <c r="BU75" s="166"/>
      <c r="BV75" s="166"/>
      <c r="BW75" s="166"/>
      <c r="BX75" s="159"/>
      <c r="BY75" s="159"/>
      <c r="BZ75" s="159"/>
      <c r="CA75" s="159"/>
      <c r="CB75" s="159"/>
      <c r="CC75" s="159"/>
      <c r="CD75" s="159"/>
      <c r="CE75" s="159"/>
      <c r="CF75" s="159"/>
      <c r="CG75" s="159"/>
      <c r="CH75" s="159"/>
      <c r="CI75" s="159"/>
      <c r="CJ75" s="159"/>
      <c r="CK75" s="159"/>
      <c r="CL75" s="159"/>
      <c r="CM75" s="159"/>
      <c r="CN75" s="159"/>
      <c r="CO75" s="159"/>
      <c r="CP75" s="159"/>
      <c r="CQ75" s="159"/>
      <c r="CR75" s="159"/>
      <c r="CS75" s="159"/>
      <c r="CT75" s="159"/>
      <c r="CU75" s="159"/>
      <c r="CV75" s="159"/>
    </row>
    <row r="76" spans="1:100" ht="34.6" customHeight="1" x14ac:dyDescent="0.25">
      <c r="A76" s="166"/>
      <c r="B76" s="166"/>
      <c r="C76" s="166"/>
      <c r="D76" s="166"/>
      <c r="E76" s="166"/>
      <c r="F76" s="166"/>
      <c r="G76" s="166"/>
      <c r="H76" s="166"/>
      <c r="I76" s="166"/>
      <c r="J76" s="166"/>
      <c r="K76" s="166"/>
      <c r="L76" s="166"/>
      <c r="M76" s="166"/>
      <c r="N76" s="166"/>
      <c r="O76" s="166"/>
      <c r="P76" s="166"/>
      <c r="Q76" s="1129"/>
      <c r="R76" s="180" t="str">
        <f>'2.CropManagement'!O201</f>
        <v xml:space="preserve"> - Honduras</v>
      </c>
      <c r="S76" s="180">
        <f>'2.CropManagement'!P201</f>
        <v>49</v>
      </c>
      <c r="T76" s="180" t="str">
        <f>'2.CropManagement'!Q201</f>
        <v>Latin America</v>
      </c>
      <c r="U76" s="180">
        <f>'2.CropManagement'!R201</f>
        <v>0</v>
      </c>
      <c r="V76" s="180">
        <f>'2.CropManagement'!S201</f>
        <v>0</v>
      </c>
      <c r="W76" s="1130"/>
      <c r="X76" s="149"/>
      <c r="Y76" s="149"/>
      <c r="Z76" s="149"/>
      <c r="AA76" s="166"/>
      <c r="AB76" s="166"/>
      <c r="AC76" s="166"/>
      <c r="AD76" s="149"/>
      <c r="AE76" s="149"/>
      <c r="AF76" s="166"/>
      <c r="AG76" s="166"/>
      <c r="AH76" s="166"/>
      <c r="AI76" s="166"/>
      <c r="AJ76" s="166"/>
      <c r="AK76" s="149"/>
      <c r="AL76" s="149"/>
      <c r="AM76" s="149"/>
      <c r="AN76" s="149"/>
      <c r="AO76" s="149"/>
      <c r="AP76" s="149"/>
      <c r="AQ76" s="149"/>
      <c r="AR76" s="149"/>
      <c r="AS76" s="149"/>
      <c r="AT76" s="149"/>
      <c r="AU76" s="149"/>
      <c r="AV76" s="149"/>
      <c r="AW76" s="149"/>
      <c r="AX76" s="149"/>
      <c r="AY76" s="149"/>
      <c r="AZ76" s="149"/>
      <c r="BA76" s="149"/>
      <c r="BB76" s="166"/>
      <c r="BC76" s="166"/>
      <c r="BD76" s="166"/>
      <c r="BE76" s="166"/>
      <c r="BF76" s="166"/>
      <c r="BG76" s="166"/>
      <c r="BH76" s="166"/>
      <c r="BI76" s="166"/>
      <c r="BJ76" s="166"/>
      <c r="BK76" s="166"/>
      <c r="BL76" s="166"/>
      <c r="BM76" s="166"/>
      <c r="BN76" s="166"/>
      <c r="BO76" s="166"/>
      <c r="BP76" s="166"/>
      <c r="BQ76" s="166"/>
      <c r="BR76" s="166"/>
      <c r="BS76" s="166"/>
      <c r="BT76" s="166"/>
      <c r="BU76" s="166"/>
      <c r="BV76" s="166"/>
      <c r="BW76" s="166"/>
      <c r="BX76" s="159"/>
      <c r="BY76" s="159"/>
      <c r="BZ76" s="159"/>
      <c r="CA76" s="159"/>
      <c r="CB76" s="159"/>
      <c r="CC76" s="159"/>
      <c r="CD76" s="159"/>
      <c r="CE76" s="159"/>
      <c r="CF76" s="159"/>
      <c r="CG76" s="159"/>
      <c r="CH76" s="159"/>
      <c r="CI76" s="159"/>
      <c r="CJ76" s="159"/>
      <c r="CK76" s="159"/>
      <c r="CL76" s="159"/>
      <c r="CM76" s="159"/>
      <c r="CN76" s="159"/>
      <c r="CO76" s="159"/>
      <c r="CP76" s="159"/>
      <c r="CQ76" s="159"/>
      <c r="CR76" s="159"/>
      <c r="CS76" s="159"/>
      <c r="CT76" s="159"/>
      <c r="CU76" s="159"/>
      <c r="CV76" s="159"/>
    </row>
    <row r="77" spans="1:100" ht="34.6" customHeight="1" x14ac:dyDescent="0.25">
      <c r="A77" s="166"/>
      <c r="B77" s="166"/>
      <c r="C77" s="166"/>
      <c r="D77" s="166"/>
      <c r="E77" s="166"/>
      <c r="F77" s="166"/>
      <c r="G77" s="166"/>
      <c r="H77" s="166"/>
      <c r="I77" s="166"/>
      <c r="J77" s="166"/>
      <c r="K77" s="166"/>
      <c r="L77" s="166"/>
      <c r="M77" s="166"/>
      <c r="N77" s="166"/>
      <c r="O77" s="166"/>
      <c r="P77" s="166"/>
      <c r="Q77" s="1129"/>
      <c r="R77" s="180" t="str">
        <f>'2.CropManagement'!O202</f>
        <v xml:space="preserve"> - Hong Kong (China)</v>
      </c>
      <c r="S77" s="180">
        <f>'2.CropManagement'!P202</f>
        <v>50</v>
      </c>
      <c r="T77" s="180" t="str">
        <f>'2.CropManagement'!Q202</f>
        <v>Asia</v>
      </c>
      <c r="U77" s="180">
        <f>'2.CropManagement'!R202</f>
        <v>0</v>
      </c>
      <c r="V77" s="180">
        <f>'2.CropManagement'!S202</f>
        <v>1</v>
      </c>
      <c r="W77" s="1130"/>
      <c r="X77" s="149"/>
      <c r="Y77" s="149"/>
      <c r="Z77" s="166"/>
      <c r="AA77" s="166"/>
      <c r="AB77" s="166"/>
      <c r="AC77" s="166"/>
      <c r="AD77" s="149"/>
      <c r="AE77" s="149"/>
      <c r="AF77" s="166"/>
      <c r="AG77" s="166"/>
      <c r="AH77" s="166"/>
      <c r="AI77" s="166"/>
      <c r="AJ77" s="166"/>
      <c r="AK77" s="149"/>
      <c r="AL77" s="149"/>
      <c r="AM77" s="149"/>
      <c r="AN77" s="149"/>
      <c r="AO77" s="149"/>
      <c r="AP77" s="149"/>
      <c r="AQ77" s="149"/>
      <c r="AR77" s="149"/>
      <c r="AS77" s="149"/>
      <c r="AT77" s="149"/>
      <c r="AU77" s="149"/>
      <c r="AV77" s="149"/>
      <c r="AW77" s="149"/>
      <c r="AX77" s="149"/>
      <c r="AY77" s="149"/>
      <c r="AZ77" s="149"/>
      <c r="BA77" s="149"/>
      <c r="BB77" s="166"/>
      <c r="BC77" s="166"/>
      <c r="BD77" s="166"/>
      <c r="BE77" s="166"/>
      <c r="BF77" s="166"/>
      <c r="BG77" s="166"/>
      <c r="BH77" s="166"/>
      <c r="BI77" s="166"/>
      <c r="BJ77" s="166"/>
      <c r="BK77" s="166"/>
      <c r="BL77" s="166"/>
      <c r="BM77" s="166"/>
      <c r="BN77" s="166"/>
      <c r="BO77" s="166"/>
      <c r="BP77" s="166"/>
      <c r="BQ77" s="166"/>
      <c r="BR77" s="166"/>
      <c r="BS77" s="166"/>
      <c r="BT77" s="166"/>
      <c r="BU77" s="166"/>
      <c r="BV77" s="166"/>
      <c r="BW77" s="166"/>
      <c r="BX77" s="159"/>
      <c r="BY77" s="159"/>
      <c r="BZ77" s="159"/>
      <c r="CA77" s="159"/>
      <c r="CB77" s="159"/>
      <c r="CC77" s="159"/>
      <c r="CD77" s="159"/>
      <c r="CE77" s="159"/>
      <c r="CF77" s="159"/>
      <c r="CG77" s="159"/>
      <c r="CH77" s="159"/>
      <c r="CI77" s="159"/>
      <c r="CJ77" s="159"/>
      <c r="CK77" s="159"/>
      <c r="CL77" s="159"/>
      <c r="CM77" s="159"/>
      <c r="CN77" s="159"/>
      <c r="CO77" s="159"/>
      <c r="CP77" s="159"/>
      <c r="CQ77" s="159"/>
      <c r="CR77" s="159"/>
      <c r="CS77" s="159"/>
      <c r="CT77" s="159"/>
      <c r="CU77" s="159"/>
      <c r="CV77" s="159"/>
    </row>
    <row r="78" spans="1:100" ht="34.6" customHeight="1" x14ac:dyDescent="0.25">
      <c r="A78" s="166"/>
      <c r="B78" s="166"/>
      <c r="C78" s="166"/>
      <c r="D78" s="166"/>
      <c r="E78" s="166"/>
      <c r="F78" s="166"/>
      <c r="G78" s="166"/>
      <c r="H78" s="166"/>
      <c r="I78" s="166"/>
      <c r="J78" s="166"/>
      <c r="K78" s="166"/>
      <c r="L78" s="166"/>
      <c r="M78" s="166"/>
      <c r="N78" s="166"/>
      <c r="O78" s="166"/>
      <c r="P78" s="166"/>
      <c r="Q78" s="1129"/>
      <c r="R78" s="180" t="str">
        <f>'2.CropManagement'!O203</f>
        <v xml:space="preserve"> - Hungary</v>
      </c>
      <c r="S78" s="180">
        <f>'2.CropManagement'!P203</f>
        <v>51</v>
      </c>
      <c r="T78" s="180" t="str">
        <f>'2.CropManagement'!Q203</f>
        <v>Western Europe</v>
      </c>
      <c r="U78" s="180">
        <f>'2.CropManagement'!R203</f>
        <v>0</v>
      </c>
      <c r="V78" s="180">
        <f>'2.CropManagement'!S203</f>
        <v>0</v>
      </c>
      <c r="W78" s="1130"/>
      <c r="X78" s="149"/>
      <c r="Y78" s="149"/>
      <c r="Z78" s="166"/>
      <c r="AA78" s="166"/>
      <c r="AB78" s="166"/>
      <c r="AC78" s="166"/>
      <c r="AD78" s="149"/>
      <c r="AE78" s="149"/>
      <c r="AF78" s="166"/>
      <c r="AG78" s="166"/>
      <c r="AH78" s="166"/>
      <c r="AI78" s="166"/>
      <c r="AJ78" s="166"/>
      <c r="AK78" s="149"/>
      <c r="AL78" s="149"/>
      <c r="AM78" s="149"/>
      <c r="AN78" s="149"/>
      <c r="AO78" s="149"/>
      <c r="AP78" s="149"/>
      <c r="AQ78" s="149"/>
      <c r="AR78" s="149"/>
      <c r="AS78" s="149"/>
      <c r="AT78" s="149"/>
      <c r="AU78" s="149"/>
      <c r="AV78" s="149"/>
      <c r="AW78" s="149"/>
      <c r="AX78" s="149"/>
      <c r="AY78" s="149"/>
      <c r="AZ78" s="149"/>
      <c r="BA78" s="149"/>
      <c r="BB78" s="166"/>
      <c r="BC78" s="166"/>
      <c r="BD78" s="166"/>
      <c r="BE78" s="166"/>
      <c r="BF78" s="166"/>
      <c r="BG78" s="166"/>
      <c r="BH78" s="166"/>
      <c r="BI78" s="166"/>
      <c r="BJ78" s="166"/>
      <c r="BK78" s="166"/>
      <c r="BL78" s="166"/>
      <c r="BM78" s="166"/>
      <c r="BN78" s="166"/>
      <c r="BO78" s="166"/>
      <c r="BP78" s="166"/>
      <c r="BQ78" s="166"/>
      <c r="BR78" s="166"/>
      <c r="BS78" s="166"/>
      <c r="BT78" s="166"/>
      <c r="BU78" s="166"/>
      <c r="BV78" s="166"/>
      <c r="BW78" s="166"/>
      <c r="BX78" s="159"/>
      <c r="BY78" s="159"/>
      <c r="BZ78" s="159"/>
      <c r="CA78" s="159"/>
      <c r="CB78" s="159"/>
      <c r="CC78" s="159"/>
      <c r="CD78" s="159"/>
      <c r="CE78" s="159"/>
      <c r="CF78" s="159"/>
      <c r="CG78" s="159"/>
      <c r="CH78" s="159"/>
      <c r="CI78" s="159"/>
      <c r="CJ78" s="159"/>
      <c r="CK78" s="159"/>
      <c r="CL78" s="159"/>
      <c r="CM78" s="159"/>
      <c r="CN78" s="159"/>
      <c r="CO78" s="159"/>
      <c r="CP78" s="159"/>
      <c r="CQ78" s="159"/>
      <c r="CR78" s="159"/>
      <c r="CS78" s="159"/>
      <c r="CT78" s="159"/>
      <c r="CU78" s="159"/>
      <c r="CV78" s="159"/>
    </row>
    <row r="79" spans="1:100" ht="34.6" customHeight="1" x14ac:dyDescent="0.25">
      <c r="A79" s="166"/>
      <c r="B79" s="166"/>
      <c r="C79" s="166"/>
      <c r="D79" s="166"/>
      <c r="E79" s="166"/>
      <c r="F79" s="166"/>
      <c r="G79" s="166"/>
      <c r="H79" s="166"/>
      <c r="I79" s="166"/>
      <c r="J79" s="166"/>
      <c r="K79" s="166"/>
      <c r="L79" s="166"/>
      <c r="M79" s="166"/>
      <c r="N79" s="166"/>
      <c r="O79" s="166"/>
      <c r="P79" s="166"/>
      <c r="Q79" s="1129"/>
      <c r="R79" s="180" t="str">
        <f>'2.CropManagement'!O204</f>
        <v xml:space="preserve"> - Iceland</v>
      </c>
      <c r="S79" s="180">
        <f>'2.CropManagement'!P204</f>
        <v>52</v>
      </c>
      <c r="T79" s="180" t="str">
        <f>'2.CropManagement'!Q204</f>
        <v>Western Europe</v>
      </c>
      <c r="U79" s="180">
        <f>'2.CropManagement'!R204</f>
        <v>0</v>
      </c>
      <c r="V79" s="180">
        <f>'2.CropManagement'!S204</f>
        <v>1</v>
      </c>
      <c r="W79" s="1130"/>
      <c r="X79" s="149"/>
      <c r="Y79" s="149"/>
      <c r="Z79" s="166"/>
      <c r="AA79" s="166"/>
      <c r="AB79" s="166"/>
      <c r="AC79" s="166"/>
      <c r="AD79" s="149"/>
      <c r="AE79" s="149"/>
      <c r="AF79" s="166"/>
      <c r="AG79" s="166"/>
      <c r="AH79" s="166"/>
      <c r="AI79" s="166"/>
      <c r="AJ79" s="166"/>
      <c r="AK79" s="149"/>
      <c r="AL79" s="149"/>
      <c r="AM79" s="149"/>
      <c r="AN79" s="149"/>
      <c r="AO79" s="149"/>
      <c r="AP79" s="149"/>
      <c r="AQ79" s="149"/>
      <c r="AR79" s="149"/>
      <c r="AS79" s="149"/>
      <c r="AT79" s="149"/>
      <c r="AU79" s="149"/>
      <c r="AV79" s="149"/>
      <c r="AW79" s="149"/>
      <c r="AX79" s="149"/>
      <c r="AY79" s="149"/>
      <c r="AZ79" s="149"/>
      <c r="BA79" s="149"/>
      <c r="BB79" s="166"/>
      <c r="BC79" s="166"/>
      <c r="BD79" s="166"/>
      <c r="BE79" s="166"/>
      <c r="BF79" s="166"/>
      <c r="BG79" s="166"/>
      <c r="BH79" s="166"/>
      <c r="BI79" s="166"/>
      <c r="BJ79" s="166"/>
      <c r="BK79" s="166"/>
      <c r="BL79" s="166"/>
      <c r="BM79" s="166"/>
      <c r="BN79" s="166"/>
      <c r="BO79" s="166"/>
      <c r="BP79" s="166"/>
      <c r="BQ79" s="166"/>
      <c r="BR79" s="166"/>
      <c r="BS79" s="166"/>
      <c r="BT79" s="166"/>
      <c r="BU79" s="166"/>
      <c r="BV79" s="166"/>
      <c r="BW79" s="166"/>
      <c r="BX79" s="159"/>
      <c r="BY79" s="159"/>
      <c r="BZ79" s="159"/>
      <c r="CA79" s="159"/>
      <c r="CB79" s="159"/>
      <c r="CC79" s="159"/>
      <c r="CD79" s="159"/>
      <c r="CE79" s="159"/>
      <c r="CF79" s="159"/>
      <c r="CG79" s="159"/>
      <c r="CH79" s="159"/>
      <c r="CI79" s="159"/>
      <c r="CJ79" s="159"/>
      <c r="CK79" s="159"/>
      <c r="CL79" s="159"/>
      <c r="CM79" s="159"/>
      <c r="CN79" s="159"/>
      <c r="CO79" s="159"/>
      <c r="CP79" s="159"/>
      <c r="CQ79" s="159"/>
      <c r="CR79" s="159"/>
      <c r="CS79" s="159"/>
      <c r="CT79" s="159"/>
      <c r="CU79" s="159"/>
      <c r="CV79" s="159"/>
    </row>
    <row r="80" spans="1:100" ht="34.6" customHeight="1" x14ac:dyDescent="0.25">
      <c r="A80" s="166"/>
      <c r="B80" s="166"/>
      <c r="C80" s="166"/>
      <c r="D80" s="166"/>
      <c r="E80" s="166"/>
      <c r="F80" s="166"/>
      <c r="G80" s="166"/>
      <c r="H80" s="166"/>
      <c r="I80" s="166"/>
      <c r="J80" s="166"/>
      <c r="K80" s="166"/>
      <c r="L80" s="166"/>
      <c r="M80" s="166"/>
      <c r="N80" s="166"/>
      <c r="O80" s="166"/>
      <c r="P80" s="166"/>
      <c r="Q80" s="1129"/>
      <c r="R80" s="180" t="str">
        <f>'2.CropManagement'!O205</f>
        <v xml:space="preserve"> - India</v>
      </c>
      <c r="S80" s="180">
        <f>'2.CropManagement'!P205</f>
        <v>53</v>
      </c>
      <c r="T80" s="180" t="str">
        <f>'2.CropManagement'!Q205</f>
        <v>Indian Subcontinent</v>
      </c>
      <c r="U80" s="180">
        <f>'2.CropManagement'!R205</f>
        <v>0</v>
      </c>
      <c r="V80" s="180">
        <f>'2.CropManagement'!S205</f>
        <v>0</v>
      </c>
      <c r="W80" s="1130"/>
      <c r="X80" s="149"/>
      <c r="Y80" s="149"/>
      <c r="Z80" s="166"/>
      <c r="AA80" s="166"/>
      <c r="AB80" s="166"/>
      <c r="AC80" s="166"/>
      <c r="AD80" s="149"/>
      <c r="AE80" s="149"/>
      <c r="AF80" s="166"/>
      <c r="AG80" s="166"/>
      <c r="AH80" s="166"/>
      <c r="AI80" s="166"/>
      <c r="AJ80" s="166"/>
      <c r="AK80" s="149"/>
      <c r="AL80" s="149"/>
      <c r="AM80" s="149"/>
      <c r="AN80" s="149"/>
      <c r="AO80" s="149"/>
      <c r="AP80" s="149"/>
      <c r="AQ80" s="149"/>
      <c r="AR80" s="149"/>
      <c r="AS80" s="149"/>
      <c r="AT80" s="149"/>
      <c r="AU80" s="149"/>
      <c r="AV80" s="149"/>
      <c r="AW80" s="149"/>
      <c r="AX80" s="149"/>
      <c r="AY80" s="149"/>
      <c r="AZ80" s="149"/>
      <c r="BA80" s="149"/>
      <c r="BB80" s="166"/>
      <c r="BC80" s="166"/>
      <c r="BD80" s="166"/>
      <c r="BE80" s="166"/>
      <c r="BF80" s="166"/>
      <c r="BG80" s="166"/>
      <c r="BH80" s="166"/>
      <c r="BI80" s="166"/>
      <c r="BJ80" s="166"/>
      <c r="BK80" s="166"/>
      <c r="BL80" s="166"/>
      <c r="BM80" s="166"/>
      <c r="BN80" s="166"/>
      <c r="BO80" s="166"/>
      <c r="BP80" s="166"/>
      <c r="BQ80" s="166"/>
      <c r="BR80" s="166"/>
      <c r="BS80" s="166"/>
      <c r="BT80" s="166"/>
      <c r="BU80" s="166"/>
      <c r="BV80" s="166"/>
      <c r="BW80" s="166"/>
      <c r="BX80" s="159"/>
      <c r="BY80" s="159"/>
      <c r="BZ80" s="159"/>
      <c r="CA80" s="159"/>
      <c r="CB80" s="159"/>
      <c r="CC80" s="159"/>
      <c r="CD80" s="159"/>
      <c r="CE80" s="159"/>
      <c r="CF80" s="159"/>
      <c r="CG80" s="159"/>
      <c r="CH80" s="159"/>
      <c r="CI80" s="159"/>
      <c r="CJ80" s="159"/>
      <c r="CK80" s="159"/>
      <c r="CL80" s="159"/>
      <c r="CM80" s="159"/>
      <c r="CN80" s="159"/>
      <c r="CO80" s="159"/>
      <c r="CP80" s="159"/>
      <c r="CQ80" s="159"/>
      <c r="CR80" s="159"/>
      <c r="CS80" s="159"/>
      <c r="CT80" s="159"/>
      <c r="CU80" s="159"/>
      <c r="CV80" s="159"/>
    </row>
    <row r="81" spans="1:100" ht="34.6" customHeight="1" x14ac:dyDescent="0.25">
      <c r="A81" s="166"/>
      <c r="B81" s="166"/>
      <c r="C81" s="166"/>
      <c r="D81" s="166"/>
      <c r="E81" s="166"/>
      <c r="F81" s="166"/>
      <c r="G81" s="166"/>
      <c r="H81" s="166"/>
      <c r="I81" s="166"/>
      <c r="J81" s="166"/>
      <c r="K81" s="166"/>
      <c r="L81" s="166"/>
      <c r="M81" s="166"/>
      <c r="N81" s="166"/>
      <c r="O81" s="166"/>
      <c r="P81" s="166"/>
      <c r="Q81" s="1129"/>
      <c r="R81" s="180" t="str">
        <f>'2.CropManagement'!O206</f>
        <v xml:space="preserve"> - Indonesia</v>
      </c>
      <c r="S81" s="180">
        <f>'2.CropManagement'!P206</f>
        <v>54</v>
      </c>
      <c r="T81" s="180" t="str">
        <f>'2.CropManagement'!Q206</f>
        <v>Asia</v>
      </c>
      <c r="U81" s="180">
        <f>'2.CropManagement'!R206</f>
        <v>0</v>
      </c>
      <c r="V81" s="180">
        <f>'2.CropManagement'!S206</f>
        <v>0</v>
      </c>
      <c r="W81" s="1130"/>
      <c r="X81" s="149"/>
      <c r="Y81" s="149"/>
      <c r="Z81" s="166"/>
      <c r="AA81" s="166"/>
      <c r="AB81" s="166"/>
      <c r="AC81" s="166"/>
      <c r="AD81" s="149"/>
      <c r="AE81" s="149"/>
      <c r="AF81" s="166"/>
      <c r="AG81" s="166"/>
      <c r="AH81" s="166"/>
      <c r="AI81" s="166"/>
      <c r="AJ81" s="166"/>
      <c r="AK81" s="149"/>
      <c r="AL81" s="149"/>
      <c r="AM81" s="149"/>
      <c r="AN81" s="149"/>
      <c r="AO81" s="149"/>
      <c r="AP81" s="149"/>
      <c r="AQ81" s="149"/>
      <c r="AR81" s="149"/>
      <c r="AS81" s="149"/>
      <c r="AT81" s="149"/>
      <c r="AU81" s="149"/>
      <c r="AV81" s="149"/>
      <c r="AW81" s="149"/>
      <c r="AX81" s="149"/>
      <c r="AY81" s="149"/>
      <c r="AZ81" s="149"/>
      <c r="BA81" s="149"/>
      <c r="BB81" s="166"/>
      <c r="BC81" s="166"/>
      <c r="BD81" s="166"/>
      <c r="BE81" s="166"/>
      <c r="BF81" s="166"/>
      <c r="BG81" s="166"/>
      <c r="BH81" s="166"/>
      <c r="BI81" s="166"/>
      <c r="BJ81" s="166"/>
      <c r="BK81" s="166"/>
      <c r="BL81" s="166"/>
      <c r="BM81" s="166"/>
      <c r="BN81" s="166"/>
      <c r="BO81" s="166"/>
      <c r="BP81" s="166"/>
      <c r="BQ81" s="166"/>
      <c r="BR81" s="166"/>
      <c r="BS81" s="166"/>
      <c r="BT81" s="166"/>
      <c r="BU81" s="166"/>
      <c r="BV81" s="166"/>
      <c r="BW81" s="166"/>
      <c r="BX81" s="159"/>
      <c r="BY81" s="159"/>
      <c r="BZ81" s="159"/>
      <c r="CA81" s="159"/>
      <c r="CB81" s="159"/>
      <c r="CC81" s="159"/>
      <c r="CD81" s="159"/>
      <c r="CE81" s="159"/>
      <c r="CF81" s="159"/>
      <c r="CG81" s="159"/>
      <c r="CH81" s="159"/>
      <c r="CI81" s="159"/>
      <c r="CJ81" s="159"/>
      <c r="CK81" s="159"/>
      <c r="CL81" s="159"/>
      <c r="CM81" s="159"/>
      <c r="CN81" s="159"/>
      <c r="CO81" s="159"/>
      <c r="CP81" s="159"/>
      <c r="CQ81" s="159"/>
      <c r="CR81" s="159"/>
      <c r="CS81" s="159"/>
      <c r="CT81" s="159"/>
      <c r="CU81" s="159"/>
      <c r="CV81" s="159"/>
    </row>
    <row r="82" spans="1:100" ht="34.6" customHeight="1" x14ac:dyDescent="0.25">
      <c r="A82" s="166"/>
      <c r="B82" s="166"/>
      <c r="C82" s="166"/>
      <c r="D82" s="166"/>
      <c r="E82" s="166"/>
      <c r="F82" s="166"/>
      <c r="G82" s="166"/>
      <c r="H82" s="166"/>
      <c r="I82" s="166"/>
      <c r="J82" s="166"/>
      <c r="K82" s="166"/>
      <c r="L82" s="166"/>
      <c r="M82" s="166"/>
      <c r="N82" s="166"/>
      <c r="O82" s="166"/>
      <c r="P82" s="166"/>
      <c r="Q82" s="1129"/>
      <c r="R82" s="180" t="str">
        <f>'2.CropManagement'!O207</f>
        <v xml:space="preserve"> - Iran Islamic Rep.</v>
      </c>
      <c r="S82" s="180">
        <f>'2.CropManagement'!P207</f>
        <v>55</v>
      </c>
      <c r="T82" s="180" t="str">
        <f>'2.CropManagement'!Q207</f>
        <v>Middle East</v>
      </c>
      <c r="U82" s="180">
        <f>'2.CropManagement'!R207</f>
        <v>0</v>
      </c>
      <c r="V82" s="180">
        <f>'2.CropManagement'!S207</f>
        <v>0</v>
      </c>
      <c r="W82" s="1130"/>
      <c r="X82" s="149"/>
      <c r="Y82" s="149"/>
      <c r="Z82" s="166"/>
      <c r="AA82" s="166"/>
      <c r="AB82" s="166"/>
      <c r="AC82" s="166"/>
      <c r="AD82" s="149"/>
      <c r="AE82" s="149"/>
      <c r="AF82" s="166"/>
      <c r="AG82" s="166"/>
      <c r="AH82" s="166"/>
      <c r="AI82" s="166"/>
      <c r="AJ82" s="166"/>
      <c r="AK82" s="149"/>
      <c r="AL82" s="149"/>
      <c r="AM82" s="149"/>
      <c r="AN82" s="149"/>
      <c r="AO82" s="149"/>
      <c r="AP82" s="149"/>
      <c r="AQ82" s="149"/>
      <c r="AR82" s="149"/>
      <c r="AS82" s="149"/>
      <c r="AT82" s="149"/>
      <c r="AU82" s="149"/>
      <c r="AV82" s="149"/>
      <c r="AW82" s="149"/>
      <c r="AX82" s="149"/>
      <c r="AY82" s="149"/>
      <c r="AZ82" s="149"/>
      <c r="BA82" s="149"/>
      <c r="BB82" s="166"/>
      <c r="BC82" s="166"/>
      <c r="BD82" s="166"/>
      <c r="BE82" s="166"/>
      <c r="BF82" s="166"/>
      <c r="BG82" s="166"/>
      <c r="BH82" s="166"/>
      <c r="BI82" s="166"/>
      <c r="BJ82" s="166"/>
      <c r="BK82" s="166"/>
      <c r="BL82" s="166"/>
      <c r="BM82" s="166"/>
      <c r="BN82" s="166"/>
      <c r="BO82" s="166"/>
      <c r="BP82" s="166"/>
      <c r="BQ82" s="166"/>
      <c r="BR82" s="166"/>
      <c r="BS82" s="166"/>
      <c r="BT82" s="166"/>
      <c r="BU82" s="166"/>
      <c r="BV82" s="166"/>
      <c r="BW82" s="166"/>
      <c r="BX82" s="159"/>
      <c r="BY82" s="159"/>
      <c r="BZ82" s="159"/>
      <c r="CA82" s="159"/>
      <c r="CB82" s="159"/>
      <c r="CC82" s="159"/>
      <c r="CD82" s="159"/>
      <c r="CE82" s="159"/>
      <c r="CF82" s="159"/>
      <c r="CG82" s="159"/>
      <c r="CH82" s="159"/>
      <c r="CI82" s="159"/>
      <c r="CJ82" s="159"/>
      <c r="CK82" s="159"/>
      <c r="CL82" s="159"/>
      <c r="CM82" s="159"/>
      <c r="CN82" s="159"/>
      <c r="CO82" s="159"/>
      <c r="CP82" s="159"/>
      <c r="CQ82" s="159"/>
      <c r="CR82" s="159"/>
      <c r="CS82" s="159"/>
      <c r="CT82" s="159"/>
      <c r="CU82" s="159"/>
      <c r="CV82" s="159"/>
    </row>
    <row r="83" spans="1:100" ht="34.6" customHeight="1" x14ac:dyDescent="0.25">
      <c r="A83" s="166"/>
      <c r="B83" s="166"/>
      <c r="C83" s="166"/>
      <c r="D83" s="166"/>
      <c r="E83" s="166"/>
      <c r="F83" s="166"/>
      <c r="G83" s="166"/>
      <c r="H83" s="166"/>
      <c r="I83" s="166"/>
      <c r="J83" s="166"/>
      <c r="K83" s="166"/>
      <c r="L83" s="166"/>
      <c r="M83" s="166"/>
      <c r="N83" s="166"/>
      <c r="O83" s="166"/>
      <c r="P83" s="166"/>
      <c r="Q83" s="1129"/>
      <c r="R83" s="180" t="str">
        <f>'2.CropManagement'!O208</f>
        <v xml:space="preserve"> - Iraq</v>
      </c>
      <c r="S83" s="180">
        <f>'2.CropManagement'!P208</f>
        <v>56</v>
      </c>
      <c r="T83" s="180" t="str">
        <f>'2.CropManagement'!Q208</f>
        <v>Middle East</v>
      </c>
      <c r="U83" s="180">
        <f>'2.CropManagement'!R208</f>
        <v>0</v>
      </c>
      <c r="V83" s="180">
        <f>'2.CropManagement'!S208</f>
        <v>0</v>
      </c>
      <c r="W83" s="1130"/>
      <c r="X83" s="149"/>
      <c r="Y83" s="149"/>
      <c r="Z83" s="166"/>
      <c r="AA83" s="166"/>
      <c r="AB83" s="166"/>
      <c r="AC83" s="166"/>
      <c r="AD83" s="149"/>
      <c r="AE83" s="149"/>
      <c r="AF83" s="166"/>
      <c r="AG83" s="166"/>
      <c r="AH83" s="166"/>
      <c r="AI83" s="166"/>
      <c r="AJ83" s="166"/>
      <c r="AK83" s="149"/>
      <c r="AL83" s="149"/>
      <c r="AM83" s="149"/>
      <c r="AN83" s="149"/>
      <c r="AO83" s="149"/>
      <c r="AP83" s="149"/>
      <c r="AQ83" s="149"/>
      <c r="AR83" s="149"/>
      <c r="AS83" s="149"/>
      <c r="AT83" s="149"/>
      <c r="AU83" s="149"/>
      <c r="AV83" s="149"/>
      <c r="AW83" s="149"/>
      <c r="AX83" s="149"/>
      <c r="AY83" s="149"/>
      <c r="AZ83" s="149"/>
      <c r="BA83" s="149"/>
      <c r="BB83" s="166"/>
      <c r="BC83" s="166"/>
      <c r="BD83" s="166"/>
      <c r="BE83" s="166"/>
      <c r="BF83" s="166"/>
      <c r="BG83" s="166"/>
      <c r="BH83" s="166"/>
      <c r="BI83" s="166"/>
      <c r="BJ83" s="166"/>
      <c r="BK83" s="166"/>
      <c r="BL83" s="166"/>
      <c r="BM83" s="166"/>
      <c r="BN83" s="166"/>
      <c r="BO83" s="166"/>
      <c r="BP83" s="166"/>
      <c r="BQ83" s="166"/>
      <c r="BR83" s="166"/>
      <c r="BS83" s="166"/>
      <c r="BT83" s="166"/>
      <c r="BU83" s="166"/>
      <c r="BV83" s="166"/>
      <c r="BW83" s="166"/>
      <c r="BX83" s="159"/>
      <c r="BY83" s="159"/>
      <c r="BZ83" s="159"/>
      <c r="CA83" s="159"/>
      <c r="CB83" s="159"/>
      <c r="CC83" s="159"/>
      <c r="CD83" s="159"/>
      <c r="CE83" s="159"/>
      <c r="CF83" s="159"/>
      <c r="CG83" s="159"/>
      <c r="CH83" s="159"/>
      <c r="CI83" s="159"/>
      <c r="CJ83" s="159"/>
      <c r="CK83" s="159"/>
      <c r="CL83" s="159"/>
      <c r="CM83" s="159"/>
      <c r="CN83" s="159"/>
      <c r="CO83" s="159"/>
      <c r="CP83" s="159"/>
      <c r="CQ83" s="159"/>
      <c r="CR83" s="159"/>
      <c r="CS83" s="159"/>
      <c r="CT83" s="159"/>
      <c r="CU83" s="159"/>
      <c r="CV83" s="159"/>
    </row>
    <row r="84" spans="1:100" ht="34.6" customHeight="1" x14ac:dyDescent="0.25">
      <c r="A84" s="166"/>
      <c r="B84" s="166"/>
      <c r="C84" s="166"/>
      <c r="D84" s="166"/>
      <c r="E84" s="166"/>
      <c r="F84" s="166"/>
      <c r="G84" s="166"/>
      <c r="H84" s="166"/>
      <c r="I84" s="166"/>
      <c r="J84" s="166"/>
      <c r="K84" s="166"/>
      <c r="L84" s="166"/>
      <c r="M84" s="166"/>
      <c r="N84" s="166"/>
      <c r="O84" s="166"/>
      <c r="P84" s="166"/>
      <c r="Q84" s="1129"/>
      <c r="R84" s="180" t="str">
        <f>'2.CropManagement'!O209</f>
        <v xml:space="preserve"> - Ireland</v>
      </c>
      <c r="S84" s="180">
        <f>'2.CropManagement'!P209</f>
        <v>57</v>
      </c>
      <c r="T84" s="180" t="str">
        <f>'2.CropManagement'!Q209</f>
        <v>Western Europe</v>
      </c>
      <c r="U84" s="180">
        <f>'2.CropManagement'!R209</f>
        <v>0</v>
      </c>
      <c r="V84" s="180">
        <f>'2.CropManagement'!S209</f>
        <v>1</v>
      </c>
      <c r="W84" s="1130"/>
      <c r="X84" s="149"/>
      <c r="Y84" s="149"/>
      <c r="Z84" s="166"/>
      <c r="AA84" s="166"/>
      <c r="AB84" s="166"/>
      <c r="AC84" s="166"/>
      <c r="AD84" s="149"/>
      <c r="AE84" s="149"/>
      <c r="AF84" s="149"/>
      <c r="AG84" s="149"/>
      <c r="AH84" s="149"/>
      <c r="AI84" s="149"/>
      <c r="AJ84" s="149"/>
      <c r="AK84" s="149"/>
      <c r="AL84" s="149"/>
      <c r="AM84" s="149"/>
      <c r="AN84" s="149"/>
      <c r="AO84" s="149"/>
      <c r="AP84" s="149"/>
      <c r="AQ84" s="149"/>
      <c r="AR84" s="149"/>
      <c r="AS84" s="149"/>
      <c r="AT84" s="149"/>
      <c r="AU84" s="149"/>
      <c r="AV84" s="149"/>
      <c r="AW84" s="149"/>
      <c r="AX84" s="149"/>
      <c r="AY84" s="149"/>
      <c r="AZ84" s="149"/>
      <c r="BA84" s="166"/>
      <c r="BB84" s="166"/>
      <c r="BC84" s="166"/>
      <c r="BD84" s="166"/>
      <c r="BE84" s="166"/>
      <c r="BF84" s="166"/>
      <c r="BG84" s="166"/>
      <c r="BH84" s="166"/>
      <c r="BI84" s="166"/>
      <c r="BJ84" s="166"/>
      <c r="BK84" s="166"/>
      <c r="BL84" s="166"/>
      <c r="BM84" s="166"/>
      <c r="BN84" s="166"/>
      <c r="BO84" s="166"/>
      <c r="BP84" s="166"/>
      <c r="BQ84" s="166"/>
      <c r="BR84" s="166"/>
      <c r="BS84" s="166"/>
      <c r="BT84" s="166"/>
      <c r="BU84" s="166"/>
      <c r="BV84" s="166"/>
      <c r="BW84" s="166"/>
      <c r="BX84" s="159"/>
      <c r="BY84" s="159"/>
      <c r="BZ84" s="159"/>
      <c r="CA84" s="159"/>
      <c r="CB84" s="159"/>
      <c r="CC84" s="159"/>
      <c r="CD84" s="159"/>
      <c r="CE84" s="159"/>
      <c r="CF84" s="159"/>
      <c r="CG84" s="159"/>
      <c r="CH84" s="159"/>
      <c r="CI84" s="159"/>
      <c r="CJ84" s="159"/>
      <c r="CK84" s="159"/>
      <c r="CL84" s="159"/>
      <c r="CM84" s="159"/>
      <c r="CN84" s="159"/>
      <c r="CO84" s="159"/>
      <c r="CP84" s="159"/>
      <c r="CQ84" s="159"/>
      <c r="CR84" s="159"/>
      <c r="CS84" s="159"/>
      <c r="CT84" s="159"/>
      <c r="CU84" s="159"/>
      <c r="CV84" s="159"/>
    </row>
    <row r="85" spans="1:100" ht="34.6" customHeight="1" x14ac:dyDescent="0.25">
      <c r="A85" s="166"/>
      <c r="B85" s="166"/>
      <c r="C85" s="166"/>
      <c r="D85" s="166"/>
      <c r="E85" s="166"/>
      <c r="F85" s="166"/>
      <c r="G85" s="166"/>
      <c r="H85" s="166"/>
      <c r="I85" s="166"/>
      <c r="J85" s="166"/>
      <c r="K85" s="166"/>
      <c r="L85" s="166"/>
      <c r="M85" s="166"/>
      <c r="N85" s="166"/>
      <c r="O85" s="166"/>
      <c r="P85" s="166"/>
      <c r="Q85" s="1129"/>
      <c r="R85" s="180" t="str">
        <f>'2.CropManagement'!O210</f>
        <v xml:space="preserve"> - Israel</v>
      </c>
      <c r="S85" s="180">
        <f>'2.CropManagement'!P210</f>
        <v>58</v>
      </c>
      <c r="T85" s="180" t="str">
        <f>'2.CropManagement'!Q210</f>
        <v>Middle East</v>
      </c>
      <c r="U85" s="180">
        <f>'2.CropManagement'!R210</f>
        <v>0</v>
      </c>
      <c r="V85" s="180">
        <f>'2.CropManagement'!S210</f>
        <v>1</v>
      </c>
      <c r="W85" s="1130"/>
      <c r="X85" s="149"/>
      <c r="Y85" s="149"/>
      <c r="Z85" s="149"/>
      <c r="AA85" s="166"/>
      <c r="AB85" s="166"/>
      <c r="AC85" s="166"/>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66"/>
      <c r="BB85" s="166"/>
      <c r="BC85" s="166"/>
      <c r="BD85" s="166"/>
      <c r="BE85" s="166"/>
      <c r="BF85" s="166"/>
      <c r="BG85" s="166"/>
      <c r="BH85" s="166"/>
      <c r="BI85" s="166"/>
      <c r="BJ85" s="166"/>
      <c r="BK85" s="166"/>
      <c r="BL85" s="166"/>
      <c r="BM85" s="166"/>
      <c r="BN85" s="166"/>
      <c r="BO85" s="166"/>
      <c r="BP85" s="166"/>
      <c r="BQ85" s="166"/>
      <c r="BR85" s="166"/>
      <c r="BS85" s="166"/>
      <c r="BT85" s="166"/>
      <c r="BU85" s="166"/>
      <c r="BV85" s="166"/>
      <c r="BW85" s="166"/>
      <c r="BX85" s="159"/>
      <c r="BY85" s="159"/>
      <c r="BZ85" s="159"/>
      <c r="CA85" s="159"/>
      <c r="CB85" s="159"/>
      <c r="CC85" s="159"/>
      <c r="CD85" s="159"/>
      <c r="CE85" s="159"/>
      <c r="CF85" s="159"/>
      <c r="CG85" s="159"/>
      <c r="CH85" s="159"/>
      <c r="CI85" s="159"/>
      <c r="CJ85" s="159"/>
      <c r="CK85" s="159"/>
      <c r="CL85" s="159"/>
      <c r="CM85" s="159"/>
      <c r="CN85" s="159"/>
      <c r="CO85" s="159"/>
      <c r="CP85" s="159"/>
      <c r="CQ85" s="159"/>
      <c r="CR85" s="159"/>
      <c r="CS85" s="159"/>
      <c r="CT85" s="159"/>
      <c r="CU85" s="159"/>
      <c r="CV85" s="159"/>
    </row>
    <row r="86" spans="1:100" ht="34.6" customHeight="1" x14ac:dyDescent="0.25">
      <c r="A86" s="166"/>
      <c r="B86" s="166"/>
      <c r="C86" s="166"/>
      <c r="D86" s="166"/>
      <c r="E86" s="166"/>
      <c r="F86" s="166"/>
      <c r="G86" s="166"/>
      <c r="H86" s="166"/>
      <c r="I86" s="166"/>
      <c r="J86" s="166"/>
      <c r="K86" s="166"/>
      <c r="L86" s="166"/>
      <c r="M86" s="166"/>
      <c r="N86" s="166"/>
      <c r="O86" s="166"/>
      <c r="P86" s="166"/>
      <c r="Q86" s="1129"/>
      <c r="R86" s="180" t="str">
        <f>'2.CropManagement'!O211</f>
        <v xml:space="preserve"> - Italy</v>
      </c>
      <c r="S86" s="180">
        <f>'2.CropManagement'!P211</f>
        <v>59</v>
      </c>
      <c r="T86" s="180" t="str">
        <f>'2.CropManagement'!Q211</f>
        <v>Western Europe</v>
      </c>
      <c r="U86" s="180">
        <f>'2.CropManagement'!R211</f>
        <v>0</v>
      </c>
      <c r="V86" s="180">
        <f>'2.CropManagement'!S211</f>
        <v>1</v>
      </c>
      <c r="W86" s="1130"/>
      <c r="X86" s="149"/>
      <c r="Y86" s="149"/>
      <c r="Z86" s="166"/>
      <c r="AA86" s="166"/>
      <c r="AB86" s="166"/>
      <c r="AC86" s="166"/>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66"/>
      <c r="BB86" s="166"/>
      <c r="BC86" s="166"/>
      <c r="BD86" s="166"/>
      <c r="BE86" s="166"/>
      <c r="BF86" s="166"/>
      <c r="BG86" s="166"/>
      <c r="BH86" s="166"/>
      <c r="BI86" s="166"/>
      <c r="BJ86" s="166"/>
      <c r="BK86" s="166"/>
      <c r="BL86" s="166"/>
      <c r="BM86" s="166"/>
      <c r="BN86" s="166"/>
      <c r="BO86" s="166"/>
      <c r="BP86" s="166"/>
      <c r="BQ86" s="166"/>
      <c r="BR86" s="166"/>
      <c r="BS86" s="166"/>
      <c r="BT86" s="166"/>
      <c r="BU86" s="166"/>
      <c r="BV86" s="166"/>
      <c r="BW86" s="166"/>
      <c r="BX86" s="159"/>
      <c r="BY86" s="159"/>
      <c r="BZ86" s="159"/>
      <c r="CA86" s="159"/>
      <c r="CB86" s="159"/>
      <c r="CC86" s="159"/>
      <c r="CD86" s="159"/>
      <c r="CE86" s="159"/>
      <c r="CF86" s="159"/>
      <c r="CG86" s="159"/>
      <c r="CH86" s="159"/>
      <c r="CI86" s="159"/>
      <c r="CJ86" s="159"/>
      <c r="CK86" s="159"/>
      <c r="CL86" s="159"/>
      <c r="CM86" s="159"/>
      <c r="CN86" s="159"/>
      <c r="CO86" s="159"/>
      <c r="CP86" s="159"/>
      <c r="CQ86" s="159"/>
      <c r="CR86" s="159"/>
      <c r="CS86" s="159"/>
      <c r="CT86" s="159"/>
      <c r="CU86" s="159"/>
      <c r="CV86" s="159"/>
    </row>
    <row r="87" spans="1:100" ht="34.6" customHeight="1" x14ac:dyDescent="0.25">
      <c r="A87" s="166"/>
      <c r="B87" s="166"/>
      <c r="C87" s="166"/>
      <c r="D87" s="166"/>
      <c r="E87" s="166"/>
      <c r="F87" s="166"/>
      <c r="G87" s="166"/>
      <c r="H87" s="166"/>
      <c r="I87" s="166"/>
      <c r="J87" s="166"/>
      <c r="K87" s="166"/>
      <c r="L87" s="166"/>
      <c r="M87" s="166"/>
      <c r="N87" s="166"/>
      <c r="O87" s="166"/>
      <c r="P87" s="166"/>
      <c r="Q87" s="1129"/>
      <c r="R87" s="180" t="str">
        <f>'2.CropManagement'!O212</f>
        <v xml:space="preserve"> - Jamaica</v>
      </c>
      <c r="S87" s="180">
        <f>'2.CropManagement'!P212</f>
        <v>60</v>
      </c>
      <c r="T87" s="180" t="str">
        <f>'2.CropManagement'!Q212</f>
        <v>Latin America</v>
      </c>
      <c r="U87" s="180">
        <f>'2.CropManagement'!R212</f>
        <v>0</v>
      </c>
      <c r="V87" s="180">
        <f>'2.CropManagement'!S212</f>
        <v>0</v>
      </c>
      <c r="W87" s="1130"/>
      <c r="X87" s="149"/>
      <c r="Y87" s="149"/>
      <c r="Z87" s="166"/>
      <c r="AA87" s="166"/>
      <c r="AB87" s="166"/>
      <c r="AC87" s="166"/>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66"/>
      <c r="BB87" s="166"/>
      <c r="BC87" s="166"/>
      <c r="BD87" s="166"/>
      <c r="BE87" s="166"/>
      <c r="BF87" s="166"/>
      <c r="BG87" s="166"/>
      <c r="BH87" s="166"/>
      <c r="BI87" s="166"/>
      <c r="BJ87" s="166"/>
      <c r="BK87" s="166"/>
      <c r="BL87" s="166"/>
      <c r="BM87" s="166"/>
      <c r="BN87" s="166"/>
      <c r="BO87" s="166"/>
      <c r="BP87" s="166"/>
      <c r="BQ87" s="166"/>
      <c r="BR87" s="166"/>
      <c r="BS87" s="166"/>
      <c r="BT87" s="166"/>
      <c r="BU87" s="166"/>
      <c r="BV87" s="166"/>
      <c r="BW87" s="166"/>
      <c r="BX87" s="159"/>
      <c r="BY87" s="159"/>
      <c r="BZ87" s="159"/>
      <c r="CA87" s="159"/>
      <c r="CB87" s="159"/>
      <c r="CC87" s="159"/>
      <c r="CD87" s="159"/>
      <c r="CE87" s="159"/>
      <c r="CF87" s="159"/>
      <c r="CG87" s="159"/>
      <c r="CH87" s="159"/>
      <c r="CI87" s="159"/>
      <c r="CJ87" s="159"/>
      <c r="CK87" s="159"/>
      <c r="CL87" s="159"/>
      <c r="CM87" s="159"/>
      <c r="CN87" s="159"/>
      <c r="CO87" s="159"/>
      <c r="CP87" s="159"/>
      <c r="CQ87" s="159"/>
      <c r="CR87" s="159"/>
      <c r="CS87" s="159"/>
      <c r="CT87" s="159"/>
      <c r="CU87" s="159"/>
      <c r="CV87" s="159"/>
    </row>
    <row r="88" spans="1:100" ht="34.6" customHeight="1" x14ac:dyDescent="0.25">
      <c r="A88" s="166"/>
      <c r="B88" s="166"/>
      <c r="C88" s="166"/>
      <c r="D88" s="166"/>
      <c r="E88" s="166"/>
      <c r="F88" s="166"/>
      <c r="G88" s="166"/>
      <c r="H88" s="166"/>
      <c r="I88" s="166"/>
      <c r="J88" s="166"/>
      <c r="K88" s="166"/>
      <c r="L88" s="166"/>
      <c r="M88" s="166"/>
      <c r="N88" s="166"/>
      <c r="O88" s="166"/>
      <c r="P88" s="166"/>
      <c r="Q88" s="1129"/>
      <c r="R88" s="180" t="str">
        <f>'2.CropManagement'!O213</f>
        <v xml:space="preserve"> - Japan</v>
      </c>
      <c r="S88" s="180">
        <f>'2.CropManagement'!P213</f>
        <v>61</v>
      </c>
      <c r="T88" s="180" t="str">
        <f>'2.CropManagement'!Q213</f>
        <v>Asia</v>
      </c>
      <c r="U88" s="180">
        <f>'2.CropManagement'!R213</f>
        <v>0</v>
      </c>
      <c r="V88" s="180">
        <f>'2.CropManagement'!S213</f>
        <v>1</v>
      </c>
      <c r="W88" s="1130"/>
      <c r="X88" s="149"/>
      <c r="Y88" s="149"/>
      <c r="Z88" s="166"/>
      <c r="AA88" s="166"/>
      <c r="AB88" s="166"/>
      <c r="AC88" s="166"/>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66"/>
      <c r="BB88" s="166"/>
      <c r="BC88" s="166"/>
      <c r="BD88" s="166"/>
      <c r="BE88" s="166"/>
      <c r="BF88" s="166"/>
      <c r="BG88" s="166"/>
      <c r="BH88" s="166"/>
      <c r="BI88" s="166"/>
      <c r="BJ88" s="166"/>
      <c r="BK88" s="166"/>
      <c r="BL88" s="166"/>
      <c r="BM88" s="166"/>
      <c r="BN88" s="166"/>
      <c r="BO88" s="166"/>
      <c r="BP88" s="166"/>
      <c r="BQ88" s="166"/>
      <c r="BR88" s="166"/>
      <c r="BS88" s="166"/>
      <c r="BT88" s="166"/>
      <c r="BU88" s="166"/>
      <c r="BV88" s="166"/>
      <c r="BW88" s="166"/>
      <c r="BX88" s="159"/>
      <c r="BY88" s="159"/>
      <c r="BZ88" s="159"/>
      <c r="CA88" s="159"/>
      <c r="CB88" s="159"/>
      <c r="CC88" s="159"/>
      <c r="CD88" s="159"/>
      <c r="CE88" s="159"/>
      <c r="CF88" s="159"/>
      <c r="CG88" s="159"/>
      <c r="CH88" s="159"/>
      <c r="CI88" s="159"/>
      <c r="CJ88" s="159"/>
      <c r="CK88" s="159"/>
      <c r="CL88" s="159"/>
      <c r="CM88" s="159"/>
      <c r="CN88" s="159"/>
      <c r="CO88" s="159"/>
      <c r="CP88" s="159"/>
      <c r="CQ88" s="159"/>
      <c r="CR88" s="159"/>
      <c r="CS88" s="159"/>
      <c r="CT88" s="159"/>
      <c r="CU88" s="159"/>
      <c r="CV88" s="159"/>
    </row>
    <row r="89" spans="1:100" ht="34.6" customHeight="1" x14ac:dyDescent="0.25">
      <c r="A89" s="166"/>
      <c r="B89" s="166"/>
      <c r="C89" s="166"/>
      <c r="D89" s="166"/>
      <c r="E89" s="166"/>
      <c r="F89" s="166"/>
      <c r="G89" s="166"/>
      <c r="H89" s="166"/>
      <c r="I89" s="166"/>
      <c r="J89" s="166"/>
      <c r="K89" s="166"/>
      <c r="L89" s="166"/>
      <c r="M89" s="166"/>
      <c r="N89" s="166"/>
      <c r="O89" s="166"/>
      <c r="P89" s="166"/>
      <c r="Q89" s="1129"/>
      <c r="R89" s="180" t="str">
        <f>'2.CropManagement'!O214</f>
        <v xml:space="preserve"> - Jordan</v>
      </c>
      <c r="S89" s="180">
        <f>'2.CropManagement'!P214</f>
        <v>62</v>
      </c>
      <c r="T89" s="180" t="str">
        <f>'2.CropManagement'!Q214</f>
        <v>Middle East</v>
      </c>
      <c r="U89" s="180">
        <f>'2.CropManagement'!R214</f>
        <v>0</v>
      </c>
      <c r="V89" s="180">
        <f>'2.CropManagement'!S214</f>
        <v>0</v>
      </c>
      <c r="W89" s="1130"/>
      <c r="X89" s="149"/>
      <c r="Y89" s="149"/>
      <c r="Z89" s="149"/>
      <c r="AA89" s="166"/>
      <c r="AB89" s="166"/>
      <c r="AC89" s="166"/>
      <c r="AD89" s="149"/>
      <c r="AE89" s="149"/>
      <c r="AF89" s="149"/>
      <c r="AG89" s="149"/>
      <c r="AH89" s="149"/>
      <c r="AI89" s="149"/>
      <c r="AJ89" s="149"/>
      <c r="AK89" s="149"/>
      <c r="AL89" s="149"/>
      <c r="AM89" s="149"/>
      <c r="AN89" s="149"/>
      <c r="AO89" s="149"/>
      <c r="AP89" s="149"/>
      <c r="AQ89" s="149"/>
      <c r="AR89" s="149"/>
      <c r="AS89" s="149"/>
      <c r="AT89" s="149"/>
      <c r="AU89" s="149"/>
      <c r="AV89" s="149"/>
      <c r="AW89" s="149"/>
      <c r="AX89" s="149"/>
      <c r="AY89" s="149"/>
      <c r="AZ89" s="149"/>
      <c r="BA89" s="166"/>
      <c r="BB89" s="166"/>
      <c r="BC89" s="166"/>
      <c r="BD89" s="166"/>
      <c r="BE89" s="166"/>
      <c r="BF89" s="166"/>
      <c r="BG89" s="166"/>
      <c r="BH89" s="166"/>
      <c r="BI89" s="166"/>
      <c r="BJ89" s="166"/>
      <c r="BK89" s="166"/>
      <c r="BL89" s="166"/>
      <c r="BM89" s="166"/>
      <c r="BN89" s="166"/>
      <c r="BO89" s="166"/>
      <c r="BP89" s="166"/>
      <c r="BQ89" s="166"/>
      <c r="BR89" s="166"/>
      <c r="BS89" s="166"/>
      <c r="BT89" s="166"/>
      <c r="BU89" s="166"/>
      <c r="BV89" s="166"/>
      <c r="BW89" s="166"/>
      <c r="BX89" s="159"/>
      <c r="BY89" s="159"/>
      <c r="BZ89" s="159"/>
      <c r="CA89" s="159"/>
      <c r="CB89" s="159"/>
      <c r="CC89" s="159"/>
      <c r="CD89" s="159"/>
      <c r="CE89" s="159"/>
      <c r="CF89" s="159"/>
      <c r="CG89" s="159"/>
      <c r="CH89" s="159"/>
      <c r="CI89" s="159"/>
      <c r="CJ89" s="159"/>
      <c r="CK89" s="159"/>
      <c r="CL89" s="159"/>
      <c r="CM89" s="159"/>
      <c r="CN89" s="159"/>
      <c r="CO89" s="159"/>
      <c r="CP89" s="159"/>
      <c r="CQ89" s="159"/>
      <c r="CR89" s="159"/>
      <c r="CS89" s="159"/>
      <c r="CT89" s="159"/>
      <c r="CU89" s="159"/>
      <c r="CV89" s="159"/>
    </row>
    <row r="90" spans="1:100" ht="34.6" customHeight="1" x14ac:dyDescent="0.25">
      <c r="A90" s="166"/>
      <c r="B90" s="166"/>
      <c r="C90" s="166"/>
      <c r="D90" s="166"/>
      <c r="E90" s="166"/>
      <c r="F90" s="166"/>
      <c r="G90" s="166"/>
      <c r="H90" s="166"/>
      <c r="I90" s="166"/>
      <c r="J90" s="166"/>
      <c r="K90" s="166"/>
      <c r="L90" s="166"/>
      <c r="M90" s="166"/>
      <c r="N90" s="166"/>
      <c r="O90" s="166"/>
      <c r="P90" s="166"/>
      <c r="Q90" s="1129"/>
      <c r="R90" s="180" t="str">
        <f>'2.CropManagement'!O215</f>
        <v xml:space="preserve"> - Kazakhstan</v>
      </c>
      <c r="S90" s="180">
        <f>'2.CropManagement'!P215</f>
        <v>63</v>
      </c>
      <c r="T90" s="180" t="str">
        <f>'2.CropManagement'!Q215</f>
        <v>Asia</v>
      </c>
      <c r="U90" s="180">
        <f>'2.CropManagement'!R215</f>
        <v>0</v>
      </c>
      <c r="V90" s="180">
        <f>'2.CropManagement'!S215</f>
        <v>0</v>
      </c>
      <c r="W90" s="1130"/>
      <c r="X90" s="149"/>
      <c r="Y90" s="149"/>
      <c r="Z90" s="149"/>
      <c r="AA90" s="166"/>
      <c r="AB90" s="166"/>
      <c r="AC90" s="166"/>
      <c r="AD90" s="149"/>
      <c r="AE90" s="149"/>
      <c r="AF90" s="149"/>
      <c r="AG90" s="149"/>
      <c r="AH90" s="149"/>
      <c r="AI90" s="149"/>
      <c r="AJ90" s="149"/>
      <c r="AK90" s="149"/>
      <c r="AL90" s="149"/>
      <c r="AM90" s="149"/>
      <c r="AN90" s="149"/>
      <c r="AO90" s="149"/>
      <c r="AP90" s="149"/>
      <c r="AQ90" s="149"/>
      <c r="AR90" s="149"/>
      <c r="AS90" s="149"/>
      <c r="AT90" s="1100"/>
      <c r="AU90" s="149"/>
      <c r="AV90" s="149"/>
      <c r="AW90" s="149"/>
      <c r="AX90" s="149"/>
      <c r="AY90" s="149"/>
      <c r="AZ90" s="149"/>
      <c r="BA90" s="166"/>
      <c r="BB90" s="166"/>
      <c r="BC90" s="166"/>
      <c r="BD90" s="166"/>
      <c r="BE90" s="166"/>
      <c r="BF90" s="166"/>
      <c r="BG90" s="166"/>
      <c r="BH90" s="166"/>
      <c r="BI90" s="166"/>
      <c r="BJ90" s="166"/>
      <c r="BK90" s="166"/>
      <c r="BL90" s="166"/>
      <c r="BM90" s="166"/>
      <c r="BN90" s="166"/>
      <c r="BO90" s="166"/>
      <c r="BP90" s="166"/>
      <c r="BQ90" s="166"/>
      <c r="BR90" s="166"/>
      <c r="BS90" s="166"/>
      <c r="BT90" s="166"/>
      <c r="BU90" s="166"/>
      <c r="BV90" s="166"/>
      <c r="BW90" s="166"/>
      <c r="BX90" s="159"/>
      <c r="BY90" s="159"/>
      <c r="BZ90" s="159"/>
      <c r="CA90" s="159"/>
      <c r="CB90" s="159"/>
      <c r="CC90" s="159"/>
      <c r="CD90" s="159"/>
      <c r="CE90" s="159"/>
      <c r="CF90" s="159"/>
      <c r="CG90" s="159"/>
      <c r="CH90" s="159"/>
      <c r="CI90" s="159"/>
      <c r="CJ90" s="159"/>
      <c r="CK90" s="159"/>
      <c r="CL90" s="159"/>
      <c r="CM90" s="159"/>
      <c r="CN90" s="159"/>
      <c r="CO90" s="159"/>
      <c r="CP90" s="159"/>
      <c r="CQ90" s="159"/>
      <c r="CR90" s="159"/>
      <c r="CS90" s="159"/>
      <c r="CT90" s="159"/>
      <c r="CU90" s="159"/>
      <c r="CV90" s="159"/>
    </row>
    <row r="91" spans="1:100" ht="34.6" customHeight="1" x14ac:dyDescent="0.25">
      <c r="A91" s="166"/>
      <c r="B91" s="166"/>
      <c r="C91" s="166"/>
      <c r="D91" s="166"/>
      <c r="E91" s="166"/>
      <c r="F91" s="166"/>
      <c r="G91" s="166"/>
      <c r="H91" s="166"/>
      <c r="I91" s="166"/>
      <c r="J91" s="166"/>
      <c r="K91" s="166"/>
      <c r="L91" s="166"/>
      <c r="M91" s="166"/>
      <c r="N91" s="166"/>
      <c r="O91" s="166"/>
      <c r="P91" s="166"/>
      <c r="Q91" s="1129"/>
      <c r="R91" s="180" t="str">
        <f>'2.CropManagement'!O216</f>
        <v xml:space="preserve"> - Kenya</v>
      </c>
      <c r="S91" s="180">
        <f>'2.CropManagement'!P216</f>
        <v>64</v>
      </c>
      <c r="T91" s="180" t="str">
        <f>'2.CropManagement'!Q216</f>
        <v>Africa</v>
      </c>
      <c r="U91" s="180">
        <f>'2.CropManagement'!R216</f>
        <v>0</v>
      </c>
      <c r="V91" s="180">
        <f>'2.CropManagement'!S216</f>
        <v>0</v>
      </c>
      <c r="W91" s="1130"/>
      <c r="X91" s="149"/>
      <c r="Y91" s="149"/>
      <c r="Z91" s="149"/>
      <c r="AA91" s="166"/>
      <c r="AB91" s="166"/>
      <c r="AC91" s="166"/>
      <c r="AD91" s="149"/>
      <c r="AE91" s="149"/>
      <c r="AF91" s="149"/>
      <c r="AG91" s="149"/>
      <c r="AH91" s="149"/>
      <c r="AI91" s="149"/>
      <c r="AJ91" s="149"/>
      <c r="AK91" s="149"/>
      <c r="AL91" s="149"/>
      <c r="AM91" s="149"/>
      <c r="AN91" s="149"/>
      <c r="AO91" s="149"/>
      <c r="AP91" s="149"/>
      <c r="AQ91" s="149"/>
      <c r="AR91" s="149"/>
      <c r="AS91" s="149"/>
      <c r="AT91" s="1692"/>
      <c r="AU91" s="149"/>
      <c r="AV91" s="149"/>
      <c r="AW91" s="149"/>
      <c r="AX91" s="149"/>
      <c r="AY91" s="149"/>
      <c r="AZ91" s="149"/>
      <c r="BA91" s="166"/>
      <c r="BB91" s="166"/>
      <c r="BC91" s="166"/>
      <c r="BD91" s="166"/>
      <c r="BE91" s="166"/>
      <c r="BF91" s="166"/>
      <c r="BG91" s="166"/>
      <c r="BH91" s="166"/>
      <c r="BI91" s="166"/>
      <c r="BJ91" s="166"/>
      <c r="BK91" s="166"/>
      <c r="BL91" s="166"/>
      <c r="BM91" s="166"/>
      <c r="BN91" s="166"/>
      <c r="BO91" s="166"/>
      <c r="BP91" s="166"/>
      <c r="BQ91" s="166"/>
      <c r="BR91" s="166"/>
      <c r="BS91" s="166"/>
      <c r="BT91" s="166"/>
      <c r="BU91" s="166"/>
      <c r="BV91" s="166"/>
      <c r="BW91" s="166"/>
      <c r="BX91" s="159"/>
      <c r="BY91" s="159"/>
      <c r="BZ91" s="159"/>
      <c r="CA91" s="159"/>
      <c r="CB91" s="159"/>
      <c r="CC91" s="159"/>
      <c r="CD91" s="159"/>
      <c r="CE91" s="159"/>
      <c r="CF91" s="159"/>
      <c r="CG91" s="159"/>
      <c r="CH91" s="159"/>
      <c r="CI91" s="159"/>
      <c r="CJ91" s="159"/>
      <c r="CK91" s="159"/>
      <c r="CL91" s="159"/>
      <c r="CM91" s="159"/>
      <c r="CN91" s="159"/>
      <c r="CO91" s="159"/>
      <c r="CP91" s="159"/>
      <c r="CQ91" s="159"/>
      <c r="CR91" s="159"/>
      <c r="CS91" s="159"/>
      <c r="CT91" s="159"/>
      <c r="CU91" s="159"/>
      <c r="CV91" s="159"/>
    </row>
    <row r="92" spans="1:100" ht="34.6" customHeight="1" x14ac:dyDescent="0.25">
      <c r="A92" s="166"/>
      <c r="B92" s="166"/>
      <c r="C92" s="166"/>
      <c r="D92" s="166"/>
      <c r="E92" s="166"/>
      <c r="F92" s="166"/>
      <c r="G92" s="166"/>
      <c r="H92" s="166"/>
      <c r="I92" s="166"/>
      <c r="J92" s="166"/>
      <c r="K92" s="166"/>
      <c r="L92" s="166"/>
      <c r="M92" s="166"/>
      <c r="N92" s="166"/>
      <c r="O92" s="166"/>
      <c r="P92" s="166"/>
      <c r="Q92" s="1129"/>
      <c r="R92" s="180" t="str">
        <f>'2.CropManagement'!O217</f>
        <v xml:space="preserve"> - Korea, Dem Rep. of</v>
      </c>
      <c r="S92" s="180">
        <f>'2.CropManagement'!P217</f>
        <v>65</v>
      </c>
      <c r="T92" s="180" t="str">
        <f>'2.CropManagement'!Q217</f>
        <v>Asia</v>
      </c>
      <c r="U92" s="180">
        <f>'2.CropManagement'!R217</f>
        <v>0</v>
      </c>
      <c r="V92" s="180">
        <f>'2.CropManagement'!S217</f>
        <v>0</v>
      </c>
      <c r="W92" s="1130"/>
      <c r="X92" s="149"/>
      <c r="Y92" s="149"/>
      <c r="Z92" s="149"/>
      <c r="AA92" s="166"/>
      <c r="AB92" s="166"/>
      <c r="AC92" s="166"/>
      <c r="AD92" s="149"/>
      <c r="AE92" s="149"/>
      <c r="AF92" s="149"/>
      <c r="AG92" s="149"/>
      <c r="AH92" s="149"/>
      <c r="AI92" s="149"/>
      <c r="AJ92" s="149"/>
      <c r="AK92" s="149"/>
      <c r="AL92" s="149"/>
      <c r="AM92" s="149"/>
      <c r="AN92" s="149"/>
      <c r="AO92" s="149"/>
      <c r="AP92" s="149"/>
      <c r="AQ92" s="149"/>
      <c r="AR92" s="149"/>
      <c r="AS92" s="149"/>
      <c r="AT92" s="1692"/>
      <c r="AU92" s="149"/>
      <c r="AV92" s="149"/>
      <c r="AW92" s="149"/>
      <c r="AX92" s="149"/>
      <c r="AY92" s="149"/>
      <c r="AZ92" s="149"/>
      <c r="BA92" s="166"/>
      <c r="BB92" s="166"/>
      <c r="BC92" s="166"/>
      <c r="BD92" s="166"/>
      <c r="BE92" s="166"/>
      <c r="BF92" s="166"/>
      <c r="BG92" s="166"/>
      <c r="BH92" s="166"/>
      <c r="BI92" s="166"/>
      <c r="BJ92" s="166"/>
      <c r="BK92" s="166"/>
      <c r="BL92" s="166"/>
      <c r="BM92" s="166"/>
      <c r="BN92" s="166"/>
      <c r="BO92" s="166"/>
      <c r="BP92" s="166"/>
      <c r="BQ92" s="166"/>
      <c r="BR92" s="166"/>
      <c r="BS92" s="166"/>
      <c r="BT92" s="166"/>
      <c r="BU92" s="166"/>
      <c r="BV92" s="166"/>
      <c r="BW92" s="166"/>
      <c r="BX92" s="159"/>
      <c r="BY92" s="159"/>
      <c r="BZ92" s="159"/>
      <c r="CA92" s="159"/>
      <c r="CB92" s="159"/>
      <c r="CC92" s="159"/>
      <c r="CD92" s="159"/>
      <c r="CE92" s="159"/>
      <c r="CF92" s="159"/>
      <c r="CG92" s="159"/>
      <c r="CH92" s="159"/>
      <c r="CI92" s="159"/>
      <c r="CJ92" s="159"/>
      <c r="CK92" s="159"/>
      <c r="CL92" s="159"/>
      <c r="CM92" s="159"/>
      <c r="CN92" s="159"/>
      <c r="CO92" s="159"/>
      <c r="CP92" s="159"/>
      <c r="CQ92" s="159"/>
      <c r="CR92" s="159"/>
      <c r="CS92" s="159"/>
      <c r="CT92" s="159"/>
      <c r="CU92" s="159"/>
      <c r="CV92" s="159"/>
    </row>
    <row r="93" spans="1:100" ht="34.6" customHeight="1" x14ac:dyDescent="0.25">
      <c r="A93" s="166"/>
      <c r="B93" s="166"/>
      <c r="C93" s="166"/>
      <c r="D93" s="166"/>
      <c r="E93" s="166"/>
      <c r="F93" s="166"/>
      <c r="G93" s="166"/>
      <c r="H93" s="166"/>
      <c r="I93" s="166"/>
      <c r="J93" s="166"/>
      <c r="K93" s="166"/>
      <c r="L93" s="166"/>
      <c r="M93" s="166"/>
      <c r="N93" s="166"/>
      <c r="O93" s="166"/>
      <c r="P93" s="166"/>
      <c r="Q93" s="1129"/>
      <c r="R93" s="180" t="str">
        <f>'2.CropManagement'!O218</f>
        <v xml:space="preserve"> - Korea, Rep. of</v>
      </c>
      <c r="S93" s="180">
        <f>'2.CropManagement'!P218</f>
        <v>66</v>
      </c>
      <c r="T93" s="180" t="str">
        <f>'2.CropManagement'!Q218</f>
        <v>Asia</v>
      </c>
      <c r="U93" s="180">
        <f>'2.CropManagement'!R218</f>
        <v>0</v>
      </c>
      <c r="V93" s="180">
        <f>'2.CropManagement'!S218</f>
        <v>1</v>
      </c>
      <c r="W93" s="1130"/>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692"/>
      <c r="AU93" s="149"/>
      <c r="AV93" s="149"/>
      <c r="AW93" s="149"/>
      <c r="AX93" s="149"/>
      <c r="AY93" s="149"/>
      <c r="AZ93" s="149"/>
      <c r="BA93" s="166"/>
      <c r="BB93" s="166"/>
      <c r="BC93" s="166"/>
      <c r="BD93" s="166"/>
      <c r="BE93" s="166"/>
      <c r="BF93" s="166"/>
      <c r="BG93" s="166"/>
      <c r="BH93" s="166"/>
      <c r="BI93" s="166"/>
      <c r="BJ93" s="166"/>
      <c r="BK93" s="166"/>
      <c r="BL93" s="166"/>
      <c r="BM93" s="166"/>
      <c r="BN93" s="166"/>
      <c r="BO93" s="166"/>
      <c r="BP93" s="166"/>
      <c r="BQ93" s="166"/>
      <c r="BR93" s="166"/>
      <c r="BS93" s="166"/>
      <c r="BT93" s="166"/>
      <c r="BU93" s="166"/>
      <c r="BV93" s="166"/>
      <c r="BW93" s="166"/>
      <c r="BX93" s="159"/>
      <c r="BY93" s="159"/>
      <c r="BZ93" s="159"/>
      <c r="CA93" s="159"/>
      <c r="CB93" s="159"/>
      <c r="CC93" s="159"/>
      <c r="CD93" s="159"/>
      <c r="CE93" s="159"/>
      <c r="CF93" s="159"/>
      <c r="CG93" s="159"/>
      <c r="CH93" s="159"/>
      <c r="CI93" s="159"/>
      <c r="CJ93" s="159"/>
      <c r="CK93" s="159"/>
      <c r="CL93" s="159"/>
      <c r="CM93" s="159"/>
      <c r="CN93" s="159"/>
      <c r="CO93" s="159"/>
      <c r="CP93" s="159"/>
      <c r="CQ93" s="159"/>
      <c r="CR93" s="159"/>
      <c r="CS93" s="159"/>
      <c r="CT93" s="159"/>
      <c r="CU93" s="159"/>
      <c r="CV93" s="159"/>
    </row>
    <row r="94" spans="1:100" ht="34.6" customHeight="1" x14ac:dyDescent="0.25">
      <c r="A94" s="166"/>
      <c r="B94" s="166"/>
      <c r="C94" s="166"/>
      <c r="D94" s="166"/>
      <c r="E94" s="166"/>
      <c r="F94" s="166"/>
      <c r="G94" s="166"/>
      <c r="H94" s="166"/>
      <c r="I94" s="166"/>
      <c r="J94" s="166"/>
      <c r="K94" s="166"/>
      <c r="L94" s="166"/>
      <c r="M94" s="166"/>
      <c r="N94" s="166"/>
      <c r="O94" s="166"/>
      <c r="P94" s="166"/>
      <c r="Q94" s="1129"/>
      <c r="R94" s="180" t="str">
        <f>'2.CropManagement'!O219</f>
        <v xml:space="preserve"> - Kuwait</v>
      </c>
      <c r="S94" s="180">
        <f>'2.CropManagement'!P219</f>
        <v>67</v>
      </c>
      <c r="T94" s="180" t="str">
        <f>'2.CropManagement'!Q219</f>
        <v>Middle East</v>
      </c>
      <c r="U94" s="180">
        <f>'2.CropManagement'!R219</f>
        <v>0</v>
      </c>
      <c r="V94" s="180">
        <f>'2.CropManagement'!S219</f>
        <v>1</v>
      </c>
      <c r="W94" s="1130"/>
      <c r="X94" s="149"/>
      <c r="Y94" s="149"/>
      <c r="Z94" s="149"/>
      <c r="AA94" s="149"/>
      <c r="AB94" s="149"/>
      <c r="AC94" s="149"/>
      <c r="AD94" s="149"/>
      <c r="AE94" s="149"/>
      <c r="AF94" s="149"/>
      <c r="AG94" s="149"/>
      <c r="AH94" s="149"/>
      <c r="AI94" s="149"/>
      <c r="AJ94" s="149"/>
      <c r="AK94" s="149"/>
      <c r="AL94" s="149"/>
      <c r="AM94" s="149"/>
      <c r="AN94" s="149"/>
      <c r="AO94" s="149"/>
      <c r="AP94" s="149"/>
      <c r="AQ94" s="149"/>
      <c r="AR94" s="149"/>
      <c r="AS94" s="149"/>
      <c r="AT94" s="1692"/>
      <c r="AU94" s="149"/>
      <c r="AV94" s="149"/>
      <c r="AW94" s="149"/>
      <c r="AX94" s="149"/>
      <c r="AY94" s="149"/>
      <c r="AZ94" s="149"/>
      <c r="BA94" s="166"/>
      <c r="BB94" s="166"/>
      <c r="BC94" s="166"/>
      <c r="BD94" s="166"/>
      <c r="BE94" s="166"/>
      <c r="BF94" s="166"/>
      <c r="BG94" s="166"/>
      <c r="BH94" s="166"/>
      <c r="BI94" s="166"/>
      <c r="BJ94" s="166"/>
      <c r="BK94" s="166"/>
      <c r="BL94" s="166"/>
      <c r="BM94" s="166"/>
      <c r="BN94" s="166"/>
      <c r="BO94" s="166"/>
      <c r="BP94" s="166"/>
      <c r="BQ94" s="166"/>
      <c r="BR94" s="166"/>
      <c r="BS94" s="166"/>
      <c r="BT94" s="166"/>
      <c r="BU94" s="166"/>
      <c r="BV94" s="166"/>
      <c r="BW94" s="166"/>
      <c r="BX94" s="159"/>
      <c r="BY94" s="159"/>
      <c r="BZ94" s="159"/>
      <c r="CA94" s="159"/>
      <c r="CB94" s="159"/>
      <c r="CC94" s="159"/>
      <c r="CD94" s="159"/>
      <c r="CE94" s="159"/>
      <c r="CF94" s="159"/>
      <c r="CG94" s="159"/>
      <c r="CH94" s="159"/>
      <c r="CI94" s="159"/>
      <c r="CJ94" s="159"/>
      <c r="CK94" s="159"/>
      <c r="CL94" s="159"/>
      <c r="CM94" s="159"/>
      <c r="CN94" s="159"/>
      <c r="CO94" s="159"/>
      <c r="CP94" s="159"/>
      <c r="CQ94" s="159"/>
      <c r="CR94" s="159"/>
      <c r="CS94" s="159"/>
      <c r="CT94" s="159"/>
      <c r="CU94" s="159"/>
      <c r="CV94" s="159"/>
    </row>
    <row r="95" spans="1:100" ht="34.6" customHeight="1" x14ac:dyDescent="0.25">
      <c r="A95" s="166"/>
      <c r="B95" s="166"/>
      <c r="C95" s="166"/>
      <c r="D95" s="166"/>
      <c r="E95" s="166"/>
      <c r="F95" s="166"/>
      <c r="G95" s="166"/>
      <c r="H95" s="166"/>
      <c r="I95" s="166"/>
      <c r="J95" s="166"/>
      <c r="K95" s="166"/>
      <c r="L95" s="166"/>
      <c r="M95" s="166"/>
      <c r="N95" s="166"/>
      <c r="O95" s="166"/>
      <c r="P95" s="166"/>
      <c r="Q95" s="1129"/>
      <c r="R95" s="180" t="str">
        <f>'2.CropManagement'!O220</f>
        <v xml:space="preserve"> - Kyrgyzstan</v>
      </c>
      <c r="S95" s="180">
        <f>'2.CropManagement'!P220</f>
        <v>68</v>
      </c>
      <c r="T95" s="180" t="str">
        <f>'2.CropManagement'!Q220</f>
        <v>Asia</v>
      </c>
      <c r="U95" s="180">
        <f>'2.CropManagement'!R220</f>
        <v>0</v>
      </c>
      <c r="V95" s="180">
        <f>'2.CropManagement'!S220</f>
        <v>0</v>
      </c>
      <c r="W95" s="1130"/>
      <c r="X95" s="149"/>
      <c r="Y95" s="149"/>
      <c r="Z95" s="149"/>
      <c r="AA95" s="149"/>
      <c r="AB95" s="149"/>
      <c r="AC95" s="149"/>
      <c r="AD95" s="149"/>
      <c r="AE95" s="149"/>
      <c r="AF95" s="149"/>
      <c r="AG95" s="149"/>
      <c r="AH95" s="149"/>
      <c r="AI95" s="149"/>
      <c r="AJ95" s="149"/>
      <c r="AK95" s="149"/>
      <c r="AL95" s="149"/>
      <c r="AM95" s="149"/>
      <c r="AN95" s="149"/>
      <c r="AO95" s="149"/>
      <c r="AP95" s="149"/>
      <c r="AQ95" s="149"/>
      <c r="AR95" s="149"/>
      <c r="AS95" s="149"/>
      <c r="AT95" s="1692"/>
      <c r="AU95" s="149"/>
      <c r="AV95" s="149"/>
      <c r="AW95" s="149"/>
      <c r="AX95" s="149"/>
      <c r="AY95" s="149"/>
      <c r="AZ95" s="149"/>
      <c r="BA95" s="166"/>
      <c r="BB95" s="166"/>
      <c r="BC95" s="166"/>
      <c r="BD95" s="166"/>
      <c r="BE95" s="166"/>
      <c r="BF95" s="166"/>
      <c r="BG95" s="166"/>
      <c r="BH95" s="166"/>
      <c r="BI95" s="166"/>
      <c r="BJ95" s="166"/>
      <c r="BK95" s="166"/>
      <c r="BL95" s="166"/>
      <c r="BM95" s="166"/>
      <c r="BN95" s="166"/>
      <c r="BO95" s="166"/>
      <c r="BP95" s="166"/>
      <c r="BQ95" s="166"/>
      <c r="BR95" s="166"/>
      <c r="BS95" s="166"/>
      <c r="BT95" s="166"/>
      <c r="BU95" s="166"/>
      <c r="BV95" s="166"/>
      <c r="BW95" s="166"/>
      <c r="BX95" s="159"/>
      <c r="BY95" s="159"/>
      <c r="BZ95" s="159"/>
      <c r="CA95" s="159"/>
      <c r="CB95" s="159"/>
      <c r="CC95" s="159"/>
      <c r="CD95" s="159"/>
      <c r="CE95" s="159"/>
      <c r="CF95" s="159"/>
      <c r="CG95" s="159"/>
      <c r="CH95" s="159"/>
      <c r="CI95" s="159"/>
      <c r="CJ95" s="159"/>
      <c r="CK95" s="159"/>
      <c r="CL95" s="159"/>
      <c r="CM95" s="159"/>
      <c r="CN95" s="159"/>
      <c r="CO95" s="159"/>
      <c r="CP95" s="159"/>
      <c r="CQ95" s="159"/>
      <c r="CR95" s="159"/>
      <c r="CS95" s="159"/>
      <c r="CT95" s="159"/>
      <c r="CU95" s="159"/>
      <c r="CV95" s="159"/>
    </row>
    <row r="96" spans="1:100" ht="34.6" customHeight="1" x14ac:dyDescent="0.25">
      <c r="A96" s="166"/>
      <c r="B96" s="166"/>
      <c r="C96" s="166"/>
      <c r="D96" s="166"/>
      <c r="E96" s="166"/>
      <c r="F96" s="166"/>
      <c r="G96" s="166"/>
      <c r="H96" s="166"/>
      <c r="I96" s="166"/>
      <c r="J96" s="166"/>
      <c r="K96" s="166"/>
      <c r="L96" s="166"/>
      <c r="M96" s="166"/>
      <c r="N96" s="166"/>
      <c r="O96" s="166"/>
      <c r="P96" s="166"/>
      <c r="Q96" s="1129"/>
      <c r="R96" s="180" t="str">
        <f>'2.CropManagement'!O221</f>
        <v xml:space="preserve"> - Latvia</v>
      </c>
      <c r="S96" s="180">
        <f>'2.CropManagement'!P221</f>
        <v>69</v>
      </c>
      <c r="T96" s="180" t="str">
        <f>'2.CropManagement'!Q221</f>
        <v>Eastern Europe</v>
      </c>
      <c r="U96" s="180">
        <f>'2.CropManagement'!R221</f>
        <v>0</v>
      </c>
      <c r="V96" s="180">
        <f>'2.CropManagement'!S221</f>
        <v>0</v>
      </c>
      <c r="W96" s="1130"/>
      <c r="X96" s="149"/>
      <c r="Y96" s="149"/>
      <c r="Z96" s="149"/>
      <c r="AA96" s="149"/>
      <c r="AB96" s="149"/>
      <c r="AC96" s="149"/>
      <c r="AD96" s="149"/>
      <c r="AE96" s="149"/>
      <c r="AF96" s="149"/>
      <c r="AG96" s="149"/>
      <c r="AH96" s="149"/>
      <c r="AI96" s="149"/>
      <c r="AJ96" s="149"/>
      <c r="AK96" s="149"/>
      <c r="AL96" s="149"/>
      <c r="AM96" s="149"/>
      <c r="AN96" s="149"/>
      <c r="AO96" s="149"/>
      <c r="AP96" s="149"/>
      <c r="AQ96" s="149"/>
      <c r="AR96" s="149"/>
      <c r="AS96" s="149"/>
      <c r="AT96" s="1692"/>
      <c r="AU96" s="149"/>
      <c r="AV96" s="149"/>
      <c r="AW96" s="149"/>
      <c r="AX96" s="149"/>
      <c r="AY96" s="149"/>
      <c r="AZ96" s="149"/>
      <c r="BA96" s="166"/>
      <c r="BB96" s="166"/>
      <c r="BC96" s="166"/>
      <c r="BD96" s="166"/>
      <c r="BE96" s="166"/>
      <c r="BF96" s="166"/>
      <c r="BG96" s="166"/>
      <c r="BH96" s="166"/>
      <c r="BI96" s="166"/>
      <c r="BJ96" s="166"/>
      <c r="BK96" s="166"/>
      <c r="BL96" s="166"/>
      <c r="BM96" s="166"/>
      <c r="BN96" s="166"/>
      <c r="BO96" s="166"/>
      <c r="BP96" s="166"/>
      <c r="BQ96" s="166"/>
      <c r="BR96" s="166"/>
      <c r="BS96" s="166"/>
      <c r="BT96" s="166"/>
      <c r="BU96" s="166"/>
      <c r="BV96" s="166"/>
      <c r="BW96" s="166"/>
      <c r="BX96" s="159"/>
      <c r="BY96" s="159"/>
      <c r="BZ96" s="159"/>
      <c r="CA96" s="159"/>
      <c r="CB96" s="159"/>
      <c r="CC96" s="159"/>
      <c r="CD96" s="159"/>
      <c r="CE96" s="159"/>
      <c r="CF96" s="159"/>
      <c r="CG96" s="159"/>
      <c r="CH96" s="159"/>
      <c r="CI96" s="159"/>
      <c r="CJ96" s="159"/>
      <c r="CK96" s="159"/>
      <c r="CL96" s="159"/>
      <c r="CM96" s="159"/>
      <c r="CN96" s="159"/>
      <c r="CO96" s="159"/>
      <c r="CP96" s="159"/>
      <c r="CQ96" s="159"/>
      <c r="CR96" s="159"/>
      <c r="CS96" s="159"/>
      <c r="CT96" s="159"/>
      <c r="CU96" s="159"/>
      <c r="CV96" s="159"/>
    </row>
    <row r="97" spans="1:100" ht="34.6" customHeight="1" x14ac:dyDescent="0.25">
      <c r="A97" s="166"/>
      <c r="B97" s="166"/>
      <c r="C97" s="166"/>
      <c r="D97" s="166"/>
      <c r="E97" s="166"/>
      <c r="F97" s="166"/>
      <c r="G97" s="166"/>
      <c r="H97" s="166"/>
      <c r="I97" s="166"/>
      <c r="J97" s="166"/>
      <c r="K97" s="166"/>
      <c r="L97" s="166"/>
      <c r="M97" s="166"/>
      <c r="N97" s="166"/>
      <c r="O97" s="166"/>
      <c r="P97" s="166"/>
      <c r="Q97" s="1129"/>
      <c r="R97" s="180" t="str">
        <f>'2.CropManagement'!O222</f>
        <v xml:space="preserve"> - Lebanon</v>
      </c>
      <c r="S97" s="180">
        <f>'2.CropManagement'!P222</f>
        <v>70</v>
      </c>
      <c r="T97" s="180" t="str">
        <f>'2.CropManagement'!Q222</f>
        <v>Middle East</v>
      </c>
      <c r="U97" s="180">
        <f>'2.CropManagement'!R222</f>
        <v>0</v>
      </c>
      <c r="V97" s="180">
        <f>'2.CropManagement'!S222</f>
        <v>0</v>
      </c>
      <c r="W97" s="1130"/>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1692"/>
      <c r="AU97" s="149"/>
      <c r="AV97" s="149"/>
      <c r="AW97" s="149"/>
      <c r="AX97" s="149"/>
      <c r="AY97" s="149"/>
      <c r="AZ97" s="149"/>
      <c r="BA97" s="166"/>
      <c r="BB97" s="166"/>
      <c r="BC97" s="166"/>
      <c r="BD97" s="166"/>
      <c r="BE97" s="166"/>
      <c r="BF97" s="166"/>
      <c r="BG97" s="166"/>
      <c r="BH97" s="166"/>
      <c r="BI97" s="166"/>
      <c r="BJ97" s="166"/>
      <c r="BK97" s="166"/>
      <c r="BL97" s="166"/>
      <c r="BM97" s="166"/>
      <c r="BN97" s="166"/>
      <c r="BO97" s="166"/>
      <c r="BP97" s="166"/>
      <c r="BQ97" s="166"/>
      <c r="BR97" s="166"/>
      <c r="BS97" s="166"/>
      <c r="BT97" s="166"/>
      <c r="BU97" s="166"/>
      <c r="BV97" s="166"/>
      <c r="BW97" s="166"/>
      <c r="BX97" s="159"/>
      <c r="BY97" s="159"/>
      <c r="BZ97" s="159"/>
      <c r="CA97" s="159"/>
      <c r="CB97" s="159"/>
      <c r="CC97" s="159"/>
      <c r="CD97" s="159"/>
      <c r="CE97" s="159"/>
      <c r="CF97" s="159"/>
      <c r="CG97" s="159"/>
      <c r="CH97" s="159"/>
      <c r="CI97" s="159"/>
      <c r="CJ97" s="159"/>
      <c r="CK97" s="159"/>
      <c r="CL97" s="159"/>
      <c r="CM97" s="159"/>
      <c r="CN97" s="159"/>
      <c r="CO97" s="159"/>
      <c r="CP97" s="159"/>
      <c r="CQ97" s="159"/>
      <c r="CR97" s="159"/>
      <c r="CS97" s="159"/>
      <c r="CT97" s="159"/>
      <c r="CU97" s="159"/>
      <c r="CV97" s="159"/>
    </row>
    <row r="98" spans="1:100" ht="34.6" customHeight="1" x14ac:dyDescent="0.25">
      <c r="A98" s="166"/>
      <c r="B98" s="166"/>
      <c r="C98" s="166"/>
      <c r="D98" s="166"/>
      <c r="E98" s="166"/>
      <c r="F98" s="166"/>
      <c r="G98" s="166"/>
      <c r="H98" s="166"/>
      <c r="I98" s="166"/>
      <c r="J98" s="166"/>
      <c r="K98" s="166"/>
      <c r="L98" s="166"/>
      <c r="M98" s="166"/>
      <c r="N98" s="166"/>
      <c r="O98" s="166"/>
      <c r="P98" s="166"/>
      <c r="Q98" s="1129"/>
      <c r="R98" s="180" t="str">
        <f>'2.CropManagement'!O223</f>
        <v xml:space="preserve"> - Libya</v>
      </c>
      <c r="S98" s="180">
        <f>'2.CropManagement'!P223</f>
        <v>71</v>
      </c>
      <c r="T98" s="180" t="str">
        <f>'2.CropManagement'!Q223</f>
        <v>Africa</v>
      </c>
      <c r="U98" s="180">
        <f>'2.CropManagement'!R223</f>
        <v>0</v>
      </c>
      <c r="V98" s="180">
        <f>'2.CropManagement'!S223</f>
        <v>0</v>
      </c>
      <c r="W98" s="1130"/>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1692"/>
      <c r="AU98" s="149"/>
      <c r="AV98" s="149"/>
      <c r="AW98" s="149"/>
      <c r="AX98" s="25"/>
      <c r="AY98" s="149"/>
      <c r="AZ98" s="149"/>
      <c r="BA98" s="166"/>
      <c r="BB98" s="166"/>
      <c r="BC98" s="166"/>
      <c r="BD98" s="166"/>
      <c r="BE98" s="166"/>
      <c r="BF98" s="166"/>
      <c r="BG98" s="166"/>
      <c r="BH98" s="166"/>
      <c r="BI98" s="166"/>
      <c r="BJ98" s="166"/>
      <c r="BK98" s="166"/>
      <c r="BL98" s="166"/>
      <c r="BM98" s="166"/>
      <c r="BN98" s="166"/>
      <c r="BO98" s="166"/>
      <c r="BP98" s="166"/>
      <c r="BQ98" s="166"/>
      <c r="BR98" s="166"/>
      <c r="BS98" s="166"/>
      <c r="BT98" s="166"/>
      <c r="BU98" s="166"/>
      <c r="BV98" s="166"/>
      <c r="BW98" s="166"/>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row>
    <row r="99" spans="1:100" ht="34.6" customHeight="1" x14ac:dyDescent="0.25">
      <c r="A99" s="166"/>
      <c r="B99" s="166"/>
      <c r="C99" s="166"/>
      <c r="D99" s="166"/>
      <c r="E99" s="166"/>
      <c r="F99" s="166"/>
      <c r="G99" s="166"/>
      <c r="H99" s="166"/>
      <c r="I99" s="166"/>
      <c r="J99" s="166"/>
      <c r="K99" s="166"/>
      <c r="L99" s="166"/>
      <c r="M99" s="166"/>
      <c r="N99" s="166"/>
      <c r="O99" s="166"/>
      <c r="P99" s="166"/>
      <c r="Q99" s="1129"/>
      <c r="R99" s="180" t="str">
        <f>'2.CropManagement'!O224</f>
        <v xml:space="preserve"> - Lithuania</v>
      </c>
      <c r="S99" s="180">
        <f>'2.CropManagement'!P224</f>
        <v>72</v>
      </c>
      <c r="T99" s="180" t="str">
        <f>'2.CropManagement'!Q224</f>
        <v>Eastern Europe</v>
      </c>
      <c r="U99" s="180">
        <f>'2.CropManagement'!R224</f>
        <v>0</v>
      </c>
      <c r="V99" s="180">
        <f>'2.CropManagement'!S224</f>
        <v>0</v>
      </c>
      <c r="W99" s="1130"/>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692"/>
      <c r="AU99" s="149"/>
      <c r="AV99" s="149"/>
      <c r="AW99" s="149"/>
      <c r="AX99" s="25"/>
      <c r="AY99" s="149"/>
      <c r="AZ99" s="149"/>
      <c r="BA99" s="166"/>
      <c r="BB99" s="166"/>
      <c r="BC99" s="166"/>
      <c r="BD99" s="166"/>
      <c r="BE99" s="166"/>
      <c r="BF99" s="166"/>
      <c r="BG99" s="166"/>
      <c r="BH99" s="166"/>
      <c r="BI99" s="166"/>
      <c r="BJ99" s="166"/>
      <c r="BK99" s="166"/>
      <c r="BL99" s="166"/>
      <c r="BM99" s="166"/>
      <c r="BN99" s="166"/>
      <c r="BO99" s="166"/>
      <c r="BP99" s="166"/>
      <c r="BQ99" s="166"/>
      <c r="BR99" s="166"/>
      <c r="BS99" s="166"/>
      <c r="BT99" s="166"/>
      <c r="BU99" s="166"/>
      <c r="BV99" s="166"/>
      <c r="BW99" s="166"/>
      <c r="BX99" s="159"/>
      <c r="BY99" s="159"/>
      <c r="BZ99" s="159"/>
      <c r="CA99" s="159"/>
      <c r="CB99" s="159"/>
      <c r="CC99" s="159"/>
      <c r="CD99" s="159"/>
      <c r="CE99" s="159"/>
      <c r="CF99" s="159"/>
      <c r="CG99" s="159"/>
      <c r="CH99" s="159"/>
      <c r="CI99" s="159"/>
      <c r="CJ99" s="159"/>
      <c r="CK99" s="159"/>
      <c r="CL99" s="159"/>
      <c r="CM99" s="159"/>
      <c r="CN99" s="159"/>
      <c r="CO99" s="159"/>
      <c r="CP99" s="159"/>
      <c r="CQ99" s="159"/>
      <c r="CR99" s="159"/>
      <c r="CS99" s="159"/>
      <c r="CT99" s="159"/>
      <c r="CU99" s="159"/>
      <c r="CV99" s="159"/>
    </row>
    <row r="100" spans="1:100" ht="34.6" customHeight="1" x14ac:dyDescent="0.25">
      <c r="A100" s="166"/>
      <c r="B100" s="166"/>
      <c r="C100" s="166"/>
      <c r="D100" s="166"/>
      <c r="E100" s="166"/>
      <c r="F100" s="166"/>
      <c r="G100" s="166"/>
      <c r="H100" s="166"/>
      <c r="I100" s="166"/>
      <c r="J100" s="166"/>
      <c r="K100" s="166"/>
      <c r="L100" s="166"/>
      <c r="M100" s="166"/>
      <c r="N100" s="166"/>
      <c r="O100" s="166"/>
      <c r="P100" s="166"/>
      <c r="Q100" s="1129"/>
      <c r="R100" s="180" t="str">
        <f>'2.CropManagement'!O225</f>
        <v xml:space="preserve"> - Luxembourg</v>
      </c>
      <c r="S100" s="180">
        <f>'2.CropManagement'!P225</f>
        <v>73</v>
      </c>
      <c r="T100" s="180" t="str">
        <f>'2.CropManagement'!Q225</f>
        <v>Western Europe</v>
      </c>
      <c r="U100" s="180">
        <f>'2.CropManagement'!R225</f>
        <v>0</v>
      </c>
      <c r="V100" s="180">
        <f>'2.CropManagement'!S225</f>
        <v>1</v>
      </c>
      <c r="W100" s="1130"/>
      <c r="X100" s="149"/>
      <c r="Y100" s="149"/>
      <c r="Z100" s="149"/>
      <c r="AA100" s="149"/>
      <c r="AB100" s="149"/>
      <c r="AC100" s="149"/>
      <c r="AD100" s="149"/>
      <c r="AE100" s="149"/>
      <c r="AF100" s="149"/>
      <c r="AG100" s="149"/>
      <c r="AH100" s="149"/>
      <c r="AI100" s="149"/>
      <c r="AJ100" s="149"/>
      <c r="AK100" s="149"/>
      <c r="AL100" s="149"/>
      <c r="AM100" s="149"/>
      <c r="AN100" s="149"/>
      <c r="AO100" s="149"/>
      <c r="AP100" s="149"/>
      <c r="AQ100" s="149"/>
      <c r="AR100" s="149"/>
      <c r="AS100" s="149"/>
      <c r="AT100" s="1692"/>
      <c r="AU100" s="149"/>
      <c r="AV100" s="149"/>
      <c r="AW100" s="149"/>
      <c r="AX100" s="149"/>
      <c r="AY100" s="149"/>
      <c r="AZ100" s="149"/>
      <c r="BA100" s="166"/>
      <c r="BB100" s="166"/>
      <c r="BC100" s="166"/>
      <c r="BD100" s="166"/>
      <c r="BE100" s="166"/>
      <c r="BF100" s="166"/>
      <c r="BG100" s="166"/>
      <c r="BH100" s="166"/>
      <c r="BI100" s="166"/>
      <c r="BJ100" s="166"/>
      <c r="BK100" s="166"/>
      <c r="BL100" s="166"/>
      <c r="BM100" s="166"/>
      <c r="BN100" s="166"/>
      <c r="BO100" s="166"/>
      <c r="BP100" s="166"/>
      <c r="BQ100" s="166"/>
      <c r="BR100" s="166"/>
      <c r="BS100" s="166"/>
      <c r="BT100" s="166"/>
      <c r="BU100" s="166"/>
      <c r="BV100" s="166"/>
      <c r="BW100" s="166"/>
      <c r="BX100" s="159"/>
      <c r="BY100" s="159"/>
      <c r="BZ100" s="159"/>
      <c r="CA100" s="159"/>
      <c r="CB100" s="159"/>
      <c r="CC100" s="159"/>
      <c r="CD100" s="159"/>
      <c r="CE100" s="159"/>
      <c r="CF100" s="159"/>
      <c r="CG100" s="159"/>
      <c r="CH100" s="159"/>
      <c r="CI100" s="159"/>
      <c r="CJ100" s="159"/>
      <c r="CK100" s="159"/>
      <c r="CL100" s="159"/>
      <c r="CM100" s="159"/>
      <c r="CN100" s="159"/>
      <c r="CO100" s="159"/>
      <c r="CP100" s="159"/>
      <c r="CQ100" s="159"/>
      <c r="CR100" s="159"/>
      <c r="CS100" s="159"/>
      <c r="CT100" s="159"/>
      <c r="CU100" s="159"/>
      <c r="CV100" s="159"/>
    </row>
    <row r="101" spans="1:100" ht="34.6" customHeight="1" x14ac:dyDescent="0.25">
      <c r="A101" s="166"/>
      <c r="B101" s="166"/>
      <c r="C101" s="166"/>
      <c r="D101" s="166"/>
      <c r="E101" s="166"/>
      <c r="F101" s="166"/>
      <c r="G101" s="166"/>
      <c r="H101" s="166"/>
      <c r="I101" s="166"/>
      <c r="J101" s="166"/>
      <c r="K101" s="166"/>
      <c r="L101" s="166"/>
      <c r="M101" s="166"/>
      <c r="N101" s="166"/>
      <c r="O101" s="166"/>
      <c r="P101" s="166"/>
      <c r="Q101" s="1129"/>
      <c r="R101" s="180" t="str">
        <f>'2.CropManagement'!O226</f>
        <v xml:space="preserve"> - Malaysia</v>
      </c>
      <c r="S101" s="180">
        <f>'2.CropManagement'!P226</f>
        <v>74</v>
      </c>
      <c r="T101" s="180" t="str">
        <f>'2.CropManagement'!Q226</f>
        <v>Asia</v>
      </c>
      <c r="U101" s="180">
        <f>'2.CropManagement'!R226</f>
        <v>0</v>
      </c>
      <c r="V101" s="180">
        <f>'2.CropManagement'!S226</f>
        <v>0</v>
      </c>
      <c r="W101" s="1130"/>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1692"/>
      <c r="AU101" s="149"/>
      <c r="AV101" s="149"/>
      <c r="AW101" s="149"/>
      <c r="AX101" s="149"/>
      <c r="AY101" s="149"/>
      <c r="AZ101" s="149"/>
      <c r="BA101" s="166"/>
      <c r="BB101" s="166"/>
      <c r="BC101" s="166"/>
      <c r="BD101" s="166"/>
      <c r="BE101" s="166"/>
      <c r="BF101" s="166"/>
      <c r="BG101" s="166"/>
      <c r="BH101" s="166"/>
      <c r="BI101" s="166"/>
      <c r="BJ101" s="166"/>
      <c r="BK101" s="166"/>
      <c r="BL101" s="166"/>
      <c r="BM101" s="166"/>
      <c r="BN101" s="166"/>
      <c r="BO101" s="166"/>
      <c r="BP101" s="166"/>
      <c r="BQ101" s="166"/>
      <c r="BR101" s="166"/>
      <c r="BS101" s="166"/>
      <c r="BT101" s="166"/>
      <c r="BU101" s="166"/>
      <c r="BV101" s="166"/>
      <c r="BW101" s="166"/>
      <c r="BX101" s="159"/>
      <c r="BY101" s="159"/>
      <c r="BZ101" s="159"/>
      <c r="CA101" s="159"/>
      <c r="CB101" s="159"/>
      <c r="CC101" s="159"/>
      <c r="CD101" s="159"/>
      <c r="CE101" s="159"/>
      <c r="CF101" s="159"/>
      <c r="CG101" s="159"/>
      <c r="CH101" s="159"/>
      <c r="CI101" s="159"/>
      <c r="CJ101" s="159"/>
      <c r="CK101" s="159"/>
      <c r="CL101" s="159"/>
      <c r="CM101" s="159"/>
      <c r="CN101" s="159"/>
      <c r="CO101" s="159"/>
      <c r="CP101" s="159"/>
      <c r="CQ101" s="159"/>
      <c r="CR101" s="159"/>
      <c r="CS101" s="159"/>
      <c r="CT101" s="159"/>
      <c r="CU101" s="159"/>
      <c r="CV101" s="159"/>
    </row>
    <row r="102" spans="1:100" ht="34.6" customHeight="1" x14ac:dyDescent="0.25">
      <c r="A102" s="166"/>
      <c r="B102" s="166"/>
      <c r="C102" s="166"/>
      <c r="D102" s="166"/>
      <c r="E102" s="166"/>
      <c r="F102" s="166"/>
      <c r="G102" s="166"/>
      <c r="H102" s="166"/>
      <c r="I102" s="166"/>
      <c r="J102" s="166"/>
      <c r="K102" s="166"/>
      <c r="L102" s="166"/>
      <c r="M102" s="166"/>
      <c r="N102" s="166"/>
      <c r="O102" s="166"/>
      <c r="P102" s="166"/>
      <c r="Q102" s="1129"/>
      <c r="R102" s="180" t="str">
        <f>'2.CropManagement'!O227</f>
        <v xml:space="preserve"> - Malta</v>
      </c>
      <c r="S102" s="180">
        <f>'2.CropManagement'!P227</f>
        <v>75</v>
      </c>
      <c r="T102" s="180" t="str">
        <f>'2.CropManagement'!Q227</f>
        <v>Western Europe</v>
      </c>
      <c r="U102" s="180">
        <f>'2.CropManagement'!R227</f>
        <v>0</v>
      </c>
      <c r="V102" s="180">
        <f>'2.CropManagement'!S227</f>
        <v>1</v>
      </c>
      <c r="W102" s="1130"/>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149"/>
      <c r="AU102" s="149"/>
      <c r="AV102" s="149"/>
      <c r="AW102" s="149"/>
      <c r="AX102" s="149"/>
      <c r="AY102" s="149"/>
      <c r="AZ102" s="149"/>
      <c r="BA102" s="166"/>
      <c r="BB102" s="166"/>
      <c r="BC102" s="166"/>
      <c r="BD102" s="166"/>
      <c r="BE102" s="166"/>
      <c r="BF102" s="166"/>
      <c r="BG102" s="166"/>
      <c r="BH102" s="166"/>
      <c r="BI102" s="166"/>
      <c r="BJ102" s="166"/>
      <c r="BK102" s="166"/>
      <c r="BL102" s="166"/>
      <c r="BM102" s="166"/>
      <c r="BN102" s="166"/>
      <c r="BO102" s="166"/>
      <c r="BP102" s="166"/>
      <c r="BQ102" s="166"/>
      <c r="BR102" s="166"/>
      <c r="BS102" s="166"/>
      <c r="BT102" s="166"/>
      <c r="BU102" s="166"/>
      <c r="BV102" s="166"/>
      <c r="BW102" s="166"/>
      <c r="BX102" s="159"/>
      <c r="BY102" s="159"/>
      <c r="BZ102" s="159"/>
      <c r="CA102" s="159"/>
      <c r="CB102" s="159"/>
      <c r="CC102" s="159"/>
      <c r="CD102" s="159"/>
      <c r="CE102" s="159"/>
      <c r="CF102" s="159"/>
      <c r="CG102" s="159"/>
      <c r="CH102" s="159"/>
      <c r="CI102" s="159"/>
      <c r="CJ102" s="159"/>
      <c r="CK102" s="159"/>
      <c r="CL102" s="159"/>
      <c r="CM102" s="159"/>
      <c r="CN102" s="159"/>
      <c r="CO102" s="159"/>
      <c r="CP102" s="159"/>
      <c r="CQ102" s="159"/>
      <c r="CR102" s="159"/>
      <c r="CS102" s="159"/>
      <c r="CT102" s="159"/>
      <c r="CU102" s="159"/>
      <c r="CV102" s="159"/>
    </row>
    <row r="103" spans="1:100" ht="34.6" customHeight="1" x14ac:dyDescent="0.25">
      <c r="A103" s="166"/>
      <c r="B103" s="166"/>
      <c r="C103" s="166"/>
      <c r="D103" s="166"/>
      <c r="E103" s="166"/>
      <c r="F103" s="166"/>
      <c r="G103" s="166"/>
      <c r="H103" s="166"/>
      <c r="I103" s="166"/>
      <c r="J103" s="166"/>
      <c r="K103" s="166"/>
      <c r="L103" s="166"/>
      <c r="M103" s="166"/>
      <c r="N103" s="166"/>
      <c r="O103" s="166"/>
      <c r="P103" s="166"/>
      <c r="Q103" s="1129"/>
      <c r="R103" s="180" t="str">
        <f>'2.CropManagement'!O228</f>
        <v xml:space="preserve"> - Mexico</v>
      </c>
      <c r="S103" s="180">
        <f>'2.CropManagement'!P228</f>
        <v>76</v>
      </c>
      <c r="T103" s="180" t="str">
        <f>'2.CropManagement'!Q228</f>
        <v>North America</v>
      </c>
      <c r="U103" s="180">
        <f>'2.CropManagement'!R228</f>
        <v>0</v>
      </c>
      <c r="V103" s="180">
        <f>'2.CropManagement'!S228</f>
        <v>0</v>
      </c>
      <c r="W103" s="1130"/>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149"/>
      <c r="AU103" s="149"/>
      <c r="AV103" s="149"/>
      <c r="AW103" s="149"/>
      <c r="AX103" s="149"/>
      <c r="AY103" s="149"/>
      <c r="AZ103" s="149"/>
      <c r="BA103" s="166"/>
      <c r="BB103" s="166"/>
      <c r="BC103" s="166"/>
      <c r="BD103" s="166"/>
      <c r="BE103" s="166"/>
      <c r="BF103" s="166"/>
      <c r="BG103" s="166"/>
      <c r="BH103" s="166"/>
      <c r="BI103" s="166"/>
      <c r="BJ103" s="166"/>
      <c r="BK103" s="166"/>
      <c r="BL103" s="166"/>
      <c r="BM103" s="166"/>
      <c r="BN103" s="166"/>
      <c r="BO103" s="166"/>
      <c r="BP103" s="166"/>
      <c r="BQ103" s="166"/>
      <c r="BR103" s="166"/>
      <c r="BS103" s="166"/>
      <c r="BT103" s="166"/>
      <c r="BU103" s="166"/>
      <c r="BV103" s="166"/>
      <c r="BW103" s="166"/>
      <c r="BX103" s="159"/>
      <c r="BY103" s="159"/>
      <c r="BZ103" s="159"/>
      <c r="CA103" s="159"/>
      <c r="CB103" s="159"/>
      <c r="CC103" s="159"/>
      <c r="CD103" s="159"/>
      <c r="CE103" s="159"/>
      <c r="CF103" s="159"/>
      <c r="CG103" s="159"/>
      <c r="CH103" s="159"/>
      <c r="CI103" s="159"/>
      <c r="CJ103" s="159"/>
      <c r="CK103" s="159"/>
      <c r="CL103" s="159"/>
      <c r="CM103" s="159"/>
      <c r="CN103" s="159"/>
      <c r="CO103" s="159"/>
      <c r="CP103" s="159"/>
      <c r="CQ103" s="159"/>
      <c r="CR103" s="159"/>
      <c r="CS103" s="159"/>
      <c r="CT103" s="159"/>
      <c r="CU103" s="159"/>
      <c r="CV103" s="159"/>
    </row>
    <row r="104" spans="1:100" ht="34.6" customHeight="1" x14ac:dyDescent="0.25">
      <c r="A104" s="166"/>
      <c r="B104" s="166"/>
      <c r="C104" s="166"/>
      <c r="D104" s="166"/>
      <c r="E104" s="166"/>
      <c r="F104" s="166"/>
      <c r="G104" s="166"/>
      <c r="H104" s="166"/>
      <c r="I104" s="166"/>
      <c r="J104" s="166"/>
      <c r="K104" s="166"/>
      <c r="L104" s="166"/>
      <c r="M104" s="166"/>
      <c r="N104" s="166"/>
      <c r="O104" s="166"/>
      <c r="P104" s="166"/>
      <c r="Q104" s="1129"/>
      <c r="R104" s="180" t="str">
        <f>'2.CropManagement'!O229</f>
        <v xml:space="preserve"> - Moldova</v>
      </c>
      <c r="S104" s="180">
        <f>'2.CropManagement'!P229</f>
        <v>77</v>
      </c>
      <c r="T104" s="180" t="str">
        <f>'2.CropManagement'!Q229</f>
        <v>Eastern Europe</v>
      </c>
      <c r="U104" s="180">
        <f>'2.CropManagement'!R229</f>
        <v>0</v>
      </c>
      <c r="V104" s="180">
        <f>'2.CropManagement'!S229</f>
        <v>0</v>
      </c>
      <c r="W104" s="1130"/>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149"/>
      <c r="AU104" s="149"/>
      <c r="AV104" s="149"/>
      <c r="AW104" s="149"/>
      <c r="AX104" s="149"/>
      <c r="AY104" s="149"/>
      <c r="AZ104" s="149"/>
      <c r="BA104" s="166"/>
      <c r="BB104" s="166"/>
      <c r="BC104" s="166"/>
      <c r="BD104" s="166"/>
      <c r="BE104" s="166"/>
      <c r="BF104" s="166"/>
      <c r="BG104" s="166"/>
      <c r="BH104" s="166"/>
      <c r="BI104" s="166"/>
      <c r="BJ104" s="166"/>
      <c r="BK104" s="166"/>
      <c r="BL104" s="166"/>
      <c r="BM104" s="166"/>
      <c r="BN104" s="166"/>
      <c r="BO104" s="166"/>
      <c r="BP104" s="166"/>
      <c r="BQ104" s="166"/>
      <c r="BR104" s="166"/>
      <c r="BS104" s="166"/>
      <c r="BT104" s="166"/>
      <c r="BU104" s="166"/>
      <c r="BV104" s="166"/>
      <c r="BW104" s="166"/>
      <c r="BX104" s="159"/>
      <c r="BY104" s="159"/>
      <c r="BZ104" s="159"/>
      <c r="CA104" s="159"/>
      <c r="CB104" s="159"/>
      <c r="CC104" s="159"/>
      <c r="CD104" s="159"/>
      <c r="CE104" s="159"/>
      <c r="CF104" s="159"/>
      <c r="CG104" s="159"/>
      <c r="CH104" s="159"/>
      <c r="CI104" s="159"/>
      <c r="CJ104" s="159"/>
      <c r="CK104" s="159"/>
      <c r="CL104" s="159"/>
      <c r="CM104" s="159"/>
      <c r="CN104" s="159"/>
      <c r="CO104" s="159"/>
      <c r="CP104" s="159"/>
      <c r="CQ104" s="159"/>
      <c r="CR104" s="159"/>
      <c r="CS104" s="159"/>
      <c r="CT104" s="159"/>
      <c r="CU104" s="159"/>
      <c r="CV104" s="159"/>
    </row>
    <row r="105" spans="1:100" ht="34.6" customHeight="1" x14ac:dyDescent="0.25">
      <c r="A105" s="166"/>
      <c r="B105" s="166"/>
      <c r="C105" s="166"/>
      <c r="D105" s="166"/>
      <c r="E105" s="166"/>
      <c r="F105" s="166"/>
      <c r="G105" s="166"/>
      <c r="H105" s="166"/>
      <c r="I105" s="166"/>
      <c r="J105" s="166"/>
      <c r="K105" s="166"/>
      <c r="L105" s="166"/>
      <c r="M105" s="166"/>
      <c r="N105" s="166"/>
      <c r="O105" s="166"/>
      <c r="P105" s="166"/>
      <c r="Q105" s="1129"/>
      <c r="R105" s="180" t="str">
        <f>'2.CropManagement'!O230</f>
        <v xml:space="preserve"> - Morocco</v>
      </c>
      <c r="S105" s="180">
        <f>'2.CropManagement'!P230</f>
        <v>78</v>
      </c>
      <c r="T105" s="180" t="str">
        <f>'2.CropManagement'!Q230</f>
        <v>Africa</v>
      </c>
      <c r="U105" s="180">
        <f>'2.CropManagement'!R230</f>
        <v>0</v>
      </c>
      <c r="V105" s="180">
        <f>'2.CropManagement'!S230</f>
        <v>0</v>
      </c>
      <c r="W105" s="1130"/>
      <c r="X105" s="149"/>
      <c r="Y105" s="149"/>
      <c r="Z105" s="149"/>
      <c r="AA105" s="149"/>
      <c r="AB105" s="149"/>
      <c r="AC105" s="149"/>
      <c r="AD105" s="149"/>
      <c r="AE105" s="149"/>
      <c r="AF105" s="149"/>
      <c r="AG105" s="149"/>
      <c r="AH105" s="149"/>
      <c r="AI105" s="149"/>
      <c r="AJ105" s="149"/>
      <c r="AK105" s="149"/>
      <c r="AL105" s="149"/>
      <c r="AM105" s="149"/>
      <c r="AN105" s="149"/>
      <c r="AO105" s="149"/>
      <c r="AP105" s="149"/>
      <c r="AQ105" s="149"/>
      <c r="AR105" s="149"/>
      <c r="AS105" s="149"/>
      <c r="AT105" s="149"/>
      <c r="AU105" s="149"/>
      <c r="AV105" s="149"/>
      <c r="AW105" s="149"/>
      <c r="AX105" s="149"/>
      <c r="AY105" s="149"/>
      <c r="AZ105" s="149"/>
      <c r="BA105" s="166"/>
      <c r="BB105" s="166"/>
      <c r="BC105" s="166"/>
      <c r="BD105" s="166"/>
      <c r="BE105" s="166"/>
      <c r="BF105" s="166"/>
      <c r="BG105" s="166"/>
      <c r="BH105" s="166"/>
      <c r="BI105" s="166"/>
      <c r="BJ105" s="166"/>
      <c r="BK105" s="166"/>
      <c r="BL105" s="166"/>
      <c r="BM105" s="166"/>
      <c r="BN105" s="166"/>
      <c r="BO105" s="166"/>
      <c r="BP105" s="166"/>
      <c r="BQ105" s="166"/>
      <c r="BR105" s="166"/>
      <c r="BS105" s="166"/>
      <c r="BT105" s="166"/>
      <c r="BU105" s="166"/>
      <c r="BV105" s="166"/>
      <c r="BW105" s="166"/>
      <c r="BX105" s="159"/>
      <c r="BY105" s="159"/>
      <c r="BZ105" s="159"/>
      <c r="CA105" s="159"/>
      <c r="CB105" s="159"/>
      <c r="CC105" s="159"/>
      <c r="CD105" s="159"/>
      <c r="CE105" s="159"/>
      <c r="CF105" s="159"/>
      <c r="CG105" s="159"/>
      <c r="CH105" s="159"/>
      <c r="CI105" s="159"/>
      <c r="CJ105" s="159"/>
      <c r="CK105" s="159"/>
      <c r="CL105" s="159"/>
      <c r="CM105" s="159"/>
      <c r="CN105" s="159"/>
      <c r="CO105" s="159"/>
      <c r="CP105" s="159"/>
      <c r="CQ105" s="159"/>
      <c r="CR105" s="159"/>
      <c r="CS105" s="159"/>
      <c r="CT105" s="159"/>
      <c r="CU105" s="159"/>
      <c r="CV105" s="159"/>
    </row>
    <row r="106" spans="1:100" ht="34.6" customHeight="1" x14ac:dyDescent="0.25">
      <c r="A106" s="166"/>
      <c r="B106" s="166"/>
      <c r="C106" s="166"/>
      <c r="D106" s="166"/>
      <c r="E106" s="166"/>
      <c r="F106" s="166"/>
      <c r="G106" s="166"/>
      <c r="H106" s="166"/>
      <c r="I106" s="166"/>
      <c r="J106" s="166"/>
      <c r="K106" s="166"/>
      <c r="L106" s="166"/>
      <c r="M106" s="166"/>
      <c r="N106" s="166"/>
      <c r="O106" s="166"/>
      <c r="P106" s="166"/>
      <c r="Q106" s="1129"/>
      <c r="R106" s="180" t="str">
        <f>'2.CropManagement'!O231</f>
        <v xml:space="preserve"> - Mozambique</v>
      </c>
      <c r="S106" s="180">
        <f>'2.CropManagement'!P231</f>
        <v>79</v>
      </c>
      <c r="T106" s="180" t="str">
        <f>'2.CropManagement'!Q231</f>
        <v>Africa</v>
      </c>
      <c r="U106" s="180">
        <f>'2.CropManagement'!R231</f>
        <v>0</v>
      </c>
      <c r="V106" s="180">
        <f>'2.CropManagement'!S231</f>
        <v>0</v>
      </c>
      <c r="W106" s="1130"/>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149"/>
      <c r="AU106" s="149"/>
      <c r="AV106" s="149"/>
      <c r="AW106" s="149"/>
      <c r="AX106" s="149"/>
      <c r="AY106" s="149"/>
      <c r="AZ106" s="149"/>
      <c r="BA106" s="166"/>
      <c r="BB106" s="166"/>
      <c r="BC106" s="166"/>
      <c r="BD106" s="166"/>
      <c r="BE106" s="166"/>
      <c r="BF106" s="166"/>
      <c r="BG106" s="166"/>
      <c r="BH106" s="166"/>
      <c r="BI106" s="166"/>
      <c r="BJ106" s="166"/>
      <c r="BK106" s="166"/>
      <c r="BL106" s="166"/>
      <c r="BM106" s="166"/>
      <c r="BN106" s="166"/>
      <c r="BO106" s="166"/>
      <c r="BP106" s="166"/>
      <c r="BQ106" s="166"/>
      <c r="BR106" s="166"/>
      <c r="BS106" s="166"/>
      <c r="BT106" s="166"/>
      <c r="BU106" s="166"/>
      <c r="BV106" s="166"/>
      <c r="BW106" s="166"/>
      <c r="BX106" s="159"/>
      <c r="BY106" s="159"/>
      <c r="BZ106" s="159"/>
      <c r="CA106" s="159"/>
      <c r="CB106" s="159"/>
      <c r="CC106" s="159"/>
      <c r="CD106" s="159"/>
      <c r="CE106" s="159"/>
      <c r="CF106" s="159"/>
      <c r="CG106" s="159"/>
      <c r="CH106" s="159"/>
      <c r="CI106" s="159"/>
      <c r="CJ106" s="159"/>
      <c r="CK106" s="159"/>
      <c r="CL106" s="159"/>
      <c r="CM106" s="159"/>
      <c r="CN106" s="159"/>
      <c r="CO106" s="159"/>
      <c r="CP106" s="159"/>
      <c r="CQ106" s="159"/>
      <c r="CR106" s="159"/>
      <c r="CS106" s="159"/>
      <c r="CT106" s="159"/>
      <c r="CU106" s="159"/>
      <c r="CV106" s="159"/>
    </row>
    <row r="107" spans="1:100" ht="34.6" customHeight="1" x14ac:dyDescent="0.25">
      <c r="A107" s="166"/>
      <c r="B107" s="166"/>
      <c r="C107" s="166"/>
      <c r="D107" s="166"/>
      <c r="E107" s="166"/>
      <c r="F107" s="166"/>
      <c r="G107" s="166"/>
      <c r="H107" s="166"/>
      <c r="I107" s="166"/>
      <c r="J107" s="166"/>
      <c r="K107" s="166"/>
      <c r="L107" s="166"/>
      <c r="M107" s="166"/>
      <c r="N107" s="166"/>
      <c r="O107" s="166"/>
      <c r="P107" s="166"/>
      <c r="Q107" s="1129"/>
      <c r="R107" s="180" t="str">
        <f>'2.CropManagement'!O232</f>
        <v xml:space="preserve"> - Myanmar</v>
      </c>
      <c r="S107" s="180">
        <f>'2.CropManagement'!P232</f>
        <v>80</v>
      </c>
      <c r="T107" s="180" t="str">
        <f>'2.CropManagement'!Q232</f>
        <v>Asia</v>
      </c>
      <c r="U107" s="180">
        <f>'2.CropManagement'!R232</f>
        <v>0</v>
      </c>
      <c r="V107" s="180">
        <f>'2.CropManagement'!S232</f>
        <v>0</v>
      </c>
      <c r="W107" s="1130"/>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149"/>
      <c r="AU107" s="149"/>
      <c r="AV107" s="149"/>
      <c r="AW107" s="149"/>
      <c r="AX107" s="149"/>
      <c r="AY107" s="149"/>
      <c r="AZ107" s="149"/>
      <c r="BA107" s="149"/>
      <c r="BB107" s="149"/>
      <c r="BC107" s="166"/>
      <c r="BD107" s="166"/>
      <c r="BE107" s="166"/>
      <c r="BF107" s="166"/>
      <c r="BG107" s="166"/>
      <c r="BH107" s="166"/>
      <c r="BI107" s="166"/>
      <c r="BJ107" s="166"/>
      <c r="BK107" s="166"/>
      <c r="BL107" s="166"/>
      <c r="BM107" s="166"/>
      <c r="BN107" s="166"/>
      <c r="BO107" s="166"/>
      <c r="BP107" s="166"/>
      <c r="BQ107" s="166"/>
      <c r="BR107" s="166"/>
      <c r="BS107" s="166"/>
      <c r="BT107" s="166"/>
      <c r="BU107" s="166"/>
      <c r="BV107" s="166"/>
      <c r="BW107" s="166"/>
      <c r="BX107" s="159"/>
      <c r="BY107" s="159"/>
      <c r="BZ107" s="159"/>
      <c r="CA107" s="159"/>
      <c r="CB107" s="159"/>
      <c r="CC107" s="159"/>
      <c r="CD107" s="159"/>
      <c r="CE107" s="159"/>
      <c r="CF107" s="159"/>
      <c r="CG107" s="159"/>
      <c r="CH107" s="159"/>
      <c r="CI107" s="159"/>
      <c r="CJ107" s="159"/>
      <c r="CK107" s="159"/>
      <c r="CL107" s="159"/>
      <c r="CM107" s="159"/>
      <c r="CN107" s="159"/>
      <c r="CO107" s="159"/>
      <c r="CP107" s="159"/>
      <c r="CQ107" s="159"/>
      <c r="CR107" s="159"/>
      <c r="CS107" s="159"/>
      <c r="CT107" s="159"/>
      <c r="CU107" s="159"/>
      <c r="CV107" s="159"/>
    </row>
    <row r="108" spans="1:100" ht="34.6" customHeight="1" x14ac:dyDescent="0.25">
      <c r="A108" s="166"/>
      <c r="B108" s="166"/>
      <c r="C108" s="166"/>
      <c r="D108" s="166"/>
      <c r="E108" s="166"/>
      <c r="F108" s="166"/>
      <c r="G108" s="166"/>
      <c r="H108" s="166"/>
      <c r="I108" s="166"/>
      <c r="J108" s="166"/>
      <c r="K108" s="166"/>
      <c r="L108" s="166"/>
      <c r="M108" s="166"/>
      <c r="N108" s="166"/>
      <c r="O108" s="166"/>
      <c r="P108" s="166"/>
      <c r="Q108" s="1129"/>
      <c r="R108" s="180" t="str">
        <f>'2.CropManagement'!O233</f>
        <v xml:space="preserve"> - Namibia</v>
      </c>
      <c r="S108" s="180">
        <f>'2.CropManagement'!P233</f>
        <v>81</v>
      </c>
      <c r="T108" s="180" t="str">
        <f>'2.CropManagement'!Q233</f>
        <v>Africa</v>
      </c>
      <c r="U108" s="180">
        <f>'2.CropManagement'!R233</f>
        <v>0</v>
      </c>
      <c r="V108" s="180">
        <f>'2.CropManagement'!S233</f>
        <v>0</v>
      </c>
      <c r="W108" s="1130"/>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149"/>
      <c r="AU108" s="149"/>
      <c r="AV108" s="149"/>
      <c r="AW108" s="149"/>
      <c r="AX108" s="149"/>
      <c r="AY108" s="149"/>
      <c r="AZ108" s="149"/>
      <c r="BA108" s="149"/>
      <c r="BB108" s="149"/>
      <c r="BC108" s="166"/>
      <c r="BD108" s="166"/>
      <c r="BE108" s="166"/>
      <c r="BF108" s="166"/>
      <c r="BG108" s="166"/>
      <c r="BH108" s="166"/>
      <c r="BI108" s="166"/>
      <c r="BJ108" s="166"/>
      <c r="BK108" s="166"/>
      <c r="BL108" s="166"/>
      <c r="BM108" s="166"/>
      <c r="BN108" s="166"/>
      <c r="BO108" s="166"/>
      <c r="BP108" s="166"/>
      <c r="BQ108" s="166"/>
      <c r="BR108" s="166"/>
      <c r="BS108" s="166"/>
      <c r="BT108" s="166"/>
      <c r="BU108" s="166"/>
      <c r="BV108" s="166"/>
      <c r="BW108" s="166"/>
      <c r="BX108" s="159"/>
      <c r="BY108" s="159"/>
      <c r="BZ108" s="159"/>
      <c r="CA108" s="159"/>
      <c r="CB108" s="159"/>
      <c r="CC108" s="159"/>
      <c r="CD108" s="159"/>
      <c r="CE108" s="159"/>
      <c r="CF108" s="159"/>
      <c r="CG108" s="159"/>
      <c r="CH108" s="159"/>
      <c r="CI108" s="159"/>
      <c r="CJ108" s="159"/>
      <c r="CK108" s="159"/>
      <c r="CL108" s="159"/>
      <c r="CM108" s="159"/>
      <c r="CN108" s="159"/>
      <c r="CO108" s="159"/>
      <c r="CP108" s="159"/>
      <c r="CQ108" s="159"/>
      <c r="CR108" s="159"/>
      <c r="CS108" s="159"/>
      <c r="CT108" s="159"/>
      <c r="CU108" s="159"/>
      <c r="CV108" s="159"/>
    </row>
    <row r="109" spans="1:100" ht="34.6" customHeight="1" x14ac:dyDescent="0.25">
      <c r="A109" s="166"/>
      <c r="B109" s="166"/>
      <c r="C109" s="166"/>
      <c r="D109" s="166"/>
      <c r="E109" s="166"/>
      <c r="F109" s="166"/>
      <c r="G109" s="166"/>
      <c r="H109" s="166"/>
      <c r="I109" s="166"/>
      <c r="J109" s="166"/>
      <c r="K109" s="166"/>
      <c r="L109" s="166"/>
      <c r="M109" s="166"/>
      <c r="N109" s="166"/>
      <c r="O109" s="166"/>
      <c r="P109" s="166"/>
      <c r="Q109" s="1129"/>
      <c r="R109" s="180" t="str">
        <f>'2.CropManagement'!O234</f>
        <v xml:space="preserve"> - Nepal</v>
      </c>
      <c r="S109" s="180">
        <f>'2.CropManagement'!P234</f>
        <v>82</v>
      </c>
      <c r="T109" s="180" t="str">
        <f>'2.CropManagement'!Q234</f>
        <v>Indian Subcontinent</v>
      </c>
      <c r="U109" s="180">
        <f>'2.CropManagement'!R234</f>
        <v>0</v>
      </c>
      <c r="V109" s="180">
        <f>'2.CropManagement'!S234</f>
        <v>0</v>
      </c>
      <c r="W109" s="1130"/>
      <c r="X109" s="149"/>
      <c r="Y109" s="149"/>
      <c r="Z109" s="149"/>
      <c r="AA109" s="149"/>
      <c r="AB109" s="149"/>
      <c r="AC109" s="149"/>
      <c r="AD109" s="149"/>
      <c r="AE109" s="149"/>
      <c r="AF109" s="149"/>
      <c r="AG109" s="149"/>
      <c r="AH109" s="149"/>
      <c r="AI109" s="149"/>
      <c r="AJ109" s="149"/>
      <c r="AK109" s="149"/>
      <c r="AL109" s="149"/>
      <c r="AM109" s="149"/>
      <c r="AN109" s="149"/>
      <c r="AO109" s="149"/>
      <c r="AP109" s="149"/>
      <c r="AQ109" s="149"/>
      <c r="AR109" s="149"/>
      <c r="AS109" s="149"/>
      <c r="AT109" s="149"/>
      <c r="AU109" s="149"/>
      <c r="AV109" s="149"/>
      <c r="AW109" s="149"/>
      <c r="AX109" s="149"/>
      <c r="AY109" s="149"/>
      <c r="AZ109" s="149"/>
      <c r="BA109" s="149"/>
      <c r="BB109" s="149"/>
      <c r="BC109" s="166"/>
      <c r="BD109" s="166"/>
      <c r="BE109" s="166"/>
      <c r="BF109" s="166"/>
      <c r="BG109" s="166"/>
      <c r="BH109" s="166"/>
      <c r="BI109" s="166"/>
      <c r="BJ109" s="166"/>
      <c r="BK109" s="166"/>
      <c r="BL109" s="166"/>
      <c r="BM109" s="166"/>
      <c r="BN109" s="166"/>
      <c r="BO109" s="166"/>
      <c r="BP109" s="166"/>
      <c r="BQ109" s="166"/>
      <c r="BR109" s="166"/>
      <c r="BS109" s="166"/>
      <c r="BT109" s="166"/>
      <c r="BU109" s="166"/>
      <c r="BV109" s="166"/>
      <c r="BW109" s="166"/>
      <c r="BX109" s="159"/>
      <c r="BY109" s="159"/>
      <c r="BZ109" s="159"/>
      <c r="CA109" s="159"/>
      <c r="CB109" s="159"/>
      <c r="CC109" s="159"/>
      <c r="CD109" s="159"/>
      <c r="CE109" s="159"/>
      <c r="CF109" s="159"/>
      <c r="CG109" s="159"/>
      <c r="CH109" s="159"/>
      <c r="CI109" s="159"/>
      <c r="CJ109" s="159"/>
      <c r="CK109" s="159"/>
      <c r="CL109" s="159"/>
      <c r="CM109" s="159"/>
      <c r="CN109" s="159"/>
      <c r="CO109" s="159"/>
      <c r="CP109" s="159"/>
      <c r="CQ109" s="159"/>
      <c r="CR109" s="159"/>
      <c r="CS109" s="159"/>
      <c r="CT109" s="159"/>
      <c r="CU109" s="159"/>
      <c r="CV109" s="159"/>
    </row>
    <row r="110" spans="1:100" ht="34.6" customHeight="1" x14ac:dyDescent="0.25">
      <c r="A110" s="166"/>
      <c r="B110" s="166"/>
      <c r="C110" s="166"/>
      <c r="D110" s="166"/>
      <c r="E110" s="166"/>
      <c r="F110" s="166"/>
      <c r="G110" s="166"/>
      <c r="H110" s="166"/>
      <c r="I110" s="166"/>
      <c r="J110" s="166"/>
      <c r="K110" s="166"/>
      <c r="L110" s="166"/>
      <c r="M110" s="166"/>
      <c r="N110" s="166"/>
      <c r="O110" s="166"/>
      <c r="P110" s="166"/>
      <c r="Q110" s="1129"/>
      <c r="R110" s="180" t="str">
        <f>'2.CropManagement'!O235</f>
        <v xml:space="preserve"> - Netherlands</v>
      </c>
      <c r="S110" s="180">
        <f>'2.CropManagement'!P235</f>
        <v>83</v>
      </c>
      <c r="T110" s="180" t="str">
        <f>'2.CropManagement'!Q235</f>
        <v>Western Europe</v>
      </c>
      <c r="U110" s="180">
        <f>'2.CropManagement'!R235</f>
        <v>0</v>
      </c>
      <c r="V110" s="180">
        <f>'2.CropManagement'!S235</f>
        <v>1</v>
      </c>
      <c r="W110" s="1130"/>
      <c r="X110" s="149"/>
      <c r="Y110" s="149"/>
      <c r="Z110" s="149"/>
      <c r="AA110" s="149"/>
      <c r="AB110" s="149"/>
      <c r="AC110" s="149"/>
      <c r="AD110" s="149"/>
      <c r="AE110" s="149"/>
      <c r="AF110" s="149"/>
      <c r="AG110" s="149"/>
      <c r="AH110" s="149"/>
      <c r="AI110" s="149"/>
      <c r="AJ110" s="149"/>
      <c r="AK110" s="149"/>
      <c r="AL110" s="149"/>
      <c r="AM110" s="149"/>
      <c r="AN110" s="149"/>
      <c r="AO110" s="149"/>
      <c r="AP110" s="149"/>
      <c r="AQ110" s="149"/>
      <c r="AR110" s="149"/>
      <c r="AS110" s="149"/>
      <c r="AT110" s="1100"/>
      <c r="AU110" s="149"/>
      <c r="AV110" s="149"/>
      <c r="AW110" s="149"/>
      <c r="AX110" s="1100"/>
      <c r="AY110" s="149"/>
      <c r="AZ110" s="149"/>
      <c r="BA110" s="149"/>
      <c r="BB110" s="149"/>
      <c r="BC110" s="166"/>
      <c r="BD110" s="166"/>
      <c r="BE110" s="166"/>
      <c r="BF110" s="166"/>
      <c r="BG110" s="166"/>
      <c r="BH110" s="166"/>
      <c r="BI110" s="166"/>
      <c r="BJ110" s="166"/>
      <c r="BK110" s="166"/>
      <c r="BL110" s="166"/>
      <c r="BM110" s="166"/>
      <c r="BN110" s="166"/>
      <c r="BO110" s="166"/>
      <c r="BP110" s="166"/>
      <c r="BQ110" s="166"/>
      <c r="BR110" s="166"/>
      <c r="BS110" s="166"/>
      <c r="BT110" s="166"/>
      <c r="BU110" s="166"/>
      <c r="BV110" s="166"/>
      <c r="BW110" s="166"/>
      <c r="BX110" s="159"/>
      <c r="BY110" s="159"/>
      <c r="BZ110" s="159"/>
      <c r="CA110" s="159"/>
      <c r="CB110" s="159"/>
      <c r="CC110" s="159"/>
      <c r="CD110" s="159"/>
      <c r="CE110" s="159"/>
      <c r="CF110" s="159"/>
      <c r="CG110" s="159"/>
      <c r="CH110" s="159"/>
      <c r="CI110" s="159"/>
      <c r="CJ110" s="159"/>
      <c r="CK110" s="159"/>
      <c r="CL110" s="159"/>
      <c r="CM110" s="159"/>
      <c r="CN110" s="159"/>
      <c r="CO110" s="159"/>
      <c r="CP110" s="159"/>
      <c r="CQ110" s="159"/>
      <c r="CR110" s="159"/>
      <c r="CS110" s="159"/>
      <c r="CT110" s="159"/>
      <c r="CU110" s="159"/>
      <c r="CV110" s="159"/>
    </row>
    <row r="111" spans="1:100" ht="34.6" customHeight="1" x14ac:dyDescent="0.25">
      <c r="A111" s="166"/>
      <c r="B111" s="166"/>
      <c r="C111" s="166"/>
      <c r="D111" s="166"/>
      <c r="E111" s="166"/>
      <c r="F111" s="166"/>
      <c r="G111" s="166"/>
      <c r="H111" s="166"/>
      <c r="I111" s="166"/>
      <c r="J111" s="166"/>
      <c r="K111" s="166"/>
      <c r="L111" s="166"/>
      <c r="M111" s="166"/>
      <c r="N111" s="166"/>
      <c r="O111" s="166"/>
      <c r="P111" s="166"/>
      <c r="Q111" s="1129"/>
      <c r="R111" s="180" t="str">
        <f>'2.CropManagement'!O236</f>
        <v xml:space="preserve"> - Netherlands Antilles</v>
      </c>
      <c r="S111" s="180">
        <f>'2.CropManagement'!P236</f>
        <v>84</v>
      </c>
      <c r="T111" s="180" t="str">
        <f>'2.CropManagement'!Q236</f>
        <v>Latin America</v>
      </c>
      <c r="U111" s="180">
        <f>'2.CropManagement'!R236</f>
        <v>0</v>
      </c>
      <c r="V111" s="180">
        <f>'2.CropManagement'!S236</f>
        <v>0</v>
      </c>
      <c r="W111" s="1130"/>
      <c r="X111" s="149"/>
      <c r="Y111" s="149"/>
      <c r="Z111" s="149"/>
      <c r="AA111" s="149"/>
      <c r="AB111" s="149"/>
      <c r="AC111" s="149"/>
      <c r="AD111" s="149"/>
      <c r="AE111" s="149"/>
      <c r="AF111" s="149"/>
      <c r="AG111" s="149"/>
      <c r="AH111" s="149"/>
      <c r="AI111" s="149"/>
      <c r="AJ111" s="149"/>
      <c r="AK111" s="149"/>
      <c r="AL111" s="149"/>
      <c r="AM111" s="149"/>
      <c r="AN111" s="149"/>
      <c r="AO111" s="149"/>
      <c r="AP111" s="149"/>
      <c r="AQ111" s="149"/>
      <c r="AR111" s="149"/>
      <c r="AS111" s="149"/>
      <c r="AT111" s="149"/>
      <c r="AU111" s="149"/>
      <c r="AV111" s="149"/>
      <c r="AW111" s="149"/>
      <c r="AX111" s="149"/>
      <c r="AY111" s="149"/>
      <c r="AZ111" s="149"/>
      <c r="BA111" s="149"/>
      <c r="BB111" s="149"/>
      <c r="BC111" s="166"/>
      <c r="BD111" s="166"/>
      <c r="BE111" s="166"/>
      <c r="BF111" s="166"/>
      <c r="BG111" s="166"/>
      <c r="BH111" s="166"/>
      <c r="BI111" s="166"/>
      <c r="BJ111" s="166"/>
      <c r="BK111" s="166"/>
      <c r="BL111" s="166"/>
      <c r="BM111" s="166"/>
      <c r="BN111" s="166"/>
      <c r="BO111" s="166"/>
      <c r="BP111" s="166"/>
      <c r="BQ111" s="166"/>
      <c r="BR111" s="166"/>
      <c r="BS111" s="166"/>
      <c r="BT111" s="166"/>
      <c r="BU111" s="166"/>
      <c r="BV111" s="166"/>
      <c r="BW111" s="166"/>
      <c r="BX111" s="159"/>
      <c r="BY111" s="159"/>
      <c r="BZ111" s="159"/>
      <c r="CA111" s="159"/>
      <c r="CB111" s="159"/>
      <c r="CC111" s="159"/>
      <c r="CD111" s="159"/>
      <c r="CE111" s="159"/>
      <c r="CF111" s="159"/>
      <c r="CG111" s="159"/>
      <c r="CH111" s="159"/>
      <c r="CI111" s="159"/>
      <c r="CJ111" s="159"/>
      <c r="CK111" s="159"/>
      <c r="CL111" s="159"/>
      <c r="CM111" s="159"/>
      <c r="CN111" s="159"/>
      <c r="CO111" s="159"/>
      <c r="CP111" s="159"/>
      <c r="CQ111" s="159"/>
      <c r="CR111" s="159"/>
      <c r="CS111" s="159"/>
      <c r="CT111" s="159"/>
      <c r="CU111" s="159"/>
      <c r="CV111" s="159"/>
    </row>
    <row r="112" spans="1:100" ht="34.6" customHeight="1" x14ac:dyDescent="0.25">
      <c r="A112" s="166"/>
      <c r="B112" s="166"/>
      <c r="C112" s="166"/>
      <c r="D112" s="166"/>
      <c r="E112" s="149"/>
      <c r="F112" s="149"/>
      <c r="G112" s="149"/>
      <c r="H112" s="149"/>
      <c r="I112" s="149"/>
      <c r="J112" s="149"/>
      <c r="K112" s="166"/>
      <c r="L112" s="166"/>
      <c r="M112" s="166"/>
      <c r="N112" s="166"/>
      <c r="O112" s="166"/>
      <c r="P112" s="166"/>
      <c r="Q112" s="1129"/>
      <c r="R112" s="180" t="str">
        <f>'2.CropManagement'!O237</f>
        <v xml:space="preserve"> - New Zealand</v>
      </c>
      <c r="S112" s="180">
        <f>'2.CropManagement'!P237</f>
        <v>85</v>
      </c>
      <c r="T112" s="180" t="str">
        <f>'2.CropManagement'!Q237</f>
        <v>Oceania</v>
      </c>
      <c r="U112" s="180">
        <f>'2.CropManagement'!R237</f>
        <v>0</v>
      </c>
      <c r="V112" s="180">
        <f>'2.CropManagement'!S237</f>
        <v>1</v>
      </c>
      <c r="W112" s="1130"/>
      <c r="X112" s="149"/>
      <c r="Y112" s="149"/>
      <c r="Z112" s="149"/>
      <c r="AA112" s="149"/>
      <c r="AB112" s="149"/>
      <c r="AC112" s="149"/>
      <c r="AD112" s="149"/>
      <c r="AE112" s="149"/>
      <c r="AF112" s="149"/>
      <c r="AG112" s="149"/>
      <c r="AH112" s="149"/>
      <c r="AI112" s="149"/>
      <c r="AJ112" s="149"/>
      <c r="AK112" s="149"/>
      <c r="AL112" s="149"/>
      <c r="AM112" s="149"/>
      <c r="AN112" s="149"/>
      <c r="AO112" s="149"/>
      <c r="AP112" s="149"/>
      <c r="AQ112" s="149"/>
      <c r="AR112" s="149"/>
      <c r="AS112" s="149"/>
      <c r="AT112" s="149"/>
      <c r="AU112" s="149"/>
      <c r="AV112" s="149"/>
      <c r="AW112" s="149"/>
      <c r="AX112" s="149"/>
      <c r="AY112" s="149"/>
      <c r="AZ112" s="149"/>
      <c r="BA112" s="149"/>
      <c r="BB112" s="149"/>
      <c r="BC112" s="166"/>
      <c r="BD112" s="166"/>
      <c r="BE112" s="166"/>
      <c r="BF112" s="166"/>
      <c r="BG112" s="166"/>
      <c r="BH112" s="166"/>
      <c r="BI112" s="166"/>
      <c r="BJ112" s="166"/>
      <c r="BK112" s="166"/>
      <c r="BL112" s="166"/>
      <c r="BM112" s="166"/>
      <c r="BN112" s="166"/>
      <c r="BO112" s="166"/>
      <c r="BP112" s="166"/>
      <c r="BQ112" s="166"/>
      <c r="BR112" s="166"/>
      <c r="BS112" s="166"/>
      <c r="BT112" s="166"/>
      <c r="BU112" s="166"/>
      <c r="BV112" s="166"/>
      <c r="BW112" s="166"/>
      <c r="BX112" s="159"/>
      <c r="BY112" s="159"/>
      <c r="BZ112" s="159"/>
      <c r="CA112" s="159"/>
      <c r="CB112" s="159"/>
      <c r="CC112" s="159"/>
      <c r="CD112" s="159"/>
      <c r="CE112" s="159"/>
      <c r="CF112" s="159"/>
      <c r="CG112" s="159"/>
      <c r="CH112" s="159"/>
      <c r="CI112" s="159"/>
      <c r="CJ112" s="159"/>
      <c r="CK112" s="159"/>
      <c r="CL112" s="159"/>
      <c r="CM112" s="159"/>
      <c r="CN112" s="159"/>
      <c r="CO112" s="159"/>
      <c r="CP112" s="159"/>
      <c r="CQ112" s="159"/>
      <c r="CR112" s="159"/>
      <c r="CS112" s="159"/>
      <c r="CT112" s="159"/>
      <c r="CU112" s="159"/>
      <c r="CV112" s="159"/>
    </row>
    <row r="113" spans="1:100" ht="34.6" customHeight="1" x14ac:dyDescent="0.25">
      <c r="A113" s="166"/>
      <c r="B113" s="166"/>
      <c r="C113" s="166"/>
      <c r="D113" s="166"/>
      <c r="E113" s="149"/>
      <c r="F113" s="149"/>
      <c r="G113" s="149"/>
      <c r="H113" s="149"/>
      <c r="I113" s="149"/>
      <c r="J113" s="149"/>
      <c r="K113" s="166"/>
      <c r="L113" s="166"/>
      <c r="M113" s="166"/>
      <c r="N113" s="166"/>
      <c r="O113" s="166"/>
      <c r="P113" s="166"/>
      <c r="Q113" s="1129"/>
      <c r="R113" s="180" t="str">
        <f>'2.CropManagement'!O238</f>
        <v xml:space="preserve"> - Nicaragua</v>
      </c>
      <c r="S113" s="180">
        <f>'2.CropManagement'!P238</f>
        <v>86</v>
      </c>
      <c r="T113" s="180" t="str">
        <f>'2.CropManagement'!Q238</f>
        <v>Latin America</v>
      </c>
      <c r="U113" s="180">
        <f>'2.CropManagement'!R238</f>
        <v>0</v>
      </c>
      <c r="V113" s="180">
        <f>'2.CropManagement'!S238</f>
        <v>0</v>
      </c>
      <c r="W113" s="1130"/>
      <c r="X113" s="149"/>
      <c r="Y113" s="149"/>
      <c r="Z113" s="149"/>
      <c r="AA113" s="149"/>
      <c r="AB113" s="149"/>
      <c r="AC113" s="149"/>
      <c r="AD113" s="149"/>
      <c r="AE113" s="149"/>
      <c r="AF113" s="149"/>
      <c r="AG113" s="149"/>
      <c r="AH113" s="149"/>
      <c r="AI113" s="149"/>
      <c r="AJ113" s="149"/>
      <c r="AK113" s="149"/>
      <c r="AL113" s="149"/>
      <c r="AM113" s="149"/>
      <c r="AN113" s="149"/>
      <c r="AO113" s="149"/>
      <c r="AP113" s="149"/>
      <c r="AQ113" s="149"/>
      <c r="AR113" s="149"/>
      <c r="AS113" s="149"/>
      <c r="AT113" s="149"/>
      <c r="AU113" s="149"/>
      <c r="AV113" s="149"/>
      <c r="AW113" s="149"/>
      <c r="AX113" s="149"/>
      <c r="AY113" s="149"/>
      <c r="AZ113" s="149"/>
      <c r="BA113" s="149"/>
      <c r="BB113" s="149"/>
      <c r="BC113" s="166"/>
      <c r="BD113" s="166"/>
      <c r="BE113" s="166"/>
      <c r="BF113" s="166"/>
      <c r="BG113" s="166"/>
      <c r="BH113" s="166"/>
      <c r="BI113" s="166"/>
      <c r="BJ113" s="166"/>
      <c r="BK113" s="166"/>
      <c r="BL113" s="166"/>
      <c r="BM113" s="166"/>
      <c r="BN113" s="166"/>
      <c r="BO113" s="166"/>
      <c r="BP113" s="166"/>
      <c r="BQ113" s="166"/>
      <c r="BR113" s="166"/>
      <c r="BS113" s="166"/>
      <c r="BT113" s="166"/>
      <c r="BU113" s="166"/>
      <c r="BV113" s="166"/>
      <c r="BW113" s="166"/>
      <c r="BX113" s="159"/>
      <c r="BY113" s="159"/>
      <c r="BZ113" s="159"/>
      <c r="CA113" s="159"/>
      <c r="CB113" s="159"/>
      <c r="CC113" s="159"/>
      <c r="CD113" s="159"/>
      <c r="CE113" s="159"/>
      <c r="CF113" s="159"/>
      <c r="CG113" s="159"/>
      <c r="CH113" s="159"/>
      <c r="CI113" s="159"/>
      <c r="CJ113" s="159"/>
      <c r="CK113" s="159"/>
      <c r="CL113" s="159"/>
      <c r="CM113" s="159"/>
      <c r="CN113" s="159"/>
      <c r="CO113" s="159"/>
      <c r="CP113" s="159"/>
      <c r="CQ113" s="159"/>
      <c r="CR113" s="159"/>
      <c r="CS113" s="159"/>
      <c r="CT113" s="159"/>
      <c r="CU113" s="159"/>
      <c r="CV113" s="159"/>
    </row>
    <row r="114" spans="1:100" ht="34.6" customHeight="1" x14ac:dyDescent="0.25">
      <c r="A114" s="166"/>
      <c r="B114" s="166"/>
      <c r="C114" s="166"/>
      <c r="D114" s="166"/>
      <c r="E114" s="149"/>
      <c r="F114" s="149"/>
      <c r="G114" s="149"/>
      <c r="H114" s="149"/>
      <c r="I114" s="149"/>
      <c r="J114" s="149"/>
      <c r="K114" s="166"/>
      <c r="L114" s="166"/>
      <c r="M114" s="166"/>
      <c r="N114" s="166"/>
      <c r="O114" s="166"/>
      <c r="P114" s="166"/>
      <c r="Q114" s="1129"/>
      <c r="R114" s="180" t="str">
        <f>'2.CropManagement'!O239</f>
        <v xml:space="preserve"> - Nigeria</v>
      </c>
      <c r="S114" s="180">
        <f>'2.CropManagement'!P239</f>
        <v>87</v>
      </c>
      <c r="T114" s="180" t="str">
        <f>'2.CropManagement'!Q239</f>
        <v>Africa</v>
      </c>
      <c r="U114" s="180">
        <f>'2.CropManagement'!R239</f>
        <v>0</v>
      </c>
      <c r="V114" s="180">
        <f>'2.CropManagement'!S239</f>
        <v>0</v>
      </c>
      <c r="W114" s="1130"/>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66"/>
      <c r="BD114" s="166"/>
      <c r="BE114" s="166"/>
      <c r="BF114" s="166"/>
      <c r="BG114" s="166"/>
      <c r="BH114" s="166"/>
      <c r="BI114" s="166"/>
      <c r="BJ114" s="166"/>
      <c r="BK114" s="166"/>
      <c r="BL114" s="166"/>
      <c r="BM114" s="166"/>
      <c r="BN114" s="166"/>
      <c r="BO114" s="166"/>
      <c r="BP114" s="166"/>
      <c r="BQ114" s="166"/>
      <c r="BR114" s="166"/>
      <c r="BS114" s="166"/>
      <c r="BT114" s="166"/>
      <c r="BU114" s="166"/>
      <c r="BV114" s="166"/>
      <c r="BW114" s="166"/>
      <c r="BX114" s="159"/>
      <c r="BY114" s="159"/>
      <c r="BZ114" s="159"/>
      <c r="CA114" s="159"/>
      <c r="CB114" s="159"/>
      <c r="CC114" s="159"/>
      <c r="CD114" s="159"/>
      <c r="CE114" s="159"/>
      <c r="CF114" s="159"/>
      <c r="CG114" s="159"/>
      <c r="CH114" s="159"/>
      <c r="CI114" s="159"/>
      <c r="CJ114" s="159"/>
      <c r="CK114" s="159"/>
      <c r="CL114" s="159"/>
      <c r="CM114" s="159"/>
      <c r="CN114" s="159"/>
      <c r="CO114" s="159"/>
      <c r="CP114" s="159"/>
      <c r="CQ114" s="159"/>
      <c r="CR114" s="159"/>
      <c r="CS114" s="159"/>
      <c r="CT114" s="159"/>
      <c r="CU114" s="159"/>
      <c r="CV114" s="159"/>
    </row>
    <row r="115" spans="1:100" ht="34.6" customHeight="1" x14ac:dyDescent="0.25">
      <c r="A115" s="166"/>
      <c r="B115" s="25"/>
      <c r="C115" s="13"/>
      <c r="D115" s="166"/>
      <c r="E115" s="149"/>
      <c r="F115" s="1099"/>
      <c r="G115" s="149"/>
      <c r="H115" s="149"/>
      <c r="I115" s="149"/>
      <c r="J115" s="149"/>
      <c r="K115" s="166"/>
      <c r="L115" s="166"/>
      <c r="M115" s="166"/>
      <c r="N115" s="166"/>
      <c r="O115" s="166"/>
      <c r="P115" s="166"/>
      <c r="Q115" s="1129"/>
      <c r="R115" s="180" t="str">
        <f>'2.CropManagement'!O240</f>
        <v xml:space="preserve"> - Norway</v>
      </c>
      <c r="S115" s="180">
        <f>'2.CropManagement'!P240</f>
        <v>88</v>
      </c>
      <c r="T115" s="180" t="str">
        <f>'2.CropManagement'!Q240</f>
        <v>Western Europe</v>
      </c>
      <c r="U115" s="180">
        <f>'2.CropManagement'!R240</f>
        <v>0</v>
      </c>
      <c r="V115" s="180">
        <f>'2.CropManagement'!S240</f>
        <v>1</v>
      </c>
      <c r="W115" s="1130"/>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49"/>
      <c r="BC115" s="166"/>
      <c r="BD115" s="166"/>
      <c r="BE115" s="166"/>
      <c r="BF115" s="166"/>
      <c r="BG115" s="166"/>
      <c r="BH115" s="166"/>
      <c r="BI115" s="166"/>
      <c r="BJ115" s="166"/>
      <c r="BK115" s="166"/>
      <c r="BL115" s="166"/>
      <c r="BM115" s="166"/>
      <c r="BN115" s="166"/>
      <c r="BO115" s="166"/>
      <c r="BP115" s="166"/>
      <c r="BQ115" s="166"/>
      <c r="BR115" s="166"/>
      <c r="BS115" s="166"/>
      <c r="BT115" s="166"/>
      <c r="BU115" s="166"/>
      <c r="BV115" s="166"/>
      <c r="BW115" s="166"/>
      <c r="BX115" s="159"/>
      <c r="BY115" s="159"/>
      <c r="BZ115" s="159"/>
      <c r="CA115" s="159"/>
      <c r="CB115" s="159"/>
      <c r="CC115" s="159"/>
      <c r="CD115" s="159"/>
      <c r="CE115" s="159"/>
      <c r="CF115" s="159"/>
      <c r="CG115" s="159"/>
      <c r="CH115" s="159"/>
      <c r="CI115" s="159"/>
      <c r="CJ115" s="159"/>
      <c r="CK115" s="159"/>
      <c r="CL115" s="159"/>
      <c r="CM115" s="159"/>
      <c r="CN115" s="159"/>
      <c r="CO115" s="159"/>
      <c r="CP115" s="159"/>
      <c r="CQ115" s="159"/>
      <c r="CR115" s="159"/>
      <c r="CS115" s="159"/>
      <c r="CT115" s="159"/>
      <c r="CU115" s="159"/>
      <c r="CV115" s="159"/>
    </row>
    <row r="116" spans="1:100" ht="34.6" customHeight="1" x14ac:dyDescent="0.25">
      <c r="A116" s="166"/>
      <c r="B116" s="25"/>
      <c r="C116" s="13"/>
      <c r="D116" s="166"/>
      <c r="E116" s="149"/>
      <c r="F116" s="149"/>
      <c r="G116" s="149"/>
      <c r="H116" s="149"/>
      <c r="I116" s="149"/>
      <c r="J116" s="149"/>
      <c r="K116" s="166"/>
      <c r="L116" s="166"/>
      <c r="M116" s="166"/>
      <c r="N116" s="166"/>
      <c r="O116" s="166"/>
      <c r="P116" s="166"/>
      <c r="Q116" s="1129"/>
      <c r="R116" s="180" t="str">
        <f>'2.CropManagement'!O241</f>
        <v xml:space="preserve"> - Oman</v>
      </c>
      <c r="S116" s="180">
        <f>'2.CropManagement'!P241</f>
        <v>89</v>
      </c>
      <c r="T116" s="180" t="str">
        <f>'2.CropManagement'!Q241</f>
        <v>Middle East</v>
      </c>
      <c r="U116" s="180">
        <f>'2.CropManagement'!R241</f>
        <v>0</v>
      </c>
      <c r="V116" s="180">
        <f>'2.CropManagement'!S241</f>
        <v>0</v>
      </c>
      <c r="W116" s="1130"/>
      <c r="X116" s="149"/>
      <c r="Y116" s="149"/>
      <c r="Z116" s="149"/>
      <c r="AA116" s="149"/>
      <c r="AB116" s="149"/>
      <c r="AC116" s="149"/>
      <c r="AD116" s="149"/>
      <c r="AE116" s="149"/>
      <c r="AF116" s="149"/>
      <c r="AG116" s="149"/>
      <c r="AH116" s="149"/>
      <c r="AI116" s="149"/>
      <c r="AJ116" s="149"/>
      <c r="AK116" s="149"/>
      <c r="AL116" s="149"/>
      <c r="AM116" s="149"/>
      <c r="AN116" s="149"/>
      <c r="AO116" s="149"/>
      <c r="AP116" s="149"/>
      <c r="AQ116" s="149"/>
      <c r="AR116" s="149"/>
      <c r="AS116" s="149"/>
      <c r="AT116" s="1100"/>
      <c r="AU116" s="149"/>
      <c r="AV116" s="149"/>
      <c r="AW116" s="149"/>
      <c r="AX116" s="149"/>
      <c r="AY116" s="149"/>
      <c r="AZ116" s="149"/>
      <c r="BA116" s="149"/>
      <c r="BB116" s="149"/>
      <c r="BC116" s="166"/>
      <c r="BD116" s="166"/>
      <c r="BE116" s="166"/>
      <c r="BF116" s="166"/>
      <c r="BG116" s="166"/>
      <c r="BH116" s="166"/>
      <c r="BI116" s="166"/>
      <c r="BJ116" s="166"/>
      <c r="BK116" s="166"/>
      <c r="BL116" s="166"/>
      <c r="BM116" s="166"/>
      <c r="BN116" s="166"/>
      <c r="BO116" s="166"/>
      <c r="BP116" s="166"/>
      <c r="BQ116" s="166"/>
      <c r="BR116" s="166"/>
      <c r="BS116" s="166"/>
      <c r="BT116" s="166"/>
      <c r="BU116" s="166"/>
      <c r="BV116" s="166"/>
      <c r="BW116" s="166"/>
      <c r="BX116" s="159"/>
      <c r="BY116" s="159"/>
      <c r="BZ116" s="159"/>
      <c r="CA116" s="159"/>
      <c r="CB116" s="159"/>
      <c r="CC116" s="159"/>
      <c r="CD116" s="159"/>
      <c r="CE116" s="159"/>
      <c r="CF116" s="159"/>
      <c r="CG116" s="159"/>
      <c r="CH116" s="159"/>
      <c r="CI116" s="159"/>
      <c r="CJ116" s="159"/>
      <c r="CK116" s="159"/>
      <c r="CL116" s="159"/>
      <c r="CM116" s="159"/>
      <c r="CN116" s="159"/>
      <c r="CO116" s="159"/>
      <c r="CP116" s="159"/>
      <c r="CQ116" s="159"/>
      <c r="CR116" s="159"/>
      <c r="CS116" s="159"/>
      <c r="CT116" s="159"/>
      <c r="CU116" s="159"/>
      <c r="CV116" s="159"/>
    </row>
    <row r="117" spans="1:100" ht="34.6" customHeight="1" x14ac:dyDescent="0.25">
      <c r="A117" s="166"/>
      <c r="B117" s="166"/>
      <c r="C117" s="166"/>
      <c r="D117" s="166"/>
      <c r="E117" s="149"/>
      <c r="F117" s="149"/>
      <c r="G117" s="149"/>
      <c r="H117" s="149"/>
      <c r="I117" s="149"/>
      <c r="J117" s="149"/>
      <c r="K117" s="166"/>
      <c r="L117" s="166"/>
      <c r="M117" s="166"/>
      <c r="N117" s="166"/>
      <c r="O117" s="166"/>
      <c r="P117" s="166"/>
      <c r="Q117" s="1129"/>
      <c r="R117" s="180" t="str">
        <f>'2.CropManagement'!O242</f>
        <v xml:space="preserve"> - Pakistan</v>
      </c>
      <c r="S117" s="180">
        <f>'2.CropManagement'!P242</f>
        <v>90</v>
      </c>
      <c r="T117" s="180" t="str">
        <f>'2.CropManagement'!Q242</f>
        <v>Indian Subcontinent</v>
      </c>
      <c r="U117" s="180">
        <f>'2.CropManagement'!R242</f>
        <v>0</v>
      </c>
      <c r="V117" s="180">
        <f>'2.CropManagement'!S242</f>
        <v>0</v>
      </c>
      <c r="W117" s="1130"/>
      <c r="X117" s="149"/>
      <c r="Y117" s="149"/>
      <c r="Z117" s="149"/>
      <c r="AA117" s="149"/>
      <c r="AB117" s="149"/>
      <c r="AC117" s="149"/>
      <c r="AD117" s="149"/>
      <c r="AE117" s="149"/>
      <c r="AF117" s="149"/>
      <c r="AG117" s="149"/>
      <c r="AH117" s="149"/>
      <c r="AI117" s="149"/>
      <c r="AJ117" s="149"/>
      <c r="AK117" s="149"/>
      <c r="AL117" s="149"/>
      <c r="AM117" s="149"/>
      <c r="AN117" s="149"/>
      <c r="AO117" s="149"/>
      <c r="AP117" s="149"/>
      <c r="AQ117" s="149"/>
      <c r="AR117" s="149"/>
      <c r="AS117" s="149"/>
      <c r="AT117" s="149"/>
      <c r="AU117" s="149"/>
      <c r="AV117" s="149"/>
      <c r="AW117" s="149"/>
      <c r="AX117" s="1100"/>
      <c r="AY117" s="149"/>
      <c r="AZ117" s="149"/>
      <c r="BA117" s="149"/>
      <c r="BB117" s="149"/>
      <c r="BC117" s="166"/>
      <c r="BD117" s="166"/>
      <c r="BE117" s="166"/>
      <c r="BF117" s="166"/>
      <c r="BG117" s="166"/>
      <c r="BH117" s="166"/>
      <c r="BI117" s="166"/>
      <c r="BJ117" s="166"/>
      <c r="BK117" s="166"/>
      <c r="BL117" s="166"/>
      <c r="BM117" s="166"/>
      <c r="BN117" s="166"/>
      <c r="BO117" s="166"/>
      <c r="BP117" s="166"/>
      <c r="BQ117" s="166"/>
      <c r="BR117" s="166"/>
      <c r="BS117" s="166"/>
      <c r="BT117" s="166"/>
      <c r="BU117" s="166"/>
      <c r="BV117" s="166"/>
      <c r="BW117" s="166"/>
      <c r="BX117" s="159"/>
      <c r="BY117" s="159"/>
      <c r="BZ117" s="159"/>
      <c r="CA117" s="159"/>
      <c r="CB117" s="159"/>
      <c r="CC117" s="159"/>
      <c r="CD117" s="159"/>
      <c r="CE117" s="159"/>
      <c r="CF117" s="159"/>
      <c r="CG117" s="159"/>
      <c r="CH117" s="159"/>
      <c r="CI117" s="159"/>
      <c r="CJ117" s="159"/>
      <c r="CK117" s="159"/>
      <c r="CL117" s="159"/>
      <c r="CM117" s="159"/>
      <c r="CN117" s="159"/>
      <c r="CO117" s="159"/>
      <c r="CP117" s="159"/>
      <c r="CQ117" s="159"/>
      <c r="CR117" s="159"/>
      <c r="CS117" s="159"/>
      <c r="CT117" s="159"/>
      <c r="CU117" s="159"/>
      <c r="CV117" s="159"/>
    </row>
    <row r="118" spans="1:100" ht="34.6" customHeight="1" x14ac:dyDescent="0.25">
      <c r="A118" s="166"/>
      <c r="B118" s="166"/>
      <c r="C118" s="166"/>
      <c r="D118" s="166"/>
      <c r="E118" s="166"/>
      <c r="F118" s="166"/>
      <c r="G118" s="166"/>
      <c r="H118" s="166"/>
      <c r="I118" s="166"/>
      <c r="J118" s="166"/>
      <c r="K118" s="166"/>
      <c r="L118" s="166"/>
      <c r="M118" s="166"/>
      <c r="N118" s="166"/>
      <c r="O118" s="166"/>
      <c r="P118" s="166"/>
      <c r="Q118" s="1129"/>
      <c r="R118" s="180" t="str">
        <f>'2.CropManagement'!O243</f>
        <v xml:space="preserve"> - Panama</v>
      </c>
      <c r="S118" s="180">
        <f>'2.CropManagement'!P243</f>
        <v>91</v>
      </c>
      <c r="T118" s="180" t="str">
        <f>'2.CropManagement'!Q243</f>
        <v>Latin America</v>
      </c>
      <c r="U118" s="180">
        <f>'2.CropManagement'!R243</f>
        <v>0</v>
      </c>
      <c r="V118" s="180">
        <f>'2.CropManagement'!S243</f>
        <v>0</v>
      </c>
      <c r="W118" s="1130"/>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4"/>
      <c r="AZ118" s="149"/>
      <c r="BA118" s="149"/>
      <c r="BB118" s="149"/>
      <c r="BC118" s="166"/>
      <c r="BD118" s="166"/>
      <c r="BE118" s="166"/>
      <c r="BF118" s="166"/>
      <c r="BG118" s="166"/>
      <c r="BH118" s="166"/>
      <c r="BI118" s="166"/>
      <c r="BJ118" s="166"/>
      <c r="BK118" s="166"/>
      <c r="BL118" s="166"/>
      <c r="BM118" s="166"/>
      <c r="BN118" s="166"/>
      <c r="BO118" s="166"/>
      <c r="BP118" s="166"/>
      <c r="BQ118" s="166"/>
      <c r="BR118" s="166"/>
      <c r="BS118" s="166"/>
      <c r="BT118" s="166"/>
      <c r="BU118" s="166"/>
      <c r="BV118" s="166"/>
      <c r="BW118" s="166"/>
      <c r="BX118" s="159"/>
      <c r="BY118" s="159"/>
      <c r="BZ118" s="159"/>
      <c r="CA118" s="159"/>
      <c r="CB118" s="159"/>
      <c r="CC118" s="159"/>
      <c r="CD118" s="159"/>
      <c r="CE118" s="159"/>
      <c r="CF118" s="159"/>
      <c r="CG118" s="159"/>
      <c r="CH118" s="159"/>
      <c r="CI118" s="159"/>
      <c r="CJ118" s="159"/>
      <c r="CK118" s="159"/>
      <c r="CL118" s="159"/>
      <c r="CM118" s="159"/>
      <c r="CN118" s="159"/>
      <c r="CO118" s="159"/>
      <c r="CP118" s="159"/>
      <c r="CQ118" s="159"/>
      <c r="CR118" s="159"/>
      <c r="CS118" s="159"/>
      <c r="CT118" s="159"/>
      <c r="CU118" s="159"/>
      <c r="CV118" s="159"/>
    </row>
    <row r="119" spans="1:100" ht="34.6" customHeight="1" x14ac:dyDescent="0.25">
      <c r="A119" s="166"/>
      <c r="B119" s="166"/>
      <c r="C119" s="166"/>
      <c r="D119" s="166"/>
      <c r="E119" s="166"/>
      <c r="F119" s="166"/>
      <c r="G119" s="166"/>
      <c r="H119" s="166"/>
      <c r="I119" s="166"/>
      <c r="J119" s="166"/>
      <c r="K119" s="166"/>
      <c r="L119" s="166"/>
      <c r="M119" s="166"/>
      <c r="N119" s="166"/>
      <c r="O119" s="166"/>
      <c r="P119" s="166"/>
      <c r="Q119" s="1129"/>
      <c r="R119" s="180" t="str">
        <f>'2.CropManagement'!O244</f>
        <v xml:space="preserve"> - Paraguay</v>
      </c>
      <c r="S119" s="180">
        <f>'2.CropManagement'!P244</f>
        <v>92</v>
      </c>
      <c r="T119" s="180" t="str">
        <f>'2.CropManagement'!Q244</f>
        <v>Latin America</v>
      </c>
      <c r="U119" s="180">
        <f>'2.CropManagement'!R244</f>
        <v>0</v>
      </c>
      <c r="V119" s="180">
        <f>'2.CropManagement'!S244</f>
        <v>0</v>
      </c>
      <c r="W119" s="1130"/>
      <c r="X119" s="149"/>
      <c r="Y119" s="149"/>
      <c r="Z119" s="149"/>
      <c r="AA119" s="149"/>
      <c r="AB119" s="149"/>
      <c r="AC119" s="149"/>
      <c r="AD119" s="149"/>
      <c r="AE119" s="149"/>
      <c r="AF119" s="149"/>
      <c r="AG119" s="149"/>
      <c r="AH119" s="149"/>
      <c r="AI119" s="149"/>
      <c r="AJ119" s="149"/>
      <c r="AK119" s="149"/>
      <c r="AL119" s="149"/>
      <c r="AM119" s="149"/>
      <c r="AN119" s="149"/>
      <c r="AO119" s="149"/>
      <c r="AP119" s="149"/>
      <c r="AQ119" s="149"/>
      <c r="AR119" s="149"/>
      <c r="AS119" s="149"/>
      <c r="AT119" s="149"/>
      <c r="AU119" s="149"/>
      <c r="AV119" s="149"/>
      <c r="AW119" s="149"/>
      <c r="AX119" s="149"/>
      <c r="AY119" s="149"/>
      <c r="AZ119" s="149"/>
      <c r="BA119" s="149"/>
      <c r="BB119" s="149"/>
      <c r="BC119" s="166"/>
      <c r="BD119" s="166"/>
      <c r="BE119" s="166"/>
      <c r="BF119" s="166"/>
      <c r="BG119" s="166"/>
      <c r="BH119" s="166"/>
      <c r="BI119" s="166"/>
      <c r="BJ119" s="166"/>
      <c r="BK119" s="166"/>
      <c r="BL119" s="166"/>
      <c r="BM119" s="166"/>
      <c r="BN119" s="166"/>
      <c r="BO119" s="166"/>
      <c r="BP119" s="166"/>
      <c r="BQ119" s="166"/>
      <c r="BR119" s="166"/>
      <c r="BS119" s="166"/>
      <c r="BT119" s="166"/>
      <c r="BU119" s="166"/>
      <c r="BV119" s="166"/>
      <c r="BW119" s="166"/>
      <c r="BX119" s="159"/>
      <c r="BY119" s="159"/>
      <c r="BZ119" s="159"/>
      <c r="CA119" s="159"/>
      <c r="CB119" s="159"/>
      <c r="CC119" s="159"/>
      <c r="CD119" s="159"/>
      <c r="CE119" s="159"/>
      <c r="CF119" s="159"/>
      <c r="CG119" s="159"/>
      <c r="CH119" s="159"/>
      <c r="CI119" s="159"/>
      <c r="CJ119" s="159"/>
      <c r="CK119" s="159"/>
      <c r="CL119" s="159"/>
      <c r="CM119" s="159"/>
      <c r="CN119" s="159"/>
      <c r="CO119" s="159"/>
      <c r="CP119" s="159"/>
      <c r="CQ119" s="159"/>
      <c r="CR119" s="159"/>
      <c r="CS119" s="159"/>
      <c r="CT119" s="159"/>
      <c r="CU119" s="159"/>
      <c r="CV119" s="159"/>
    </row>
    <row r="120" spans="1:100" ht="34.6" customHeight="1" x14ac:dyDescent="0.25">
      <c r="A120" s="166"/>
      <c r="B120" s="166"/>
      <c r="C120" s="166"/>
      <c r="D120" s="166"/>
      <c r="E120" s="166"/>
      <c r="F120" s="166"/>
      <c r="G120" s="166"/>
      <c r="H120" s="166"/>
      <c r="I120" s="166"/>
      <c r="J120" s="166"/>
      <c r="K120" s="166"/>
      <c r="L120" s="166"/>
      <c r="M120" s="166"/>
      <c r="N120" s="166"/>
      <c r="O120" s="166"/>
      <c r="P120" s="166"/>
      <c r="Q120" s="1129"/>
      <c r="R120" s="180" t="str">
        <f>'2.CropManagement'!O245</f>
        <v xml:space="preserve"> - Peru</v>
      </c>
      <c r="S120" s="180">
        <f>'2.CropManagement'!P245</f>
        <v>93</v>
      </c>
      <c r="T120" s="180" t="str">
        <f>'2.CropManagement'!Q245</f>
        <v>Latin America</v>
      </c>
      <c r="U120" s="180">
        <f>'2.CropManagement'!R245</f>
        <v>0</v>
      </c>
      <c r="V120" s="180">
        <f>'2.CropManagement'!S245</f>
        <v>0</v>
      </c>
      <c r="W120" s="1130"/>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66"/>
      <c r="BD120" s="166"/>
      <c r="BE120" s="166"/>
      <c r="BF120" s="166"/>
      <c r="BG120" s="166"/>
      <c r="BH120" s="166"/>
      <c r="BI120" s="166"/>
      <c r="BJ120" s="166"/>
      <c r="BK120" s="166"/>
      <c r="BL120" s="166"/>
      <c r="BM120" s="166"/>
      <c r="BN120" s="166"/>
      <c r="BO120" s="166"/>
      <c r="BP120" s="166"/>
      <c r="BQ120" s="166"/>
      <c r="BR120" s="166"/>
      <c r="BS120" s="166"/>
      <c r="BT120" s="166"/>
      <c r="BU120" s="166"/>
      <c r="BV120" s="166"/>
      <c r="BW120" s="166"/>
      <c r="BX120" s="159"/>
      <c r="BY120" s="159"/>
      <c r="BZ120" s="159"/>
      <c r="CA120" s="159"/>
      <c r="CB120" s="159"/>
      <c r="CC120" s="159"/>
      <c r="CD120" s="159"/>
      <c r="CE120" s="159"/>
      <c r="CF120" s="159"/>
      <c r="CG120" s="159"/>
      <c r="CH120" s="159"/>
      <c r="CI120" s="159"/>
      <c r="CJ120" s="159"/>
      <c r="CK120" s="159"/>
      <c r="CL120" s="159"/>
      <c r="CM120" s="159"/>
      <c r="CN120" s="159"/>
      <c r="CO120" s="159"/>
      <c r="CP120" s="159"/>
      <c r="CQ120" s="159"/>
      <c r="CR120" s="159"/>
      <c r="CS120" s="159"/>
      <c r="CT120" s="159"/>
      <c r="CU120" s="159"/>
      <c r="CV120" s="159"/>
    </row>
    <row r="121" spans="1:100" ht="34.6" customHeight="1" x14ac:dyDescent="0.25">
      <c r="A121" s="166"/>
      <c r="B121" s="166"/>
      <c r="C121" s="166"/>
      <c r="D121" s="166"/>
      <c r="E121" s="166"/>
      <c r="F121" s="166"/>
      <c r="G121" s="166"/>
      <c r="H121" s="166"/>
      <c r="I121" s="166"/>
      <c r="J121" s="166"/>
      <c r="K121" s="166"/>
      <c r="L121" s="166"/>
      <c r="M121" s="166"/>
      <c r="N121" s="166"/>
      <c r="O121" s="166"/>
      <c r="P121" s="166"/>
      <c r="Q121" s="1129"/>
      <c r="R121" s="180" t="str">
        <f>'2.CropManagement'!O246</f>
        <v xml:space="preserve"> - Philippines</v>
      </c>
      <c r="S121" s="180">
        <f>'2.CropManagement'!P246</f>
        <v>94</v>
      </c>
      <c r="T121" s="180" t="str">
        <f>'2.CropManagement'!Q246</f>
        <v>Asia</v>
      </c>
      <c r="U121" s="180">
        <f>'2.CropManagement'!R246</f>
        <v>0</v>
      </c>
      <c r="V121" s="180">
        <f>'2.CropManagement'!S246</f>
        <v>0</v>
      </c>
      <c r="W121" s="1130"/>
      <c r="X121" s="149"/>
      <c r="Y121" s="149"/>
      <c r="Z121" s="149"/>
      <c r="AA121" s="149"/>
      <c r="AB121" s="149"/>
      <c r="AC121" s="149"/>
      <c r="AD121" s="149"/>
      <c r="AE121" s="149"/>
      <c r="AF121" s="149"/>
      <c r="AG121" s="149"/>
      <c r="AH121" s="149"/>
      <c r="AI121" s="149"/>
      <c r="AJ121" s="149"/>
      <c r="AK121" s="149"/>
      <c r="AL121" s="149"/>
      <c r="AM121" s="149"/>
      <c r="AN121" s="149"/>
      <c r="AO121" s="149"/>
      <c r="AP121" s="149"/>
      <c r="AQ121" s="149"/>
      <c r="AR121" s="149"/>
      <c r="AS121" s="149"/>
      <c r="AT121" s="149"/>
      <c r="AU121" s="149"/>
      <c r="AV121" s="149"/>
      <c r="AW121" s="149"/>
      <c r="AX121" s="149"/>
      <c r="AY121" s="149"/>
      <c r="AZ121" s="149"/>
      <c r="BA121" s="149"/>
      <c r="BB121" s="149"/>
      <c r="BC121" s="166"/>
      <c r="BD121" s="166"/>
      <c r="BE121" s="166"/>
      <c r="BF121" s="166"/>
      <c r="BG121" s="166"/>
      <c r="BH121" s="166"/>
      <c r="BI121" s="166"/>
      <c r="BJ121" s="166"/>
      <c r="BK121" s="166"/>
      <c r="BL121" s="166"/>
      <c r="BM121" s="166"/>
      <c r="BN121" s="166"/>
      <c r="BO121" s="166"/>
      <c r="BP121" s="166"/>
      <c r="BQ121" s="166"/>
      <c r="BR121" s="166"/>
      <c r="BS121" s="166"/>
      <c r="BT121" s="166"/>
      <c r="BU121" s="166"/>
      <c r="BV121" s="166"/>
      <c r="BW121" s="166"/>
      <c r="BX121" s="159"/>
      <c r="BY121" s="159"/>
      <c r="BZ121" s="159"/>
      <c r="CA121" s="159"/>
      <c r="CB121" s="159"/>
      <c r="CC121" s="159"/>
      <c r="CD121" s="159"/>
      <c r="CE121" s="159"/>
      <c r="CF121" s="159"/>
      <c r="CG121" s="159"/>
      <c r="CH121" s="159"/>
      <c r="CI121" s="159"/>
      <c r="CJ121" s="159"/>
      <c r="CK121" s="159"/>
      <c r="CL121" s="159"/>
      <c r="CM121" s="159"/>
      <c r="CN121" s="159"/>
      <c r="CO121" s="159"/>
      <c r="CP121" s="159"/>
      <c r="CQ121" s="159"/>
      <c r="CR121" s="159"/>
      <c r="CS121" s="159"/>
      <c r="CT121" s="159"/>
      <c r="CU121" s="159"/>
      <c r="CV121" s="159"/>
    </row>
    <row r="122" spans="1:100" ht="34.6" customHeight="1" x14ac:dyDescent="0.25">
      <c r="A122" s="166"/>
      <c r="B122" s="166"/>
      <c r="C122" s="166"/>
      <c r="D122" s="166"/>
      <c r="E122" s="166"/>
      <c r="F122" s="166"/>
      <c r="G122" s="166"/>
      <c r="H122" s="166"/>
      <c r="I122" s="166"/>
      <c r="J122" s="166"/>
      <c r="K122" s="166"/>
      <c r="L122" s="166"/>
      <c r="M122" s="166"/>
      <c r="N122" s="166"/>
      <c r="O122" s="166"/>
      <c r="P122" s="166"/>
      <c r="Q122" s="1129"/>
      <c r="R122" s="180" t="str">
        <f>'2.CropManagement'!O247</f>
        <v xml:space="preserve"> - Poland</v>
      </c>
      <c r="S122" s="180">
        <f>'2.CropManagement'!P247</f>
        <v>95</v>
      </c>
      <c r="T122" s="180" t="str">
        <f>'2.CropManagement'!Q247</f>
        <v>Eastern Europe</v>
      </c>
      <c r="U122" s="180">
        <f>'2.CropManagement'!R247</f>
        <v>0</v>
      </c>
      <c r="V122" s="180">
        <f>'2.CropManagement'!S247</f>
        <v>0</v>
      </c>
      <c r="W122" s="1130"/>
      <c r="X122" s="149"/>
      <c r="Y122" s="149"/>
      <c r="Z122" s="149"/>
      <c r="AA122" s="149"/>
      <c r="AB122" s="149"/>
      <c r="AC122" s="149"/>
      <c r="AD122" s="149"/>
      <c r="AE122" s="149"/>
      <c r="AF122" s="149"/>
      <c r="AG122" s="149"/>
      <c r="AH122" s="149"/>
      <c r="AI122" s="149"/>
      <c r="AJ122" s="149"/>
      <c r="AK122" s="149"/>
      <c r="AL122" s="149"/>
      <c r="AM122" s="149"/>
      <c r="AN122" s="149"/>
      <c r="AO122" s="149"/>
      <c r="AP122" s="149"/>
      <c r="AQ122" s="149"/>
      <c r="AR122" s="149"/>
      <c r="AS122" s="149"/>
      <c r="AT122" s="1100"/>
      <c r="AU122" s="149"/>
      <c r="AV122" s="149"/>
      <c r="AW122" s="149"/>
      <c r="AX122" s="149"/>
      <c r="AY122" s="149"/>
      <c r="AZ122" s="149"/>
      <c r="BA122" s="149"/>
      <c r="BB122" s="149"/>
      <c r="BC122" s="166"/>
      <c r="BD122" s="166"/>
      <c r="BE122" s="166"/>
      <c r="BF122" s="166"/>
      <c r="BG122" s="166"/>
      <c r="BH122" s="166"/>
      <c r="BI122" s="166"/>
      <c r="BJ122" s="166"/>
      <c r="BK122" s="166"/>
      <c r="BL122" s="166"/>
      <c r="BM122" s="166"/>
      <c r="BN122" s="166"/>
      <c r="BO122" s="166"/>
      <c r="BP122" s="166"/>
      <c r="BQ122" s="166"/>
      <c r="BR122" s="166"/>
      <c r="BS122" s="166"/>
      <c r="BT122" s="166"/>
      <c r="BU122" s="166"/>
      <c r="BV122" s="166"/>
      <c r="BW122" s="166"/>
      <c r="BX122" s="159"/>
      <c r="BY122" s="159"/>
      <c r="BZ122" s="159"/>
      <c r="CA122" s="159"/>
      <c r="CB122" s="159"/>
      <c r="CC122" s="159"/>
      <c r="CD122" s="159"/>
      <c r="CE122" s="159"/>
      <c r="CF122" s="159"/>
      <c r="CG122" s="159"/>
      <c r="CH122" s="159"/>
      <c r="CI122" s="159"/>
      <c r="CJ122" s="159"/>
      <c r="CK122" s="159"/>
      <c r="CL122" s="159"/>
      <c r="CM122" s="159"/>
      <c r="CN122" s="159"/>
      <c r="CO122" s="159"/>
      <c r="CP122" s="159"/>
      <c r="CQ122" s="159"/>
      <c r="CR122" s="159"/>
      <c r="CS122" s="159"/>
      <c r="CT122" s="159"/>
      <c r="CU122" s="159"/>
      <c r="CV122" s="159"/>
    </row>
    <row r="123" spans="1:100" ht="34.6" customHeight="1" x14ac:dyDescent="0.25">
      <c r="A123" s="166"/>
      <c r="B123" s="166"/>
      <c r="C123" s="166"/>
      <c r="D123" s="166"/>
      <c r="E123" s="166"/>
      <c r="F123" s="166"/>
      <c r="G123" s="166"/>
      <c r="H123" s="166"/>
      <c r="I123" s="166"/>
      <c r="J123" s="166"/>
      <c r="K123" s="166"/>
      <c r="L123" s="166"/>
      <c r="M123" s="166"/>
      <c r="N123" s="166"/>
      <c r="O123" s="166"/>
      <c r="P123" s="166"/>
      <c r="Q123" s="1129"/>
      <c r="R123" s="180" t="str">
        <f>'2.CropManagement'!O248</f>
        <v xml:space="preserve"> - Poland</v>
      </c>
      <c r="S123" s="180">
        <f>'2.CropManagement'!P248</f>
        <v>96</v>
      </c>
      <c r="T123" s="180" t="str">
        <f>'2.CropManagement'!Q248</f>
        <v>Western Europe</v>
      </c>
      <c r="U123" s="180">
        <f>'2.CropManagement'!R248</f>
        <v>0</v>
      </c>
      <c r="V123" s="180">
        <f>'2.CropManagement'!S248</f>
        <v>0</v>
      </c>
      <c r="W123" s="1130"/>
      <c r="X123" s="149"/>
      <c r="Y123" s="149"/>
      <c r="Z123" s="149"/>
      <c r="AA123" s="149"/>
      <c r="AB123" s="149"/>
      <c r="AC123" s="149"/>
      <c r="AD123" s="149"/>
      <c r="AE123" s="149"/>
      <c r="AF123" s="149"/>
      <c r="AG123" s="149"/>
      <c r="AH123" s="149"/>
      <c r="AI123" s="149"/>
      <c r="AJ123" s="149"/>
      <c r="AK123" s="149"/>
      <c r="AL123" s="149"/>
      <c r="AM123" s="149"/>
      <c r="AN123" s="149"/>
      <c r="AO123" s="149"/>
      <c r="AP123" s="149"/>
      <c r="AQ123" s="149"/>
      <c r="AR123" s="149"/>
      <c r="AS123" s="149"/>
      <c r="AT123" s="149"/>
      <c r="AU123" s="149"/>
      <c r="AV123" s="149"/>
      <c r="AW123" s="149"/>
      <c r="AX123" s="149"/>
      <c r="AY123" s="149"/>
      <c r="AZ123" s="149"/>
      <c r="BA123" s="149"/>
      <c r="BB123" s="149"/>
      <c r="BC123" s="166"/>
      <c r="BD123" s="166"/>
      <c r="BE123" s="166"/>
      <c r="BF123" s="166"/>
      <c r="BG123" s="166"/>
      <c r="BH123" s="166"/>
      <c r="BI123" s="166"/>
      <c r="BJ123" s="166"/>
      <c r="BK123" s="166"/>
      <c r="BL123" s="166"/>
      <c r="BM123" s="166"/>
      <c r="BN123" s="166"/>
      <c r="BO123" s="166"/>
      <c r="BP123" s="166"/>
      <c r="BQ123" s="166"/>
      <c r="BR123" s="166"/>
      <c r="BS123" s="166"/>
      <c r="BT123" s="166"/>
      <c r="BU123" s="166"/>
      <c r="BV123" s="166"/>
      <c r="BW123" s="166"/>
      <c r="BX123" s="159"/>
      <c r="BY123" s="159"/>
      <c r="BZ123" s="159"/>
      <c r="CA123" s="159"/>
      <c r="CB123" s="159"/>
      <c r="CC123" s="159"/>
      <c r="CD123" s="159"/>
      <c r="CE123" s="159"/>
      <c r="CF123" s="159"/>
      <c r="CG123" s="159"/>
      <c r="CH123" s="159"/>
      <c r="CI123" s="159"/>
      <c r="CJ123" s="159"/>
      <c r="CK123" s="159"/>
      <c r="CL123" s="159"/>
      <c r="CM123" s="159"/>
      <c r="CN123" s="159"/>
      <c r="CO123" s="159"/>
      <c r="CP123" s="159"/>
      <c r="CQ123" s="159"/>
      <c r="CR123" s="159"/>
      <c r="CS123" s="159"/>
      <c r="CT123" s="159"/>
      <c r="CU123" s="159"/>
      <c r="CV123" s="159"/>
    </row>
    <row r="124" spans="1:100" ht="34.6" customHeight="1" x14ac:dyDescent="0.25">
      <c r="A124" s="166"/>
      <c r="B124" s="166"/>
      <c r="C124" s="166"/>
      <c r="D124" s="166"/>
      <c r="E124" s="166"/>
      <c r="F124" s="166"/>
      <c r="G124" s="166"/>
      <c r="H124" s="166"/>
      <c r="I124" s="166"/>
      <c r="J124" s="166"/>
      <c r="K124" s="166"/>
      <c r="L124" s="166"/>
      <c r="M124" s="166"/>
      <c r="N124" s="166"/>
      <c r="O124" s="166"/>
      <c r="P124" s="166"/>
      <c r="Q124" s="1129"/>
      <c r="R124" s="180" t="str">
        <f>'2.CropManagement'!O249</f>
        <v xml:space="preserve"> - Portugal</v>
      </c>
      <c r="S124" s="180">
        <f>'2.CropManagement'!P249</f>
        <v>97</v>
      </c>
      <c r="T124" s="180" t="str">
        <f>'2.CropManagement'!Q249</f>
        <v>Western Europe</v>
      </c>
      <c r="U124" s="180">
        <f>'2.CropManagement'!R249</f>
        <v>0</v>
      </c>
      <c r="V124" s="180">
        <f>'2.CropManagement'!S249</f>
        <v>1</v>
      </c>
      <c r="W124" s="1130"/>
      <c r="X124" s="149"/>
      <c r="Y124" s="149"/>
      <c r="Z124" s="149"/>
      <c r="AA124" s="149"/>
      <c r="AB124" s="149"/>
      <c r="AC124" s="149"/>
      <c r="AD124" s="149"/>
      <c r="AE124" s="149"/>
      <c r="AF124" s="149"/>
      <c r="AG124" s="149"/>
      <c r="AH124" s="149"/>
      <c r="AI124" s="149"/>
      <c r="AJ124" s="149"/>
      <c r="AK124" s="149"/>
      <c r="AL124" s="149"/>
      <c r="AM124" s="149"/>
      <c r="AN124" s="149"/>
      <c r="AO124" s="149"/>
      <c r="AP124" s="149"/>
      <c r="AQ124" s="149"/>
      <c r="AR124" s="149"/>
      <c r="AS124" s="149"/>
      <c r="AT124" s="149"/>
      <c r="AU124" s="149"/>
      <c r="AV124" s="149"/>
      <c r="AW124" s="149"/>
      <c r="AX124" s="149"/>
      <c r="AY124" s="149"/>
      <c r="AZ124" s="149"/>
      <c r="BA124" s="149"/>
      <c r="BB124" s="149"/>
      <c r="BC124" s="166"/>
      <c r="BD124" s="166"/>
      <c r="BE124" s="166"/>
      <c r="BF124" s="166"/>
      <c r="BG124" s="166"/>
      <c r="BH124" s="166"/>
      <c r="BI124" s="166"/>
      <c r="BJ124" s="166"/>
      <c r="BK124" s="166"/>
      <c r="BL124" s="166"/>
      <c r="BM124" s="166"/>
      <c r="BN124" s="166"/>
      <c r="BO124" s="166"/>
      <c r="BP124" s="166"/>
      <c r="BQ124" s="166"/>
      <c r="BR124" s="166"/>
      <c r="BS124" s="166"/>
      <c r="BT124" s="166"/>
      <c r="BU124" s="166"/>
      <c r="BV124" s="166"/>
      <c r="BW124" s="166"/>
      <c r="BX124" s="159"/>
      <c r="BY124" s="159"/>
      <c r="BZ124" s="159"/>
      <c r="CA124" s="159"/>
      <c r="CB124" s="159"/>
      <c r="CC124" s="159"/>
      <c r="CD124" s="159"/>
      <c r="CE124" s="159"/>
      <c r="CF124" s="159"/>
      <c r="CG124" s="159"/>
      <c r="CH124" s="159"/>
      <c r="CI124" s="159"/>
      <c r="CJ124" s="159"/>
      <c r="CK124" s="159"/>
      <c r="CL124" s="159"/>
      <c r="CM124" s="159"/>
      <c r="CN124" s="159"/>
      <c r="CO124" s="159"/>
      <c r="CP124" s="159"/>
      <c r="CQ124" s="159"/>
      <c r="CR124" s="159"/>
      <c r="CS124" s="159"/>
      <c r="CT124" s="159"/>
      <c r="CU124" s="159"/>
      <c r="CV124" s="159"/>
    </row>
    <row r="125" spans="1:100" ht="34.6" customHeight="1" x14ac:dyDescent="0.25">
      <c r="A125" s="166"/>
      <c r="B125" s="166"/>
      <c r="C125" s="166"/>
      <c r="D125" s="166"/>
      <c r="E125" s="166"/>
      <c r="F125" s="166"/>
      <c r="G125" s="166"/>
      <c r="H125" s="166"/>
      <c r="I125" s="166"/>
      <c r="J125" s="166"/>
      <c r="K125" s="166"/>
      <c r="L125" s="166"/>
      <c r="M125" s="166"/>
      <c r="N125" s="166"/>
      <c r="O125" s="166"/>
      <c r="P125" s="166"/>
      <c r="Q125" s="1129"/>
      <c r="R125" s="180" t="str">
        <f>'2.CropManagement'!O250</f>
        <v xml:space="preserve"> - Qatar</v>
      </c>
      <c r="S125" s="180">
        <f>'2.CropManagement'!P250</f>
        <v>98</v>
      </c>
      <c r="T125" s="180" t="str">
        <f>'2.CropManagement'!Q250</f>
        <v>Middle East</v>
      </c>
      <c r="U125" s="180">
        <f>'2.CropManagement'!R250</f>
        <v>0</v>
      </c>
      <c r="V125" s="180">
        <f>'2.CropManagement'!S250</f>
        <v>0</v>
      </c>
      <c r="W125" s="1130"/>
      <c r="X125" s="149"/>
      <c r="Y125" s="149"/>
      <c r="Z125" s="149"/>
      <c r="AA125" s="149"/>
      <c r="AB125" s="149"/>
      <c r="AC125" s="149"/>
      <c r="AD125" s="149"/>
      <c r="AE125" s="149"/>
      <c r="AF125" s="149"/>
      <c r="AG125" s="149"/>
      <c r="AH125" s="149"/>
      <c r="AI125" s="149"/>
      <c r="AJ125" s="149"/>
      <c r="AK125" s="149"/>
      <c r="AL125" s="149"/>
      <c r="AM125" s="149"/>
      <c r="AN125" s="149"/>
      <c r="AO125" s="149"/>
      <c r="AP125" s="149"/>
      <c r="AQ125" s="149"/>
      <c r="AR125" s="149"/>
      <c r="AS125" s="149"/>
      <c r="AT125" s="149"/>
      <c r="AU125" s="149"/>
      <c r="AV125" s="149"/>
      <c r="AW125" s="149"/>
      <c r="AX125" s="149"/>
      <c r="AY125" s="149"/>
      <c r="AZ125" s="149"/>
      <c r="BA125" s="149"/>
      <c r="BB125" s="149"/>
      <c r="BC125" s="166"/>
      <c r="BD125" s="166"/>
      <c r="BE125" s="166"/>
      <c r="BF125" s="166"/>
      <c r="BG125" s="166"/>
      <c r="BH125" s="166"/>
      <c r="BI125" s="166"/>
      <c r="BJ125" s="166"/>
      <c r="BK125" s="166"/>
      <c r="BL125" s="166"/>
      <c r="BM125" s="166"/>
      <c r="BN125" s="166"/>
      <c r="BO125" s="166"/>
      <c r="BP125" s="166"/>
      <c r="BQ125" s="166"/>
      <c r="BR125" s="166"/>
      <c r="BS125" s="166"/>
      <c r="BT125" s="166"/>
      <c r="BU125" s="166"/>
      <c r="BV125" s="166"/>
      <c r="BW125" s="166"/>
      <c r="BX125" s="159"/>
      <c r="BY125" s="159"/>
      <c r="BZ125" s="159"/>
      <c r="CA125" s="159"/>
      <c r="CB125" s="159"/>
      <c r="CC125" s="159"/>
      <c r="CD125" s="159"/>
      <c r="CE125" s="159"/>
      <c r="CF125" s="159"/>
      <c r="CG125" s="159"/>
      <c r="CH125" s="159"/>
      <c r="CI125" s="159"/>
      <c r="CJ125" s="159"/>
      <c r="CK125" s="159"/>
      <c r="CL125" s="159"/>
      <c r="CM125" s="159"/>
      <c r="CN125" s="159"/>
      <c r="CO125" s="159"/>
      <c r="CP125" s="159"/>
      <c r="CQ125" s="159"/>
      <c r="CR125" s="159"/>
      <c r="CS125" s="159"/>
      <c r="CT125" s="159"/>
      <c r="CU125" s="159"/>
      <c r="CV125" s="159"/>
    </row>
    <row r="126" spans="1:100" ht="34.6" customHeight="1" x14ac:dyDescent="0.25">
      <c r="A126" s="166"/>
      <c r="B126" s="166"/>
      <c r="C126" s="166"/>
      <c r="D126" s="166"/>
      <c r="E126" s="166"/>
      <c r="F126" s="166"/>
      <c r="G126" s="166"/>
      <c r="H126" s="166"/>
      <c r="I126" s="166"/>
      <c r="J126" s="166"/>
      <c r="K126" s="166"/>
      <c r="L126" s="166"/>
      <c r="M126" s="166"/>
      <c r="N126" s="166"/>
      <c r="O126" s="166"/>
      <c r="P126" s="166"/>
      <c r="Q126" s="1129"/>
      <c r="R126" s="180" t="str">
        <f>'2.CropManagement'!O251</f>
        <v xml:space="preserve"> - Romania</v>
      </c>
      <c r="S126" s="180">
        <f>'2.CropManagement'!P251</f>
        <v>99</v>
      </c>
      <c r="T126" s="180" t="str">
        <f>'2.CropManagement'!Q251</f>
        <v>Eastern Europe</v>
      </c>
      <c r="U126" s="180">
        <f>'2.CropManagement'!R251</f>
        <v>0</v>
      </c>
      <c r="V126" s="180">
        <f>'2.CropManagement'!S251</f>
        <v>0</v>
      </c>
      <c r="W126" s="1130"/>
      <c r="X126" s="149"/>
      <c r="Y126" s="149"/>
      <c r="Z126" s="149"/>
      <c r="AA126" s="149"/>
      <c r="AB126" s="149"/>
      <c r="AC126" s="149"/>
      <c r="AD126" s="149"/>
      <c r="AE126" s="149"/>
      <c r="AF126" s="149"/>
      <c r="AG126" s="149"/>
      <c r="AH126" s="149"/>
      <c r="AI126" s="149"/>
      <c r="AJ126" s="149"/>
      <c r="AK126" s="149"/>
      <c r="AL126" s="149"/>
      <c r="AM126" s="149"/>
      <c r="AN126" s="149"/>
      <c r="AO126" s="149"/>
      <c r="AP126" s="149"/>
      <c r="AQ126" s="149"/>
      <c r="AR126" s="149"/>
      <c r="AS126" s="149"/>
      <c r="AT126" s="149"/>
      <c r="AU126" s="149"/>
      <c r="AV126" s="149"/>
      <c r="AW126" s="149"/>
      <c r="AX126" s="149"/>
      <c r="AY126" s="149"/>
      <c r="AZ126" s="149"/>
      <c r="BA126" s="149"/>
      <c r="BB126" s="149"/>
      <c r="BC126" s="166"/>
      <c r="BD126" s="166"/>
      <c r="BE126" s="166"/>
      <c r="BF126" s="166"/>
      <c r="BG126" s="166"/>
      <c r="BH126" s="166"/>
      <c r="BI126" s="166"/>
      <c r="BJ126" s="166"/>
      <c r="BK126" s="166"/>
      <c r="BL126" s="166"/>
      <c r="BM126" s="166"/>
      <c r="BN126" s="166"/>
      <c r="BO126" s="166"/>
      <c r="BP126" s="166"/>
      <c r="BQ126" s="166"/>
      <c r="BR126" s="166"/>
      <c r="BS126" s="166"/>
      <c r="BT126" s="166"/>
      <c r="BU126" s="166"/>
      <c r="BV126" s="166"/>
      <c r="BW126" s="166"/>
      <c r="BX126" s="159"/>
      <c r="BY126" s="159"/>
      <c r="BZ126" s="159"/>
      <c r="CA126" s="159"/>
      <c r="CB126" s="159"/>
      <c r="CC126" s="159"/>
      <c r="CD126" s="159"/>
      <c r="CE126" s="159"/>
      <c r="CF126" s="159"/>
      <c r="CG126" s="159"/>
      <c r="CH126" s="159"/>
      <c r="CI126" s="159"/>
      <c r="CJ126" s="159"/>
      <c r="CK126" s="159"/>
      <c r="CL126" s="159"/>
      <c r="CM126" s="159"/>
      <c r="CN126" s="159"/>
      <c r="CO126" s="159"/>
      <c r="CP126" s="159"/>
      <c r="CQ126" s="159"/>
      <c r="CR126" s="159"/>
      <c r="CS126" s="159"/>
      <c r="CT126" s="159"/>
      <c r="CU126" s="159"/>
      <c r="CV126" s="159"/>
    </row>
    <row r="127" spans="1:100" ht="34.6" customHeight="1" x14ac:dyDescent="0.25">
      <c r="A127" s="166"/>
      <c r="B127" s="166"/>
      <c r="C127" s="166"/>
      <c r="D127" s="166"/>
      <c r="E127" s="166"/>
      <c r="F127" s="166"/>
      <c r="G127" s="166"/>
      <c r="H127" s="166"/>
      <c r="I127" s="166"/>
      <c r="J127" s="166"/>
      <c r="K127" s="166"/>
      <c r="L127" s="166"/>
      <c r="M127" s="166"/>
      <c r="N127" s="166"/>
      <c r="O127" s="166"/>
      <c r="P127" s="166"/>
      <c r="Q127" s="1129"/>
      <c r="R127" s="180" t="str">
        <f>'2.CropManagement'!O252</f>
        <v xml:space="preserve"> - Russia</v>
      </c>
      <c r="S127" s="180">
        <f>'2.CropManagement'!P252</f>
        <v>100</v>
      </c>
      <c r="T127" s="180" t="str">
        <f>'2.CropManagement'!Q252</f>
        <v>Asia</v>
      </c>
      <c r="U127" s="180">
        <f>'2.CropManagement'!R252</f>
        <v>0</v>
      </c>
      <c r="V127" s="180">
        <f>'2.CropManagement'!S252</f>
        <v>0</v>
      </c>
      <c r="W127" s="1130"/>
      <c r="X127" s="149"/>
      <c r="Y127" s="149"/>
      <c r="Z127" s="149"/>
      <c r="AA127" s="149"/>
      <c r="AB127" s="149"/>
      <c r="AC127" s="149"/>
      <c r="AD127" s="149"/>
      <c r="AE127" s="149"/>
      <c r="AF127" s="149"/>
      <c r="AG127" s="149"/>
      <c r="AH127" s="149"/>
      <c r="AI127" s="149"/>
      <c r="AJ127" s="149"/>
      <c r="AK127" s="149"/>
      <c r="AL127" s="149"/>
      <c r="AM127" s="149"/>
      <c r="AN127" s="149"/>
      <c r="AO127" s="149"/>
      <c r="AP127" s="149"/>
      <c r="AQ127" s="149"/>
      <c r="AR127" s="149"/>
      <c r="AS127" s="149"/>
      <c r="AT127" s="149"/>
      <c r="AU127" s="149"/>
      <c r="AV127" s="149"/>
      <c r="AW127" s="149"/>
      <c r="AX127" s="149"/>
      <c r="AY127" s="149"/>
      <c r="AZ127" s="149"/>
      <c r="BA127" s="149"/>
      <c r="BB127" s="149"/>
      <c r="BC127" s="166"/>
      <c r="BD127" s="166"/>
      <c r="BE127" s="166"/>
      <c r="BF127" s="166"/>
      <c r="BG127" s="166"/>
      <c r="BH127" s="166"/>
      <c r="BI127" s="166"/>
      <c r="BJ127" s="166"/>
      <c r="BK127" s="166"/>
      <c r="BL127" s="166"/>
      <c r="BM127" s="166"/>
      <c r="BN127" s="166"/>
      <c r="BO127" s="166"/>
      <c r="BP127" s="166"/>
      <c r="BQ127" s="166"/>
      <c r="BR127" s="166"/>
      <c r="BS127" s="166"/>
      <c r="BT127" s="166"/>
      <c r="BU127" s="166"/>
      <c r="BV127" s="166"/>
      <c r="BW127" s="166"/>
      <c r="BX127" s="159"/>
      <c r="BY127" s="159"/>
      <c r="BZ127" s="159"/>
      <c r="CA127" s="159"/>
      <c r="CB127" s="159"/>
      <c r="CC127" s="159"/>
      <c r="CD127" s="159"/>
      <c r="CE127" s="159"/>
      <c r="CF127" s="159"/>
      <c r="CG127" s="159"/>
      <c r="CH127" s="159"/>
      <c r="CI127" s="159"/>
      <c r="CJ127" s="159"/>
      <c r="CK127" s="159"/>
      <c r="CL127" s="159"/>
      <c r="CM127" s="159"/>
      <c r="CN127" s="159"/>
      <c r="CO127" s="159"/>
      <c r="CP127" s="159"/>
      <c r="CQ127" s="159"/>
      <c r="CR127" s="159"/>
      <c r="CS127" s="159"/>
      <c r="CT127" s="159"/>
      <c r="CU127" s="159"/>
      <c r="CV127" s="159"/>
    </row>
    <row r="128" spans="1:100" ht="34.6" customHeight="1" x14ac:dyDescent="0.25">
      <c r="A128" s="166"/>
      <c r="B128" s="166"/>
      <c r="C128" s="166"/>
      <c r="D128" s="166"/>
      <c r="E128" s="166"/>
      <c r="F128" s="166"/>
      <c r="G128" s="166"/>
      <c r="H128" s="166"/>
      <c r="I128" s="166"/>
      <c r="J128" s="166"/>
      <c r="K128" s="166"/>
      <c r="L128" s="166"/>
      <c r="M128" s="166"/>
      <c r="N128" s="166"/>
      <c r="O128" s="166"/>
      <c r="P128" s="166"/>
      <c r="Q128" s="1129"/>
      <c r="R128" s="180" t="str">
        <f>'2.CropManagement'!O253</f>
        <v xml:space="preserve"> - Saudi Arabia</v>
      </c>
      <c r="S128" s="180">
        <f>'2.CropManagement'!P253</f>
        <v>101</v>
      </c>
      <c r="T128" s="180" t="str">
        <f>'2.CropManagement'!Q253</f>
        <v>Middle East</v>
      </c>
      <c r="U128" s="180">
        <f>'2.CropManagement'!R253</f>
        <v>0</v>
      </c>
      <c r="V128" s="180">
        <f>'2.CropManagement'!S253</f>
        <v>0</v>
      </c>
      <c r="W128" s="1130"/>
      <c r="X128" s="149"/>
      <c r="Y128" s="149"/>
      <c r="Z128" s="149"/>
      <c r="AA128" s="149"/>
      <c r="AB128" s="149"/>
      <c r="AC128" s="149"/>
      <c r="AD128" s="149"/>
      <c r="AE128" s="149"/>
      <c r="AF128" s="149"/>
      <c r="AG128" s="149"/>
      <c r="AH128" s="149"/>
      <c r="AI128" s="149"/>
      <c r="AJ128" s="149"/>
      <c r="AK128" s="149"/>
      <c r="AL128" s="149"/>
      <c r="AM128" s="149"/>
      <c r="AN128" s="149"/>
      <c r="AO128" s="149"/>
      <c r="AP128" s="149"/>
      <c r="AQ128" s="149"/>
      <c r="AR128" s="149"/>
      <c r="AS128" s="149"/>
      <c r="AT128" s="149"/>
      <c r="AU128" s="149"/>
      <c r="AV128" s="149"/>
      <c r="AW128" s="149"/>
      <c r="AX128" s="149"/>
      <c r="AY128" s="149"/>
      <c r="AZ128" s="149"/>
      <c r="BA128" s="149"/>
      <c r="BB128" s="149"/>
      <c r="BC128" s="166"/>
      <c r="BD128" s="166"/>
      <c r="BE128" s="166"/>
      <c r="BF128" s="166"/>
      <c r="BG128" s="166"/>
      <c r="BH128" s="166"/>
      <c r="BI128" s="166"/>
      <c r="BJ128" s="166"/>
      <c r="BK128" s="166"/>
      <c r="BL128" s="166"/>
      <c r="BM128" s="166"/>
      <c r="BN128" s="166"/>
      <c r="BO128" s="166"/>
      <c r="BP128" s="166"/>
      <c r="BQ128" s="166"/>
      <c r="BR128" s="166"/>
      <c r="BS128" s="166"/>
      <c r="BT128" s="166"/>
      <c r="BU128" s="166"/>
      <c r="BV128" s="166"/>
      <c r="BW128" s="166"/>
      <c r="BX128" s="159"/>
      <c r="BY128" s="159"/>
      <c r="BZ128" s="159"/>
      <c r="CA128" s="159"/>
      <c r="CB128" s="159"/>
      <c r="CC128" s="159"/>
      <c r="CD128" s="159"/>
      <c r="CE128" s="159"/>
      <c r="CF128" s="159"/>
      <c r="CG128" s="159"/>
      <c r="CH128" s="159"/>
      <c r="CI128" s="159"/>
      <c r="CJ128" s="159"/>
      <c r="CK128" s="159"/>
      <c r="CL128" s="159"/>
      <c r="CM128" s="159"/>
      <c r="CN128" s="159"/>
      <c r="CO128" s="159"/>
      <c r="CP128" s="159"/>
      <c r="CQ128" s="159"/>
      <c r="CR128" s="159"/>
      <c r="CS128" s="159"/>
      <c r="CT128" s="159"/>
      <c r="CU128" s="159"/>
      <c r="CV128" s="159"/>
    </row>
    <row r="129" spans="1:100" ht="34.6" customHeight="1" x14ac:dyDescent="0.25">
      <c r="A129" s="166"/>
      <c r="B129" s="166"/>
      <c r="C129" s="166"/>
      <c r="D129" s="166"/>
      <c r="E129" s="166"/>
      <c r="F129" s="166"/>
      <c r="G129" s="166"/>
      <c r="H129" s="166"/>
      <c r="I129" s="166"/>
      <c r="J129" s="166"/>
      <c r="K129" s="166"/>
      <c r="L129" s="166"/>
      <c r="M129" s="166"/>
      <c r="N129" s="166"/>
      <c r="O129" s="166"/>
      <c r="P129" s="166"/>
      <c r="Q129" s="1129"/>
      <c r="R129" s="180" t="str">
        <f>'2.CropManagement'!O254</f>
        <v xml:space="preserve"> - Senegal</v>
      </c>
      <c r="S129" s="180">
        <f>'2.CropManagement'!P254</f>
        <v>102</v>
      </c>
      <c r="T129" s="180" t="str">
        <f>'2.CropManagement'!Q254</f>
        <v>Africa</v>
      </c>
      <c r="U129" s="180">
        <f>'2.CropManagement'!R254</f>
        <v>0</v>
      </c>
      <c r="V129" s="180">
        <f>'2.CropManagement'!S254</f>
        <v>0</v>
      </c>
      <c r="W129" s="1130"/>
      <c r="X129" s="149"/>
      <c r="Y129" s="149"/>
      <c r="Z129" s="149"/>
      <c r="AA129" s="149"/>
      <c r="AB129" s="149"/>
      <c r="AC129" s="149"/>
      <c r="AD129" s="149"/>
      <c r="AE129" s="149"/>
      <c r="AF129" s="149"/>
      <c r="AG129" s="149"/>
      <c r="AH129" s="149"/>
      <c r="AI129" s="149"/>
      <c r="AJ129" s="149"/>
      <c r="AK129" s="149"/>
      <c r="AL129" s="149"/>
      <c r="AM129" s="149"/>
      <c r="AN129" s="149"/>
      <c r="AO129" s="149"/>
      <c r="AP129" s="149"/>
      <c r="AQ129" s="149"/>
      <c r="AR129" s="149"/>
      <c r="AS129" s="149"/>
      <c r="AT129" s="1100"/>
      <c r="AU129" s="149"/>
      <c r="AV129" s="149"/>
      <c r="AW129" s="149"/>
      <c r="AX129" s="149"/>
      <c r="AY129" s="149"/>
      <c r="AZ129" s="149"/>
      <c r="BA129" s="149"/>
      <c r="BB129" s="149"/>
      <c r="BC129" s="166"/>
      <c r="BD129" s="166"/>
      <c r="BE129" s="166"/>
      <c r="BF129" s="166"/>
      <c r="BG129" s="166"/>
      <c r="BH129" s="166"/>
      <c r="BI129" s="166"/>
      <c r="BJ129" s="166"/>
      <c r="BK129" s="166"/>
      <c r="BL129" s="166"/>
      <c r="BM129" s="166"/>
      <c r="BN129" s="166"/>
      <c r="BO129" s="166"/>
      <c r="BP129" s="166"/>
      <c r="BQ129" s="166"/>
      <c r="BR129" s="166"/>
      <c r="BS129" s="166"/>
      <c r="BT129" s="166"/>
      <c r="BU129" s="166"/>
      <c r="BV129" s="166"/>
      <c r="BW129" s="166"/>
      <c r="BX129" s="159"/>
      <c r="BY129" s="159"/>
      <c r="BZ129" s="159"/>
      <c r="CA129" s="159"/>
      <c r="CB129" s="159"/>
      <c r="CC129" s="159"/>
      <c r="CD129" s="159"/>
      <c r="CE129" s="159"/>
      <c r="CF129" s="159"/>
      <c r="CG129" s="159"/>
      <c r="CH129" s="159"/>
      <c r="CI129" s="159"/>
      <c r="CJ129" s="159"/>
      <c r="CK129" s="159"/>
      <c r="CL129" s="159"/>
      <c r="CM129" s="159"/>
      <c r="CN129" s="159"/>
      <c r="CO129" s="159"/>
      <c r="CP129" s="159"/>
      <c r="CQ129" s="159"/>
      <c r="CR129" s="159"/>
      <c r="CS129" s="159"/>
      <c r="CT129" s="159"/>
      <c r="CU129" s="159"/>
      <c r="CV129" s="159"/>
    </row>
    <row r="130" spans="1:100" ht="34.6" customHeight="1" x14ac:dyDescent="0.25">
      <c r="A130" s="166"/>
      <c r="B130" s="166"/>
      <c r="C130" s="166"/>
      <c r="D130" s="166"/>
      <c r="E130" s="166"/>
      <c r="F130" s="166"/>
      <c r="G130" s="166"/>
      <c r="H130" s="166"/>
      <c r="I130" s="166"/>
      <c r="J130" s="166"/>
      <c r="K130" s="166"/>
      <c r="L130" s="166"/>
      <c r="M130" s="166"/>
      <c r="N130" s="166"/>
      <c r="O130" s="166"/>
      <c r="P130" s="166"/>
      <c r="Q130" s="1129"/>
      <c r="R130" s="180" t="str">
        <f>'2.CropManagement'!O255</f>
        <v xml:space="preserve"> - Serbia &amp; Montenegro</v>
      </c>
      <c r="S130" s="180">
        <f>'2.CropManagement'!P255</f>
        <v>103</v>
      </c>
      <c r="T130" s="180" t="str">
        <f>'2.CropManagement'!Q255</f>
        <v>Eastern Europe</v>
      </c>
      <c r="U130" s="180">
        <f>'2.CropManagement'!R255</f>
        <v>0</v>
      </c>
      <c r="V130" s="180">
        <f>'2.CropManagement'!S255</f>
        <v>0</v>
      </c>
      <c r="W130" s="1130"/>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66"/>
      <c r="BD130" s="166"/>
      <c r="BE130" s="166"/>
      <c r="BF130" s="166"/>
      <c r="BG130" s="166"/>
      <c r="BH130" s="166"/>
      <c r="BI130" s="166"/>
      <c r="BJ130" s="166"/>
      <c r="BK130" s="166"/>
      <c r="BL130" s="166"/>
      <c r="BM130" s="166"/>
      <c r="BN130" s="166"/>
      <c r="BO130" s="166"/>
      <c r="BP130" s="166"/>
      <c r="BQ130" s="166"/>
      <c r="BR130" s="166"/>
      <c r="BS130" s="166"/>
      <c r="BT130" s="166"/>
      <c r="BU130" s="166"/>
      <c r="BV130" s="166"/>
      <c r="BW130" s="166"/>
      <c r="BX130" s="159"/>
      <c r="BY130" s="159"/>
      <c r="BZ130" s="159"/>
      <c r="CA130" s="159"/>
      <c r="CB130" s="159"/>
      <c r="CC130" s="159"/>
      <c r="CD130" s="159"/>
      <c r="CE130" s="159"/>
      <c r="CF130" s="159"/>
      <c r="CG130" s="159"/>
      <c r="CH130" s="159"/>
      <c r="CI130" s="159"/>
      <c r="CJ130" s="159"/>
      <c r="CK130" s="159"/>
      <c r="CL130" s="159"/>
      <c r="CM130" s="159"/>
      <c r="CN130" s="159"/>
      <c r="CO130" s="159"/>
      <c r="CP130" s="159"/>
      <c r="CQ130" s="159"/>
      <c r="CR130" s="159"/>
      <c r="CS130" s="159"/>
      <c r="CT130" s="159"/>
      <c r="CU130" s="159"/>
      <c r="CV130" s="159"/>
    </row>
    <row r="131" spans="1:100" ht="34.6" customHeight="1" x14ac:dyDescent="0.25">
      <c r="A131" s="166"/>
      <c r="B131" s="166"/>
      <c r="C131" s="166"/>
      <c r="D131" s="166"/>
      <c r="E131" s="166"/>
      <c r="F131" s="166"/>
      <c r="G131" s="166"/>
      <c r="H131" s="166"/>
      <c r="I131" s="166"/>
      <c r="J131" s="166"/>
      <c r="K131" s="166"/>
      <c r="L131" s="166"/>
      <c r="M131" s="166"/>
      <c r="N131" s="166"/>
      <c r="O131" s="166"/>
      <c r="P131" s="166"/>
      <c r="Q131" s="1129"/>
      <c r="R131" s="180" t="str">
        <f>'2.CropManagement'!O256</f>
        <v xml:space="preserve"> - Singapore</v>
      </c>
      <c r="S131" s="180">
        <f>'2.CropManagement'!P256</f>
        <v>104</v>
      </c>
      <c r="T131" s="180" t="str">
        <f>'2.CropManagement'!Q256</f>
        <v>Asia</v>
      </c>
      <c r="U131" s="180">
        <f>'2.CropManagement'!R256</f>
        <v>0</v>
      </c>
      <c r="V131" s="180">
        <f>'2.CropManagement'!S256</f>
        <v>1</v>
      </c>
      <c r="W131" s="1130"/>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66"/>
      <c r="BD131" s="166"/>
      <c r="BE131" s="166"/>
      <c r="BF131" s="166"/>
      <c r="BG131" s="166"/>
      <c r="BH131" s="166"/>
      <c r="BI131" s="166"/>
      <c r="BJ131" s="166"/>
      <c r="BK131" s="166"/>
      <c r="BL131" s="166"/>
      <c r="BM131" s="166"/>
      <c r="BN131" s="166"/>
      <c r="BO131" s="166"/>
      <c r="BP131" s="166"/>
      <c r="BQ131" s="166"/>
      <c r="BR131" s="166"/>
      <c r="BS131" s="166"/>
      <c r="BT131" s="166"/>
      <c r="BU131" s="166"/>
      <c r="BV131" s="166"/>
      <c r="BW131" s="166"/>
      <c r="BX131" s="159"/>
      <c r="BY131" s="159"/>
      <c r="BZ131" s="159"/>
      <c r="CA131" s="159"/>
      <c r="CB131" s="159"/>
      <c r="CC131" s="159"/>
      <c r="CD131" s="159"/>
      <c r="CE131" s="159"/>
      <c r="CF131" s="159"/>
      <c r="CG131" s="159"/>
      <c r="CH131" s="159"/>
      <c r="CI131" s="159"/>
      <c r="CJ131" s="159"/>
      <c r="CK131" s="159"/>
      <c r="CL131" s="159"/>
      <c r="CM131" s="159"/>
      <c r="CN131" s="159"/>
      <c r="CO131" s="159"/>
      <c r="CP131" s="159"/>
      <c r="CQ131" s="159"/>
      <c r="CR131" s="159"/>
      <c r="CS131" s="159"/>
      <c r="CT131" s="159"/>
      <c r="CU131" s="159"/>
      <c r="CV131" s="159"/>
    </row>
    <row r="132" spans="1:100" ht="34.6" customHeight="1" x14ac:dyDescent="0.25">
      <c r="A132" s="166"/>
      <c r="B132" s="166"/>
      <c r="C132" s="166"/>
      <c r="D132" s="166"/>
      <c r="E132" s="166"/>
      <c r="F132" s="166"/>
      <c r="G132" s="166"/>
      <c r="H132" s="166"/>
      <c r="I132" s="166"/>
      <c r="J132" s="166"/>
      <c r="K132" s="166"/>
      <c r="L132" s="166"/>
      <c r="M132" s="166"/>
      <c r="N132" s="166"/>
      <c r="O132" s="166"/>
      <c r="P132" s="166"/>
      <c r="Q132" s="1129"/>
      <c r="R132" s="180" t="str">
        <f>'2.CropManagement'!O257</f>
        <v xml:space="preserve"> - Slovak Republic</v>
      </c>
      <c r="S132" s="180">
        <f>'2.CropManagement'!P257</f>
        <v>105</v>
      </c>
      <c r="T132" s="180" t="str">
        <f>'2.CropManagement'!Q257</f>
        <v>Western Europe</v>
      </c>
      <c r="U132" s="180">
        <f>'2.CropManagement'!R257</f>
        <v>0</v>
      </c>
      <c r="V132" s="180">
        <f>'2.CropManagement'!S257</f>
        <v>1</v>
      </c>
      <c r="W132" s="1130"/>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66"/>
      <c r="BD132" s="166"/>
      <c r="BE132" s="166"/>
      <c r="BF132" s="166"/>
      <c r="BG132" s="166"/>
      <c r="BH132" s="166"/>
      <c r="BI132" s="166"/>
      <c r="BJ132" s="166"/>
      <c r="BK132" s="166"/>
      <c r="BL132" s="166"/>
      <c r="BM132" s="166"/>
      <c r="BN132" s="166"/>
      <c r="BO132" s="166"/>
      <c r="BP132" s="166"/>
      <c r="BQ132" s="166"/>
      <c r="BR132" s="166"/>
      <c r="BS132" s="166"/>
      <c r="BT132" s="166"/>
      <c r="BU132" s="166"/>
      <c r="BV132" s="166"/>
      <c r="BW132" s="166"/>
      <c r="BX132" s="159"/>
      <c r="BY132" s="159"/>
      <c r="BZ132" s="159"/>
      <c r="CA132" s="159"/>
      <c r="CB132" s="159"/>
      <c r="CC132" s="159"/>
      <c r="CD132" s="159"/>
      <c r="CE132" s="159"/>
      <c r="CF132" s="159"/>
      <c r="CG132" s="159"/>
      <c r="CH132" s="159"/>
      <c r="CI132" s="159"/>
      <c r="CJ132" s="159"/>
      <c r="CK132" s="159"/>
      <c r="CL132" s="159"/>
      <c r="CM132" s="159"/>
      <c r="CN132" s="159"/>
      <c r="CO132" s="159"/>
      <c r="CP132" s="159"/>
      <c r="CQ132" s="159"/>
      <c r="CR132" s="159"/>
      <c r="CS132" s="159"/>
      <c r="CT132" s="159"/>
      <c r="CU132" s="159"/>
      <c r="CV132" s="159"/>
    </row>
    <row r="133" spans="1:100" ht="34.6" customHeight="1" x14ac:dyDescent="0.25">
      <c r="A133" s="166"/>
      <c r="B133" s="166"/>
      <c r="C133" s="166"/>
      <c r="D133" s="166"/>
      <c r="E133" s="166"/>
      <c r="F133" s="166"/>
      <c r="G133" s="166"/>
      <c r="H133" s="166"/>
      <c r="I133" s="166"/>
      <c r="J133" s="166"/>
      <c r="K133" s="166"/>
      <c r="L133" s="166"/>
      <c r="M133" s="166"/>
      <c r="N133" s="166"/>
      <c r="O133" s="166"/>
      <c r="P133" s="166"/>
      <c r="Q133" s="1129"/>
      <c r="R133" s="180" t="str">
        <f>'2.CropManagement'!O258</f>
        <v xml:space="preserve"> - Slovenia</v>
      </c>
      <c r="S133" s="180">
        <f>'2.CropManagement'!P258</f>
        <v>106</v>
      </c>
      <c r="T133" s="180" t="str">
        <f>'2.CropManagement'!Q258</f>
        <v>Eastern Europe</v>
      </c>
      <c r="U133" s="180">
        <f>'2.CropManagement'!R258</f>
        <v>0</v>
      </c>
      <c r="V133" s="180">
        <f>'2.CropManagement'!S258</f>
        <v>1</v>
      </c>
      <c r="W133" s="1130"/>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100"/>
      <c r="AU133" s="149"/>
      <c r="AV133" s="149"/>
      <c r="AW133" s="149"/>
      <c r="AX133" s="149"/>
      <c r="AY133" s="149"/>
      <c r="AZ133" s="149"/>
      <c r="BA133" s="149"/>
      <c r="BB133" s="149"/>
      <c r="BC133" s="166"/>
      <c r="BD133" s="166"/>
      <c r="BE133" s="166"/>
      <c r="BF133" s="166"/>
      <c r="BG133" s="166"/>
      <c r="BH133" s="166"/>
      <c r="BI133" s="166"/>
      <c r="BJ133" s="166"/>
      <c r="BK133" s="166"/>
      <c r="BL133" s="166"/>
      <c r="BM133" s="166"/>
      <c r="BN133" s="166"/>
      <c r="BO133" s="166"/>
      <c r="BP133" s="166"/>
      <c r="BQ133" s="166"/>
      <c r="BR133" s="166"/>
      <c r="BS133" s="166"/>
      <c r="BT133" s="166"/>
      <c r="BU133" s="166"/>
      <c r="BV133" s="166"/>
      <c r="BW133" s="166"/>
      <c r="BX133" s="159"/>
      <c r="BY133" s="159"/>
      <c r="BZ133" s="159"/>
      <c r="CA133" s="159"/>
      <c r="CB133" s="159"/>
      <c r="CC133" s="159"/>
      <c r="CD133" s="159"/>
      <c r="CE133" s="159"/>
      <c r="CF133" s="159"/>
      <c r="CG133" s="159"/>
      <c r="CH133" s="159"/>
      <c r="CI133" s="159"/>
      <c r="CJ133" s="159"/>
      <c r="CK133" s="159"/>
      <c r="CL133" s="159"/>
      <c r="CM133" s="159"/>
      <c r="CN133" s="159"/>
      <c r="CO133" s="159"/>
      <c r="CP133" s="159"/>
      <c r="CQ133" s="159"/>
      <c r="CR133" s="159"/>
      <c r="CS133" s="159"/>
      <c r="CT133" s="159"/>
      <c r="CU133" s="159"/>
      <c r="CV133" s="159"/>
    </row>
    <row r="134" spans="1:100" ht="34.6" customHeight="1" x14ac:dyDescent="0.25">
      <c r="A134" s="166"/>
      <c r="B134" s="166"/>
      <c r="C134" s="166"/>
      <c r="D134" s="166"/>
      <c r="E134" s="166"/>
      <c r="F134" s="166"/>
      <c r="G134" s="166"/>
      <c r="H134" s="166"/>
      <c r="I134" s="166"/>
      <c r="J134" s="166"/>
      <c r="K134" s="166"/>
      <c r="L134" s="166"/>
      <c r="M134" s="166"/>
      <c r="N134" s="166"/>
      <c r="O134" s="166"/>
      <c r="P134" s="166"/>
      <c r="Q134" s="1129"/>
      <c r="R134" s="180" t="str">
        <f>'2.CropManagement'!O259</f>
        <v xml:space="preserve"> - South Africa</v>
      </c>
      <c r="S134" s="180">
        <f>'2.CropManagement'!P259</f>
        <v>107</v>
      </c>
      <c r="T134" s="180" t="str">
        <f>'2.CropManagement'!Q259</f>
        <v>Africa</v>
      </c>
      <c r="U134" s="180">
        <f>'2.CropManagement'!R259</f>
        <v>0</v>
      </c>
      <c r="V134" s="180">
        <f>'2.CropManagement'!S259</f>
        <v>0</v>
      </c>
      <c r="W134" s="1130"/>
      <c r="X134" s="149"/>
      <c r="Y134" s="149"/>
      <c r="Z134" s="149"/>
      <c r="AA134" s="149"/>
      <c r="AB134" s="149"/>
      <c r="AC134" s="149"/>
      <c r="AD134" s="149"/>
      <c r="AE134" s="149"/>
      <c r="AF134" s="149"/>
      <c r="AG134" s="149"/>
      <c r="AH134" s="149"/>
      <c r="AI134" s="149"/>
      <c r="AJ134" s="149"/>
      <c r="AK134" s="149"/>
      <c r="AL134" s="149"/>
      <c r="AM134" s="149"/>
      <c r="AN134" s="149"/>
      <c r="AO134" s="149"/>
      <c r="AP134" s="149"/>
      <c r="AQ134" s="149"/>
      <c r="AR134" s="149"/>
      <c r="AS134" s="149"/>
      <c r="AT134" s="1101"/>
      <c r="AU134" s="517"/>
      <c r="AV134" s="149"/>
      <c r="AW134" s="149"/>
      <c r="AX134" s="149"/>
      <c r="AY134" s="149"/>
      <c r="AZ134" s="149"/>
      <c r="BA134" s="149"/>
      <c r="BB134" s="149"/>
      <c r="BC134" s="166"/>
      <c r="BD134" s="166"/>
      <c r="BE134" s="166"/>
      <c r="BF134" s="166"/>
      <c r="BG134" s="166"/>
      <c r="BH134" s="166"/>
      <c r="BI134" s="166"/>
      <c r="BJ134" s="166"/>
      <c r="BK134" s="166"/>
      <c r="BL134" s="166"/>
      <c r="BM134" s="166"/>
      <c r="BN134" s="166"/>
      <c r="BO134" s="166"/>
      <c r="BP134" s="166"/>
      <c r="BQ134" s="166"/>
      <c r="BR134" s="166"/>
      <c r="BS134" s="166"/>
      <c r="BT134" s="166"/>
      <c r="BU134" s="166"/>
      <c r="BV134" s="166"/>
      <c r="BW134" s="166"/>
      <c r="BX134" s="159"/>
      <c r="BY134" s="159"/>
      <c r="BZ134" s="159"/>
      <c r="CA134" s="159"/>
      <c r="CB134" s="159"/>
      <c r="CC134" s="159"/>
      <c r="CD134" s="159"/>
      <c r="CE134" s="159"/>
      <c r="CF134" s="159"/>
      <c r="CG134" s="159"/>
      <c r="CH134" s="159"/>
      <c r="CI134" s="159"/>
      <c r="CJ134" s="159"/>
      <c r="CK134" s="159"/>
      <c r="CL134" s="159"/>
      <c r="CM134" s="159"/>
      <c r="CN134" s="159"/>
      <c r="CO134" s="159"/>
      <c r="CP134" s="159"/>
      <c r="CQ134" s="159"/>
      <c r="CR134" s="159"/>
      <c r="CS134" s="159"/>
      <c r="CT134" s="159"/>
      <c r="CU134" s="159"/>
      <c r="CV134" s="159"/>
    </row>
    <row r="135" spans="1:100" ht="34.6" customHeight="1" x14ac:dyDescent="0.25">
      <c r="A135" s="166"/>
      <c r="B135" s="166"/>
      <c r="C135" s="166"/>
      <c r="D135" s="166"/>
      <c r="E135" s="166"/>
      <c r="F135" s="166"/>
      <c r="G135" s="166"/>
      <c r="H135" s="166"/>
      <c r="I135" s="166"/>
      <c r="J135" s="166"/>
      <c r="K135" s="166"/>
      <c r="L135" s="166"/>
      <c r="M135" s="166"/>
      <c r="N135" s="166"/>
      <c r="O135" s="166"/>
      <c r="P135" s="166"/>
      <c r="Q135" s="1129"/>
      <c r="R135" s="180" t="str">
        <f>'2.CropManagement'!O260</f>
        <v xml:space="preserve"> - Spain</v>
      </c>
      <c r="S135" s="180">
        <f>'2.CropManagement'!P260</f>
        <v>108</v>
      </c>
      <c r="T135" s="180" t="str">
        <f>'2.CropManagement'!Q260</f>
        <v>Western Europe</v>
      </c>
      <c r="U135" s="180">
        <f>'2.CropManagement'!R260</f>
        <v>0</v>
      </c>
      <c r="V135" s="180">
        <f>'2.CropManagement'!S260</f>
        <v>1</v>
      </c>
      <c r="W135" s="1130"/>
      <c r="X135" s="149"/>
      <c r="Y135" s="149"/>
      <c r="Z135" s="149"/>
      <c r="AA135" s="149"/>
      <c r="AB135" s="149"/>
      <c r="AC135" s="149"/>
      <c r="AD135" s="149"/>
      <c r="AE135" s="149"/>
      <c r="AF135" s="149"/>
      <c r="AG135" s="149"/>
      <c r="AH135" s="149"/>
      <c r="AI135" s="149"/>
      <c r="AJ135" s="149"/>
      <c r="AK135" s="149"/>
      <c r="AL135" s="149"/>
      <c r="AM135" s="149"/>
      <c r="AN135" s="149"/>
      <c r="AO135" s="149"/>
      <c r="AP135" s="149"/>
      <c r="AQ135" s="149"/>
      <c r="AR135" s="149"/>
      <c r="AS135" s="149"/>
      <c r="AT135" s="1101"/>
      <c r="AU135" s="517"/>
      <c r="AV135" s="149"/>
      <c r="AW135" s="149"/>
      <c r="AX135" s="149"/>
      <c r="AY135" s="149"/>
      <c r="AZ135" s="149"/>
      <c r="BA135" s="149"/>
      <c r="BB135" s="149"/>
      <c r="BC135" s="166"/>
      <c r="BD135" s="166"/>
      <c r="BE135" s="166"/>
      <c r="BF135" s="166"/>
      <c r="BG135" s="166"/>
      <c r="BH135" s="166"/>
      <c r="BI135" s="166"/>
      <c r="BJ135" s="166"/>
      <c r="BK135" s="166"/>
      <c r="BL135" s="166"/>
      <c r="BM135" s="166"/>
      <c r="BN135" s="166"/>
      <c r="BO135" s="166"/>
      <c r="BP135" s="166"/>
      <c r="BQ135" s="166"/>
      <c r="BR135" s="166"/>
      <c r="BS135" s="166"/>
      <c r="BT135" s="166"/>
      <c r="BU135" s="166"/>
      <c r="BV135" s="166"/>
      <c r="BW135" s="166"/>
      <c r="BX135" s="159"/>
      <c r="BY135" s="159"/>
      <c r="BZ135" s="159"/>
      <c r="CA135" s="159"/>
      <c r="CB135" s="159"/>
      <c r="CC135" s="159"/>
      <c r="CD135" s="159"/>
      <c r="CE135" s="159"/>
      <c r="CF135" s="159"/>
      <c r="CG135" s="159"/>
      <c r="CH135" s="159"/>
      <c r="CI135" s="159"/>
      <c r="CJ135" s="159"/>
      <c r="CK135" s="159"/>
      <c r="CL135" s="159"/>
      <c r="CM135" s="159"/>
      <c r="CN135" s="159"/>
      <c r="CO135" s="159"/>
      <c r="CP135" s="159"/>
      <c r="CQ135" s="159"/>
      <c r="CR135" s="159"/>
      <c r="CS135" s="159"/>
      <c r="CT135" s="159"/>
      <c r="CU135" s="159"/>
      <c r="CV135" s="159"/>
    </row>
    <row r="136" spans="1:100" ht="34.6" customHeight="1" x14ac:dyDescent="0.25">
      <c r="A136" s="166"/>
      <c r="B136" s="166"/>
      <c r="C136" s="166"/>
      <c r="D136" s="166"/>
      <c r="E136" s="166"/>
      <c r="F136" s="166"/>
      <c r="G136" s="166"/>
      <c r="H136" s="166"/>
      <c r="I136" s="166"/>
      <c r="J136" s="166"/>
      <c r="K136" s="166"/>
      <c r="L136" s="166"/>
      <c r="M136" s="166"/>
      <c r="N136" s="166"/>
      <c r="O136" s="166"/>
      <c r="P136" s="166"/>
      <c r="Q136" s="1129"/>
      <c r="R136" s="180" t="str">
        <f>'2.CropManagement'!O261</f>
        <v xml:space="preserve"> - Sri Lanka</v>
      </c>
      <c r="S136" s="180">
        <f>'2.CropManagement'!P261</f>
        <v>109</v>
      </c>
      <c r="T136" s="180" t="str">
        <f>'2.CropManagement'!Q261</f>
        <v>Indian Subcontinent</v>
      </c>
      <c r="U136" s="180">
        <f>'2.CropManagement'!R261</f>
        <v>0</v>
      </c>
      <c r="V136" s="180">
        <f>'2.CropManagement'!S261</f>
        <v>0</v>
      </c>
      <c r="W136" s="1130"/>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101"/>
      <c r="AU136" s="517"/>
      <c r="AV136" s="149"/>
      <c r="AW136" s="149"/>
      <c r="AX136" s="149"/>
      <c r="AY136" s="149"/>
      <c r="AZ136" s="149"/>
      <c r="BA136" s="149"/>
      <c r="BB136" s="149"/>
      <c r="BC136" s="166"/>
      <c r="BD136" s="166"/>
      <c r="BE136" s="166"/>
      <c r="BF136" s="166"/>
      <c r="BG136" s="166"/>
      <c r="BH136" s="166"/>
      <c r="BI136" s="166"/>
      <c r="BJ136" s="166"/>
      <c r="BK136" s="166"/>
      <c r="BL136" s="166"/>
      <c r="BM136" s="166"/>
      <c r="BN136" s="166"/>
      <c r="BO136" s="166"/>
      <c r="BP136" s="166"/>
      <c r="BQ136" s="166"/>
      <c r="BR136" s="166"/>
      <c r="BS136" s="166"/>
      <c r="BT136" s="166"/>
      <c r="BU136" s="166"/>
      <c r="BV136" s="166"/>
      <c r="BW136" s="166"/>
      <c r="BX136" s="159"/>
      <c r="BY136" s="159"/>
      <c r="BZ136" s="159"/>
      <c r="CA136" s="159"/>
      <c r="CB136" s="159"/>
      <c r="CC136" s="159"/>
      <c r="CD136" s="159"/>
      <c r="CE136" s="159"/>
      <c r="CF136" s="159"/>
      <c r="CG136" s="159"/>
      <c r="CH136" s="159"/>
      <c r="CI136" s="159"/>
      <c r="CJ136" s="159"/>
      <c r="CK136" s="159"/>
      <c r="CL136" s="159"/>
      <c r="CM136" s="159"/>
      <c r="CN136" s="159"/>
      <c r="CO136" s="159"/>
      <c r="CP136" s="159"/>
      <c r="CQ136" s="159"/>
      <c r="CR136" s="159"/>
      <c r="CS136" s="159"/>
      <c r="CT136" s="159"/>
      <c r="CU136" s="159"/>
      <c r="CV136" s="159"/>
    </row>
    <row r="137" spans="1:100" ht="34.6" customHeight="1" x14ac:dyDescent="0.25">
      <c r="A137" s="166"/>
      <c r="B137" s="166"/>
      <c r="C137" s="166"/>
      <c r="D137" s="166"/>
      <c r="E137" s="166"/>
      <c r="F137" s="166"/>
      <c r="G137" s="166"/>
      <c r="H137" s="166"/>
      <c r="I137" s="166"/>
      <c r="J137" s="166"/>
      <c r="K137" s="166"/>
      <c r="L137" s="166"/>
      <c r="M137" s="166"/>
      <c r="N137" s="166"/>
      <c r="O137" s="166"/>
      <c r="P137" s="166"/>
      <c r="Q137" s="1129"/>
      <c r="R137" s="180" t="str">
        <f>'2.CropManagement'!O262</f>
        <v xml:space="preserve"> - Sudan</v>
      </c>
      <c r="S137" s="180">
        <f>'2.CropManagement'!P262</f>
        <v>110</v>
      </c>
      <c r="T137" s="180" t="str">
        <f>'2.CropManagement'!Q262</f>
        <v>Africa</v>
      </c>
      <c r="U137" s="180">
        <f>'2.CropManagement'!R262</f>
        <v>0</v>
      </c>
      <c r="V137" s="180">
        <f>'2.CropManagement'!S262</f>
        <v>0</v>
      </c>
      <c r="W137" s="1130"/>
      <c r="X137" s="149"/>
      <c r="Y137" s="149"/>
      <c r="Z137" s="149"/>
      <c r="AA137" s="149"/>
      <c r="AB137" s="149"/>
      <c r="AC137" s="149"/>
      <c r="AD137" s="149"/>
      <c r="AE137" s="149"/>
      <c r="AF137" s="149"/>
      <c r="AG137" s="149"/>
      <c r="AH137" s="149"/>
      <c r="AI137" s="149"/>
      <c r="AJ137" s="149"/>
      <c r="AK137" s="149"/>
      <c r="AL137" s="149"/>
      <c r="AM137" s="149"/>
      <c r="AN137" s="149"/>
      <c r="AO137" s="149"/>
      <c r="AP137" s="149"/>
      <c r="AQ137" s="149"/>
      <c r="AR137" s="149"/>
      <c r="AS137" s="149"/>
      <c r="AT137" s="1101"/>
      <c r="AU137" s="517"/>
      <c r="AV137" s="149"/>
      <c r="AW137" s="149"/>
      <c r="AX137" s="149"/>
      <c r="AY137" s="149"/>
      <c r="AZ137" s="149"/>
      <c r="BA137" s="149"/>
      <c r="BB137" s="149"/>
      <c r="BC137" s="166"/>
      <c r="BD137" s="166"/>
      <c r="BE137" s="166"/>
      <c r="BF137" s="166"/>
      <c r="BG137" s="166"/>
      <c r="BH137" s="166"/>
      <c r="BI137" s="166"/>
      <c r="BJ137" s="166"/>
      <c r="BK137" s="166"/>
      <c r="BL137" s="166"/>
      <c r="BM137" s="166"/>
      <c r="BN137" s="166"/>
      <c r="BO137" s="166"/>
      <c r="BP137" s="166"/>
      <c r="BQ137" s="166"/>
      <c r="BR137" s="166"/>
      <c r="BS137" s="166"/>
      <c r="BT137" s="166"/>
      <c r="BU137" s="166"/>
      <c r="BV137" s="166"/>
      <c r="BW137" s="166"/>
      <c r="BX137" s="159"/>
      <c r="BY137" s="159"/>
      <c r="BZ137" s="159"/>
      <c r="CA137" s="159"/>
      <c r="CB137" s="159"/>
      <c r="CC137" s="159"/>
      <c r="CD137" s="159"/>
      <c r="CE137" s="159"/>
      <c r="CF137" s="159"/>
      <c r="CG137" s="159"/>
      <c r="CH137" s="159"/>
      <c r="CI137" s="159"/>
      <c r="CJ137" s="159"/>
      <c r="CK137" s="159"/>
      <c r="CL137" s="159"/>
      <c r="CM137" s="159"/>
      <c r="CN137" s="159"/>
      <c r="CO137" s="159"/>
      <c r="CP137" s="159"/>
      <c r="CQ137" s="159"/>
      <c r="CR137" s="159"/>
      <c r="CS137" s="159"/>
      <c r="CT137" s="159"/>
      <c r="CU137" s="159"/>
      <c r="CV137" s="159"/>
    </row>
    <row r="138" spans="1:100" ht="34.6" customHeight="1" x14ac:dyDescent="0.25">
      <c r="A138" s="166"/>
      <c r="B138" s="166"/>
      <c r="C138" s="166"/>
      <c r="D138" s="166"/>
      <c r="E138" s="166"/>
      <c r="F138" s="166"/>
      <c r="G138" s="166"/>
      <c r="H138" s="166"/>
      <c r="I138" s="166"/>
      <c r="J138" s="166"/>
      <c r="K138" s="166"/>
      <c r="L138" s="166"/>
      <c r="M138" s="166"/>
      <c r="N138" s="166"/>
      <c r="O138" s="166"/>
      <c r="P138" s="166"/>
      <c r="Q138" s="1129"/>
      <c r="R138" s="180" t="str">
        <f>'2.CropManagement'!O263</f>
        <v xml:space="preserve"> - Sweden</v>
      </c>
      <c r="S138" s="180">
        <f>'2.CropManagement'!P263</f>
        <v>111</v>
      </c>
      <c r="T138" s="180" t="str">
        <f>'2.CropManagement'!Q263</f>
        <v>Western Europe</v>
      </c>
      <c r="U138" s="180">
        <f>'2.CropManagement'!R263</f>
        <v>0</v>
      </c>
      <c r="V138" s="180">
        <f>'2.CropManagement'!S263</f>
        <v>1</v>
      </c>
      <c r="W138" s="1130"/>
      <c r="X138" s="149"/>
      <c r="Y138" s="149"/>
      <c r="Z138" s="149"/>
      <c r="AA138" s="149"/>
      <c r="AB138" s="149"/>
      <c r="AC138" s="149"/>
      <c r="AD138" s="149"/>
      <c r="AE138" s="149"/>
      <c r="AF138" s="149"/>
      <c r="AG138" s="149"/>
      <c r="AH138" s="149"/>
      <c r="AI138" s="149"/>
      <c r="AJ138" s="149"/>
      <c r="AK138" s="149"/>
      <c r="AL138" s="149"/>
      <c r="AM138" s="149"/>
      <c r="AN138" s="149"/>
      <c r="AO138" s="149"/>
      <c r="AP138" s="149"/>
      <c r="AQ138" s="149"/>
      <c r="AR138" s="149"/>
      <c r="AS138" s="149"/>
      <c r="AT138" s="1101"/>
      <c r="AU138" s="517"/>
      <c r="AV138" s="149"/>
      <c r="AW138" s="149"/>
      <c r="AX138" s="149"/>
      <c r="AY138" s="149"/>
      <c r="AZ138" s="149"/>
      <c r="BA138" s="149"/>
      <c r="BB138" s="149"/>
      <c r="BC138" s="166"/>
      <c r="BD138" s="166"/>
      <c r="BE138" s="166"/>
      <c r="BF138" s="166"/>
      <c r="BG138" s="166"/>
      <c r="BH138" s="166"/>
      <c r="BI138" s="166"/>
      <c r="BJ138" s="166"/>
      <c r="BK138" s="166"/>
      <c r="BL138" s="166"/>
      <c r="BM138" s="166"/>
      <c r="BN138" s="166"/>
      <c r="BO138" s="166"/>
      <c r="BP138" s="166"/>
      <c r="BQ138" s="166"/>
      <c r="BR138" s="166"/>
      <c r="BS138" s="166"/>
      <c r="BT138" s="166"/>
      <c r="BU138" s="166"/>
      <c r="BV138" s="166"/>
      <c r="BW138" s="166"/>
      <c r="BX138" s="159"/>
      <c r="BY138" s="159"/>
      <c r="BZ138" s="159"/>
      <c r="CA138" s="159"/>
      <c r="CB138" s="159"/>
      <c r="CC138" s="159"/>
      <c r="CD138" s="159"/>
      <c r="CE138" s="159"/>
      <c r="CF138" s="159"/>
      <c r="CG138" s="159"/>
      <c r="CH138" s="159"/>
      <c r="CI138" s="159"/>
      <c r="CJ138" s="159"/>
      <c r="CK138" s="159"/>
      <c r="CL138" s="159"/>
      <c r="CM138" s="159"/>
      <c r="CN138" s="159"/>
      <c r="CO138" s="159"/>
      <c r="CP138" s="159"/>
      <c r="CQ138" s="159"/>
      <c r="CR138" s="159"/>
      <c r="CS138" s="159"/>
      <c r="CT138" s="159"/>
      <c r="CU138" s="159"/>
      <c r="CV138" s="159"/>
    </row>
    <row r="139" spans="1:100" ht="34.6" customHeight="1" x14ac:dyDescent="0.25">
      <c r="A139" s="166"/>
      <c r="B139" s="166"/>
      <c r="C139" s="166"/>
      <c r="D139" s="166"/>
      <c r="E139" s="166"/>
      <c r="F139" s="166"/>
      <c r="G139" s="166"/>
      <c r="H139" s="166"/>
      <c r="I139" s="166"/>
      <c r="J139" s="166"/>
      <c r="K139" s="166"/>
      <c r="L139" s="166"/>
      <c r="M139" s="166"/>
      <c r="N139" s="166"/>
      <c r="O139" s="166"/>
      <c r="P139" s="166"/>
      <c r="Q139" s="1129"/>
      <c r="R139" s="180" t="str">
        <f>'2.CropManagement'!O264</f>
        <v xml:space="preserve"> - Switzerland</v>
      </c>
      <c r="S139" s="180">
        <f>'2.CropManagement'!P264</f>
        <v>112</v>
      </c>
      <c r="T139" s="180" t="str">
        <f>'2.CropManagement'!Q264</f>
        <v>Western Europe</v>
      </c>
      <c r="U139" s="180">
        <f>'2.CropManagement'!R264</f>
        <v>0</v>
      </c>
      <c r="V139" s="180">
        <f>'2.CropManagement'!S264</f>
        <v>1</v>
      </c>
      <c r="W139" s="1130"/>
      <c r="X139" s="149"/>
      <c r="Y139" s="149"/>
      <c r="Z139" s="149"/>
      <c r="AA139" s="149"/>
      <c r="AB139" s="149"/>
      <c r="AC139" s="149"/>
      <c r="AD139" s="149"/>
      <c r="AE139" s="149"/>
      <c r="AF139" s="149"/>
      <c r="AG139" s="149"/>
      <c r="AH139" s="149"/>
      <c r="AI139" s="149"/>
      <c r="AJ139" s="149"/>
      <c r="AK139" s="149"/>
      <c r="AL139" s="149"/>
      <c r="AM139" s="149"/>
      <c r="AN139" s="149"/>
      <c r="AO139" s="149"/>
      <c r="AP139" s="149"/>
      <c r="AQ139" s="149"/>
      <c r="AR139" s="149"/>
      <c r="AS139" s="149"/>
      <c r="AT139" s="149"/>
      <c r="AU139" s="149"/>
      <c r="AV139" s="149"/>
      <c r="AW139" s="149"/>
      <c r="AX139" s="149"/>
      <c r="AY139" s="149"/>
      <c r="AZ139" s="149"/>
      <c r="BA139" s="149"/>
      <c r="BB139" s="149"/>
      <c r="BC139" s="166"/>
      <c r="BD139" s="166"/>
      <c r="BE139" s="166"/>
      <c r="BF139" s="166"/>
      <c r="BG139" s="166"/>
      <c r="BH139" s="166"/>
      <c r="BI139" s="166"/>
      <c r="BJ139" s="166"/>
      <c r="BK139" s="166"/>
      <c r="BL139" s="166"/>
      <c r="BM139" s="166"/>
      <c r="BN139" s="166"/>
      <c r="BO139" s="166"/>
      <c r="BP139" s="166"/>
      <c r="BQ139" s="166"/>
      <c r="BR139" s="166"/>
      <c r="BS139" s="166"/>
      <c r="BT139" s="166"/>
      <c r="BU139" s="166"/>
      <c r="BV139" s="166"/>
      <c r="BW139" s="166"/>
      <c r="BX139" s="159"/>
      <c r="BY139" s="159"/>
      <c r="BZ139" s="159"/>
      <c r="CA139" s="159"/>
      <c r="CB139" s="159"/>
      <c r="CC139" s="159"/>
      <c r="CD139" s="159"/>
      <c r="CE139" s="159"/>
      <c r="CF139" s="159"/>
      <c r="CG139" s="159"/>
      <c r="CH139" s="159"/>
      <c r="CI139" s="159"/>
      <c r="CJ139" s="159"/>
      <c r="CK139" s="159"/>
      <c r="CL139" s="159"/>
      <c r="CM139" s="159"/>
      <c r="CN139" s="159"/>
      <c r="CO139" s="159"/>
      <c r="CP139" s="159"/>
      <c r="CQ139" s="159"/>
      <c r="CR139" s="159"/>
      <c r="CS139" s="159"/>
      <c r="CT139" s="159"/>
      <c r="CU139" s="159"/>
      <c r="CV139" s="159"/>
    </row>
    <row r="140" spans="1:100" ht="34.6" customHeight="1" x14ac:dyDescent="0.25">
      <c r="A140" s="166"/>
      <c r="B140" s="166"/>
      <c r="C140" s="166"/>
      <c r="D140" s="166"/>
      <c r="E140" s="166"/>
      <c r="F140" s="166"/>
      <c r="G140" s="166"/>
      <c r="H140" s="166"/>
      <c r="I140" s="166"/>
      <c r="J140" s="166"/>
      <c r="K140" s="166"/>
      <c r="L140" s="166"/>
      <c r="M140" s="166"/>
      <c r="N140" s="166"/>
      <c r="O140" s="166"/>
      <c r="P140" s="166"/>
      <c r="Q140" s="1129"/>
      <c r="R140" s="180" t="str">
        <f>'2.CropManagement'!O265</f>
        <v xml:space="preserve"> - Syria</v>
      </c>
      <c r="S140" s="180">
        <f>'2.CropManagement'!P265</f>
        <v>113</v>
      </c>
      <c r="T140" s="180" t="str">
        <f>'2.CropManagement'!Q265</f>
        <v>Middle East</v>
      </c>
      <c r="U140" s="180">
        <f>'2.CropManagement'!R265</f>
        <v>0</v>
      </c>
      <c r="V140" s="180">
        <f>'2.CropManagement'!S265</f>
        <v>0</v>
      </c>
      <c r="W140" s="1130"/>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149"/>
      <c r="AX140" s="149"/>
      <c r="AY140" s="149"/>
      <c r="AZ140" s="149"/>
      <c r="BA140" s="149"/>
      <c r="BB140" s="149"/>
      <c r="BC140" s="166"/>
      <c r="BD140" s="166"/>
      <c r="BE140" s="166"/>
      <c r="BF140" s="166"/>
      <c r="BG140" s="166"/>
      <c r="BH140" s="166"/>
      <c r="BI140" s="166"/>
      <c r="BJ140" s="166"/>
      <c r="BK140" s="166"/>
      <c r="BL140" s="166"/>
      <c r="BM140" s="166"/>
      <c r="BN140" s="166"/>
      <c r="BO140" s="166"/>
      <c r="BP140" s="166"/>
      <c r="BQ140" s="166"/>
      <c r="BR140" s="166"/>
      <c r="BS140" s="166"/>
      <c r="BT140" s="166"/>
      <c r="BU140" s="166"/>
      <c r="BV140" s="166"/>
      <c r="BW140" s="166"/>
      <c r="BX140" s="159"/>
      <c r="BY140" s="159"/>
      <c r="BZ140" s="159"/>
      <c r="CA140" s="159"/>
      <c r="CB140" s="159"/>
      <c r="CC140" s="159"/>
      <c r="CD140" s="159"/>
      <c r="CE140" s="159"/>
      <c r="CF140" s="159"/>
      <c r="CG140" s="159"/>
      <c r="CH140" s="159"/>
      <c r="CI140" s="159"/>
      <c r="CJ140" s="159"/>
      <c r="CK140" s="159"/>
      <c r="CL140" s="159"/>
      <c r="CM140" s="159"/>
      <c r="CN140" s="159"/>
      <c r="CO140" s="159"/>
      <c r="CP140" s="159"/>
      <c r="CQ140" s="159"/>
      <c r="CR140" s="159"/>
      <c r="CS140" s="159"/>
      <c r="CT140" s="159"/>
      <c r="CU140" s="159"/>
      <c r="CV140" s="159"/>
    </row>
    <row r="141" spans="1:100" ht="34.6" customHeight="1" x14ac:dyDescent="0.25">
      <c r="A141" s="166"/>
      <c r="B141" s="166"/>
      <c r="C141" s="166"/>
      <c r="D141" s="166"/>
      <c r="E141" s="166"/>
      <c r="F141" s="166"/>
      <c r="G141" s="166"/>
      <c r="H141" s="166"/>
      <c r="I141" s="166"/>
      <c r="J141" s="166"/>
      <c r="K141" s="166"/>
      <c r="L141" s="166"/>
      <c r="M141" s="166"/>
      <c r="N141" s="166"/>
      <c r="O141" s="166"/>
      <c r="P141" s="166"/>
      <c r="Q141" s="1129"/>
      <c r="R141" s="180" t="str">
        <f>'2.CropManagement'!O266</f>
        <v xml:space="preserve"> - Tajikistan</v>
      </c>
      <c r="S141" s="180">
        <f>'2.CropManagement'!P266</f>
        <v>114</v>
      </c>
      <c r="T141" s="180" t="str">
        <f>'2.CropManagement'!Q266</f>
        <v>Asia</v>
      </c>
      <c r="U141" s="180">
        <f>'2.CropManagement'!R266</f>
        <v>0</v>
      </c>
      <c r="V141" s="180">
        <f>'2.CropManagement'!S266</f>
        <v>0</v>
      </c>
      <c r="W141" s="1130"/>
      <c r="X141" s="149"/>
      <c r="Y141" s="149"/>
      <c r="Z141" s="149"/>
      <c r="AA141" s="149"/>
      <c r="AB141" s="149"/>
      <c r="AC141" s="149"/>
      <c r="AD141" s="149"/>
      <c r="AE141" s="149"/>
      <c r="AF141" s="149"/>
      <c r="AG141" s="149"/>
      <c r="AH141" s="149"/>
      <c r="AI141" s="149"/>
      <c r="AJ141" s="149"/>
      <c r="AK141" s="149"/>
      <c r="AL141" s="149"/>
      <c r="AM141" s="149"/>
      <c r="AN141" s="149"/>
      <c r="AO141" s="149"/>
      <c r="AP141" s="149"/>
      <c r="AQ141" s="149"/>
      <c r="AR141" s="149"/>
      <c r="AS141" s="149"/>
      <c r="AT141" s="149"/>
      <c r="AU141" s="149"/>
      <c r="AV141" s="149"/>
      <c r="AW141" s="149"/>
      <c r="AX141" s="149"/>
      <c r="AY141" s="149"/>
      <c r="AZ141" s="149"/>
      <c r="BA141" s="149"/>
      <c r="BB141" s="149"/>
      <c r="BC141" s="166"/>
      <c r="BD141" s="166"/>
      <c r="BE141" s="166"/>
      <c r="BF141" s="166"/>
      <c r="BG141" s="166"/>
      <c r="BH141" s="166"/>
      <c r="BI141" s="166"/>
      <c r="BJ141" s="166"/>
      <c r="BK141" s="166"/>
      <c r="BL141" s="166"/>
      <c r="BM141" s="166"/>
      <c r="BN141" s="166"/>
      <c r="BO141" s="166"/>
      <c r="BP141" s="1063"/>
      <c r="BQ141" s="166"/>
      <c r="BR141" s="166"/>
      <c r="BS141" s="166"/>
      <c r="BT141" s="166"/>
      <c r="BU141" s="166"/>
      <c r="BV141" s="166"/>
      <c r="BW141" s="166"/>
      <c r="BX141" s="159"/>
      <c r="BY141" s="159"/>
      <c r="BZ141" s="159"/>
      <c r="CA141" s="159"/>
      <c r="CB141" s="159"/>
      <c r="CC141" s="159"/>
      <c r="CD141" s="159"/>
      <c r="CE141" s="159"/>
      <c r="CF141" s="159"/>
      <c r="CG141" s="159"/>
      <c r="CH141" s="159"/>
      <c r="CI141" s="159"/>
      <c r="CJ141" s="159"/>
      <c r="CK141" s="159"/>
      <c r="CL141" s="159"/>
      <c r="CM141" s="159"/>
      <c r="CN141" s="159"/>
      <c r="CO141" s="159"/>
      <c r="CP141" s="159"/>
      <c r="CQ141" s="159"/>
      <c r="CR141" s="159"/>
      <c r="CS141" s="159"/>
      <c r="CT141" s="159"/>
      <c r="CU141" s="159"/>
      <c r="CV141" s="159"/>
    </row>
    <row r="142" spans="1:100" ht="34.6" customHeight="1" x14ac:dyDescent="0.25">
      <c r="A142" s="166"/>
      <c r="B142" s="166"/>
      <c r="C142" s="166"/>
      <c r="D142" s="166"/>
      <c r="E142" s="166"/>
      <c r="F142" s="166"/>
      <c r="G142" s="166"/>
      <c r="H142" s="166"/>
      <c r="I142" s="166"/>
      <c r="J142" s="166"/>
      <c r="K142" s="166"/>
      <c r="L142" s="166"/>
      <c r="M142" s="166"/>
      <c r="N142" s="166"/>
      <c r="O142" s="166"/>
      <c r="P142" s="166"/>
      <c r="Q142" s="1129"/>
      <c r="R142" s="180" t="str">
        <f>'2.CropManagement'!O267</f>
        <v xml:space="preserve"> - Tanzania United Rep.</v>
      </c>
      <c r="S142" s="180">
        <f>'2.CropManagement'!P267</f>
        <v>115</v>
      </c>
      <c r="T142" s="180" t="str">
        <f>'2.CropManagement'!Q267</f>
        <v>Africa</v>
      </c>
      <c r="U142" s="180">
        <f>'2.CropManagement'!R267</f>
        <v>0</v>
      </c>
      <c r="V142" s="180">
        <f>'2.CropManagement'!S267</f>
        <v>0</v>
      </c>
      <c r="W142" s="1130"/>
      <c r="X142" s="149"/>
      <c r="Y142" s="149"/>
      <c r="Z142" s="149"/>
      <c r="AA142" s="149"/>
      <c r="AB142" s="149"/>
      <c r="AC142" s="149"/>
      <c r="AD142" s="149"/>
      <c r="AE142" s="149"/>
      <c r="AF142" s="149"/>
      <c r="AG142" s="149"/>
      <c r="AH142" s="149"/>
      <c r="AI142" s="149"/>
      <c r="AJ142" s="149"/>
      <c r="AK142" s="149"/>
      <c r="AL142" s="149"/>
      <c r="AM142" s="149"/>
      <c r="AN142" s="149"/>
      <c r="AO142" s="149"/>
      <c r="AP142" s="149"/>
      <c r="AQ142" s="149"/>
      <c r="AR142" s="149"/>
      <c r="AS142" s="149"/>
      <c r="AT142" s="1100"/>
      <c r="AU142" s="149"/>
      <c r="AV142" s="149"/>
      <c r="AW142" s="149"/>
      <c r="AX142" s="149"/>
      <c r="AY142" s="149"/>
      <c r="AZ142" s="149"/>
      <c r="BA142" s="149"/>
      <c r="BB142" s="149"/>
      <c r="BC142" s="166"/>
      <c r="BD142" s="166"/>
      <c r="BE142" s="166"/>
      <c r="BF142" s="166"/>
      <c r="BG142" s="166"/>
      <c r="BH142" s="166"/>
      <c r="BI142" s="166"/>
      <c r="BJ142" s="166"/>
      <c r="BK142" s="166"/>
      <c r="BL142" s="166"/>
      <c r="BM142" s="166"/>
      <c r="BN142" s="166"/>
      <c r="BO142" s="166"/>
      <c r="BP142" s="166"/>
      <c r="BQ142" s="166"/>
      <c r="BR142" s="166"/>
      <c r="BS142" s="166"/>
      <c r="BT142" s="166"/>
      <c r="BU142" s="166"/>
      <c r="BV142" s="166"/>
      <c r="BW142" s="166"/>
      <c r="BX142" s="159"/>
      <c r="BY142" s="159"/>
      <c r="BZ142" s="159"/>
      <c r="CA142" s="159"/>
      <c r="CB142" s="159"/>
      <c r="CC142" s="159"/>
      <c r="CD142" s="159"/>
      <c r="CE142" s="159"/>
      <c r="CF142" s="159"/>
      <c r="CG142" s="159"/>
      <c r="CH142" s="159"/>
      <c r="CI142" s="159"/>
      <c r="CJ142" s="159"/>
      <c r="CK142" s="159"/>
      <c r="CL142" s="159"/>
      <c r="CM142" s="159"/>
      <c r="CN142" s="159"/>
      <c r="CO142" s="159"/>
      <c r="CP142" s="159"/>
      <c r="CQ142" s="159"/>
      <c r="CR142" s="159"/>
      <c r="CS142" s="159"/>
      <c r="CT142" s="159"/>
      <c r="CU142" s="159"/>
      <c r="CV142" s="159"/>
    </row>
    <row r="143" spans="1:100" ht="34.6" customHeight="1" x14ac:dyDescent="0.25">
      <c r="A143" s="166"/>
      <c r="B143" s="166"/>
      <c r="C143" s="166"/>
      <c r="D143" s="166"/>
      <c r="E143" s="166"/>
      <c r="F143" s="166"/>
      <c r="G143" s="166"/>
      <c r="H143" s="166"/>
      <c r="I143" s="166"/>
      <c r="J143" s="166"/>
      <c r="K143" s="166"/>
      <c r="L143" s="166"/>
      <c r="M143" s="166"/>
      <c r="N143" s="166"/>
      <c r="O143" s="166"/>
      <c r="P143" s="166"/>
      <c r="Q143" s="1129"/>
      <c r="R143" s="180" t="str">
        <f>'2.CropManagement'!O268</f>
        <v xml:space="preserve"> - Thailand</v>
      </c>
      <c r="S143" s="180">
        <f>'2.CropManagement'!P268</f>
        <v>116</v>
      </c>
      <c r="T143" s="180" t="str">
        <f>'2.CropManagement'!Q268</f>
        <v>Asia</v>
      </c>
      <c r="U143" s="180">
        <f>'2.CropManagement'!R268</f>
        <v>0</v>
      </c>
      <c r="V143" s="180">
        <f>'2.CropManagement'!S268</f>
        <v>0</v>
      </c>
      <c r="W143" s="1130"/>
      <c r="X143" s="149"/>
      <c r="Y143" s="149"/>
      <c r="Z143" s="149"/>
      <c r="AA143" s="149"/>
      <c r="AB143" s="149"/>
      <c r="AC143" s="149"/>
      <c r="AD143" s="149"/>
      <c r="AE143" s="149"/>
      <c r="AF143" s="149"/>
      <c r="AG143" s="149"/>
      <c r="AH143" s="149"/>
      <c r="AI143" s="149"/>
      <c r="AJ143" s="149"/>
      <c r="AK143" s="149"/>
      <c r="AL143" s="149"/>
      <c r="AM143" s="149"/>
      <c r="AN143" s="149"/>
      <c r="AO143" s="149"/>
      <c r="AP143" s="149"/>
      <c r="AQ143" s="149"/>
      <c r="AR143" s="149"/>
      <c r="AS143" s="149"/>
      <c r="AT143" s="149"/>
      <c r="AU143" s="1102"/>
      <c r="AV143" s="149"/>
      <c r="AW143" s="149"/>
      <c r="AX143" s="149"/>
      <c r="AY143" s="149"/>
      <c r="AZ143" s="149"/>
      <c r="BA143" s="149"/>
      <c r="BB143" s="149"/>
      <c r="BC143" s="166"/>
      <c r="BD143" s="166"/>
      <c r="BE143" s="166"/>
      <c r="BF143" s="166"/>
      <c r="BG143" s="166"/>
      <c r="BH143" s="166"/>
      <c r="BI143" s="166"/>
      <c r="BJ143" s="166"/>
      <c r="BK143" s="166"/>
      <c r="BL143" s="166"/>
      <c r="BM143" s="166"/>
      <c r="BN143" s="166"/>
      <c r="BO143" s="166"/>
      <c r="BP143" s="166"/>
      <c r="BQ143" s="166"/>
      <c r="BR143" s="166"/>
      <c r="BS143" s="166"/>
      <c r="BT143" s="166"/>
      <c r="BU143" s="166"/>
      <c r="BV143" s="166"/>
      <c r="BW143" s="166"/>
      <c r="BX143" s="159"/>
      <c r="BY143" s="159"/>
      <c r="BZ143" s="159"/>
      <c r="CA143" s="159"/>
      <c r="CB143" s="159"/>
      <c r="CC143" s="159"/>
      <c r="CD143" s="159"/>
      <c r="CE143" s="159"/>
      <c r="CF143" s="159"/>
      <c r="CG143" s="159"/>
      <c r="CH143" s="159"/>
      <c r="CI143" s="159"/>
      <c r="CJ143" s="159"/>
      <c r="CK143" s="159"/>
      <c r="CL143" s="159"/>
      <c r="CM143" s="159"/>
      <c r="CN143" s="159"/>
      <c r="CO143" s="159"/>
      <c r="CP143" s="159"/>
      <c r="CQ143" s="159"/>
      <c r="CR143" s="159"/>
      <c r="CS143" s="159"/>
      <c r="CT143" s="159"/>
      <c r="CU143" s="159"/>
      <c r="CV143" s="159"/>
    </row>
    <row r="144" spans="1:100" ht="34.6" customHeight="1" x14ac:dyDescent="0.25">
      <c r="A144" s="166"/>
      <c r="B144" s="166"/>
      <c r="C144" s="166"/>
      <c r="D144" s="166"/>
      <c r="E144" s="166"/>
      <c r="F144" s="166"/>
      <c r="G144" s="166"/>
      <c r="H144" s="166"/>
      <c r="I144" s="166"/>
      <c r="J144" s="166"/>
      <c r="K144" s="166"/>
      <c r="L144" s="166"/>
      <c r="M144" s="166"/>
      <c r="N144" s="166"/>
      <c r="O144" s="166"/>
      <c r="P144" s="166"/>
      <c r="Q144" s="1129"/>
      <c r="R144" s="180" t="str">
        <f>'2.CropManagement'!O269</f>
        <v xml:space="preserve"> - The former Yugoslav Republic of Macedonia</v>
      </c>
      <c r="S144" s="180">
        <f>'2.CropManagement'!P269</f>
        <v>117</v>
      </c>
      <c r="T144" s="180" t="str">
        <f>'2.CropManagement'!Q269</f>
        <v>Eastern Europe</v>
      </c>
      <c r="U144" s="180">
        <f>'2.CropManagement'!R269</f>
        <v>0</v>
      </c>
      <c r="V144" s="180">
        <f>'2.CropManagement'!S269</f>
        <v>0</v>
      </c>
      <c r="W144" s="1130"/>
      <c r="X144" s="149"/>
      <c r="Y144" s="149"/>
      <c r="Z144" s="149"/>
      <c r="AA144" s="149"/>
      <c r="AB144" s="149"/>
      <c r="AC144" s="149"/>
      <c r="AD144" s="149"/>
      <c r="AE144" s="149"/>
      <c r="AF144" s="149"/>
      <c r="AG144" s="149"/>
      <c r="AH144" s="149"/>
      <c r="AI144" s="149"/>
      <c r="AJ144" s="149"/>
      <c r="AK144" s="149"/>
      <c r="AL144" s="149"/>
      <c r="AM144" s="149"/>
      <c r="AN144" s="149"/>
      <c r="AO144" s="149"/>
      <c r="AP144" s="149"/>
      <c r="AQ144" s="149"/>
      <c r="AR144" s="149"/>
      <c r="AS144" s="149"/>
      <c r="AT144" s="149"/>
      <c r="AU144" s="1102"/>
      <c r="AV144" s="149"/>
      <c r="AW144" s="149"/>
      <c r="AX144" s="149"/>
      <c r="AY144" s="149"/>
      <c r="AZ144" s="149"/>
      <c r="BA144" s="149"/>
      <c r="BB144" s="149"/>
      <c r="BC144" s="166"/>
      <c r="BD144" s="166"/>
      <c r="BE144" s="166"/>
      <c r="BF144" s="166"/>
      <c r="BG144" s="166"/>
      <c r="BH144" s="166"/>
      <c r="BI144" s="166"/>
      <c r="BJ144" s="166"/>
      <c r="BK144" s="166"/>
      <c r="BL144" s="166"/>
      <c r="BM144" s="166"/>
      <c r="BN144" s="166"/>
      <c r="BO144" s="166"/>
      <c r="BP144" s="166"/>
      <c r="BQ144" s="166"/>
      <c r="BR144" s="166"/>
      <c r="BS144" s="166"/>
      <c r="BT144" s="166"/>
      <c r="BU144" s="166"/>
      <c r="BV144" s="166"/>
      <c r="BW144" s="166"/>
      <c r="BX144" s="159"/>
      <c r="BY144" s="159"/>
      <c r="BZ144" s="159"/>
      <c r="CA144" s="159"/>
      <c r="CB144" s="159"/>
      <c r="CC144" s="159"/>
      <c r="CD144" s="159"/>
      <c r="CE144" s="159"/>
      <c r="CF144" s="159"/>
      <c r="CG144" s="159"/>
      <c r="CH144" s="159"/>
      <c r="CI144" s="159"/>
      <c r="CJ144" s="159"/>
      <c r="CK144" s="159"/>
      <c r="CL144" s="159"/>
      <c r="CM144" s="159"/>
      <c r="CN144" s="159"/>
      <c r="CO144" s="159"/>
      <c r="CP144" s="159"/>
      <c r="CQ144" s="159"/>
      <c r="CR144" s="159"/>
      <c r="CS144" s="159"/>
      <c r="CT144" s="159"/>
      <c r="CU144" s="159"/>
      <c r="CV144" s="159"/>
    </row>
    <row r="145" spans="1:100" ht="34.6" customHeight="1" x14ac:dyDescent="0.25">
      <c r="A145" s="166"/>
      <c r="B145" s="166"/>
      <c r="C145" s="166"/>
      <c r="D145" s="166"/>
      <c r="E145" s="166"/>
      <c r="F145" s="166"/>
      <c r="G145" s="166"/>
      <c r="H145" s="166"/>
      <c r="I145" s="166"/>
      <c r="J145" s="166"/>
      <c r="K145" s="166"/>
      <c r="L145" s="166"/>
      <c r="M145" s="166"/>
      <c r="N145" s="166"/>
      <c r="O145" s="166"/>
      <c r="P145" s="166"/>
      <c r="Q145" s="1129"/>
      <c r="R145" s="180" t="str">
        <f>'2.CropManagement'!O270</f>
        <v xml:space="preserve"> - Togo</v>
      </c>
      <c r="S145" s="180">
        <f>'2.CropManagement'!P270</f>
        <v>118</v>
      </c>
      <c r="T145" s="180" t="str">
        <f>'2.CropManagement'!Q270</f>
        <v>Africa</v>
      </c>
      <c r="U145" s="180">
        <f>'2.CropManagement'!R270</f>
        <v>0</v>
      </c>
      <c r="V145" s="180">
        <f>'2.CropManagement'!S270</f>
        <v>0</v>
      </c>
      <c r="W145" s="1130"/>
      <c r="X145" s="149"/>
      <c r="Y145" s="149"/>
      <c r="Z145" s="149"/>
      <c r="AA145" s="149"/>
      <c r="AB145" s="149"/>
      <c r="AC145" s="149"/>
      <c r="AD145" s="149"/>
      <c r="AE145" s="149"/>
      <c r="AF145" s="149"/>
      <c r="AG145" s="149"/>
      <c r="AH145" s="149"/>
      <c r="AI145" s="149"/>
      <c r="AJ145" s="149"/>
      <c r="AK145" s="149"/>
      <c r="AL145" s="149"/>
      <c r="AM145" s="149"/>
      <c r="AN145" s="149"/>
      <c r="AO145" s="149"/>
      <c r="AP145" s="149"/>
      <c r="AQ145" s="149"/>
      <c r="AR145" s="149"/>
      <c r="AS145" s="149"/>
      <c r="AT145" s="149"/>
      <c r="AU145" s="1102"/>
      <c r="AV145" s="149"/>
      <c r="AW145" s="149"/>
      <c r="AX145" s="149"/>
      <c r="AY145" s="149"/>
      <c r="AZ145" s="149"/>
      <c r="BA145" s="149"/>
      <c r="BB145" s="149"/>
      <c r="BC145" s="166"/>
      <c r="BD145" s="166"/>
      <c r="BE145" s="166"/>
      <c r="BF145" s="166"/>
      <c r="BG145" s="166"/>
      <c r="BH145" s="166"/>
      <c r="BI145" s="166"/>
      <c r="BJ145" s="166"/>
      <c r="BK145" s="166"/>
      <c r="BL145" s="166"/>
      <c r="BM145" s="166"/>
      <c r="BN145" s="166"/>
      <c r="BO145" s="166"/>
      <c r="BP145" s="166"/>
      <c r="BQ145" s="166"/>
      <c r="BR145" s="166"/>
      <c r="BS145" s="166"/>
      <c r="BT145" s="166"/>
      <c r="BU145" s="166"/>
      <c r="BV145" s="166"/>
      <c r="BW145" s="166"/>
      <c r="BX145" s="159"/>
      <c r="BY145" s="159"/>
      <c r="BZ145" s="159"/>
      <c r="CA145" s="159"/>
      <c r="CB145" s="159"/>
      <c r="CC145" s="159"/>
      <c r="CD145" s="159"/>
      <c r="CE145" s="159"/>
      <c r="CF145" s="159"/>
      <c r="CG145" s="159"/>
      <c r="CH145" s="159"/>
      <c r="CI145" s="159"/>
      <c r="CJ145" s="159"/>
      <c r="CK145" s="159"/>
      <c r="CL145" s="159"/>
      <c r="CM145" s="159"/>
      <c r="CN145" s="159"/>
      <c r="CO145" s="159"/>
      <c r="CP145" s="159"/>
      <c r="CQ145" s="159"/>
      <c r="CR145" s="159"/>
      <c r="CS145" s="159"/>
      <c r="CT145" s="159"/>
      <c r="CU145" s="159"/>
      <c r="CV145" s="159"/>
    </row>
    <row r="146" spans="1:100" ht="34.6" customHeight="1" x14ac:dyDescent="0.25">
      <c r="A146" s="166"/>
      <c r="B146" s="166"/>
      <c r="C146" s="166"/>
      <c r="D146" s="166"/>
      <c r="E146" s="166"/>
      <c r="F146" s="166"/>
      <c r="G146" s="166"/>
      <c r="H146" s="166"/>
      <c r="I146" s="166"/>
      <c r="J146" s="166"/>
      <c r="K146" s="166"/>
      <c r="L146" s="166"/>
      <c r="M146" s="166"/>
      <c r="N146" s="166"/>
      <c r="O146" s="166"/>
      <c r="P146" s="166"/>
      <c r="Q146" s="1129"/>
      <c r="R146" s="180" t="str">
        <f>'2.CropManagement'!O271</f>
        <v xml:space="preserve"> - Trinidad &amp; Tobago</v>
      </c>
      <c r="S146" s="180">
        <f>'2.CropManagement'!P271</f>
        <v>119</v>
      </c>
      <c r="T146" s="180" t="str">
        <f>'2.CropManagement'!Q271</f>
        <v>Latin America</v>
      </c>
      <c r="U146" s="180">
        <f>'2.CropManagement'!R271</f>
        <v>0</v>
      </c>
      <c r="V146" s="180">
        <f>'2.CropManagement'!S271</f>
        <v>0</v>
      </c>
      <c r="W146" s="1130"/>
      <c r="X146" s="149"/>
      <c r="Y146" s="149"/>
      <c r="Z146" s="149"/>
      <c r="AA146" s="149"/>
      <c r="AB146" s="149"/>
      <c r="AC146" s="149"/>
      <c r="AD146" s="149"/>
      <c r="AE146" s="149"/>
      <c r="AF146" s="149"/>
      <c r="AG146" s="149"/>
      <c r="AH146" s="149"/>
      <c r="AI146" s="149"/>
      <c r="AJ146" s="149"/>
      <c r="AK146" s="149"/>
      <c r="AL146" s="149"/>
      <c r="AM146" s="149"/>
      <c r="AN146" s="149"/>
      <c r="AO146" s="149"/>
      <c r="AP146" s="149"/>
      <c r="AQ146" s="149"/>
      <c r="AR146" s="149"/>
      <c r="AS146" s="149"/>
      <c r="AT146" s="149"/>
      <c r="AU146" s="149"/>
      <c r="AV146" s="149"/>
      <c r="AW146" s="149"/>
      <c r="AX146" s="149"/>
      <c r="AY146" s="149"/>
      <c r="AZ146" s="149"/>
      <c r="BA146" s="149"/>
      <c r="BB146" s="149"/>
      <c r="BC146" s="166"/>
      <c r="BD146" s="166"/>
      <c r="BE146" s="166"/>
      <c r="BF146" s="166"/>
      <c r="BG146" s="166"/>
      <c r="BH146" s="166"/>
      <c r="BI146" s="166"/>
      <c r="BJ146" s="166"/>
      <c r="BK146" s="166"/>
      <c r="BL146" s="166"/>
      <c r="BM146" s="166"/>
      <c r="BN146" s="166"/>
      <c r="BO146" s="166"/>
      <c r="BP146" s="166"/>
      <c r="BQ146" s="166"/>
      <c r="BR146" s="166"/>
      <c r="BS146" s="166"/>
      <c r="BT146" s="166"/>
      <c r="BU146" s="166"/>
      <c r="BV146" s="166"/>
      <c r="BW146" s="166"/>
      <c r="BX146" s="159"/>
      <c r="BY146" s="159"/>
      <c r="BZ146" s="159"/>
      <c r="CA146" s="159"/>
      <c r="CB146" s="159"/>
      <c r="CC146" s="159"/>
      <c r="CD146" s="159"/>
      <c r="CE146" s="159"/>
      <c r="CF146" s="159"/>
      <c r="CG146" s="159"/>
      <c r="CH146" s="159"/>
      <c r="CI146" s="159"/>
      <c r="CJ146" s="159"/>
      <c r="CK146" s="159"/>
      <c r="CL146" s="159"/>
      <c r="CM146" s="159"/>
      <c r="CN146" s="159"/>
      <c r="CO146" s="159"/>
      <c r="CP146" s="159"/>
      <c r="CQ146" s="159"/>
      <c r="CR146" s="159"/>
      <c r="CS146" s="159"/>
      <c r="CT146" s="159"/>
      <c r="CU146" s="159"/>
      <c r="CV146" s="159"/>
    </row>
    <row r="147" spans="1:100" ht="34.6" customHeight="1" x14ac:dyDescent="0.25">
      <c r="A147" s="166"/>
      <c r="B147" s="166"/>
      <c r="C147" s="166"/>
      <c r="D147" s="166"/>
      <c r="E147" s="166"/>
      <c r="F147" s="166"/>
      <c r="G147" s="166"/>
      <c r="H147" s="166"/>
      <c r="I147" s="166"/>
      <c r="J147" s="166"/>
      <c r="K147" s="166"/>
      <c r="L147" s="166"/>
      <c r="M147" s="166"/>
      <c r="N147" s="166"/>
      <c r="O147" s="166"/>
      <c r="P147" s="166"/>
      <c r="Q147" s="1129"/>
      <c r="R147" s="180" t="str">
        <f>'2.CropManagement'!O272</f>
        <v xml:space="preserve"> - Tunisia</v>
      </c>
      <c r="S147" s="180">
        <f>'2.CropManagement'!P272</f>
        <v>120</v>
      </c>
      <c r="T147" s="180" t="str">
        <f>'2.CropManagement'!Q272</f>
        <v>Africa</v>
      </c>
      <c r="U147" s="180">
        <f>'2.CropManagement'!R272</f>
        <v>0</v>
      </c>
      <c r="V147" s="180">
        <f>'2.CropManagement'!S272</f>
        <v>0</v>
      </c>
      <c r="W147" s="1130"/>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66"/>
      <c r="BD147" s="166"/>
      <c r="BE147" s="166"/>
      <c r="BF147" s="166"/>
      <c r="BG147" s="166"/>
      <c r="BH147" s="166"/>
      <c r="BI147" s="166"/>
      <c r="BJ147" s="166"/>
      <c r="BK147" s="166"/>
      <c r="BL147" s="166"/>
      <c r="BM147" s="166"/>
      <c r="BN147" s="166"/>
      <c r="BO147" s="166"/>
      <c r="BP147" s="166"/>
      <c r="BQ147" s="166"/>
      <c r="BR147" s="166"/>
      <c r="BS147" s="166"/>
      <c r="BT147" s="166"/>
      <c r="BU147" s="166"/>
      <c r="BV147" s="166"/>
      <c r="BW147" s="166"/>
      <c r="BX147" s="159"/>
      <c r="BY147" s="159"/>
      <c r="BZ147" s="159"/>
      <c r="CA147" s="159"/>
      <c r="CB147" s="159"/>
      <c r="CC147" s="159"/>
      <c r="CD147" s="159"/>
      <c r="CE147" s="159"/>
      <c r="CF147" s="159"/>
      <c r="CG147" s="159"/>
      <c r="CH147" s="159"/>
      <c r="CI147" s="159"/>
      <c r="CJ147" s="159"/>
      <c r="CK147" s="159"/>
      <c r="CL147" s="159"/>
      <c r="CM147" s="159"/>
      <c r="CN147" s="159"/>
      <c r="CO147" s="159"/>
      <c r="CP147" s="159"/>
      <c r="CQ147" s="159"/>
      <c r="CR147" s="159"/>
      <c r="CS147" s="159"/>
      <c r="CT147" s="159"/>
      <c r="CU147" s="159"/>
      <c r="CV147" s="159"/>
    </row>
    <row r="148" spans="1:100" ht="34.6" customHeight="1" x14ac:dyDescent="0.25">
      <c r="A148" s="166"/>
      <c r="B148" s="166"/>
      <c r="C148" s="166"/>
      <c r="D148" s="166"/>
      <c r="E148" s="166"/>
      <c r="F148" s="166"/>
      <c r="G148" s="166"/>
      <c r="H148" s="166"/>
      <c r="I148" s="166"/>
      <c r="J148" s="166"/>
      <c r="K148" s="166"/>
      <c r="L148" s="166"/>
      <c r="M148" s="166"/>
      <c r="N148" s="166"/>
      <c r="O148" s="166"/>
      <c r="P148" s="166"/>
      <c r="Q148" s="1129"/>
      <c r="R148" s="180" t="str">
        <f>'2.CropManagement'!O273</f>
        <v xml:space="preserve"> - Turkey</v>
      </c>
      <c r="S148" s="180">
        <f>'2.CropManagement'!P273</f>
        <v>121</v>
      </c>
      <c r="T148" s="180" t="str">
        <f>'2.CropManagement'!Q273</f>
        <v>Western Europe</v>
      </c>
      <c r="U148" s="180">
        <f>'2.CropManagement'!R273</f>
        <v>0</v>
      </c>
      <c r="V148" s="180">
        <f>'2.CropManagement'!S273</f>
        <v>0</v>
      </c>
      <c r="W148" s="1130"/>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66"/>
      <c r="BD148" s="166"/>
      <c r="BE148" s="166"/>
      <c r="BF148" s="166"/>
      <c r="BG148" s="166"/>
      <c r="BH148" s="166"/>
      <c r="BI148" s="166"/>
      <c r="BJ148" s="166"/>
      <c r="BK148" s="166"/>
      <c r="BL148" s="166"/>
      <c r="BM148" s="166"/>
      <c r="BN148" s="166"/>
      <c r="BO148" s="166"/>
      <c r="BP148" s="166"/>
      <c r="BQ148" s="166"/>
      <c r="BR148" s="166"/>
      <c r="BS148" s="166"/>
      <c r="BT148" s="166"/>
      <c r="BU148" s="166"/>
      <c r="BV148" s="166"/>
      <c r="BW148" s="166"/>
      <c r="BX148" s="159"/>
      <c r="BY148" s="159"/>
      <c r="BZ148" s="159"/>
      <c r="CA148" s="159"/>
      <c r="CB148" s="159"/>
      <c r="CC148" s="159"/>
      <c r="CD148" s="159"/>
      <c r="CE148" s="159"/>
      <c r="CF148" s="159"/>
      <c r="CG148" s="159"/>
      <c r="CH148" s="159"/>
      <c r="CI148" s="159"/>
      <c r="CJ148" s="159"/>
      <c r="CK148" s="159"/>
      <c r="CL148" s="159"/>
      <c r="CM148" s="159"/>
      <c r="CN148" s="159"/>
      <c r="CO148" s="159"/>
      <c r="CP148" s="159"/>
      <c r="CQ148" s="159"/>
      <c r="CR148" s="159"/>
      <c r="CS148" s="159"/>
      <c r="CT148" s="159"/>
      <c r="CU148" s="159"/>
      <c r="CV148" s="159"/>
    </row>
    <row r="149" spans="1:100" ht="34.6" customHeight="1" x14ac:dyDescent="0.25">
      <c r="A149" s="166"/>
      <c r="B149" s="166"/>
      <c r="C149" s="166"/>
      <c r="D149" s="166"/>
      <c r="E149" s="166"/>
      <c r="F149" s="166"/>
      <c r="G149" s="166"/>
      <c r="H149" s="166"/>
      <c r="I149" s="166"/>
      <c r="J149" s="166"/>
      <c r="K149" s="166"/>
      <c r="L149" s="166"/>
      <c r="M149" s="166"/>
      <c r="N149" s="166"/>
      <c r="O149" s="166"/>
      <c r="P149" s="166"/>
      <c r="Q149" s="1129"/>
      <c r="R149" s="180" t="str">
        <f>'2.CropManagement'!O274</f>
        <v xml:space="preserve"> - Turkmenistan</v>
      </c>
      <c r="S149" s="180">
        <f>'2.CropManagement'!P274</f>
        <v>122</v>
      </c>
      <c r="T149" s="180" t="str">
        <f>'2.CropManagement'!Q274</f>
        <v>Asia</v>
      </c>
      <c r="U149" s="180">
        <f>'2.CropManagement'!R274</f>
        <v>0</v>
      </c>
      <c r="V149" s="180">
        <f>'2.CropManagement'!S274</f>
        <v>0</v>
      </c>
      <c r="W149" s="1130"/>
      <c r="X149" s="149"/>
      <c r="Y149" s="149"/>
      <c r="Z149" s="149"/>
      <c r="AA149" s="149"/>
      <c r="AB149" s="149"/>
      <c r="AC149" s="149"/>
      <c r="AD149" s="149"/>
      <c r="AE149" s="149"/>
      <c r="AF149" s="149"/>
      <c r="AG149" s="149"/>
      <c r="AH149" s="149"/>
      <c r="AI149" s="149"/>
      <c r="AJ149" s="149"/>
      <c r="AK149" s="149"/>
      <c r="AL149" s="149"/>
      <c r="AM149" s="149"/>
      <c r="AN149" s="149"/>
      <c r="AO149" s="149"/>
      <c r="AP149" s="149"/>
      <c r="AQ149" s="149"/>
      <c r="AR149" s="149"/>
      <c r="AS149" s="149"/>
      <c r="AT149" s="1100"/>
      <c r="AU149" s="1100"/>
      <c r="AV149" s="149"/>
      <c r="AW149" s="149"/>
      <c r="AX149" s="149"/>
      <c r="AY149" s="149"/>
      <c r="AZ149" s="149"/>
      <c r="BA149" s="149"/>
      <c r="BB149" s="149"/>
      <c r="BC149" s="166"/>
      <c r="BD149" s="166"/>
      <c r="BE149" s="166"/>
      <c r="BF149" s="166"/>
      <c r="BG149" s="166"/>
      <c r="BH149" s="166"/>
      <c r="BI149" s="166"/>
      <c r="BJ149" s="166"/>
      <c r="BK149" s="166"/>
      <c r="BL149" s="166"/>
      <c r="BM149" s="166"/>
      <c r="BN149" s="166"/>
      <c r="BO149" s="166"/>
      <c r="BP149" s="166"/>
      <c r="BQ149" s="166"/>
      <c r="BR149" s="166"/>
      <c r="BS149" s="166"/>
      <c r="BT149" s="166"/>
      <c r="BU149" s="166"/>
      <c r="BV149" s="166"/>
      <c r="BW149" s="166"/>
      <c r="BX149" s="159"/>
      <c r="BY149" s="159"/>
      <c r="BZ149" s="159"/>
      <c r="CA149" s="159"/>
      <c r="CB149" s="159"/>
      <c r="CC149" s="159"/>
      <c r="CD149" s="159"/>
      <c r="CE149" s="159"/>
      <c r="CF149" s="159"/>
      <c r="CG149" s="159"/>
      <c r="CH149" s="159"/>
      <c r="CI149" s="159"/>
      <c r="CJ149" s="159"/>
      <c r="CK149" s="159"/>
      <c r="CL149" s="159"/>
      <c r="CM149" s="159"/>
      <c r="CN149" s="159"/>
      <c r="CO149" s="159"/>
      <c r="CP149" s="159"/>
      <c r="CQ149" s="159"/>
      <c r="CR149" s="159"/>
      <c r="CS149" s="159"/>
      <c r="CT149" s="159"/>
      <c r="CU149" s="159"/>
      <c r="CV149" s="159"/>
    </row>
    <row r="150" spans="1:100" ht="34.6" customHeight="1" x14ac:dyDescent="0.25">
      <c r="A150" s="166"/>
      <c r="B150" s="166"/>
      <c r="C150" s="166"/>
      <c r="D150" s="166"/>
      <c r="E150" s="166"/>
      <c r="F150" s="166"/>
      <c r="G150" s="166"/>
      <c r="H150" s="166"/>
      <c r="I150" s="166"/>
      <c r="J150" s="166"/>
      <c r="K150" s="166"/>
      <c r="L150" s="166"/>
      <c r="M150" s="166"/>
      <c r="N150" s="166"/>
      <c r="O150" s="166"/>
      <c r="P150" s="166"/>
      <c r="Q150" s="1129"/>
      <c r="R150" s="180" t="str">
        <f>'2.CropManagement'!O275</f>
        <v xml:space="preserve"> - Ukraine</v>
      </c>
      <c r="S150" s="180">
        <f>'2.CropManagement'!P275</f>
        <v>123</v>
      </c>
      <c r="T150" s="180" t="str">
        <f>'2.CropManagement'!Q275</f>
        <v>Eastern Europe</v>
      </c>
      <c r="U150" s="180">
        <f>'2.CropManagement'!R275</f>
        <v>0</v>
      </c>
      <c r="V150" s="180">
        <f>'2.CropManagement'!S275</f>
        <v>0</v>
      </c>
      <c r="W150" s="1130"/>
      <c r="X150" s="149"/>
      <c r="Y150" s="149"/>
      <c r="Z150" s="149"/>
      <c r="AA150" s="149"/>
      <c r="AB150" s="149"/>
      <c r="AC150" s="149"/>
      <c r="AD150" s="149"/>
      <c r="AE150" s="149"/>
      <c r="AF150" s="149"/>
      <c r="AG150" s="149"/>
      <c r="AH150" s="149"/>
      <c r="AI150" s="149"/>
      <c r="AJ150" s="149"/>
      <c r="AK150" s="149"/>
      <c r="AL150" s="149"/>
      <c r="AM150" s="149"/>
      <c r="AN150" s="149"/>
      <c r="AO150" s="149"/>
      <c r="AP150" s="149"/>
      <c r="AQ150" s="149"/>
      <c r="AR150" s="149"/>
      <c r="AS150" s="149"/>
      <c r="AT150" s="149"/>
      <c r="AU150" s="149"/>
      <c r="AV150" s="149"/>
      <c r="AW150" s="149"/>
      <c r="AX150" s="149"/>
      <c r="AY150" s="149"/>
      <c r="AZ150" s="149"/>
      <c r="BA150" s="149"/>
      <c r="BB150" s="149"/>
      <c r="BC150" s="166"/>
      <c r="BD150" s="166"/>
      <c r="BE150" s="166"/>
      <c r="BF150" s="166"/>
      <c r="BG150" s="166"/>
      <c r="BH150" s="166"/>
      <c r="BI150" s="166"/>
      <c r="BJ150" s="166"/>
      <c r="BK150" s="166"/>
      <c r="BL150" s="166"/>
      <c r="BM150" s="166"/>
      <c r="BN150" s="166"/>
      <c r="BO150" s="166"/>
      <c r="BP150" s="166"/>
      <c r="BQ150" s="166"/>
      <c r="BR150" s="166"/>
      <c r="BS150" s="166"/>
      <c r="BT150" s="166"/>
      <c r="BU150" s="166"/>
      <c r="BV150" s="166"/>
      <c r="BW150" s="166"/>
      <c r="BX150" s="159"/>
      <c r="BY150" s="159"/>
      <c r="BZ150" s="159"/>
      <c r="CA150" s="159"/>
      <c r="CB150" s="159"/>
      <c r="CC150" s="159"/>
      <c r="CD150" s="159"/>
      <c r="CE150" s="159"/>
      <c r="CF150" s="159"/>
      <c r="CG150" s="159"/>
      <c r="CH150" s="159"/>
      <c r="CI150" s="159"/>
      <c r="CJ150" s="159"/>
      <c r="CK150" s="159"/>
      <c r="CL150" s="159"/>
      <c r="CM150" s="159"/>
      <c r="CN150" s="159"/>
      <c r="CO150" s="159"/>
      <c r="CP150" s="159"/>
      <c r="CQ150" s="159"/>
      <c r="CR150" s="159"/>
      <c r="CS150" s="159"/>
      <c r="CT150" s="159"/>
      <c r="CU150" s="159"/>
      <c r="CV150" s="159"/>
    </row>
    <row r="151" spans="1:100" ht="34.6" customHeight="1" x14ac:dyDescent="0.25">
      <c r="A151" s="166"/>
      <c r="B151" s="166"/>
      <c r="C151" s="166"/>
      <c r="D151" s="166"/>
      <c r="E151" s="166"/>
      <c r="F151" s="166"/>
      <c r="G151" s="166"/>
      <c r="H151" s="166"/>
      <c r="I151" s="166"/>
      <c r="J151" s="166"/>
      <c r="K151" s="166"/>
      <c r="L151" s="166"/>
      <c r="M151" s="166"/>
      <c r="N151" s="166"/>
      <c r="O151" s="166"/>
      <c r="P151" s="166"/>
      <c r="Q151" s="1129"/>
      <c r="R151" s="180" t="str">
        <f>'2.CropManagement'!O276</f>
        <v xml:space="preserve"> - United Arab Emirates</v>
      </c>
      <c r="S151" s="180">
        <f>'2.CropManagement'!P276</f>
        <v>124</v>
      </c>
      <c r="T151" s="180" t="str">
        <f>'2.CropManagement'!Q276</f>
        <v>Middle East</v>
      </c>
      <c r="U151" s="180">
        <f>'2.CropManagement'!R276</f>
        <v>0</v>
      </c>
      <c r="V151" s="180">
        <f>'2.CropManagement'!S276</f>
        <v>1</v>
      </c>
      <c r="W151" s="1130"/>
      <c r="X151" s="149"/>
      <c r="Y151" s="149"/>
      <c r="Z151" s="149"/>
      <c r="AA151" s="149"/>
      <c r="AB151" s="149"/>
      <c r="AC151" s="149"/>
      <c r="AD151" s="149"/>
      <c r="AE151" s="149"/>
      <c r="AF151" s="149"/>
      <c r="AG151" s="149"/>
      <c r="AH151" s="149"/>
      <c r="AI151" s="149"/>
      <c r="AJ151" s="149"/>
      <c r="AK151" s="149"/>
      <c r="AL151" s="149"/>
      <c r="AM151" s="149"/>
      <c r="AN151" s="149"/>
      <c r="AO151" s="149"/>
      <c r="AP151" s="149"/>
      <c r="AQ151" s="149"/>
      <c r="AR151" s="149"/>
      <c r="AS151" s="149"/>
      <c r="AT151" s="149"/>
      <c r="AU151" s="149"/>
      <c r="AV151" s="149"/>
      <c r="AW151" s="149"/>
      <c r="AX151" s="149"/>
      <c r="AY151" s="149"/>
      <c r="AZ151" s="149"/>
      <c r="BA151" s="149"/>
      <c r="BB151" s="149"/>
      <c r="BC151" s="166"/>
      <c r="BD151" s="166"/>
      <c r="BE151" s="166"/>
      <c r="BF151" s="166"/>
      <c r="BG151" s="166"/>
      <c r="BH151" s="166"/>
      <c r="BI151" s="166"/>
      <c r="BJ151" s="166"/>
      <c r="BK151" s="166"/>
      <c r="BL151" s="166"/>
      <c r="BM151" s="166"/>
      <c r="BN151" s="166"/>
      <c r="BO151" s="166"/>
      <c r="BP151" s="166"/>
      <c r="BQ151" s="166"/>
      <c r="BR151" s="166"/>
      <c r="BS151" s="166"/>
      <c r="BT151" s="166"/>
      <c r="BU151" s="166"/>
      <c r="BV151" s="166"/>
      <c r="BW151" s="166"/>
      <c r="BX151" s="159"/>
      <c r="BY151" s="159"/>
      <c r="BZ151" s="159"/>
      <c r="CA151" s="159"/>
      <c r="CB151" s="159"/>
      <c r="CC151" s="159"/>
      <c r="CD151" s="159"/>
      <c r="CE151" s="159"/>
      <c r="CF151" s="159"/>
      <c r="CG151" s="159"/>
      <c r="CH151" s="159"/>
      <c r="CI151" s="159"/>
      <c r="CJ151" s="159"/>
      <c r="CK151" s="159"/>
      <c r="CL151" s="159"/>
      <c r="CM151" s="159"/>
      <c r="CN151" s="159"/>
      <c r="CO151" s="159"/>
      <c r="CP151" s="159"/>
      <c r="CQ151" s="159"/>
      <c r="CR151" s="159"/>
      <c r="CS151" s="159"/>
      <c r="CT151" s="159"/>
      <c r="CU151" s="159"/>
      <c r="CV151" s="159"/>
    </row>
    <row r="152" spans="1:100" ht="34.6" customHeight="1" x14ac:dyDescent="0.25">
      <c r="A152" s="166"/>
      <c r="B152" s="166"/>
      <c r="C152" s="166"/>
      <c r="D152" s="166"/>
      <c r="E152" s="166"/>
      <c r="F152" s="166"/>
      <c r="G152" s="166"/>
      <c r="H152" s="166"/>
      <c r="I152" s="166"/>
      <c r="J152" s="166"/>
      <c r="K152" s="166"/>
      <c r="L152" s="166"/>
      <c r="M152" s="166"/>
      <c r="N152" s="166"/>
      <c r="O152" s="166"/>
      <c r="P152" s="166"/>
      <c r="Q152" s="1129"/>
      <c r="R152" s="180" t="str">
        <f>'2.CropManagement'!O277</f>
        <v xml:space="preserve"> - United Kingdom</v>
      </c>
      <c r="S152" s="180">
        <f>'2.CropManagement'!P277</f>
        <v>125</v>
      </c>
      <c r="T152" s="180" t="str">
        <f>'2.CropManagement'!Q277</f>
        <v>Western Europe</v>
      </c>
      <c r="U152" s="180">
        <f>'2.CropManagement'!R277</f>
        <v>0</v>
      </c>
      <c r="V152" s="180">
        <f>'2.CropManagement'!S277</f>
        <v>1</v>
      </c>
      <c r="W152" s="1130"/>
      <c r="X152" s="149"/>
      <c r="Y152" s="149"/>
      <c r="Z152" s="149"/>
      <c r="AA152" s="149"/>
      <c r="AB152" s="149"/>
      <c r="AC152" s="149"/>
      <c r="AD152" s="149"/>
      <c r="AE152" s="149"/>
      <c r="AF152" s="149"/>
      <c r="AG152" s="149"/>
      <c r="AH152" s="149"/>
      <c r="AI152" s="149"/>
      <c r="AJ152" s="149"/>
      <c r="AK152" s="149"/>
      <c r="AL152" s="149"/>
      <c r="AM152" s="149"/>
      <c r="AN152" s="149"/>
      <c r="AO152" s="149"/>
      <c r="AP152" s="149"/>
      <c r="AQ152" s="149"/>
      <c r="AR152" s="149"/>
      <c r="AS152" s="149"/>
      <c r="AT152" s="149"/>
      <c r="AU152" s="149"/>
      <c r="AV152" s="149"/>
      <c r="AW152" s="149"/>
      <c r="AX152" s="149"/>
      <c r="AY152" s="149"/>
      <c r="AZ152" s="149"/>
      <c r="BA152" s="149"/>
      <c r="BB152" s="149"/>
      <c r="BC152" s="166"/>
      <c r="BD152" s="166"/>
      <c r="BE152" s="166"/>
      <c r="BF152" s="166"/>
      <c r="BG152" s="166"/>
      <c r="BH152" s="166"/>
      <c r="BI152" s="166"/>
      <c r="BJ152" s="166"/>
      <c r="BK152" s="166"/>
      <c r="BL152" s="166"/>
      <c r="BM152" s="166"/>
      <c r="BN152" s="166"/>
      <c r="BO152" s="166"/>
      <c r="BP152" s="166"/>
      <c r="BQ152" s="166"/>
      <c r="BR152" s="166"/>
      <c r="BS152" s="166"/>
      <c r="BT152" s="166"/>
      <c r="BU152" s="166"/>
      <c r="BV152" s="166"/>
      <c r="BW152" s="166"/>
      <c r="BX152" s="159"/>
      <c r="BY152" s="159"/>
      <c r="BZ152" s="159"/>
      <c r="CA152" s="159"/>
      <c r="CB152" s="159"/>
      <c r="CC152" s="159"/>
      <c r="CD152" s="159"/>
      <c r="CE152" s="159"/>
      <c r="CF152" s="159"/>
      <c r="CG152" s="159"/>
      <c r="CH152" s="159"/>
      <c r="CI152" s="159"/>
      <c r="CJ152" s="159"/>
      <c r="CK152" s="159"/>
      <c r="CL152" s="159"/>
      <c r="CM152" s="159"/>
      <c r="CN152" s="159"/>
      <c r="CO152" s="159"/>
      <c r="CP152" s="159"/>
      <c r="CQ152" s="159"/>
      <c r="CR152" s="159"/>
      <c r="CS152" s="159"/>
      <c r="CT152" s="159"/>
      <c r="CU152" s="159"/>
      <c r="CV152" s="159"/>
    </row>
    <row r="153" spans="1:100" ht="34.6" customHeight="1" x14ac:dyDescent="0.25">
      <c r="A153" s="166"/>
      <c r="B153" s="166"/>
      <c r="C153" s="166"/>
      <c r="D153" s="166"/>
      <c r="E153" s="166"/>
      <c r="F153" s="166"/>
      <c r="G153" s="166"/>
      <c r="H153" s="166"/>
      <c r="I153" s="166"/>
      <c r="J153" s="166"/>
      <c r="K153" s="166"/>
      <c r="L153" s="166"/>
      <c r="M153" s="166"/>
      <c r="N153" s="166"/>
      <c r="O153" s="166"/>
      <c r="P153" s="166"/>
      <c r="Q153" s="1129"/>
      <c r="R153" s="180" t="str">
        <f>'2.CropManagement'!O278</f>
        <v xml:space="preserve"> - United States</v>
      </c>
      <c r="S153" s="180">
        <f>'2.CropManagement'!P278</f>
        <v>126</v>
      </c>
      <c r="T153" s="180" t="str">
        <f>'2.CropManagement'!Q278</f>
        <v>North America</v>
      </c>
      <c r="U153" s="180">
        <f>'2.CropManagement'!R278</f>
        <v>0</v>
      </c>
      <c r="V153" s="180">
        <f>'2.CropManagement'!S278</f>
        <v>1</v>
      </c>
      <c r="W153" s="1130"/>
      <c r="X153" s="149"/>
      <c r="Y153" s="149"/>
      <c r="Z153" s="149"/>
      <c r="AA153" s="149"/>
      <c r="AB153" s="149"/>
      <c r="AC153" s="149"/>
      <c r="AD153" s="149"/>
      <c r="AE153" s="149"/>
      <c r="AF153" s="149"/>
      <c r="AG153" s="149"/>
      <c r="AH153" s="149"/>
      <c r="AI153" s="149"/>
      <c r="AJ153" s="149"/>
      <c r="AK153" s="149"/>
      <c r="AL153" s="149"/>
      <c r="AM153" s="149"/>
      <c r="AN153" s="149"/>
      <c r="AO153" s="149"/>
      <c r="AP153" s="149"/>
      <c r="AQ153" s="149"/>
      <c r="AR153" s="149"/>
      <c r="AS153" s="149"/>
      <c r="AT153" s="149"/>
      <c r="AU153" s="149"/>
      <c r="AV153" s="149"/>
      <c r="AW153" s="149"/>
      <c r="AX153" s="149"/>
      <c r="AY153" s="149"/>
      <c r="AZ153" s="149"/>
      <c r="BA153" s="149"/>
      <c r="BB153" s="149"/>
      <c r="BC153" s="166"/>
      <c r="BD153" s="166"/>
      <c r="BE153" s="166"/>
      <c r="BF153" s="166"/>
      <c r="BG153" s="166"/>
      <c r="BH153" s="166"/>
      <c r="BI153" s="166"/>
      <c r="BJ153" s="166"/>
      <c r="BK153" s="166"/>
      <c r="BL153" s="166"/>
      <c r="BM153" s="166"/>
      <c r="BN153" s="166"/>
      <c r="BO153" s="166"/>
      <c r="BP153" s="166"/>
      <c r="BQ153" s="166"/>
      <c r="BR153" s="166"/>
      <c r="BS153" s="166"/>
      <c r="BT153" s="166"/>
      <c r="BU153" s="166"/>
      <c r="BV153" s="166"/>
      <c r="BW153" s="166"/>
      <c r="BX153" s="159"/>
      <c r="BY153" s="159"/>
      <c r="BZ153" s="159"/>
      <c r="CA153" s="159"/>
      <c r="CB153" s="159"/>
      <c r="CC153" s="159"/>
      <c r="CD153" s="159"/>
      <c r="CE153" s="159"/>
      <c r="CF153" s="159"/>
      <c r="CG153" s="159"/>
      <c r="CH153" s="159"/>
      <c r="CI153" s="159"/>
      <c r="CJ153" s="159"/>
      <c r="CK153" s="159"/>
      <c r="CL153" s="159"/>
      <c r="CM153" s="159"/>
      <c r="CN153" s="159"/>
      <c r="CO153" s="159"/>
      <c r="CP153" s="159"/>
      <c r="CQ153" s="159"/>
      <c r="CR153" s="159"/>
      <c r="CS153" s="159"/>
      <c r="CT153" s="159"/>
      <c r="CU153" s="159"/>
      <c r="CV153" s="159"/>
    </row>
    <row r="154" spans="1:100" ht="34.6" customHeight="1" x14ac:dyDescent="0.25">
      <c r="A154" s="166"/>
      <c r="B154" s="166"/>
      <c r="C154" s="166"/>
      <c r="D154" s="166"/>
      <c r="E154" s="166"/>
      <c r="F154" s="166"/>
      <c r="G154" s="166"/>
      <c r="H154" s="166"/>
      <c r="I154" s="166"/>
      <c r="J154" s="166"/>
      <c r="K154" s="166"/>
      <c r="L154" s="166"/>
      <c r="M154" s="166"/>
      <c r="N154" s="166"/>
      <c r="O154" s="166"/>
      <c r="P154" s="166"/>
      <c r="Q154" s="1129"/>
      <c r="R154" s="180" t="str">
        <f>'2.CropManagement'!O279</f>
        <v>-- AL</v>
      </c>
      <c r="S154" s="180">
        <f>'2.CropManagement'!P279</f>
        <v>127</v>
      </c>
      <c r="T154" s="180" t="str">
        <f>'2.CropManagement'!Q279</f>
        <v>North America</v>
      </c>
      <c r="U154" s="180">
        <f>'2.CropManagement'!R279</f>
        <v>0</v>
      </c>
      <c r="V154" s="180">
        <f>'2.CropManagement'!S279</f>
        <v>1</v>
      </c>
      <c r="W154" s="1130"/>
      <c r="X154" s="149"/>
      <c r="Y154" s="149"/>
      <c r="Z154" s="149"/>
      <c r="AA154" s="149"/>
      <c r="AB154" s="149"/>
      <c r="AC154" s="149"/>
      <c r="AD154" s="149"/>
      <c r="AE154" s="149"/>
      <c r="AF154" s="149"/>
      <c r="AG154" s="149"/>
      <c r="AH154" s="149"/>
      <c r="AI154" s="149"/>
      <c r="AJ154" s="149"/>
      <c r="AK154" s="149"/>
      <c r="AL154" s="149"/>
      <c r="AM154" s="149"/>
      <c r="AN154" s="149"/>
      <c r="AO154" s="149"/>
      <c r="AP154" s="149"/>
      <c r="AQ154" s="149"/>
      <c r="AR154" s="149"/>
      <c r="AS154" s="149"/>
      <c r="AT154" s="149"/>
      <c r="AU154" s="149"/>
      <c r="AV154" s="149"/>
      <c r="AW154" s="149"/>
      <c r="AX154" s="149"/>
      <c r="AY154" s="149"/>
      <c r="AZ154" s="149"/>
      <c r="BA154" s="149"/>
      <c r="BB154" s="149"/>
      <c r="BC154" s="166"/>
      <c r="BD154" s="166"/>
      <c r="BE154" s="166"/>
      <c r="BF154" s="166"/>
      <c r="BG154" s="166"/>
      <c r="BH154" s="166"/>
      <c r="BI154" s="166"/>
      <c r="BJ154" s="166"/>
      <c r="BK154" s="166"/>
      <c r="BL154" s="166"/>
      <c r="BM154" s="166"/>
      <c r="BN154" s="166"/>
      <c r="BO154" s="166"/>
      <c r="BP154" s="166"/>
      <c r="BQ154" s="166"/>
      <c r="BR154" s="166"/>
      <c r="BS154" s="166"/>
      <c r="BT154" s="166"/>
      <c r="BU154" s="166"/>
      <c r="BV154" s="166"/>
      <c r="BW154" s="166"/>
      <c r="BX154" s="159"/>
      <c r="BY154" s="159"/>
      <c r="BZ154" s="159"/>
      <c r="CA154" s="159"/>
      <c r="CB154" s="159"/>
      <c r="CC154" s="159"/>
      <c r="CD154" s="159"/>
      <c r="CE154" s="159"/>
      <c r="CF154" s="159"/>
      <c r="CG154" s="159"/>
      <c r="CH154" s="159"/>
      <c r="CI154" s="159"/>
      <c r="CJ154" s="159"/>
      <c r="CK154" s="159"/>
      <c r="CL154" s="159"/>
      <c r="CM154" s="159"/>
      <c r="CN154" s="159"/>
      <c r="CO154" s="159"/>
      <c r="CP154" s="159"/>
      <c r="CQ154" s="159"/>
      <c r="CR154" s="159"/>
      <c r="CS154" s="159"/>
      <c r="CT154" s="159"/>
      <c r="CU154" s="159"/>
      <c r="CV154" s="159"/>
    </row>
    <row r="155" spans="1:100" ht="34.6" customHeight="1" x14ac:dyDescent="0.25">
      <c r="A155" s="166"/>
      <c r="B155" s="166"/>
      <c r="C155" s="166"/>
      <c r="D155" s="166"/>
      <c r="E155" s="166"/>
      <c r="F155" s="166"/>
      <c r="G155" s="166"/>
      <c r="H155" s="166"/>
      <c r="I155" s="166"/>
      <c r="J155" s="166"/>
      <c r="K155" s="166"/>
      <c r="L155" s="166"/>
      <c r="M155" s="166"/>
      <c r="N155" s="166"/>
      <c r="O155" s="166"/>
      <c r="P155" s="166"/>
      <c r="Q155" s="1129"/>
      <c r="R155" s="180" t="str">
        <f>'2.CropManagement'!O280</f>
        <v>-- AK</v>
      </c>
      <c r="S155" s="180">
        <f>'2.CropManagement'!P280</f>
        <v>128</v>
      </c>
      <c r="T155" s="180" t="str">
        <f>'2.CropManagement'!Q280</f>
        <v>North America</v>
      </c>
      <c r="U155" s="180">
        <f>'2.CropManagement'!R280</f>
        <v>0</v>
      </c>
      <c r="V155" s="180">
        <f>'2.CropManagement'!S280</f>
        <v>1</v>
      </c>
      <c r="W155" s="1130"/>
      <c r="X155" s="149"/>
      <c r="Y155" s="149"/>
      <c r="Z155" s="149"/>
      <c r="AA155" s="149"/>
      <c r="AB155" s="149"/>
      <c r="AC155" s="149"/>
      <c r="AD155" s="149"/>
      <c r="AE155" s="149"/>
      <c r="AF155" s="149"/>
      <c r="AG155" s="149"/>
      <c r="AH155" s="149"/>
      <c r="AI155" s="149"/>
      <c r="AJ155" s="149"/>
      <c r="AK155" s="149"/>
      <c r="AL155" s="149"/>
      <c r="AM155" s="149"/>
      <c r="AN155" s="149"/>
      <c r="AO155" s="149"/>
      <c r="AP155" s="149"/>
      <c r="AQ155" s="149"/>
      <c r="AR155" s="149"/>
      <c r="AS155" s="149"/>
      <c r="AT155" s="149"/>
      <c r="AU155" s="149"/>
      <c r="AV155" s="149"/>
      <c r="AW155" s="149"/>
      <c r="AX155" s="149"/>
      <c r="AY155" s="149"/>
      <c r="AZ155" s="149"/>
      <c r="BA155" s="149"/>
      <c r="BB155" s="149"/>
      <c r="BC155" s="166"/>
      <c r="BD155" s="166"/>
      <c r="BE155" s="166"/>
      <c r="BF155" s="166"/>
      <c r="BG155" s="166"/>
      <c r="BH155" s="166"/>
      <c r="BI155" s="166"/>
      <c r="BJ155" s="166"/>
      <c r="BK155" s="166"/>
      <c r="BL155" s="166"/>
      <c r="BM155" s="166"/>
      <c r="BN155" s="166"/>
      <c r="BO155" s="166"/>
      <c r="BP155" s="166"/>
      <c r="BQ155" s="166"/>
      <c r="BR155" s="166"/>
      <c r="BS155" s="166"/>
      <c r="BT155" s="166"/>
      <c r="BU155" s="166"/>
      <c r="BV155" s="166"/>
      <c r="BW155" s="166"/>
      <c r="BX155" s="159"/>
      <c r="BY155" s="159"/>
      <c r="BZ155" s="159"/>
      <c r="CA155" s="159"/>
      <c r="CB155" s="159"/>
      <c r="CC155" s="159"/>
      <c r="CD155" s="159"/>
      <c r="CE155" s="159"/>
      <c r="CF155" s="159"/>
      <c r="CG155" s="159"/>
      <c r="CH155" s="159"/>
      <c r="CI155" s="159"/>
      <c r="CJ155" s="159"/>
      <c r="CK155" s="159"/>
      <c r="CL155" s="159"/>
      <c r="CM155" s="159"/>
      <c r="CN155" s="159"/>
      <c r="CO155" s="159"/>
      <c r="CP155" s="159"/>
      <c r="CQ155" s="159"/>
      <c r="CR155" s="159"/>
      <c r="CS155" s="159"/>
      <c r="CT155" s="159"/>
      <c r="CU155" s="159"/>
      <c r="CV155" s="159"/>
    </row>
    <row r="156" spans="1:100" ht="34.6" customHeight="1" x14ac:dyDescent="0.25">
      <c r="A156" s="166"/>
      <c r="B156" s="166"/>
      <c r="C156" s="166"/>
      <c r="D156" s="166"/>
      <c r="E156" s="166"/>
      <c r="F156" s="166"/>
      <c r="G156" s="166"/>
      <c r="H156" s="166"/>
      <c r="I156" s="166"/>
      <c r="J156" s="166"/>
      <c r="K156" s="166"/>
      <c r="L156" s="166"/>
      <c r="M156" s="166"/>
      <c r="N156" s="166"/>
      <c r="O156" s="166"/>
      <c r="P156" s="166"/>
      <c r="Q156" s="1129"/>
      <c r="R156" s="180" t="str">
        <f>'2.CropManagement'!O281</f>
        <v>-- AZ</v>
      </c>
      <c r="S156" s="180">
        <f>'2.CropManagement'!P281</f>
        <v>129</v>
      </c>
      <c r="T156" s="180" t="str">
        <f>'2.CropManagement'!Q281</f>
        <v>North America</v>
      </c>
      <c r="U156" s="180">
        <f>'2.CropManagement'!R281</f>
        <v>0</v>
      </c>
      <c r="V156" s="180">
        <f>'2.CropManagement'!S281</f>
        <v>1</v>
      </c>
      <c r="W156" s="1130"/>
      <c r="X156" s="149"/>
      <c r="Y156" s="149"/>
      <c r="Z156" s="149"/>
      <c r="AA156" s="149"/>
      <c r="AB156" s="149"/>
      <c r="AC156" s="149"/>
      <c r="AD156" s="149"/>
      <c r="AE156" s="149"/>
      <c r="AF156" s="149"/>
      <c r="AG156" s="149"/>
      <c r="AH156" s="149"/>
      <c r="AI156" s="149"/>
      <c r="AJ156" s="149"/>
      <c r="AK156" s="149"/>
      <c r="AL156" s="149"/>
      <c r="AM156" s="149"/>
      <c r="AN156" s="149"/>
      <c r="AO156" s="149"/>
      <c r="AP156" s="149"/>
      <c r="AQ156" s="149"/>
      <c r="AR156" s="149"/>
      <c r="AS156" s="149"/>
      <c r="AT156" s="149"/>
      <c r="AU156" s="149"/>
      <c r="AV156" s="149"/>
      <c r="AW156" s="149"/>
      <c r="AX156" s="149"/>
      <c r="AY156" s="149"/>
      <c r="AZ156" s="149"/>
      <c r="BA156" s="149"/>
      <c r="BB156" s="149"/>
      <c r="BC156" s="166"/>
      <c r="BD156" s="166"/>
      <c r="BE156" s="166"/>
      <c r="BF156" s="166"/>
      <c r="BG156" s="166"/>
      <c r="BH156" s="166"/>
      <c r="BI156" s="166"/>
      <c r="BJ156" s="166"/>
      <c r="BK156" s="166"/>
      <c r="BL156" s="166"/>
      <c r="BM156" s="166"/>
      <c r="BN156" s="166"/>
      <c r="BO156" s="166"/>
      <c r="BP156" s="166"/>
      <c r="BQ156" s="166"/>
      <c r="BR156" s="166"/>
      <c r="BS156" s="166"/>
      <c r="BT156" s="166"/>
      <c r="BU156" s="166"/>
      <c r="BV156" s="166"/>
      <c r="BW156" s="166"/>
      <c r="BX156" s="159"/>
      <c r="BY156" s="159"/>
      <c r="BZ156" s="159"/>
      <c r="CA156" s="159"/>
      <c r="CB156" s="159"/>
      <c r="CC156" s="159"/>
      <c r="CD156" s="159"/>
      <c r="CE156" s="159"/>
      <c r="CF156" s="159"/>
      <c r="CG156" s="159"/>
      <c r="CH156" s="159"/>
      <c r="CI156" s="159"/>
      <c r="CJ156" s="159"/>
      <c r="CK156" s="159"/>
      <c r="CL156" s="159"/>
      <c r="CM156" s="159"/>
      <c r="CN156" s="159"/>
      <c r="CO156" s="159"/>
      <c r="CP156" s="159"/>
      <c r="CQ156" s="159"/>
      <c r="CR156" s="159"/>
      <c r="CS156" s="159"/>
      <c r="CT156" s="159"/>
      <c r="CU156" s="159"/>
      <c r="CV156" s="159"/>
    </row>
    <row r="157" spans="1:100" ht="34.6" customHeight="1" x14ac:dyDescent="0.25">
      <c r="A157" s="166"/>
      <c r="B157" s="166"/>
      <c r="C157" s="166"/>
      <c r="D157" s="166"/>
      <c r="E157" s="166"/>
      <c r="F157" s="166"/>
      <c r="G157" s="166"/>
      <c r="H157" s="166"/>
      <c r="I157" s="166"/>
      <c r="J157" s="166"/>
      <c r="K157" s="166"/>
      <c r="L157" s="166"/>
      <c r="M157" s="166"/>
      <c r="N157" s="166"/>
      <c r="O157" s="166"/>
      <c r="P157" s="166"/>
      <c r="Q157" s="1129"/>
      <c r="R157" s="180" t="str">
        <f>'2.CropManagement'!O282</f>
        <v>-- AR</v>
      </c>
      <c r="S157" s="180">
        <f>'2.CropManagement'!P282</f>
        <v>130</v>
      </c>
      <c r="T157" s="180" t="str">
        <f>'2.CropManagement'!Q282</f>
        <v>North America</v>
      </c>
      <c r="U157" s="180">
        <f>'2.CropManagement'!R282</f>
        <v>0</v>
      </c>
      <c r="V157" s="180">
        <f>'2.CropManagement'!S282</f>
        <v>1</v>
      </c>
      <c r="W157" s="1130"/>
      <c r="X157" s="149"/>
      <c r="Y157" s="149"/>
      <c r="Z157" s="149"/>
      <c r="AA157" s="149"/>
      <c r="AB157" s="149"/>
      <c r="AC157" s="149"/>
      <c r="AD157" s="149"/>
      <c r="AE157" s="149"/>
      <c r="AF157" s="149"/>
      <c r="AG157" s="149"/>
      <c r="AH157" s="149"/>
      <c r="AI157" s="149"/>
      <c r="AJ157" s="149"/>
      <c r="AK157" s="149"/>
      <c r="AL157" s="149"/>
      <c r="AM157" s="149"/>
      <c r="AN157" s="149"/>
      <c r="AO157" s="149"/>
      <c r="AP157" s="149"/>
      <c r="AQ157" s="149"/>
      <c r="AR157" s="149"/>
      <c r="AS157" s="149"/>
      <c r="AT157" s="149"/>
      <c r="AU157" s="149"/>
      <c r="AV157" s="149"/>
      <c r="AW157" s="149"/>
      <c r="AX157" s="149"/>
      <c r="AY157" s="149"/>
      <c r="AZ157" s="149"/>
      <c r="BA157" s="149"/>
      <c r="BB157" s="149"/>
      <c r="BC157" s="166"/>
      <c r="BD157" s="166"/>
      <c r="BE157" s="166"/>
      <c r="BF157" s="166"/>
      <c r="BG157" s="166"/>
      <c r="BH157" s="166"/>
      <c r="BI157" s="166"/>
      <c r="BJ157" s="166"/>
      <c r="BK157" s="166"/>
      <c r="BL157" s="166"/>
      <c r="BM157" s="166"/>
      <c r="BN157" s="166"/>
      <c r="BO157" s="166"/>
      <c r="BP157" s="166"/>
      <c r="BQ157" s="166"/>
      <c r="BR157" s="166"/>
      <c r="BS157" s="166"/>
      <c r="BT157" s="166"/>
      <c r="BU157" s="166"/>
      <c r="BV157" s="166"/>
      <c r="BW157" s="166"/>
      <c r="BX157" s="159"/>
      <c r="BY157" s="159"/>
      <c r="BZ157" s="159"/>
      <c r="CA157" s="159"/>
      <c r="CB157" s="159"/>
      <c r="CC157" s="159"/>
      <c r="CD157" s="159"/>
      <c r="CE157" s="159"/>
      <c r="CF157" s="159"/>
      <c r="CG157" s="159"/>
      <c r="CH157" s="159"/>
      <c r="CI157" s="159"/>
      <c r="CJ157" s="159"/>
      <c r="CK157" s="159"/>
      <c r="CL157" s="159"/>
      <c r="CM157" s="159"/>
      <c r="CN157" s="159"/>
      <c r="CO157" s="159"/>
      <c r="CP157" s="159"/>
      <c r="CQ157" s="159"/>
      <c r="CR157" s="159"/>
      <c r="CS157" s="159"/>
      <c r="CT157" s="159"/>
      <c r="CU157" s="159"/>
      <c r="CV157" s="159"/>
    </row>
    <row r="158" spans="1:100" ht="34.6" customHeight="1" x14ac:dyDescent="0.25">
      <c r="A158" s="166"/>
      <c r="B158" s="166"/>
      <c r="C158" s="166"/>
      <c r="D158" s="166"/>
      <c r="E158" s="166"/>
      <c r="F158" s="166"/>
      <c r="G158" s="166"/>
      <c r="H158" s="166"/>
      <c r="I158" s="166"/>
      <c r="J158" s="166"/>
      <c r="K158" s="166"/>
      <c r="L158" s="166"/>
      <c r="M158" s="166"/>
      <c r="N158" s="166"/>
      <c r="O158" s="166"/>
      <c r="P158" s="166"/>
      <c r="Q158" s="1129"/>
      <c r="R158" s="180" t="str">
        <f>'2.CropManagement'!O283</f>
        <v>-- CA</v>
      </c>
      <c r="S158" s="180">
        <f>'2.CropManagement'!P283</f>
        <v>131</v>
      </c>
      <c r="T158" s="180" t="str">
        <f>'2.CropManagement'!Q283</f>
        <v>North America</v>
      </c>
      <c r="U158" s="180">
        <f>'2.CropManagement'!R283</f>
        <v>0</v>
      </c>
      <c r="V158" s="180">
        <f>'2.CropManagement'!S283</f>
        <v>1</v>
      </c>
      <c r="W158" s="1130"/>
      <c r="X158" s="149"/>
      <c r="Y158" s="149"/>
      <c r="Z158" s="149"/>
      <c r="AA158" s="149"/>
      <c r="AB158" s="149"/>
      <c r="AC158" s="149"/>
      <c r="AD158" s="149"/>
      <c r="AE158" s="149"/>
      <c r="AF158" s="149"/>
      <c r="AG158" s="149"/>
      <c r="AH158" s="149"/>
      <c r="AI158" s="149"/>
      <c r="AJ158" s="149"/>
      <c r="AK158" s="149"/>
      <c r="AL158" s="149"/>
      <c r="AM158" s="149"/>
      <c r="AN158" s="149"/>
      <c r="AO158" s="149"/>
      <c r="AP158" s="149"/>
      <c r="AQ158" s="149"/>
      <c r="AR158" s="149"/>
      <c r="AS158" s="149"/>
      <c r="AT158" s="149"/>
      <c r="AU158" s="149"/>
      <c r="AV158" s="149"/>
      <c r="AW158" s="149"/>
      <c r="AX158" s="149"/>
      <c r="AY158" s="149"/>
      <c r="AZ158" s="149"/>
      <c r="BA158" s="149"/>
      <c r="BB158" s="149"/>
      <c r="BC158" s="166"/>
      <c r="BD158" s="166"/>
      <c r="BE158" s="166"/>
      <c r="BF158" s="166"/>
      <c r="BG158" s="166"/>
      <c r="BH158" s="166"/>
      <c r="BI158" s="166"/>
      <c r="BJ158" s="166"/>
      <c r="BK158" s="166"/>
      <c r="BL158" s="166"/>
      <c r="BM158" s="166"/>
      <c r="BN158" s="166"/>
      <c r="BO158" s="166"/>
      <c r="BP158" s="166"/>
      <c r="BQ158" s="166"/>
      <c r="BR158" s="166"/>
      <c r="BS158" s="166"/>
      <c r="BT158" s="166"/>
      <c r="BU158" s="166"/>
      <c r="BV158" s="166"/>
      <c r="BW158" s="166"/>
      <c r="BX158" s="159"/>
      <c r="BY158" s="159"/>
      <c r="BZ158" s="159"/>
      <c r="CA158" s="159"/>
      <c r="CB158" s="159"/>
      <c r="CC158" s="159"/>
      <c r="CD158" s="159"/>
      <c r="CE158" s="159"/>
      <c r="CF158" s="159"/>
      <c r="CG158" s="159"/>
      <c r="CH158" s="159"/>
      <c r="CI158" s="159"/>
      <c r="CJ158" s="159"/>
      <c r="CK158" s="159"/>
      <c r="CL158" s="159"/>
      <c r="CM158" s="159"/>
      <c r="CN158" s="159"/>
      <c r="CO158" s="159"/>
      <c r="CP158" s="159"/>
      <c r="CQ158" s="159"/>
      <c r="CR158" s="159"/>
      <c r="CS158" s="159"/>
      <c r="CT158" s="159"/>
      <c r="CU158" s="159"/>
      <c r="CV158" s="159"/>
    </row>
    <row r="159" spans="1:100" ht="34.6" customHeight="1" x14ac:dyDescent="0.25">
      <c r="A159" s="166"/>
      <c r="B159" s="166"/>
      <c r="C159" s="166"/>
      <c r="D159" s="166"/>
      <c r="E159" s="166"/>
      <c r="F159" s="166"/>
      <c r="G159" s="166"/>
      <c r="H159" s="166"/>
      <c r="I159" s="166"/>
      <c r="J159" s="166"/>
      <c r="K159" s="166"/>
      <c r="L159" s="166"/>
      <c r="M159" s="166"/>
      <c r="N159" s="166"/>
      <c r="O159" s="166"/>
      <c r="P159" s="166"/>
      <c r="Q159" s="1129"/>
      <c r="R159" s="180" t="str">
        <f>'2.CropManagement'!O284</f>
        <v>-- CO</v>
      </c>
      <c r="S159" s="180">
        <f>'2.CropManagement'!P284</f>
        <v>132</v>
      </c>
      <c r="T159" s="180" t="str">
        <f>'2.CropManagement'!Q284</f>
        <v>North America</v>
      </c>
      <c r="U159" s="180">
        <f>'2.CropManagement'!R284</f>
        <v>0</v>
      </c>
      <c r="V159" s="180">
        <f>'2.CropManagement'!S284</f>
        <v>1</v>
      </c>
      <c r="W159" s="1130"/>
      <c r="X159" s="149"/>
      <c r="Y159" s="149"/>
      <c r="Z159" s="149"/>
      <c r="AA159" s="149"/>
      <c r="AB159" s="149"/>
      <c r="AC159" s="149"/>
      <c r="AD159" s="149"/>
      <c r="AE159" s="149"/>
      <c r="AF159" s="149"/>
      <c r="AG159" s="149"/>
      <c r="AH159" s="149"/>
      <c r="AI159" s="149"/>
      <c r="AJ159" s="149"/>
      <c r="AK159" s="149"/>
      <c r="AL159" s="149"/>
      <c r="AM159" s="149"/>
      <c r="AN159" s="149"/>
      <c r="AO159" s="149"/>
      <c r="AP159" s="149"/>
      <c r="AQ159" s="149"/>
      <c r="AR159" s="149"/>
      <c r="AS159" s="149"/>
      <c r="AT159" s="149"/>
      <c r="AU159" s="149"/>
      <c r="AV159" s="149"/>
      <c r="AW159" s="149"/>
      <c r="AX159" s="149"/>
      <c r="AY159" s="149"/>
      <c r="AZ159" s="149"/>
      <c r="BA159" s="149"/>
      <c r="BB159" s="149"/>
      <c r="BC159" s="166"/>
      <c r="BD159" s="166"/>
      <c r="BE159" s="166"/>
      <c r="BF159" s="166"/>
      <c r="BG159" s="166"/>
      <c r="BH159" s="166"/>
      <c r="BI159" s="166"/>
      <c r="BJ159" s="166"/>
      <c r="BK159" s="166"/>
      <c r="BL159" s="166"/>
      <c r="BM159" s="166"/>
      <c r="BN159" s="166"/>
      <c r="BO159" s="166"/>
      <c r="BP159" s="166"/>
      <c r="BQ159" s="166"/>
      <c r="BR159" s="166"/>
      <c r="BS159" s="166"/>
      <c r="BT159" s="166"/>
      <c r="BU159" s="166"/>
      <c r="BV159" s="166"/>
      <c r="BW159" s="166"/>
      <c r="BX159" s="159"/>
      <c r="BY159" s="159"/>
      <c r="BZ159" s="159"/>
      <c r="CA159" s="159"/>
      <c r="CB159" s="159"/>
      <c r="CC159" s="159"/>
      <c r="CD159" s="159"/>
      <c r="CE159" s="159"/>
      <c r="CF159" s="159"/>
      <c r="CG159" s="159"/>
      <c r="CH159" s="159"/>
      <c r="CI159" s="159"/>
      <c r="CJ159" s="159"/>
      <c r="CK159" s="159"/>
      <c r="CL159" s="159"/>
      <c r="CM159" s="159"/>
      <c r="CN159" s="159"/>
      <c r="CO159" s="159"/>
      <c r="CP159" s="159"/>
      <c r="CQ159" s="159"/>
      <c r="CR159" s="159"/>
      <c r="CS159" s="159"/>
      <c r="CT159" s="159"/>
      <c r="CU159" s="159"/>
      <c r="CV159" s="159"/>
    </row>
    <row r="160" spans="1:100" ht="34.6" customHeight="1" x14ac:dyDescent="0.25">
      <c r="A160" s="166"/>
      <c r="B160" s="166"/>
      <c r="C160" s="166"/>
      <c r="D160" s="166"/>
      <c r="E160" s="166"/>
      <c r="F160" s="166"/>
      <c r="G160" s="166"/>
      <c r="H160" s="166"/>
      <c r="I160" s="166"/>
      <c r="J160" s="166"/>
      <c r="K160" s="166"/>
      <c r="L160" s="166"/>
      <c r="M160" s="166"/>
      <c r="N160" s="166"/>
      <c r="O160" s="166"/>
      <c r="P160" s="166"/>
      <c r="Q160" s="1129"/>
      <c r="R160" s="180" t="str">
        <f>'2.CropManagement'!O285</f>
        <v>-- CT</v>
      </c>
      <c r="S160" s="180">
        <f>'2.CropManagement'!P285</f>
        <v>133</v>
      </c>
      <c r="T160" s="180" t="str">
        <f>'2.CropManagement'!Q285</f>
        <v>North America</v>
      </c>
      <c r="U160" s="180">
        <f>'2.CropManagement'!R285</f>
        <v>0</v>
      </c>
      <c r="V160" s="180">
        <f>'2.CropManagement'!S285</f>
        <v>1</v>
      </c>
      <c r="W160" s="1130"/>
      <c r="X160" s="149"/>
      <c r="Y160" s="149"/>
      <c r="Z160" s="149"/>
      <c r="AA160" s="149"/>
      <c r="AB160" s="149"/>
      <c r="AC160" s="149"/>
      <c r="AD160" s="149"/>
      <c r="AE160" s="149"/>
      <c r="AF160" s="149"/>
      <c r="AG160" s="149"/>
      <c r="AH160" s="149"/>
      <c r="AI160" s="149"/>
      <c r="AJ160" s="149"/>
      <c r="AK160" s="149"/>
      <c r="AL160" s="149"/>
      <c r="AM160" s="149"/>
      <c r="AN160" s="149"/>
      <c r="AO160" s="149"/>
      <c r="AP160" s="149"/>
      <c r="AQ160" s="149"/>
      <c r="AR160" s="149"/>
      <c r="AS160" s="149"/>
      <c r="AT160" s="1100"/>
      <c r="AU160" s="149"/>
      <c r="AV160" s="149"/>
      <c r="AW160" s="149"/>
      <c r="AX160" s="149"/>
      <c r="AY160" s="149"/>
      <c r="AZ160" s="149"/>
      <c r="BA160" s="149"/>
      <c r="BB160" s="149"/>
      <c r="BC160" s="166"/>
      <c r="BD160" s="166"/>
      <c r="BE160" s="166"/>
      <c r="BF160" s="166"/>
      <c r="BG160" s="166"/>
      <c r="BH160" s="166"/>
      <c r="BI160" s="166"/>
      <c r="BJ160" s="166"/>
      <c r="BK160" s="166"/>
      <c r="BL160" s="166"/>
      <c r="BM160" s="166"/>
      <c r="BN160" s="166"/>
      <c r="BO160" s="166"/>
      <c r="BP160" s="166"/>
      <c r="BQ160" s="166"/>
      <c r="BR160" s="166"/>
      <c r="BS160" s="166"/>
      <c r="BT160" s="166"/>
      <c r="BU160" s="166"/>
      <c r="BV160" s="166"/>
      <c r="BW160" s="166"/>
      <c r="BX160" s="159"/>
      <c r="BY160" s="159"/>
      <c r="BZ160" s="159"/>
      <c r="CA160" s="159"/>
      <c r="CB160" s="159"/>
      <c r="CC160" s="159"/>
      <c r="CD160" s="159"/>
      <c r="CE160" s="159"/>
      <c r="CF160" s="159"/>
      <c r="CG160" s="159"/>
      <c r="CH160" s="159"/>
      <c r="CI160" s="159"/>
      <c r="CJ160" s="159"/>
      <c r="CK160" s="159"/>
      <c r="CL160" s="159"/>
      <c r="CM160" s="159"/>
      <c r="CN160" s="159"/>
      <c r="CO160" s="159"/>
      <c r="CP160" s="159"/>
      <c r="CQ160" s="159"/>
      <c r="CR160" s="159"/>
      <c r="CS160" s="159"/>
      <c r="CT160" s="159"/>
      <c r="CU160" s="159"/>
      <c r="CV160" s="159"/>
    </row>
    <row r="161" spans="1:100" ht="34.6" customHeight="1" x14ac:dyDescent="0.25">
      <c r="A161" s="166"/>
      <c r="B161" s="166"/>
      <c r="C161" s="166"/>
      <c r="D161" s="166"/>
      <c r="E161" s="166"/>
      <c r="F161" s="166"/>
      <c r="G161" s="166"/>
      <c r="H161" s="166"/>
      <c r="I161" s="166"/>
      <c r="J161" s="166"/>
      <c r="K161" s="166"/>
      <c r="L161" s="166"/>
      <c r="M161" s="166"/>
      <c r="N161" s="166"/>
      <c r="O161" s="166"/>
      <c r="P161" s="166"/>
      <c r="Q161" s="1129"/>
      <c r="R161" s="180" t="str">
        <f>'2.CropManagement'!O286</f>
        <v>-- DE</v>
      </c>
      <c r="S161" s="180">
        <f>'2.CropManagement'!P286</f>
        <v>134</v>
      </c>
      <c r="T161" s="180" t="str">
        <f>'2.CropManagement'!Q286</f>
        <v>North America</v>
      </c>
      <c r="U161" s="180">
        <f>'2.CropManagement'!R286</f>
        <v>0</v>
      </c>
      <c r="V161" s="180">
        <f>'2.CropManagement'!S286</f>
        <v>1</v>
      </c>
      <c r="W161" s="1130"/>
      <c r="X161" s="149"/>
      <c r="Y161" s="149"/>
      <c r="Z161" s="149"/>
      <c r="AA161" s="149"/>
      <c r="AB161" s="149"/>
      <c r="AC161" s="149"/>
      <c r="AD161" s="149"/>
      <c r="AE161" s="149"/>
      <c r="AF161" s="149"/>
      <c r="AG161" s="149"/>
      <c r="AH161" s="149"/>
      <c r="AI161" s="149"/>
      <c r="AJ161" s="149"/>
      <c r="AK161" s="149"/>
      <c r="AL161" s="149"/>
      <c r="AM161" s="149"/>
      <c r="AN161" s="149"/>
      <c r="AO161" s="149"/>
      <c r="AP161" s="149"/>
      <c r="AQ161" s="149"/>
      <c r="AR161" s="149"/>
      <c r="AS161" s="149"/>
      <c r="AT161" s="149"/>
      <c r="AU161" s="149"/>
      <c r="AV161" s="149"/>
      <c r="AW161" s="149"/>
      <c r="AX161" s="149"/>
      <c r="AY161" s="149"/>
      <c r="AZ161" s="149"/>
      <c r="BA161" s="149"/>
      <c r="BB161" s="149"/>
      <c r="BC161" s="166"/>
      <c r="BD161" s="166"/>
      <c r="BE161" s="166"/>
      <c r="BF161" s="166"/>
      <c r="BG161" s="166"/>
      <c r="BH161" s="166"/>
      <c r="BI161" s="166"/>
      <c r="BJ161" s="166"/>
      <c r="BK161" s="166"/>
      <c r="BL161" s="166"/>
      <c r="BM161" s="166"/>
      <c r="BN161" s="166"/>
      <c r="BO161" s="166"/>
      <c r="BP161" s="166"/>
      <c r="BQ161" s="166"/>
      <c r="BR161" s="166"/>
      <c r="BS161" s="166"/>
      <c r="BT161" s="166"/>
      <c r="BU161" s="166"/>
      <c r="BV161" s="166"/>
      <c r="BW161" s="166"/>
      <c r="BX161" s="159"/>
      <c r="BY161" s="159"/>
      <c r="BZ161" s="159"/>
      <c r="CA161" s="159"/>
      <c r="CB161" s="159"/>
      <c r="CC161" s="159"/>
      <c r="CD161" s="159"/>
      <c r="CE161" s="159"/>
      <c r="CF161" s="159"/>
      <c r="CG161" s="159"/>
      <c r="CH161" s="159"/>
      <c r="CI161" s="159"/>
      <c r="CJ161" s="159"/>
      <c r="CK161" s="159"/>
      <c r="CL161" s="159"/>
      <c r="CM161" s="159"/>
      <c r="CN161" s="159"/>
      <c r="CO161" s="159"/>
      <c r="CP161" s="159"/>
      <c r="CQ161" s="159"/>
      <c r="CR161" s="159"/>
      <c r="CS161" s="159"/>
      <c r="CT161" s="159"/>
      <c r="CU161" s="159"/>
      <c r="CV161" s="159"/>
    </row>
    <row r="162" spans="1:100" ht="34.6" customHeight="1" x14ac:dyDescent="0.25">
      <c r="A162" s="166"/>
      <c r="B162" s="166"/>
      <c r="C162" s="166"/>
      <c r="D162" s="166"/>
      <c r="E162" s="166"/>
      <c r="F162" s="166"/>
      <c r="G162" s="166"/>
      <c r="H162" s="166"/>
      <c r="I162" s="166"/>
      <c r="J162" s="166"/>
      <c r="K162" s="166"/>
      <c r="L162" s="166"/>
      <c r="M162" s="166"/>
      <c r="N162" s="166"/>
      <c r="O162" s="166"/>
      <c r="P162" s="166"/>
      <c r="Q162" s="1129"/>
      <c r="R162" s="180" t="str">
        <f>'2.CropManagement'!O287</f>
        <v>-- DC</v>
      </c>
      <c r="S162" s="180">
        <f>'2.CropManagement'!P287</f>
        <v>135</v>
      </c>
      <c r="T162" s="180" t="str">
        <f>'2.CropManagement'!Q287</f>
        <v>North America</v>
      </c>
      <c r="U162" s="180">
        <f>'2.CropManagement'!R287</f>
        <v>0</v>
      </c>
      <c r="V162" s="180">
        <f>'2.CropManagement'!S287</f>
        <v>1</v>
      </c>
      <c r="W162" s="1130"/>
      <c r="X162" s="149"/>
      <c r="Y162" s="149"/>
      <c r="Z162" s="149"/>
      <c r="AA162" s="149"/>
      <c r="AB162" s="149"/>
      <c r="AC162" s="149"/>
      <c r="AD162" s="149"/>
      <c r="AE162" s="149"/>
      <c r="AF162" s="149"/>
      <c r="AG162" s="149"/>
      <c r="AH162" s="149"/>
      <c r="AI162" s="149"/>
      <c r="AJ162" s="149"/>
      <c r="AK162" s="149"/>
      <c r="AL162" s="149"/>
      <c r="AM162" s="149"/>
      <c r="AN162" s="149"/>
      <c r="AO162" s="149"/>
      <c r="AP162" s="149"/>
      <c r="AQ162" s="149"/>
      <c r="AR162" s="149"/>
      <c r="AS162" s="149"/>
      <c r="AT162" s="149"/>
      <c r="AU162" s="149"/>
      <c r="AV162" s="149"/>
      <c r="AW162" s="149"/>
      <c r="AX162" s="149"/>
      <c r="AY162" s="149"/>
      <c r="AZ162" s="149"/>
      <c r="BA162" s="149"/>
      <c r="BB162" s="149"/>
      <c r="BC162" s="166"/>
      <c r="BD162" s="166"/>
      <c r="BE162" s="166"/>
      <c r="BF162" s="166"/>
      <c r="BG162" s="166"/>
      <c r="BH162" s="166"/>
      <c r="BI162" s="166"/>
      <c r="BJ162" s="166"/>
      <c r="BK162" s="166"/>
      <c r="BL162" s="166"/>
      <c r="BM162" s="166"/>
      <c r="BN162" s="166"/>
      <c r="BO162" s="166"/>
      <c r="BP162" s="166"/>
      <c r="BQ162" s="166"/>
      <c r="BR162" s="166"/>
      <c r="BS162" s="166"/>
      <c r="BT162" s="166"/>
      <c r="BU162" s="166"/>
      <c r="BV162" s="166"/>
      <c r="BW162" s="166"/>
      <c r="BX162" s="159"/>
      <c r="BY162" s="159"/>
      <c r="BZ162" s="159"/>
      <c r="CA162" s="159"/>
      <c r="CB162" s="159"/>
      <c r="CC162" s="159"/>
      <c r="CD162" s="159"/>
      <c r="CE162" s="159"/>
      <c r="CF162" s="159"/>
      <c r="CG162" s="159"/>
      <c r="CH162" s="159"/>
      <c r="CI162" s="159"/>
      <c r="CJ162" s="159"/>
      <c r="CK162" s="159"/>
      <c r="CL162" s="159"/>
      <c r="CM162" s="159"/>
      <c r="CN162" s="159"/>
      <c r="CO162" s="159"/>
      <c r="CP162" s="159"/>
      <c r="CQ162" s="159"/>
      <c r="CR162" s="159"/>
      <c r="CS162" s="159"/>
      <c r="CT162" s="159"/>
      <c r="CU162" s="159"/>
      <c r="CV162" s="159"/>
    </row>
    <row r="163" spans="1:100" ht="34.6" customHeight="1" x14ac:dyDescent="0.25">
      <c r="A163" s="166"/>
      <c r="B163" s="166"/>
      <c r="C163" s="166"/>
      <c r="D163" s="166"/>
      <c r="E163" s="166"/>
      <c r="F163" s="166"/>
      <c r="G163" s="166"/>
      <c r="H163" s="166"/>
      <c r="I163" s="166"/>
      <c r="J163" s="166"/>
      <c r="K163" s="166"/>
      <c r="L163" s="166"/>
      <c r="M163" s="166"/>
      <c r="N163" s="166"/>
      <c r="O163" s="166"/>
      <c r="P163" s="166"/>
      <c r="Q163" s="1129"/>
      <c r="R163" s="180" t="str">
        <f>'2.CropManagement'!O288</f>
        <v>-- FL</v>
      </c>
      <c r="S163" s="180">
        <f>'2.CropManagement'!P288</f>
        <v>136</v>
      </c>
      <c r="T163" s="180" t="str">
        <f>'2.CropManagement'!Q288</f>
        <v>North America</v>
      </c>
      <c r="U163" s="180">
        <f>'2.CropManagement'!R288</f>
        <v>0</v>
      </c>
      <c r="V163" s="180">
        <f>'2.CropManagement'!S288</f>
        <v>1</v>
      </c>
      <c r="W163" s="1130"/>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66"/>
      <c r="BD163" s="166"/>
      <c r="BE163" s="166"/>
      <c r="BF163" s="166"/>
      <c r="BG163" s="166"/>
      <c r="BH163" s="166"/>
      <c r="BI163" s="166"/>
      <c r="BJ163" s="166"/>
      <c r="BK163" s="166"/>
      <c r="BL163" s="166"/>
      <c r="BM163" s="166"/>
      <c r="BN163" s="166"/>
      <c r="BO163" s="166"/>
      <c r="BP163" s="166"/>
      <c r="BQ163" s="166"/>
      <c r="BR163" s="166"/>
      <c r="BS163" s="166"/>
      <c r="BT163" s="166"/>
      <c r="BU163" s="166"/>
      <c r="BV163" s="166"/>
      <c r="BW163" s="166"/>
      <c r="BX163" s="159"/>
      <c r="BY163" s="159"/>
      <c r="BZ163" s="159"/>
      <c r="CA163" s="159"/>
      <c r="CB163" s="159"/>
      <c r="CC163" s="159"/>
      <c r="CD163" s="159"/>
      <c r="CE163" s="159"/>
      <c r="CF163" s="159"/>
      <c r="CG163" s="159"/>
      <c r="CH163" s="159"/>
      <c r="CI163" s="159"/>
      <c r="CJ163" s="159"/>
      <c r="CK163" s="159"/>
      <c r="CL163" s="159"/>
      <c r="CM163" s="159"/>
      <c r="CN163" s="159"/>
      <c r="CO163" s="159"/>
      <c r="CP163" s="159"/>
      <c r="CQ163" s="159"/>
      <c r="CR163" s="159"/>
      <c r="CS163" s="159"/>
      <c r="CT163" s="159"/>
      <c r="CU163" s="159"/>
      <c r="CV163" s="159"/>
    </row>
    <row r="164" spans="1:100" ht="34.6" customHeight="1" x14ac:dyDescent="0.25">
      <c r="A164" s="166"/>
      <c r="B164" s="166"/>
      <c r="C164" s="166"/>
      <c r="D164" s="166"/>
      <c r="E164" s="166"/>
      <c r="F164" s="166"/>
      <c r="G164" s="166"/>
      <c r="H164" s="166"/>
      <c r="I164" s="166"/>
      <c r="J164" s="166"/>
      <c r="K164" s="166"/>
      <c r="L164" s="166"/>
      <c r="M164" s="166"/>
      <c r="N164" s="166"/>
      <c r="O164" s="166"/>
      <c r="P164" s="166"/>
      <c r="Q164" s="1129"/>
      <c r="R164" s="180" t="str">
        <f>'2.CropManagement'!O289</f>
        <v>-- GA</v>
      </c>
      <c r="S164" s="180">
        <f>'2.CropManagement'!P289</f>
        <v>137</v>
      </c>
      <c r="T164" s="180" t="str">
        <f>'2.CropManagement'!Q289</f>
        <v>North America</v>
      </c>
      <c r="U164" s="180">
        <f>'2.CropManagement'!R289</f>
        <v>0</v>
      </c>
      <c r="V164" s="180">
        <f>'2.CropManagement'!S289</f>
        <v>1</v>
      </c>
      <c r="W164" s="1130"/>
      <c r="X164" s="149"/>
      <c r="Y164" s="149"/>
      <c r="Z164" s="149"/>
      <c r="AA164" s="149"/>
      <c r="AB164" s="149"/>
      <c r="AC164" s="149"/>
      <c r="AD164" s="149"/>
      <c r="AE164" s="149"/>
      <c r="AF164" s="149"/>
      <c r="AG164" s="149"/>
      <c r="AH164" s="149"/>
      <c r="AI164" s="149"/>
      <c r="AJ164" s="149"/>
      <c r="AK164" s="149"/>
      <c r="AL164" s="149"/>
      <c r="AM164" s="149"/>
      <c r="AN164" s="149"/>
      <c r="AO164" s="149"/>
      <c r="AP164" s="149"/>
      <c r="AQ164" s="149"/>
      <c r="AR164" s="149"/>
      <c r="AS164" s="149"/>
      <c r="AT164" s="149"/>
      <c r="AU164" s="149"/>
      <c r="AV164" s="149"/>
      <c r="AW164" s="149"/>
      <c r="AX164" s="149"/>
      <c r="AY164" s="149"/>
      <c r="AZ164" s="149"/>
      <c r="BA164" s="149"/>
      <c r="BB164" s="149"/>
      <c r="BC164" s="166"/>
      <c r="BD164" s="166"/>
      <c r="BE164" s="166"/>
      <c r="BF164" s="166"/>
      <c r="BG164" s="166"/>
      <c r="BH164" s="166"/>
      <c r="BI164" s="166"/>
      <c r="BJ164" s="166"/>
      <c r="BK164" s="166"/>
      <c r="BL164" s="166"/>
      <c r="BM164" s="166"/>
      <c r="BN164" s="166"/>
      <c r="BO164" s="166"/>
      <c r="BP164" s="166"/>
      <c r="BQ164" s="166"/>
      <c r="BR164" s="166"/>
      <c r="BS164" s="166"/>
      <c r="BT164" s="166"/>
      <c r="BU164" s="166"/>
      <c r="BV164" s="166"/>
      <c r="BW164" s="166"/>
      <c r="BX164" s="159"/>
      <c r="BY164" s="159"/>
      <c r="BZ164" s="159"/>
      <c r="CA164" s="159"/>
      <c r="CB164" s="159"/>
      <c r="CC164" s="159"/>
      <c r="CD164" s="159"/>
      <c r="CE164" s="159"/>
      <c r="CF164" s="159"/>
      <c r="CG164" s="159"/>
      <c r="CH164" s="159"/>
      <c r="CI164" s="159"/>
      <c r="CJ164" s="159"/>
      <c r="CK164" s="159"/>
      <c r="CL164" s="159"/>
      <c r="CM164" s="159"/>
      <c r="CN164" s="159"/>
      <c r="CO164" s="159"/>
      <c r="CP164" s="159"/>
      <c r="CQ164" s="159"/>
      <c r="CR164" s="159"/>
      <c r="CS164" s="159"/>
      <c r="CT164" s="159"/>
      <c r="CU164" s="159"/>
      <c r="CV164" s="159"/>
    </row>
    <row r="165" spans="1:100" ht="34.6" customHeight="1" x14ac:dyDescent="0.25">
      <c r="A165" s="166"/>
      <c r="B165" s="166"/>
      <c r="C165" s="166"/>
      <c r="D165" s="166"/>
      <c r="E165" s="166"/>
      <c r="F165" s="166"/>
      <c r="G165" s="166"/>
      <c r="H165" s="166"/>
      <c r="I165" s="166"/>
      <c r="J165" s="166"/>
      <c r="K165" s="166"/>
      <c r="L165" s="166"/>
      <c r="M165" s="166"/>
      <c r="N165" s="166"/>
      <c r="O165" s="166"/>
      <c r="P165" s="166"/>
      <c r="Q165" s="1129"/>
      <c r="R165" s="180" t="str">
        <f>'2.CropManagement'!O290</f>
        <v>-- HI</v>
      </c>
      <c r="S165" s="180">
        <f>'2.CropManagement'!P290</f>
        <v>138</v>
      </c>
      <c r="T165" s="180" t="str">
        <f>'2.CropManagement'!Q290</f>
        <v>North America</v>
      </c>
      <c r="U165" s="180">
        <f>'2.CropManagement'!R290</f>
        <v>0</v>
      </c>
      <c r="V165" s="180">
        <f>'2.CropManagement'!S290</f>
        <v>1</v>
      </c>
      <c r="W165" s="1130"/>
      <c r="X165" s="149"/>
      <c r="Y165" s="149"/>
      <c r="Z165" s="149"/>
      <c r="AA165" s="149"/>
      <c r="AB165" s="149"/>
      <c r="AC165" s="149"/>
      <c r="AD165" s="149"/>
      <c r="AE165" s="149"/>
      <c r="AF165" s="149"/>
      <c r="AG165" s="149"/>
      <c r="AH165" s="149"/>
      <c r="AI165" s="149"/>
      <c r="AJ165" s="149"/>
      <c r="AK165" s="149"/>
      <c r="AL165" s="149"/>
      <c r="AM165" s="149"/>
      <c r="AN165" s="149"/>
      <c r="AO165" s="149"/>
      <c r="AP165" s="149"/>
      <c r="AQ165" s="149"/>
      <c r="AR165" s="149"/>
      <c r="AS165" s="149"/>
      <c r="AT165" s="149"/>
      <c r="AU165" s="149"/>
      <c r="AV165" s="149"/>
      <c r="AW165" s="149"/>
      <c r="AX165" s="149"/>
      <c r="AY165" s="149"/>
      <c r="AZ165" s="149"/>
      <c r="BA165" s="149"/>
      <c r="BB165" s="149"/>
      <c r="BC165" s="166"/>
      <c r="BD165" s="166"/>
      <c r="BE165" s="166"/>
      <c r="BF165" s="166"/>
      <c r="BG165" s="166"/>
      <c r="BH165" s="166"/>
      <c r="BI165" s="166"/>
      <c r="BJ165" s="166"/>
      <c r="BK165" s="166"/>
      <c r="BL165" s="166"/>
      <c r="BM165" s="166"/>
      <c r="BN165" s="166"/>
      <c r="BO165" s="166"/>
      <c r="BP165" s="166"/>
      <c r="BQ165" s="166"/>
      <c r="BR165" s="166"/>
      <c r="BS165" s="166"/>
      <c r="BT165" s="166"/>
      <c r="BU165" s="166"/>
      <c r="BV165" s="166"/>
      <c r="BW165" s="166"/>
      <c r="BX165" s="159"/>
      <c r="BY165" s="159"/>
      <c r="BZ165" s="159"/>
      <c r="CA165" s="159"/>
      <c r="CB165" s="159"/>
      <c r="CC165" s="159"/>
      <c r="CD165" s="159"/>
      <c r="CE165" s="159"/>
      <c r="CF165" s="159"/>
      <c r="CG165" s="159"/>
      <c r="CH165" s="159"/>
      <c r="CI165" s="159"/>
      <c r="CJ165" s="159"/>
      <c r="CK165" s="159"/>
      <c r="CL165" s="159"/>
      <c r="CM165" s="159"/>
      <c r="CN165" s="159"/>
      <c r="CO165" s="159"/>
      <c r="CP165" s="159"/>
      <c r="CQ165" s="159"/>
      <c r="CR165" s="159"/>
      <c r="CS165" s="159"/>
      <c r="CT165" s="159"/>
      <c r="CU165" s="159"/>
      <c r="CV165" s="159"/>
    </row>
    <row r="166" spans="1:100" ht="34.6" customHeight="1" x14ac:dyDescent="0.25">
      <c r="A166" s="166"/>
      <c r="B166" s="166"/>
      <c r="C166" s="166"/>
      <c r="D166" s="166"/>
      <c r="E166" s="166"/>
      <c r="F166" s="166"/>
      <c r="G166" s="166"/>
      <c r="H166" s="166"/>
      <c r="I166" s="166"/>
      <c r="J166" s="166"/>
      <c r="K166" s="166"/>
      <c r="L166" s="166"/>
      <c r="M166" s="166"/>
      <c r="N166" s="166"/>
      <c r="O166" s="166"/>
      <c r="P166" s="166"/>
      <c r="Q166" s="1129"/>
      <c r="R166" s="180" t="str">
        <f>'2.CropManagement'!O291</f>
        <v>-- ID</v>
      </c>
      <c r="S166" s="180">
        <f>'2.CropManagement'!P291</f>
        <v>139</v>
      </c>
      <c r="T166" s="180" t="str">
        <f>'2.CropManagement'!Q291</f>
        <v>North America</v>
      </c>
      <c r="U166" s="180">
        <f>'2.CropManagement'!R291</f>
        <v>0</v>
      </c>
      <c r="V166" s="180">
        <f>'2.CropManagement'!S291</f>
        <v>1</v>
      </c>
      <c r="W166" s="1130"/>
      <c r="X166" s="149"/>
      <c r="Y166" s="149"/>
      <c r="Z166" s="149"/>
      <c r="AA166" s="149"/>
      <c r="AB166" s="149"/>
      <c r="AC166" s="149"/>
      <c r="AD166" s="149"/>
      <c r="AE166" s="149"/>
      <c r="AF166" s="149"/>
      <c r="AG166" s="149"/>
      <c r="AH166" s="149"/>
      <c r="AI166" s="149"/>
      <c r="AJ166" s="149"/>
      <c r="AK166" s="149"/>
      <c r="AL166" s="149"/>
      <c r="AM166" s="149"/>
      <c r="AN166" s="149"/>
      <c r="AO166" s="149"/>
      <c r="AP166" s="149"/>
      <c r="AQ166" s="149"/>
      <c r="AR166" s="149"/>
      <c r="AS166" s="149"/>
      <c r="AT166" s="149"/>
      <c r="AU166" s="149"/>
      <c r="AV166" s="149"/>
      <c r="AW166" s="149"/>
      <c r="AX166" s="149"/>
      <c r="AY166" s="149"/>
      <c r="AZ166" s="149"/>
      <c r="BA166" s="149"/>
      <c r="BB166" s="149"/>
      <c r="BC166" s="166"/>
      <c r="BD166" s="166"/>
      <c r="BE166" s="166"/>
      <c r="BF166" s="166"/>
      <c r="BG166" s="166"/>
      <c r="BH166" s="166"/>
      <c r="BI166" s="166"/>
      <c r="BJ166" s="166"/>
      <c r="BK166" s="166"/>
      <c r="BL166" s="166"/>
      <c r="BM166" s="166"/>
      <c r="BN166" s="166"/>
      <c r="BO166" s="166"/>
      <c r="BP166" s="166"/>
      <c r="BQ166" s="166"/>
      <c r="BR166" s="166"/>
      <c r="BS166" s="166"/>
      <c r="BT166" s="166"/>
      <c r="BU166" s="166"/>
      <c r="BV166" s="166"/>
      <c r="BW166" s="166"/>
      <c r="BX166" s="159"/>
      <c r="BY166" s="159"/>
      <c r="BZ166" s="159"/>
      <c r="CA166" s="159"/>
      <c r="CB166" s="159"/>
      <c r="CC166" s="159"/>
      <c r="CD166" s="159"/>
      <c r="CE166" s="159"/>
      <c r="CF166" s="159"/>
      <c r="CG166" s="159"/>
      <c r="CH166" s="159"/>
      <c r="CI166" s="159"/>
      <c r="CJ166" s="159"/>
      <c r="CK166" s="159"/>
      <c r="CL166" s="159"/>
      <c r="CM166" s="159"/>
      <c r="CN166" s="159"/>
      <c r="CO166" s="159"/>
      <c r="CP166" s="159"/>
      <c r="CQ166" s="159"/>
      <c r="CR166" s="159"/>
      <c r="CS166" s="159"/>
      <c r="CT166" s="159"/>
      <c r="CU166" s="159"/>
      <c r="CV166" s="159"/>
    </row>
    <row r="167" spans="1:100" ht="34.6" customHeight="1" x14ac:dyDescent="0.25">
      <c r="A167" s="166"/>
      <c r="B167" s="166"/>
      <c r="C167" s="166"/>
      <c r="D167" s="166"/>
      <c r="E167" s="166"/>
      <c r="F167" s="166"/>
      <c r="G167" s="166"/>
      <c r="H167" s="166"/>
      <c r="I167" s="166"/>
      <c r="J167" s="166"/>
      <c r="K167" s="166"/>
      <c r="L167" s="166"/>
      <c r="M167" s="166"/>
      <c r="N167" s="166"/>
      <c r="O167" s="166"/>
      <c r="P167" s="166"/>
      <c r="Q167" s="1129"/>
      <c r="R167" s="180" t="str">
        <f>'2.CropManagement'!O292</f>
        <v>-- IL</v>
      </c>
      <c r="S167" s="180">
        <f>'2.CropManagement'!P292</f>
        <v>140</v>
      </c>
      <c r="T167" s="180" t="str">
        <f>'2.CropManagement'!Q292</f>
        <v>North America</v>
      </c>
      <c r="U167" s="180">
        <f>'2.CropManagement'!R292</f>
        <v>0</v>
      </c>
      <c r="V167" s="180">
        <f>'2.CropManagement'!S292</f>
        <v>1</v>
      </c>
      <c r="W167" s="1130"/>
      <c r="X167" s="149"/>
      <c r="Y167" s="149"/>
      <c r="Z167" s="149"/>
      <c r="AA167" s="149"/>
      <c r="AB167" s="149"/>
      <c r="AC167" s="149"/>
      <c r="AD167" s="149"/>
      <c r="AE167" s="149"/>
      <c r="AF167" s="149"/>
      <c r="AG167" s="149"/>
      <c r="AH167" s="149"/>
      <c r="AI167" s="149"/>
      <c r="AJ167" s="149"/>
      <c r="AK167" s="149"/>
      <c r="AL167" s="149"/>
      <c r="AM167" s="149"/>
      <c r="AN167" s="149"/>
      <c r="AO167" s="149"/>
      <c r="AP167" s="149"/>
      <c r="AQ167" s="149"/>
      <c r="AR167" s="149"/>
      <c r="AS167" s="149"/>
      <c r="AT167" s="149"/>
      <c r="AU167" s="149"/>
      <c r="AV167" s="149"/>
      <c r="AW167" s="149"/>
      <c r="AX167" s="149"/>
      <c r="AY167" s="149"/>
      <c r="AZ167" s="149"/>
      <c r="BA167" s="149"/>
      <c r="BB167" s="149"/>
      <c r="BC167" s="166"/>
      <c r="BD167" s="166"/>
      <c r="BE167" s="166"/>
      <c r="BF167" s="166"/>
      <c r="BG167" s="166"/>
      <c r="BH167" s="166"/>
      <c r="BI167" s="166"/>
      <c r="BJ167" s="166"/>
      <c r="BK167" s="166"/>
      <c r="BL167" s="166"/>
      <c r="BM167" s="166"/>
      <c r="BN167" s="166"/>
      <c r="BO167" s="166"/>
      <c r="BP167" s="166"/>
      <c r="BQ167" s="166"/>
      <c r="BR167" s="166"/>
      <c r="BS167" s="166"/>
      <c r="BT167" s="166"/>
      <c r="BU167" s="166"/>
      <c r="BV167" s="166"/>
      <c r="BW167" s="166"/>
      <c r="BX167" s="159"/>
      <c r="BY167" s="159"/>
      <c r="BZ167" s="159"/>
      <c r="CA167" s="159"/>
      <c r="CB167" s="159"/>
      <c r="CC167" s="159"/>
      <c r="CD167" s="159"/>
      <c r="CE167" s="159"/>
      <c r="CF167" s="159"/>
      <c r="CG167" s="159"/>
      <c r="CH167" s="159"/>
      <c r="CI167" s="159"/>
      <c r="CJ167" s="159"/>
      <c r="CK167" s="159"/>
      <c r="CL167" s="159"/>
      <c r="CM167" s="159"/>
      <c r="CN167" s="159"/>
      <c r="CO167" s="159"/>
      <c r="CP167" s="159"/>
      <c r="CQ167" s="159"/>
      <c r="CR167" s="159"/>
      <c r="CS167" s="159"/>
      <c r="CT167" s="159"/>
      <c r="CU167" s="159"/>
      <c r="CV167" s="159"/>
    </row>
    <row r="168" spans="1:100" ht="34.6" customHeight="1" x14ac:dyDescent="0.25">
      <c r="A168" s="166"/>
      <c r="B168" s="166"/>
      <c r="C168" s="166"/>
      <c r="D168" s="166"/>
      <c r="E168" s="166"/>
      <c r="F168" s="166"/>
      <c r="G168" s="166"/>
      <c r="H168" s="166"/>
      <c r="I168" s="166"/>
      <c r="J168" s="166"/>
      <c r="K168" s="166"/>
      <c r="L168" s="166"/>
      <c r="M168" s="166"/>
      <c r="N168" s="166"/>
      <c r="O168" s="166"/>
      <c r="P168" s="166"/>
      <c r="Q168" s="1129"/>
      <c r="R168" s="180" t="str">
        <f>'2.CropManagement'!O293</f>
        <v>-- IN</v>
      </c>
      <c r="S168" s="180">
        <f>'2.CropManagement'!P293</f>
        <v>141</v>
      </c>
      <c r="T168" s="180" t="str">
        <f>'2.CropManagement'!Q293</f>
        <v>North America</v>
      </c>
      <c r="U168" s="180">
        <f>'2.CropManagement'!R293</f>
        <v>0</v>
      </c>
      <c r="V168" s="180">
        <f>'2.CropManagement'!S293</f>
        <v>1</v>
      </c>
      <c r="W168" s="1130"/>
      <c r="X168" s="149"/>
      <c r="Y168" s="149"/>
      <c r="Z168" s="149"/>
      <c r="AA168" s="149"/>
      <c r="AB168" s="149"/>
      <c r="AC168" s="149"/>
      <c r="AD168" s="149"/>
      <c r="AE168" s="149"/>
      <c r="AF168" s="149"/>
      <c r="AG168" s="149"/>
      <c r="AH168" s="149"/>
      <c r="AI168" s="149"/>
      <c r="AJ168" s="149"/>
      <c r="AK168" s="149"/>
      <c r="AL168" s="149"/>
      <c r="AM168" s="149"/>
      <c r="AN168" s="149"/>
      <c r="AO168" s="149"/>
      <c r="AP168" s="149"/>
      <c r="AQ168" s="149"/>
      <c r="AR168" s="149"/>
      <c r="AS168" s="149"/>
      <c r="AT168" s="149"/>
      <c r="AU168" s="149"/>
      <c r="AV168" s="149"/>
      <c r="AW168" s="149"/>
      <c r="AX168" s="149"/>
      <c r="AY168" s="149"/>
      <c r="AZ168" s="149"/>
      <c r="BA168" s="149"/>
      <c r="BB168" s="149"/>
      <c r="BC168" s="166"/>
      <c r="BD168" s="166"/>
      <c r="BE168" s="166"/>
      <c r="BF168" s="166"/>
      <c r="BG168" s="166"/>
      <c r="BH168" s="166"/>
      <c r="BI168" s="166"/>
      <c r="BJ168" s="166"/>
      <c r="BK168" s="166"/>
      <c r="BL168" s="166"/>
      <c r="BM168" s="166"/>
      <c r="BN168" s="166"/>
      <c r="BO168" s="166"/>
      <c r="BP168" s="166"/>
      <c r="BQ168" s="166"/>
      <c r="BR168" s="166"/>
      <c r="BS168" s="166"/>
      <c r="BT168" s="166"/>
      <c r="BU168" s="166"/>
      <c r="BV168" s="166"/>
      <c r="BW168" s="166"/>
      <c r="BX168" s="159"/>
      <c r="BY168" s="159"/>
      <c r="BZ168" s="159"/>
      <c r="CA168" s="159"/>
      <c r="CB168" s="159"/>
      <c r="CC168" s="159"/>
      <c r="CD168" s="159"/>
      <c r="CE168" s="159"/>
      <c r="CF168" s="159"/>
      <c r="CG168" s="159"/>
      <c r="CH168" s="159"/>
      <c r="CI168" s="159"/>
      <c r="CJ168" s="159"/>
      <c r="CK168" s="159"/>
      <c r="CL168" s="159"/>
      <c r="CM168" s="159"/>
      <c r="CN168" s="159"/>
      <c r="CO168" s="159"/>
      <c r="CP168" s="159"/>
      <c r="CQ168" s="159"/>
      <c r="CR168" s="159"/>
      <c r="CS168" s="159"/>
      <c r="CT168" s="159"/>
      <c r="CU168" s="159"/>
      <c r="CV168" s="159"/>
    </row>
    <row r="169" spans="1:100" ht="34.6" customHeight="1" x14ac:dyDescent="0.25">
      <c r="A169" s="166"/>
      <c r="B169" s="166"/>
      <c r="C169" s="166"/>
      <c r="D169" s="166"/>
      <c r="E169" s="166"/>
      <c r="F169" s="166"/>
      <c r="G169" s="166"/>
      <c r="H169" s="166"/>
      <c r="I169" s="166"/>
      <c r="J169" s="166"/>
      <c r="K169" s="166"/>
      <c r="L169" s="166"/>
      <c r="M169" s="166"/>
      <c r="N169" s="166"/>
      <c r="O169" s="166"/>
      <c r="P169" s="166"/>
      <c r="Q169" s="1129"/>
      <c r="R169" s="180" t="str">
        <f>'2.CropManagement'!O294</f>
        <v>-- IA</v>
      </c>
      <c r="S169" s="180">
        <f>'2.CropManagement'!P294</f>
        <v>142</v>
      </c>
      <c r="T169" s="180" t="str">
        <f>'2.CropManagement'!Q294</f>
        <v>North America</v>
      </c>
      <c r="U169" s="180">
        <f>'2.CropManagement'!R294</f>
        <v>0</v>
      </c>
      <c r="V169" s="180">
        <f>'2.CropManagement'!S294</f>
        <v>1</v>
      </c>
      <c r="W169" s="1130"/>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9"/>
      <c r="AW169" s="149"/>
      <c r="AX169" s="149"/>
      <c r="AY169" s="149"/>
      <c r="AZ169" s="149"/>
      <c r="BA169" s="149"/>
      <c r="BB169" s="149"/>
      <c r="BC169" s="166"/>
      <c r="BD169" s="166"/>
      <c r="BE169" s="166"/>
      <c r="BF169" s="166"/>
      <c r="BG169" s="166"/>
      <c r="BH169" s="166"/>
      <c r="BI169" s="166"/>
      <c r="BJ169" s="166"/>
      <c r="BK169" s="166"/>
      <c r="BL169" s="166"/>
      <c r="BM169" s="166"/>
      <c r="BN169" s="166"/>
      <c r="BO169" s="166"/>
      <c r="BP169" s="166"/>
      <c r="BQ169" s="166"/>
      <c r="BR169" s="166"/>
      <c r="BS169" s="166"/>
      <c r="BT169" s="166"/>
      <c r="BU169" s="166"/>
      <c r="BV169" s="166"/>
      <c r="BW169" s="166"/>
      <c r="BX169" s="159"/>
      <c r="BY169" s="159"/>
      <c r="BZ169" s="159"/>
      <c r="CA169" s="159"/>
      <c r="CB169" s="159"/>
      <c r="CC169" s="159"/>
      <c r="CD169" s="159"/>
      <c r="CE169" s="159"/>
      <c r="CF169" s="159"/>
      <c r="CG169" s="159"/>
      <c r="CH169" s="159"/>
      <c r="CI169" s="159"/>
      <c r="CJ169" s="159"/>
      <c r="CK169" s="159"/>
      <c r="CL169" s="159"/>
      <c r="CM169" s="159"/>
      <c r="CN169" s="159"/>
      <c r="CO169" s="159"/>
      <c r="CP169" s="159"/>
      <c r="CQ169" s="159"/>
      <c r="CR169" s="159"/>
      <c r="CS169" s="159"/>
      <c r="CT169" s="159"/>
      <c r="CU169" s="159"/>
      <c r="CV169" s="159"/>
    </row>
    <row r="170" spans="1:100" ht="34.6" customHeight="1" x14ac:dyDescent="0.25">
      <c r="A170" s="166"/>
      <c r="B170" s="166"/>
      <c r="C170" s="166"/>
      <c r="D170" s="166"/>
      <c r="E170" s="166"/>
      <c r="F170" s="166"/>
      <c r="G170" s="166"/>
      <c r="H170" s="166"/>
      <c r="I170" s="166"/>
      <c r="J170" s="166"/>
      <c r="K170" s="166"/>
      <c r="L170" s="166"/>
      <c r="M170" s="166"/>
      <c r="N170" s="166"/>
      <c r="O170" s="166"/>
      <c r="P170" s="166"/>
      <c r="Q170" s="1129"/>
      <c r="R170" s="180" t="str">
        <f>'2.CropManagement'!O295</f>
        <v>-- KS</v>
      </c>
      <c r="S170" s="180">
        <f>'2.CropManagement'!P295</f>
        <v>143</v>
      </c>
      <c r="T170" s="180" t="str">
        <f>'2.CropManagement'!Q295</f>
        <v>North America</v>
      </c>
      <c r="U170" s="180">
        <f>'2.CropManagement'!R295</f>
        <v>0</v>
      </c>
      <c r="V170" s="180">
        <f>'2.CropManagement'!S295</f>
        <v>1</v>
      </c>
      <c r="W170" s="1130"/>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9"/>
      <c r="AW170" s="149"/>
      <c r="AX170" s="149"/>
      <c r="AY170" s="149"/>
      <c r="AZ170" s="149"/>
      <c r="BA170" s="149"/>
      <c r="BB170" s="149"/>
      <c r="BC170" s="149"/>
      <c r="BD170" s="149"/>
      <c r="BE170" s="149"/>
      <c r="BF170" s="149"/>
      <c r="BG170" s="149"/>
      <c r="BH170" s="166"/>
      <c r="BI170" s="166"/>
      <c r="BJ170" s="166"/>
      <c r="BK170" s="166"/>
      <c r="BL170" s="166"/>
      <c r="BM170" s="166"/>
      <c r="BN170" s="166"/>
      <c r="BO170" s="166"/>
      <c r="BP170" s="166"/>
      <c r="BQ170" s="166"/>
      <c r="BR170" s="166"/>
      <c r="BS170" s="166"/>
      <c r="BT170" s="166"/>
      <c r="BU170" s="166"/>
      <c r="BV170" s="166"/>
      <c r="BW170" s="166"/>
      <c r="BX170" s="159"/>
      <c r="BY170" s="159"/>
      <c r="BZ170" s="159"/>
      <c r="CA170" s="159"/>
      <c r="CB170" s="159"/>
      <c r="CC170" s="159"/>
      <c r="CD170" s="159"/>
      <c r="CE170" s="159"/>
      <c r="CF170" s="159"/>
      <c r="CG170" s="159"/>
      <c r="CH170" s="159"/>
      <c r="CI170" s="159"/>
      <c r="CJ170" s="159"/>
      <c r="CK170" s="159"/>
      <c r="CL170" s="159"/>
      <c r="CM170" s="159"/>
      <c r="CN170" s="159"/>
      <c r="CO170" s="159"/>
      <c r="CP170" s="159"/>
      <c r="CQ170" s="159"/>
      <c r="CR170" s="159"/>
      <c r="CS170" s="159"/>
      <c r="CT170" s="159"/>
      <c r="CU170" s="159"/>
      <c r="CV170" s="159"/>
    </row>
    <row r="171" spans="1:100" ht="34.6" customHeight="1" x14ac:dyDescent="0.25">
      <c r="A171" s="166"/>
      <c r="B171" s="166"/>
      <c r="C171" s="166"/>
      <c r="D171" s="166"/>
      <c r="E171" s="166"/>
      <c r="F171" s="166"/>
      <c r="G171" s="166"/>
      <c r="H171" s="166"/>
      <c r="I171" s="166"/>
      <c r="J171" s="166"/>
      <c r="K171" s="166"/>
      <c r="L171" s="166"/>
      <c r="M171" s="166"/>
      <c r="N171" s="166"/>
      <c r="O171" s="166"/>
      <c r="P171" s="166"/>
      <c r="Q171" s="1129"/>
      <c r="R171" s="180" t="str">
        <f>'2.CropManagement'!O296</f>
        <v>-- KY</v>
      </c>
      <c r="S171" s="180">
        <f>'2.CropManagement'!P296</f>
        <v>144</v>
      </c>
      <c r="T171" s="180" t="str">
        <f>'2.CropManagement'!Q296</f>
        <v>North America</v>
      </c>
      <c r="U171" s="180">
        <f>'2.CropManagement'!R296</f>
        <v>0</v>
      </c>
      <c r="V171" s="180">
        <f>'2.CropManagement'!S296</f>
        <v>1</v>
      </c>
      <c r="W171" s="1130"/>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9"/>
      <c r="AW171" s="149"/>
      <c r="AX171" s="149"/>
      <c r="AY171" s="149"/>
      <c r="AZ171" s="149"/>
      <c r="BA171" s="149"/>
      <c r="BB171" s="149"/>
      <c r="BC171" s="149"/>
      <c r="BD171" s="149"/>
      <c r="BE171" s="149"/>
      <c r="BF171" s="149"/>
      <c r="BG171" s="149"/>
      <c r="BH171" s="166"/>
      <c r="BI171" s="166"/>
      <c r="BJ171" s="166"/>
      <c r="BK171" s="166"/>
      <c r="BL171" s="166"/>
      <c r="BM171" s="166"/>
      <c r="BN171" s="166"/>
      <c r="BO171" s="166"/>
      <c r="BP171" s="166"/>
      <c r="BQ171" s="166"/>
      <c r="BR171" s="166"/>
      <c r="BS171" s="166"/>
      <c r="BT171" s="166"/>
      <c r="BU171" s="166"/>
      <c r="BV171" s="166"/>
      <c r="BW171" s="166"/>
      <c r="BX171" s="159"/>
      <c r="BY171" s="159"/>
      <c r="BZ171" s="159"/>
      <c r="CA171" s="159"/>
      <c r="CB171" s="159"/>
      <c r="CC171" s="159"/>
      <c r="CD171" s="159"/>
      <c r="CE171" s="159"/>
      <c r="CF171" s="159"/>
      <c r="CG171" s="159"/>
      <c r="CH171" s="159"/>
      <c r="CI171" s="159"/>
      <c r="CJ171" s="159"/>
      <c r="CK171" s="159"/>
      <c r="CL171" s="159"/>
      <c r="CM171" s="159"/>
      <c r="CN171" s="159"/>
      <c r="CO171" s="159"/>
      <c r="CP171" s="159"/>
      <c r="CQ171" s="159"/>
      <c r="CR171" s="159"/>
      <c r="CS171" s="159"/>
      <c r="CT171" s="159"/>
      <c r="CU171" s="159"/>
      <c r="CV171" s="159"/>
    </row>
    <row r="172" spans="1:100" ht="34.6" customHeight="1" x14ac:dyDescent="0.25">
      <c r="A172" s="166"/>
      <c r="B172" s="166"/>
      <c r="C172" s="166"/>
      <c r="D172" s="166"/>
      <c r="E172" s="166"/>
      <c r="F172" s="166"/>
      <c r="G172" s="166"/>
      <c r="H172" s="166"/>
      <c r="I172" s="166"/>
      <c r="J172" s="166"/>
      <c r="K172" s="166"/>
      <c r="L172" s="166"/>
      <c r="M172" s="166"/>
      <c r="N172" s="166"/>
      <c r="O172" s="166"/>
      <c r="P172" s="166"/>
      <c r="Q172" s="1129"/>
      <c r="R172" s="180" t="str">
        <f>'2.CropManagement'!O297</f>
        <v>-- LA</v>
      </c>
      <c r="S172" s="180">
        <f>'2.CropManagement'!P297</f>
        <v>145</v>
      </c>
      <c r="T172" s="180" t="str">
        <f>'2.CropManagement'!Q297</f>
        <v>North America</v>
      </c>
      <c r="U172" s="180">
        <f>'2.CropManagement'!R297</f>
        <v>0</v>
      </c>
      <c r="V172" s="180">
        <f>'2.CropManagement'!S297</f>
        <v>1</v>
      </c>
      <c r="W172" s="1130"/>
      <c r="X172" s="149"/>
      <c r="Y172" s="149"/>
      <c r="Z172" s="149"/>
      <c r="AA172" s="149"/>
      <c r="AB172" s="149"/>
      <c r="AC172" s="149"/>
      <c r="AD172" s="149"/>
      <c r="AE172" s="149"/>
      <c r="AF172" s="149"/>
      <c r="AG172" s="149"/>
      <c r="AH172" s="149"/>
      <c r="AI172" s="149"/>
      <c r="AJ172" s="149"/>
      <c r="AK172" s="149"/>
      <c r="AL172" s="149"/>
      <c r="AM172" s="149"/>
      <c r="AN172" s="149"/>
      <c r="AO172" s="149"/>
      <c r="AP172" s="149"/>
      <c r="AQ172" s="149"/>
      <c r="AR172" s="149"/>
      <c r="AS172" s="149"/>
      <c r="AT172" s="149"/>
      <c r="AU172" s="149"/>
      <c r="AV172" s="149"/>
      <c r="AW172" s="149"/>
      <c r="AX172" s="149"/>
      <c r="AY172" s="149"/>
      <c r="AZ172" s="149"/>
      <c r="BA172" s="149"/>
      <c r="BB172" s="149"/>
      <c r="BC172" s="149"/>
      <c r="BD172" s="149"/>
      <c r="BE172" s="149"/>
      <c r="BF172" s="149"/>
      <c r="BG172" s="149"/>
      <c r="BH172" s="166"/>
      <c r="BI172" s="166"/>
      <c r="BJ172" s="166"/>
      <c r="BK172" s="166"/>
      <c r="BL172" s="166"/>
      <c r="BM172" s="166"/>
      <c r="BN172" s="166"/>
      <c r="BO172" s="166"/>
      <c r="BP172" s="166"/>
      <c r="BQ172" s="166"/>
      <c r="BR172" s="166"/>
      <c r="BS172" s="166"/>
      <c r="BT172" s="166"/>
      <c r="BU172" s="166"/>
      <c r="BV172" s="166"/>
      <c r="BW172" s="166"/>
      <c r="BX172" s="159"/>
      <c r="BY172" s="159"/>
      <c r="BZ172" s="159"/>
      <c r="CA172" s="159"/>
      <c r="CB172" s="159"/>
      <c r="CC172" s="159"/>
      <c r="CD172" s="159"/>
      <c r="CE172" s="159"/>
      <c r="CF172" s="159"/>
      <c r="CG172" s="159"/>
      <c r="CH172" s="159"/>
      <c r="CI172" s="159"/>
      <c r="CJ172" s="159"/>
      <c r="CK172" s="159"/>
      <c r="CL172" s="159"/>
      <c r="CM172" s="159"/>
      <c r="CN172" s="159"/>
      <c r="CO172" s="159"/>
      <c r="CP172" s="159"/>
      <c r="CQ172" s="159"/>
      <c r="CR172" s="159"/>
      <c r="CS172" s="159"/>
      <c r="CT172" s="159"/>
      <c r="CU172" s="159"/>
      <c r="CV172" s="159"/>
    </row>
    <row r="173" spans="1:100" ht="34.6" customHeight="1" x14ac:dyDescent="0.25">
      <c r="A173" s="166"/>
      <c r="B173" s="166"/>
      <c r="C173" s="166"/>
      <c r="D173" s="166"/>
      <c r="E173" s="166"/>
      <c r="F173" s="166"/>
      <c r="G173" s="166"/>
      <c r="H173" s="166"/>
      <c r="I173" s="166"/>
      <c r="J173" s="166"/>
      <c r="K173" s="166"/>
      <c r="L173" s="166"/>
      <c r="M173" s="166"/>
      <c r="N173" s="166"/>
      <c r="O173" s="166"/>
      <c r="P173" s="166"/>
      <c r="Q173" s="1129"/>
      <c r="R173" s="180" t="str">
        <f>'2.CropManagement'!O298</f>
        <v>-- ME</v>
      </c>
      <c r="S173" s="180">
        <f>'2.CropManagement'!P298</f>
        <v>146</v>
      </c>
      <c r="T173" s="180" t="str">
        <f>'2.CropManagement'!Q298</f>
        <v>North America</v>
      </c>
      <c r="U173" s="180">
        <f>'2.CropManagement'!R298</f>
        <v>0</v>
      </c>
      <c r="V173" s="180">
        <f>'2.CropManagement'!S298</f>
        <v>1</v>
      </c>
      <c r="W173" s="1130"/>
      <c r="X173" s="149"/>
      <c r="Y173" s="149"/>
      <c r="Z173" s="149"/>
      <c r="AA173" s="149"/>
      <c r="AB173" s="149"/>
      <c r="AC173" s="149"/>
      <c r="AD173" s="149"/>
      <c r="AE173" s="149"/>
      <c r="AF173" s="149"/>
      <c r="AG173" s="149"/>
      <c r="AH173" s="149"/>
      <c r="AI173" s="149"/>
      <c r="AJ173" s="149"/>
      <c r="AK173" s="149"/>
      <c r="AL173" s="149"/>
      <c r="AM173" s="149"/>
      <c r="AN173" s="149"/>
      <c r="AO173" s="149"/>
      <c r="AP173" s="149"/>
      <c r="AQ173" s="149"/>
      <c r="AR173" s="149"/>
      <c r="AS173" s="149"/>
      <c r="AT173" s="149"/>
      <c r="AU173" s="149"/>
      <c r="AV173" s="149"/>
      <c r="AW173" s="149"/>
      <c r="AX173" s="149"/>
      <c r="AY173" s="149"/>
      <c r="AZ173" s="149"/>
      <c r="BA173" s="149"/>
      <c r="BB173" s="149"/>
      <c r="BC173" s="149"/>
      <c r="BD173" s="149"/>
      <c r="BE173" s="149"/>
      <c r="BF173" s="149"/>
      <c r="BG173" s="149"/>
      <c r="BH173" s="166"/>
      <c r="BI173" s="166"/>
      <c r="BJ173" s="166"/>
      <c r="BK173" s="166"/>
      <c r="BL173" s="166"/>
      <c r="BM173" s="166"/>
      <c r="BN173" s="166"/>
      <c r="BO173" s="166"/>
      <c r="BP173" s="166"/>
      <c r="BQ173" s="166"/>
      <c r="BR173" s="166"/>
      <c r="BS173" s="166"/>
      <c r="BT173" s="166"/>
      <c r="BU173" s="166"/>
      <c r="BV173" s="166"/>
      <c r="BW173" s="166"/>
      <c r="BX173" s="159"/>
      <c r="BY173" s="159"/>
      <c r="BZ173" s="159"/>
      <c r="CA173" s="159"/>
      <c r="CB173" s="159"/>
      <c r="CC173" s="159"/>
      <c r="CD173" s="159"/>
      <c r="CE173" s="159"/>
      <c r="CF173" s="159"/>
      <c r="CG173" s="159"/>
      <c r="CH173" s="159"/>
      <c r="CI173" s="159"/>
      <c r="CJ173" s="159"/>
      <c r="CK173" s="159"/>
      <c r="CL173" s="159"/>
      <c r="CM173" s="159"/>
      <c r="CN173" s="159"/>
      <c r="CO173" s="159"/>
      <c r="CP173" s="159"/>
      <c r="CQ173" s="159"/>
      <c r="CR173" s="159"/>
      <c r="CS173" s="159"/>
      <c r="CT173" s="159"/>
      <c r="CU173" s="159"/>
      <c r="CV173" s="159"/>
    </row>
    <row r="174" spans="1:100" ht="34.6" customHeight="1" x14ac:dyDescent="0.25">
      <c r="A174" s="166"/>
      <c r="B174" s="166"/>
      <c r="C174" s="166"/>
      <c r="D174" s="166"/>
      <c r="E174" s="166"/>
      <c r="F174" s="166"/>
      <c r="G174" s="166"/>
      <c r="H174" s="166"/>
      <c r="I174" s="166"/>
      <c r="J174" s="166"/>
      <c r="K174" s="166"/>
      <c r="L174" s="166"/>
      <c r="M174" s="166"/>
      <c r="N174" s="166"/>
      <c r="O174" s="166"/>
      <c r="P174" s="166"/>
      <c r="Q174" s="1129"/>
      <c r="R174" s="180" t="str">
        <f>'2.CropManagement'!O299</f>
        <v>-- MD</v>
      </c>
      <c r="S174" s="180">
        <f>'2.CropManagement'!P299</f>
        <v>147</v>
      </c>
      <c r="T174" s="180" t="str">
        <f>'2.CropManagement'!Q299</f>
        <v>North America</v>
      </c>
      <c r="U174" s="180">
        <f>'2.CropManagement'!R299</f>
        <v>0</v>
      </c>
      <c r="V174" s="180">
        <f>'2.CropManagement'!S299</f>
        <v>1</v>
      </c>
      <c r="W174" s="1130"/>
      <c r="X174" s="149"/>
      <c r="Y174" s="149"/>
      <c r="Z174" s="149"/>
      <c r="AA174" s="149"/>
      <c r="AB174" s="149"/>
      <c r="AC174" s="149"/>
      <c r="AD174" s="149"/>
      <c r="AE174" s="149"/>
      <c r="AF174" s="149"/>
      <c r="AG174" s="149"/>
      <c r="AH174" s="149"/>
      <c r="AI174" s="149"/>
      <c r="AJ174" s="149"/>
      <c r="AK174" s="149"/>
      <c r="AL174" s="149"/>
      <c r="AM174" s="149"/>
      <c r="AN174" s="149"/>
      <c r="AO174" s="149"/>
      <c r="AP174" s="149"/>
      <c r="AQ174" s="149"/>
      <c r="AR174" s="149"/>
      <c r="AS174" s="149"/>
      <c r="AT174" s="149"/>
      <c r="AU174" s="149"/>
      <c r="AV174" s="149"/>
      <c r="AW174" s="149"/>
      <c r="AX174" s="149"/>
      <c r="AY174" s="149"/>
      <c r="AZ174" s="149"/>
      <c r="BA174" s="149"/>
      <c r="BB174" s="149"/>
      <c r="BC174" s="149"/>
      <c r="BD174" s="149"/>
      <c r="BE174" s="149"/>
      <c r="BF174" s="149"/>
      <c r="BG174" s="149"/>
      <c r="BH174" s="166"/>
      <c r="BI174" s="166"/>
      <c r="BJ174" s="166"/>
      <c r="BK174" s="166"/>
      <c r="BL174" s="166"/>
      <c r="BM174" s="166"/>
      <c r="BN174" s="166"/>
      <c r="BO174" s="166"/>
      <c r="BP174" s="166"/>
      <c r="BQ174" s="166"/>
      <c r="BR174" s="166"/>
      <c r="BS174" s="166"/>
      <c r="BT174" s="166"/>
      <c r="BU174" s="166"/>
      <c r="BV174" s="166"/>
      <c r="BW174" s="166"/>
      <c r="BX174" s="159"/>
      <c r="BY174" s="159"/>
      <c r="BZ174" s="159"/>
      <c r="CA174" s="159"/>
      <c r="CB174" s="159"/>
      <c r="CC174" s="159"/>
      <c r="CD174" s="159"/>
      <c r="CE174" s="159"/>
      <c r="CF174" s="159"/>
      <c r="CG174" s="159"/>
      <c r="CH174" s="159"/>
      <c r="CI174" s="159"/>
      <c r="CJ174" s="159"/>
      <c r="CK174" s="159"/>
      <c r="CL174" s="159"/>
      <c r="CM174" s="159"/>
      <c r="CN174" s="159"/>
      <c r="CO174" s="159"/>
      <c r="CP174" s="159"/>
      <c r="CQ174" s="159"/>
      <c r="CR174" s="159"/>
      <c r="CS174" s="159"/>
      <c r="CT174" s="159"/>
      <c r="CU174" s="159"/>
      <c r="CV174" s="159"/>
    </row>
    <row r="175" spans="1:100" ht="34.6" customHeight="1" x14ac:dyDescent="0.25">
      <c r="A175" s="166"/>
      <c r="B175" s="166"/>
      <c r="C175" s="166"/>
      <c r="D175" s="166"/>
      <c r="E175" s="166"/>
      <c r="F175" s="166"/>
      <c r="G175" s="166"/>
      <c r="H175" s="166"/>
      <c r="I175" s="166"/>
      <c r="J175" s="166"/>
      <c r="K175" s="166"/>
      <c r="L175" s="166"/>
      <c r="M175" s="166"/>
      <c r="N175" s="166"/>
      <c r="O175" s="166"/>
      <c r="P175" s="166"/>
      <c r="Q175" s="1129"/>
      <c r="R175" s="180" t="str">
        <f>'2.CropManagement'!O300</f>
        <v>-- MA</v>
      </c>
      <c r="S175" s="180">
        <f>'2.CropManagement'!P300</f>
        <v>148</v>
      </c>
      <c r="T175" s="180" t="str">
        <f>'2.CropManagement'!Q300</f>
        <v>North America</v>
      </c>
      <c r="U175" s="180">
        <f>'2.CropManagement'!R300</f>
        <v>0</v>
      </c>
      <c r="V175" s="180">
        <f>'2.CropManagement'!S300</f>
        <v>1</v>
      </c>
      <c r="W175" s="1130"/>
      <c r="X175" s="149"/>
      <c r="Y175" s="149"/>
      <c r="Z175" s="149"/>
      <c r="AA175" s="149"/>
      <c r="AB175" s="149"/>
      <c r="AC175" s="149"/>
      <c r="AD175" s="149"/>
      <c r="AE175" s="149"/>
      <c r="AF175" s="149"/>
      <c r="AG175" s="149"/>
      <c r="AH175" s="149"/>
      <c r="AI175" s="149"/>
      <c r="AJ175" s="149"/>
      <c r="AK175" s="149"/>
      <c r="AL175" s="149"/>
      <c r="AM175" s="149"/>
      <c r="AN175" s="149"/>
      <c r="AO175" s="149"/>
      <c r="AP175" s="149"/>
      <c r="AQ175" s="149"/>
      <c r="AR175" s="149"/>
      <c r="AS175" s="149"/>
      <c r="AT175" s="149"/>
      <c r="AU175" s="149"/>
      <c r="AV175" s="149"/>
      <c r="AW175" s="149"/>
      <c r="AX175" s="149"/>
      <c r="AY175" s="149"/>
      <c r="AZ175" s="149"/>
      <c r="BA175" s="149"/>
      <c r="BB175" s="149"/>
      <c r="BC175" s="149"/>
      <c r="BD175" s="149"/>
      <c r="BE175" s="149"/>
      <c r="BF175" s="149"/>
      <c r="BG175" s="149"/>
      <c r="BH175" s="166"/>
      <c r="BI175" s="166"/>
      <c r="BJ175" s="166"/>
      <c r="BK175" s="166"/>
      <c r="BL175" s="166"/>
      <c r="BM175" s="166"/>
      <c r="BN175" s="166"/>
      <c r="BO175" s="166"/>
      <c r="BP175" s="166"/>
      <c r="BQ175" s="166"/>
      <c r="BR175" s="166"/>
      <c r="BS175" s="166"/>
      <c r="BT175" s="166"/>
      <c r="BU175" s="166"/>
      <c r="BV175" s="166"/>
      <c r="BW175" s="166"/>
      <c r="BX175" s="159"/>
      <c r="BY175" s="159"/>
      <c r="BZ175" s="159"/>
      <c r="CA175" s="159"/>
      <c r="CB175" s="159"/>
      <c r="CC175" s="159"/>
      <c r="CD175" s="159"/>
      <c r="CE175" s="159"/>
      <c r="CF175" s="159"/>
      <c r="CG175" s="159"/>
      <c r="CH175" s="159"/>
      <c r="CI175" s="159"/>
      <c r="CJ175" s="159"/>
      <c r="CK175" s="159"/>
      <c r="CL175" s="159"/>
      <c r="CM175" s="159"/>
      <c r="CN175" s="159"/>
      <c r="CO175" s="159"/>
      <c r="CP175" s="159"/>
      <c r="CQ175" s="159"/>
      <c r="CR175" s="159"/>
      <c r="CS175" s="159"/>
      <c r="CT175" s="159"/>
      <c r="CU175" s="159"/>
      <c r="CV175" s="159"/>
    </row>
    <row r="176" spans="1:100" ht="34.6" customHeight="1" x14ac:dyDescent="0.25">
      <c r="A176" s="166"/>
      <c r="B176" s="166"/>
      <c r="C176" s="166"/>
      <c r="D176" s="166"/>
      <c r="E176" s="166"/>
      <c r="F176" s="166"/>
      <c r="G176" s="166"/>
      <c r="H176" s="166"/>
      <c r="I176" s="166"/>
      <c r="J176" s="166"/>
      <c r="K176" s="166"/>
      <c r="L176" s="166"/>
      <c r="M176" s="166"/>
      <c r="N176" s="166"/>
      <c r="O176" s="166"/>
      <c r="P176" s="166"/>
      <c r="Q176" s="1129"/>
      <c r="R176" s="180" t="str">
        <f>'2.CropManagement'!O301</f>
        <v>-- MI</v>
      </c>
      <c r="S176" s="180">
        <f>'2.CropManagement'!P301</f>
        <v>149</v>
      </c>
      <c r="T176" s="180" t="str">
        <f>'2.CropManagement'!Q301</f>
        <v>North America</v>
      </c>
      <c r="U176" s="180">
        <f>'2.CropManagement'!R301</f>
        <v>0</v>
      </c>
      <c r="V176" s="180">
        <f>'2.CropManagement'!S301</f>
        <v>1</v>
      </c>
      <c r="W176" s="1130"/>
      <c r="X176" s="149"/>
      <c r="Y176" s="149"/>
      <c r="Z176" s="149"/>
      <c r="AA176" s="149"/>
      <c r="AB176" s="149"/>
      <c r="AC176" s="149"/>
      <c r="AD176" s="149"/>
      <c r="AE176" s="149"/>
      <c r="AF176" s="149"/>
      <c r="AG176" s="149"/>
      <c r="AH176" s="149"/>
      <c r="AI176" s="149"/>
      <c r="AJ176" s="149"/>
      <c r="AK176" s="149"/>
      <c r="AL176" s="149"/>
      <c r="AM176" s="149"/>
      <c r="AN176" s="149"/>
      <c r="AO176" s="149"/>
      <c r="AP176" s="149"/>
      <c r="AQ176" s="149"/>
      <c r="AR176" s="149"/>
      <c r="AS176" s="149"/>
      <c r="AT176" s="149"/>
      <c r="AU176" s="149"/>
      <c r="AV176" s="149"/>
      <c r="AW176" s="149"/>
      <c r="AX176" s="149"/>
      <c r="AY176" s="149"/>
      <c r="AZ176" s="149"/>
      <c r="BA176" s="149"/>
      <c r="BB176" s="149"/>
      <c r="BC176" s="149"/>
      <c r="BD176" s="149"/>
      <c r="BE176" s="149"/>
      <c r="BF176" s="149"/>
      <c r="BG176" s="149"/>
      <c r="BH176" s="166"/>
      <c r="BI176" s="166"/>
      <c r="BJ176" s="166"/>
      <c r="BK176" s="166"/>
      <c r="BL176" s="166"/>
      <c r="BM176" s="166"/>
      <c r="BN176" s="166"/>
      <c r="BO176" s="166"/>
      <c r="BP176" s="166"/>
      <c r="BQ176" s="166"/>
      <c r="BR176" s="166"/>
      <c r="BS176" s="166"/>
      <c r="BT176" s="166"/>
      <c r="BU176" s="166"/>
      <c r="BV176" s="166"/>
      <c r="BW176" s="166"/>
      <c r="BX176" s="159"/>
      <c r="BY176" s="159"/>
      <c r="BZ176" s="159"/>
      <c r="CA176" s="159"/>
      <c r="CB176" s="159"/>
      <c r="CC176" s="159"/>
      <c r="CD176" s="159"/>
      <c r="CE176" s="159"/>
      <c r="CF176" s="159"/>
      <c r="CG176" s="159"/>
      <c r="CH176" s="159"/>
      <c r="CI176" s="159"/>
      <c r="CJ176" s="159"/>
      <c r="CK176" s="159"/>
      <c r="CL176" s="159"/>
      <c r="CM176" s="159"/>
      <c r="CN176" s="159"/>
      <c r="CO176" s="159"/>
      <c r="CP176" s="159"/>
      <c r="CQ176" s="159"/>
      <c r="CR176" s="159"/>
      <c r="CS176" s="159"/>
      <c r="CT176" s="159"/>
      <c r="CU176" s="159"/>
      <c r="CV176" s="159"/>
    </row>
    <row r="177" spans="1:100" ht="34.6" customHeight="1" x14ac:dyDescent="0.25">
      <c r="A177" s="166"/>
      <c r="B177" s="166"/>
      <c r="C177" s="166"/>
      <c r="D177" s="166"/>
      <c r="E177" s="166"/>
      <c r="F177" s="166"/>
      <c r="G177" s="166"/>
      <c r="H177" s="166"/>
      <c r="I177" s="166"/>
      <c r="J177" s="166"/>
      <c r="K177" s="166"/>
      <c r="L177" s="166"/>
      <c r="M177" s="166"/>
      <c r="N177" s="166"/>
      <c r="O177" s="166"/>
      <c r="P177" s="166"/>
      <c r="Q177" s="1129"/>
      <c r="R177" s="180" t="str">
        <f>'2.CropManagement'!O302</f>
        <v>-- MN</v>
      </c>
      <c r="S177" s="180">
        <f>'2.CropManagement'!P302</f>
        <v>150</v>
      </c>
      <c r="T177" s="180" t="str">
        <f>'2.CropManagement'!Q302</f>
        <v>North America</v>
      </c>
      <c r="U177" s="180">
        <f>'2.CropManagement'!R302</f>
        <v>0</v>
      </c>
      <c r="V177" s="180">
        <f>'2.CropManagement'!S302</f>
        <v>1</v>
      </c>
      <c r="W177" s="1130"/>
      <c r="X177" s="149"/>
      <c r="Y177" s="149"/>
      <c r="Z177" s="149"/>
      <c r="AA177" s="149"/>
      <c r="AB177" s="149"/>
      <c r="AC177" s="149"/>
      <c r="AD177" s="149"/>
      <c r="AE177" s="149"/>
      <c r="AF177" s="149"/>
      <c r="AG177" s="149"/>
      <c r="AH177" s="149"/>
      <c r="AI177" s="149"/>
      <c r="AJ177" s="149"/>
      <c r="AK177" s="149"/>
      <c r="AL177" s="149"/>
      <c r="AM177" s="149"/>
      <c r="AN177" s="149"/>
      <c r="AO177" s="149"/>
      <c r="AP177" s="149"/>
      <c r="AQ177" s="149"/>
      <c r="AR177" s="149"/>
      <c r="AS177" s="149"/>
      <c r="AT177" s="149"/>
      <c r="AU177" s="149"/>
      <c r="AV177" s="149"/>
      <c r="AW177" s="149"/>
      <c r="AX177" s="149"/>
      <c r="AY177" s="149"/>
      <c r="AZ177" s="149"/>
      <c r="BA177" s="149"/>
      <c r="BB177" s="149"/>
      <c r="BC177" s="149"/>
      <c r="BD177" s="149"/>
      <c r="BE177" s="149"/>
      <c r="BF177" s="149"/>
      <c r="BG177" s="149"/>
      <c r="BH177" s="166"/>
      <c r="BI177" s="166"/>
      <c r="BJ177" s="166"/>
      <c r="BK177" s="166"/>
      <c r="BL177" s="166"/>
      <c r="BM177" s="166"/>
      <c r="BN177" s="166"/>
      <c r="BO177" s="166"/>
      <c r="BP177" s="166"/>
      <c r="BQ177" s="166"/>
      <c r="BR177" s="166"/>
      <c r="BS177" s="166"/>
      <c r="BT177" s="166"/>
      <c r="BU177" s="166"/>
      <c r="BV177" s="166"/>
      <c r="BW177" s="166"/>
      <c r="BX177" s="159"/>
      <c r="BY177" s="159"/>
      <c r="BZ177" s="159"/>
      <c r="CA177" s="159"/>
      <c r="CB177" s="159"/>
      <c r="CC177" s="159"/>
      <c r="CD177" s="159"/>
      <c r="CE177" s="159"/>
      <c r="CF177" s="159"/>
      <c r="CG177" s="159"/>
      <c r="CH177" s="159"/>
      <c r="CI177" s="159"/>
      <c r="CJ177" s="159"/>
      <c r="CK177" s="159"/>
      <c r="CL177" s="159"/>
      <c r="CM177" s="159"/>
      <c r="CN177" s="159"/>
      <c r="CO177" s="159"/>
      <c r="CP177" s="159"/>
      <c r="CQ177" s="159"/>
      <c r="CR177" s="159"/>
      <c r="CS177" s="159"/>
      <c r="CT177" s="159"/>
      <c r="CU177" s="159"/>
      <c r="CV177" s="159"/>
    </row>
    <row r="178" spans="1:100" ht="34.6" customHeight="1" x14ac:dyDescent="0.25">
      <c r="A178" s="166"/>
      <c r="B178" s="166"/>
      <c r="C178" s="166"/>
      <c r="D178" s="166"/>
      <c r="E178" s="166"/>
      <c r="F178" s="166"/>
      <c r="G178" s="166"/>
      <c r="H178" s="166"/>
      <c r="I178" s="166"/>
      <c r="J178" s="166"/>
      <c r="K178" s="166"/>
      <c r="L178" s="166"/>
      <c r="M178" s="166"/>
      <c r="N178" s="166"/>
      <c r="O178" s="166"/>
      <c r="P178" s="166"/>
      <c r="Q178" s="1129"/>
      <c r="R178" s="180" t="str">
        <f>'2.CropManagement'!O303</f>
        <v>-- MS</v>
      </c>
      <c r="S178" s="180">
        <f>'2.CropManagement'!P303</f>
        <v>151</v>
      </c>
      <c r="T178" s="180" t="str">
        <f>'2.CropManagement'!Q303</f>
        <v>North America</v>
      </c>
      <c r="U178" s="180">
        <f>'2.CropManagement'!R303</f>
        <v>0</v>
      </c>
      <c r="V178" s="180">
        <f>'2.CropManagement'!S303</f>
        <v>1</v>
      </c>
      <c r="W178" s="1130"/>
      <c r="X178" s="149"/>
      <c r="Y178" s="149"/>
      <c r="Z178" s="149"/>
      <c r="AA178" s="149"/>
      <c r="AB178" s="149"/>
      <c r="AC178" s="149"/>
      <c r="AD178" s="149"/>
      <c r="AE178" s="149"/>
      <c r="AF178" s="149"/>
      <c r="AG178" s="149"/>
      <c r="AH178" s="149"/>
      <c r="AI178" s="149"/>
      <c r="AJ178" s="149"/>
      <c r="AK178" s="149"/>
      <c r="AL178" s="149"/>
      <c r="AM178" s="149"/>
      <c r="AN178" s="149"/>
      <c r="AO178" s="149"/>
      <c r="AP178" s="149"/>
      <c r="AQ178" s="149"/>
      <c r="AR178" s="149"/>
      <c r="AS178" s="149"/>
      <c r="AT178" s="149"/>
      <c r="AU178" s="149"/>
      <c r="AV178" s="149"/>
      <c r="AW178" s="149"/>
      <c r="AX178" s="149"/>
      <c r="AY178" s="149"/>
      <c r="AZ178" s="149"/>
      <c r="BA178" s="149"/>
      <c r="BB178" s="149"/>
      <c r="BC178" s="149"/>
      <c r="BD178" s="149"/>
      <c r="BE178" s="149"/>
      <c r="BF178" s="149"/>
      <c r="BG178" s="149"/>
      <c r="BH178" s="166"/>
      <c r="BI178" s="166"/>
      <c r="BJ178" s="166"/>
      <c r="BK178" s="166"/>
      <c r="BL178" s="166"/>
      <c r="BM178" s="166"/>
      <c r="BN178" s="166"/>
      <c r="BO178" s="166"/>
      <c r="BP178" s="166"/>
      <c r="BQ178" s="166"/>
      <c r="BR178" s="166"/>
      <c r="BS178" s="166"/>
      <c r="BT178" s="166"/>
      <c r="BU178" s="166"/>
      <c r="BV178" s="166"/>
      <c r="BW178" s="166"/>
      <c r="BX178" s="159"/>
      <c r="BY178" s="159"/>
      <c r="BZ178" s="159"/>
      <c r="CA178" s="159"/>
      <c r="CB178" s="159"/>
      <c r="CC178" s="159"/>
      <c r="CD178" s="159"/>
      <c r="CE178" s="159"/>
      <c r="CF178" s="159"/>
      <c r="CG178" s="159"/>
      <c r="CH178" s="159"/>
      <c r="CI178" s="159"/>
      <c r="CJ178" s="159"/>
      <c r="CK178" s="159"/>
      <c r="CL178" s="159"/>
      <c r="CM178" s="159"/>
      <c r="CN178" s="159"/>
      <c r="CO178" s="159"/>
      <c r="CP178" s="159"/>
      <c r="CQ178" s="159"/>
      <c r="CR178" s="159"/>
      <c r="CS178" s="159"/>
      <c r="CT178" s="159"/>
      <c r="CU178" s="159"/>
      <c r="CV178" s="159"/>
    </row>
    <row r="179" spans="1:100" ht="34.6" customHeight="1" x14ac:dyDescent="0.25">
      <c r="A179" s="166"/>
      <c r="B179" s="166"/>
      <c r="C179" s="166"/>
      <c r="D179" s="166"/>
      <c r="E179" s="166"/>
      <c r="F179" s="166"/>
      <c r="G179" s="166"/>
      <c r="H179" s="166"/>
      <c r="I179" s="166"/>
      <c r="J179" s="166"/>
      <c r="K179" s="166"/>
      <c r="L179" s="166"/>
      <c r="M179" s="166"/>
      <c r="N179" s="166"/>
      <c r="O179" s="166"/>
      <c r="P179" s="166"/>
      <c r="Q179" s="1129"/>
      <c r="R179" s="180" t="str">
        <f>'2.CropManagement'!O304</f>
        <v>-- MO</v>
      </c>
      <c r="S179" s="180">
        <f>'2.CropManagement'!P304</f>
        <v>152</v>
      </c>
      <c r="T179" s="180" t="str">
        <f>'2.CropManagement'!Q304</f>
        <v>North America</v>
      </c>
      <c r="U179" s="180">
        <f>'2.CropManagement'!R304</f>
        <v>0</v>
      </c>
      <c r="V179" s="180">
        <f>'2.CropManagement'!S304</f>
        <v>1</v>
      </c>
      <c r="W179" s="1130"/>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66"/>
      <c r="BI179" s="166"/>
      <c r="BJ179" s="166"/>
      <c r="BK179" s="166"/>
      <c r="BL179" s="166"/>
      <c r="BM179" s="166"/>
      <c r="BN179" s="166"/>
      <c r="BO179" s="166"/>
      <c r="BP179" s="166"/>
      <c r="BQ179" s="166"/>
      <c r="BR179" s="166"/>
      <c r="BS179" s="166"/>
      <c r="BT179" s="166"/>
      <c r="BU179" s="166"/>
      <c r="BV179" s="166"/>
      <c r="BW179" s="166"/>
      <c r="BX179" s="159"/>
      <c r="BY179" s="159"/>
      <c r="BZ179" s="159"/>
      <c r="CA179" s="159"/>
      <c r="CB179" s="159"/>
      <c r="CC179" s="159"/>
      <c r="CD179" s="159"/>
      <c r="CE179" s="159"/>
      <c r="CF179" s="159"/>
      <c r="CG179" s="159"/>
      <c r="CH179" s="159"/>
      <c r="CI179" s="159"/>
      <c r="CJ179" s="159"/>
      <c r="CK179" s="159"/>
      <c r="CL179" s="159"/>
      <c r="CM179" s="159"/>
      <c r="CN179" s="159"/>
      <c r="CO179" s="159"/>
      <c r="CP179" s="159"/>
      <c r="CQ179" s="159"/>
      <c r="CR179" s="159"/>
      <c r="CS179" s="159"/>
      <c r="CT179" s="159"/>
      <c r="CU179" s="159"/>
      <c r="CV179" s="159"/>
    </row>
    <row r="180" spans="1:100" ht="34.6" customHeight="1" x14ac:dyDescent="0.25">
      <c r="A180" s="166"/>
      <c r="B180" s="166"/>
      <c r="C180" s="166"/>
      <c r="D180" s="166"/>
      <c r="E180" s="166"/>
      <c r="F180" s="166"/>
      <c r="G180" s="166"/>
      <c r="H180" s="166"/>
      <c r="I180" s="166"/>
      <c r="J180" s="166"/>
      <c r="K180" s="166"/>
      <c r="L180" s="166"/>
      <c r="M180" s="166"/>
      <c r="N180" s="166"/>
      <c r="O180" s="166"/>
      <c r="P180" s="166"/>
      <c r="Q180" s="1129"/>
      <c r="R180" s="180" t="str">
        <f>'2.CropManagement'!O305</f>
        <v>-- MT</v>
      </c>
      <c r="S180" s="180">
        <f>'2.CropManagement'!P305</f>
        <v>153</v>
      </c>
      <c r="T180" s="180" t="str">
        <f>'2.CropManagement'!Q305</f>
        <v>North America</v>
      </c>
      <c r="U180" s="180">
        <f>'2.CropManagement'!R305</f>
        <v>0</v>
      </c>
      <c r="V180" s="180">
        <f>'2.CropManagement'!S305</f>
        <v>1</v>
      </c>
      <c r="W180" s="1130"/>
      <c r="X180" s="149"/>
      <c r="Y180" s="149"/>
      <c r="Z180" s="149"/>
      <c r="AA180" s="149"/>
      <c r="AB180" s="149"/>
      <c r="AC180" s="149"/>
      <c r="AD180" s="149"/>
      <c r="AE180" s="149"/>
      <c r="AF180" s="149"/>
      <c r="AG180" s="149"/>
      <c r="AH180" s="149"/>
      <c r="AI180" s="149"/>
      <c r="AJ180" s="149"/>
      <c r="AK180" s="149"/>
      <c r="AL180" s="149"/>
      <c r="AM180" s="149"/>
      <c r="AN180" s="149"/>
      <c r="AO180" s="149"/>
      <c r="AP180" s="149"/>
      <c r="AQ180" s="149"/>
      <c r="AR180" s="149"/>
      <c r="AS180" s="149"/>
      <c r="AT180" s="149"/>
      <c r="AU180" s="149"/>
      <c r="AV180" s="149"/>
      <c r="AW180" s="149"/>
      <c r="AX180" s="149"/>
      <c r="AY180" s="149"/>
      <c r="AZ180" s="149"/>
      <c r="BA180" s="149"/>
      <c r="BB180" s="149"/>
      <c r="BC180" s="149"/>
      <c r="BD180" s="149"/>
      <c r="BE180" s="149"/>
      <c r="BF180" s="149"/>
      <c r="BG180" s="149"/>
      <c r="BH180" s="166"/>
      <c r="BI180" s="166"/>
      <c r="BJ180" s="166"/>
      <c r="BK180" s="166"/>
      <c r="BL180" s="166"/>
      <c r="BM180" s="166"/>
      <c r="BN180" s="166"/>
      <c r="BO180" s="166"/>
      <c r="BP180" s="166"/>
      <c r="BQ180" s="166"/>
      <c r="BR180" s="166"/>
      <c r="BS180" s="166"/>
      <c r="BT180" s="166"/>
      <c r="BU180" s="166"/>
      <c r="BV180" s="166"/>
      <c r="BW180" s="166"/>
      <c r="BX180" s="159"/>
      <c r="BY180" s="159"/>
      <c r="BZ180" s="159"/>
      <c r="CA180" s="159"/>
      <c r="CB180" s="159"/>
      <c r="CC180" s="159"/>
      <c r="CD180" s="159"/>
      <c r="CE180" s="159"/>
      <c r="CF180" s="159"/>
      <c r="CG180" s="159"/>
      <c r="CH180" s="159"/>
      <c r="CI180" s="159"/>
      <c r="CJ180" s="159"/>
      <c r="CK180" s="159"/>
      <c r="CL180" s="159"/>
      <c r="CM180" s="159"/>
      <c r="CN180" s="159"/>
      <c r="CO180" s="159"/>
      <c r="CP180" s="159"/>
      <c r="CQ180" s="159"/>
      <c r="CR180" s="159"/>
      <c r="CS180" s="159"/>
      <c r="CT180" s="159"/>
      <c r="CU180" s="159"/>
      <c r="CV180" s="159"/>
    </row>
    <row r="181" spans="1:100" ht="34.6" customHeight="1" x14ac:dyDescent="0.25">
      <c r="A181" s="166"/>
      <c r="B181" s="166"/>
      <c r="C181" s="166"/>
      <c r="D181" s="166"/>
      <c r="E181" s="166"/>
      <c r="F181" s="166"/>
      <c r="G181" s="166"/>
      <c r="H181" s="166"/>
      <c r="I181" s="166"/>
      <c r="J181" s="166"/>
      <c r="K181" s="166"/>
      <c r="L181" s="166"/>
      <c r="M181" s="166"/>
      <c r="N181" s="166"/>
      <c r="O181" s="166"/>
      <c r="P181" s="166"/>
      <c r="Q181" s="1129"/>
      <c r="R181" s="180" t="str">
        <f>'2.CropManagement'!O306</f>
        <v>-- NE</v>
      </c>
      <c r="S181" s="180">
        <f>'2.CropManagement'!P306</f>
        <v>154</v>
      </c>
      <c r="T181" s="180" t="str">
        <f>'2.CropManagement'!Q306</f>
        <v>North America</v>
      </c>
      <c r="U181" s="180">
        <f>'2.CropManagement'!R306</f>
        <v>0</v>
      </c>
      <c r="V181" s="180">
        <f>'2.CropManagement'!S306</f>
        <v>1</v>
      </c>
      <c r="W181" s="1130"/>
      <c r="X181" s="149"/>
      <c r="Y181" s="149"/>
      <c r="Z181" s="149"/>
      <c r="AA181" s="149"/>
      <c r="AB181" s="149"/>
      <c r="AC181" s="149"/>
      <c r="AD181" s="149"/>
      <c r="AE181" s="149"/>
      <c r="AF181" s="149"/>
      <c r="AG181" s="149"/>
      <c r="AH181" s="149"/>
      <c r="AI181" s="149"/>
      <c r="AJ181" s="149"/>
      <c r="AK181" s="149"/>
      <c r="AL181" s="149"/>
      <c r="AM181" s="149"/>
      <c r="AN181" s="149"/>
      <c r="AO181" s="149"/>
      <c r="AP181" s="149"/>
      <c r="AQ181" s="149"/>
      <c r="AR181" s="149"/>
      <c r="AS181" s="149"/>
      <c r="AT181" s="149"/>
      <c r="AU181" s="149"/>
      <c r="AV181" s="149"/>
      <c r="AW181" s="149"/>
      <c r="AX181" s="149"/>
      <c r="AY181" s="149"/>
      <c r="AZ181" s="149"/>
      <c r="BA181" s="149"/>
      <c r="BB181" s="149"/>
      <c r="BC181" s="149"/>
      <c r="BD181" s="149"/>
      <c r="BE181" s="149"/>
      <c r="BF181" s="149"/>
      <c r="BG181" s="149"/>
      <c r="BH181" s="166"/>
      <c r="BI181" s="166"/>
      <c r="BJ181" s="166"/>
      <c r="BK181" s="166"/>
      <c r="BL181" s="166"/>
      <c r="BM181" s="166"/>
      <c r="BN181" s="166"/>
      <c r="BO181" s="166"/>
      <c r="BP181" s="166"/>
      <c r="BQ181" s="166"/>
      <c r="BR181" s="166"/>
      <c r="BS181" s="166"/>
      <c r="BT181" s="166"/>
      <c r="BU181" s="166"/>
      <c r="BV181" s="166"/>
      <c r="BW181" s="166"/>
      <c r="BX181" s="159"/>
      <c r="BY181" s="159"/>
      <c r="BZ181" s="159"/>
      <c r="CA181" s="159"/>
      <c r="CB181" s="159"/>
      <c r="CC181" s="159"/>
      <c r="CD181" s="159"/>
      <c r="CE181" s="159"/>
      <c r="CF181" s="159"/>
      <c r="CG181" s="159"/>
      <c r="CH181" s="159"/>
      <c r="CI181" s="159"/>
      <c r="CJ181" s="159"/>
      <c r="CK181" s="159"/>
      <c r="CL181" s="159"/>
      <c r="CM181" s="159"/>
      <c r="CN181" s="159"/>
      <c r="CO181" s="159"/>
      <c r="CP181" s="159"/>
      <c r="CQ181" s="159"/>
      <c r="CR181" s="159"/>
      <c r="CS181" s="159"/>
      <c r="CT181" s="159"/>
      <c r="CU181" s="159"/>
      <c r="CV181" s="159"/>
    </row>
    <row r="182" spans="1:100" ht="34.6" customHeight="1" x14ac:dyDescent="0.25">
      <c r="A182" s="166"/>
      <c r="B182" s="166"/>
      <c r="C182" s="166"/>
      <c r="D182" s="166"/>
      <c r="E182" s="166"/>
      <c r="F182" s="166"/>
      <c r="G182" s="166"/>
      <c r="H182" s="166"/>
      <c r="I182" s="166"/>
      <c r="J182" s="166"/>
      <c r="K182" s="166"/>
      <c r="L182" s="166"/>
      <c r="M182" s="166"/>
      <c r="N182" s="166"/>
      <c r="O182" s="166"/>
      <c r="P182" s="166"/>
      <c r="Q182" s="1129"/>
      <c r="R182" s="180" t="str">
        <f>'2.CropManagement'!O307</f>
        <v>-- NV</v>
      </c>
      <c r="S182" s="180">
        <f>'2.CropManagement'!P307</f>
        <v>155</v>
      </c>
      <c r="T182" s="180" t="str">
        <f>'2.CropManagement'!Q307</f>
        <v>North America</v>
      </c>
      <c r="U182" s="180">
        <f>'2.CropManagement'!R307</f>
        <v>0</v>
      </c>
      <c r="V182" s="180">
        <f>'2.CropManagement'!S307</f>
        <v>1</v>
      </c>
      <c r="W182" s="1130"/>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9"/>
      <c r="AY182" s="149"/>
      <c r="AZ182" s="149"/>
      <c r="BA182" s="149"/>
      <c r="BB182" s="149"/>
      <c r="BC182" s="149"/>
      <c r="BD182" s="149"/>
      <c r="BE182" s="149"/>
      <c r="BF182" s="149"/>
      <c r="BG182" s="149"/>
      <c r="BH182" s="166"/>
      <c r="BI182" s="166"/>
      <c r="BJ182" s="166"/>
      <c r="BK182" s="166"/>
      <c r="BL182" s="166"/>
      <c r="BM182" s="166"/>
      <c r="BN182" s="166"/>
      <c r="BO182" s="166"/>
      <c r="BP182" s="166"/>
      <c r="BQ182" s="166"/>
      <c r="BR182" s="166"/>
      <c r="BS182" s="166"/>
      <c r="BT182" s="166"/>
      <c r="BU182" s="166"/>
      <c r="BV182" s="166"/>
      <c r="BW182" s="166"/>
      <c r="BX182" s="159"/>
      <c r="BY182" s="159"/>
      <c r="BZ182" s="159"/>
      <c r="CA182" s="159"/>
      <c r="CB182" s="159"/>
      <c r="CC182" s="159"/>
      <c r="CD182" s="159"/>
      <c r="CE182" s="159"/>
      <c r="CF182" s="159"/>
      <c r="CG182" s="159"/>
      <c r="CH182" s="159"/>
      <c r="CI182" s="159"/>
      <c r="CJ182" s="159"/>
      <c r="CK182" s="159"/>
      <c r="CL182" s="159"/>
      <c r="CM182" s="159"/>
      <c r="CN182" s="159"/>
      <c r="CO182" s="159"/>
      <c r="CP182" s="159"/>
      <c r="CQ182" s="159"/>
      <c r="CR182" s="159"/>
      <c r="CS182" s="159"/>
      <c r="CT182" s="159"/>
      <c r="CU182" s="159"/>
      <c r="CV182" s="159"/>
    </row>
    <row r="183" spans="1:100" ht="34.6" customHeight="1" x14ac:dyDescent="0.25">
      <c r="A183" s="166"/>
      <c r="B183" s="166"/>
      <c r="C183" s="166"/>
      <c r="D183" s="166"/>
      <c r="E183" s="166"/>
      <c r="F183" s="166"/>
      <c r="G183" s="166"/>
      <c r="H183" s="166"/>
      <c r="I183" s="166"/>
      <c r="J183" s="166"/>
      <c r="K183" s="166"/>
      <c r="L183" s="166"/>
      <c r="M183" s="166"/>
      <c r="N183" s="166"/>
      <c r="O183" s="166"/>
      <c r="P183" s="166"/>
      <c r="Q183" s="1129"/>
      <c r="R183" s="180" t="str">
        <f>'2.CropManagement'!O308</f>
        <v>-- NH</v>
      </c>
      <c r="S183" s="180">
        <f>'2.CropManagement'!P308</f>
        <v>156</v>
      </c>
      <c r="T183" s="180" t="str">
        <f>'2.CropManagement'!Q308</f>
        <v>North America</v>
      </c>
      <c r="U183" s="180">
        <f>'2.CropManagement'!R308</f>
        <v>0</v>
      </c>
      <c r="V183" s="180">
        <f>'2.CropManagement'!S308</f>
        <v>1</v>
      </c>
      <c r="W183" s="1130"/>
      <c r="X183" s="149"/>
      <c r="Y183" s="149"/>
      <c r="Z183" s="149"/>
      <c r="AA183" s="149"/>
      <c r="AB183" s="149"/>
      <c r="AC183" s="149"/>
      <c r="AD183" s="149"/>
      <c r="AE183" s="149"/>
      <c r="AF183" s="149"/>
      <c r="AG183" s="149"/>
      <c r="AH183" s="149"/>
      <c r="AI183" s="149"/>
      <c r="AJ183" s="149"/>
      <c r="AK183" s="149"/>
      <c r="AL183" s="149"/>
      <c r="AM183" s="149"/>
      <c r="AN183" s="149"/>
      <c r="AO183" s="149"/>
      <c r="AP183" s="149"/>
      <c r="AQ183" s="149"/>
      <c r="AR183" s="149"/>
      <c r="AS183" s="149"/>
      <c r="AT183" s="149"/>
      <c r="AU183" s="149"/>
      <c r="AV183" s="149"/>
      <c r="AW183" s="149"/>
      <c r="AX183" s="149"/>
      <c r="AY183" s="149"/>
      <c r="AZ183" s="149"/>
      <c r="BA183" s="149"/>
      <c r="BB183" s="149"/>
      <c r="BC183" s="149"/>
      <c r="BD183" s="149"/>
      <c r="BE183" s="149"/>
      <c r="BF183" s="149"/>
      <c r="BG183" s="149"/>
      <c r="BH183" s="166"/>
      <c r="BI183" s="166"/>
      <c r="BJ183" s="166"/>
      <c r="BK183" s="166"/>
      <c r="BL183" s="166"/>
      <c r="BM183" s="166"/>
      <c r="BN183" s="166"/>
      <c r="BO183" s="166"/>
      <c r="BP183" s="166"/>
      <c r="BQ183" s="166"/>
      <c r="BR183" s="166"/>
      <c r="BS183" s="166"/>
      <c r="BT183" s="166"/>
      <c r="BU183" s="166"/>
      <c r="BV183" s="166"/>
      <c r="BW183" s="166"/>
      <c r="BX183" s="159"/>
      <c r="BY183" s="159"/>
      <c r="BZ183" s="159"/>
      <c r="CA183" s="159"/>
      <c r="CB183" s="159"/>
      <c r="CC183" s="159"/>
      <c r="CD183" s="159"/>
      <c r="CE183" s="159"/>
      <c r="CF183" s="159"/>
      <c r="CG183" s="159"/>
      <c r="CH183" s="159"/>
      <c r="CI183" s="159"/>
      <c r="CJ183" s="159"/>
      <c r="CK183" s="159"/>
      <c r="CL183" s="159"/>
      <c r="CM183" s="159"/>
      <c r="CN183" s="159"/>
      <c r="CO183" s="159"/>
      <c r="CP183" s="159"/>
      <c r="CQ183" s="159"/>
      <c r="CR183" s="159"/>
      <c r="CS183" s="159"/>
      <c r="CT183" s="159"/>
      <c r="CU183" s="159"/>
      <c r="CV183" s="159"/>
    </row>
    <row r="184" spans="1:100" ht="34.6" customHeight="1" x14ac:dyDescent="0.25">
      <c r="A184" s="166"/>
      <c r="B184" s="166"/>
      <c r="C184" s="166"/>
      <c r="D184" s="166"/>
      <c r="E184" s="166"/>
      <c r="F184" s="166"/>
      <c r="G184" s="166"/>
      <c r="H184" s="166"/>
      <c r="I184" s="166"/>
      <c r="J184" s="166"/>
      <c r="K184" s="166"/>
      <c r="L184" s="166"/>
      <c r="M184" s="166"/>
      <c r="N184" s="166"/>
      <c r="O184" s="166"/>
      <c r="P184" s="166"/>
      <c r="Q184" s="1129"/>
      <c r="R184" s="180" t="str">
        <f>'2.CropManagement'!O309</f>
        <v>-- NJ</v>
      </c>
      <c r="S184" s="180">
        <f>'2.CropManagement'!P309</f>
        <v>157</v>
      </c>
      <c r="T184" s="180" t="str">
        <f>'2.CropManagement'!Q309</f>
        <v>North America</v>
      </c>
      <c r="U184" s="180">
        <f>'2.CropManagement'!R309</f>
        <v>0</v>
      </c>
      <c r="V184" s="180">
        <f>'2.CropManagement'!S309</f>
        <v>1</v>
      </c>
      <c r="W184" s="1130"/>
      <c r="X184" s="149"/>
      <c r="Y184" s="149"/>
      <c r="Z184" s="149"/>
      <c r="AA184" s="149"/>
      <c r="AB184" s="149"/>
      <c r="AC184" s="149"/>
      <c r="AD184" s="149"/>
      <c r="AE184" s="149"/>
      <c r="AF184" s="149"/>
      <c r="AG184" s="149"/>
      <c r="AH184" s="149"/>
      <c r="AI184" s="149"/>
      <c r="AJ184" s="149"/>
      <c r="AK184" s="149"/>
      <c r="AL184" s="149"/>
      <c r="AM184" s="149"/>
      <c r="AN184" s="149"/>
      <c r="AO184" s="149"/>
      <c r="AP184" s="149"/>
      <c r="AQ184" s="149"/>
      <c r="AR184" s="149"/>
      <c r="AS184" s="149"/>
      <c r="AT184" s="149"/>
      <c r="AU184" s="149"/>
      <c r="AV184" s="149"/>
      <c r="AW184" s="149"/>
      <c r="AX184" s="149"/>
      <c r="AY184" s="149"/>
      <c r="AZ184" s="149"/>
      <c r="BA184" s="149"/>
      <c r="BB184" s="149"/>
      <c r="BC184" s="166"/>
      <c r="BD184" s="166"/>
      <c r="BE184" s="166"/>
      <c r="BF184" s="166"/>
      <c r="BG184" s="166"/>
      <c r="BH184" s="166"/>
      <c r="BI184" s="166"/>
      <c r="BJ184" s="166"/>
      <c r="BK184" s="166"/>
      <c r="BL184" s="166"/>
      <c r="BM184" s="166"/>
      <c r="BN184" s="166"/>
      <c r="BO184" s="166"/>
      <c r="BP184" s="166"/>
      <c r="BQ184" s="166"/>
      <c r="BR184" s="166"/>
      <c r="BS184" s="166"/>
      <c r="BT184" s="166"/>
      <c r="BU184" s="166"/>
      <c r="BV184" s="166"/>
      <c r="BW184" s="166"/>
      <c r="BX184" s="159"/>
      <c r="BY184" s="159"/>
      <c r="BZ184" s="159"/>
      <c r="CA184" s="159"/>
      <c r="CB184" s="159"/>
      <c r="CC184" s="159"/>
      <c r="CD184" s="159"/>
      <c r="CE184" s="159"/>
      <c r="CF184" s="159"/>
      <c r="CG184" s="159"/>
      <c r="CH184" s="159"/>
      <c r="CI184" s="159"/>
      <c r="CJ184" s="159"/>
      <c r="CK184" s="159"/>
      <c r="CL184" s="159"/>
      <c r="CM184" s="159"/>
      <c r="CN184" s="159"/>
      <c r="CO184" s="159"/>
      <c r="CP184" s="159"/>
      <c r="CQ184" s="159"/>
      <c r="CR184" s="159"/>
      <c r="CS184" s="159"/>
      <c r="CT184" s="159"/>
      <c r="CU184" s="159"/>
      <c r="CV184" s="159"/>
    </row>
    <row r="185" spans="1:100" ht="34.6" customHeight="1" x14ac:dyDescent="0.25">
      <c r="A185" s="166"/>
      <c r="B185" s="166"/>
      <c r="C185" s="166"/>
      <c r="D185" s="166"/>
      <c r="E185" s="166"/>
      <c r="F185" s="166"/>
      <c r="G185" s="166"/>
      <c r="H185" s="166"/>
      <c r="I185" s="166"/>
      <c r="J185" s="166"/>
      <c r="K185" s="166"/>
      <c r="L185" s="166"/>
      <c r="M185" s="166"/>
      <c r="N185" s="166"/>
      <c r="O185" s="166"/>
      <c r="P185" s="166"/>
      <c r="Q185" s="1129"/>
      <c r="R185" s="180" t="str">
        <f>'2.CropManagement'!O310</f>
        <v>-- NM</v>
      </c>
      <c r="S185" s="180">
        <f>'2.CropManagement'!P310</f>
        <v>158</v>
      </c>
      <c r="T185" s="180" t="str">
        <f>'2.CropManagement'!Q310</f>
        <v>North America</v>
      </c>
      <c r="U185" s="180">
        <f>'2.CropManagement'!R310</f>
        <v>0</v>
      </c>
      <c r="V185" s="180">
        <f>'2.CropManagement'!S310</f>
        <v>1</v>
      </c>
      <c r="W185" s="1130"/>
      <c r="X185" s="149"/>
      <c r="Y185" s="149"/>
      <c r="Z185" s="149"/>
      <c r="AA185" s="149"/>
      <c r="AB185" s="149"/>
      <c r="AC185" s="149"/>
      <c r="AD185" s="149"/>
      <c r="AE185" s="149"/>
      <c r="AF185" s="149"/>
      <c r="AG185" s="149"/>
      <c r="AH185" s="149"/>
      <c r="AI185" s="149"/>
      <c r="AJ185" s="149"/>
      <c r="AK185" s="149"/>
      <c r="AL185" s="149"/>
      <c r="AM185" s="149"/>
      <c r="AN185" s="149"/>
      <c r="AO185" s="149"/>
      <c r="AP185" s="149"/>
      <c r="AQ185" s="149"/>
      <c r="AR185" s="149"/>
      <c r="AS185" s="149"/>
      <c r="AT185" s="149"/>
      <c r="AU185" s="149"/>
      <c r="AV185" s="149"/>
      <c r="AW185" s="149"/>
      <c r="AX185" s="149"/>
      <c r="AY185" s="149"/>
      <c r="AZ185" s="149"/>
      <c r="BA185" s="149"/>
      <c r="BB185" s="149"/>
      <c r="BC185" s="166"/>
      <c r="BD185" s="166"/>
      <c r="BE185" s="166"/>
      <c r="BF185" s="166"/>
      <c r="BG185" s="166"/>
      <c r="BH185" s="166"/>
      <c r="BI185" s="166"/>
      <c r="BJ185" s="166"/>
      <c r="BK185" s="166"/>
      <c r="BL185" s="166"/>
      <c r="BM185" s="166"/>
      <c r="BN185" s="166"/>
      <c r="BO185" s="166"/>
      <c r="BP185" s="166"/>
      <c r="BQ185" s="166"/>
      <c r="BR185" s="166"/>
      <c r="BS185" s="166"/>
      <c r="BT185" s="166"/>
      <c r="BU185" s="166"/>
      <c r="BV185" s="166"/>
      <c r="BW185" s="166"/>
      <c r="BX185" s="159"/>
      <c r="BY185" s="159"/>
      <c r="BZ185" s="159"/>
      <c r="CA185" s="159"/>
      <c r="CB185" s="159"/>
      <c r="CC185" s="159"/>
      <c r="CD185" s="159"/>
      <c r="CE185" s="159"/>
      <c r="CF185" s="159"/>
      <c r="CG185" s="159"/>
      <c r="CH185" s="159"/>
      <c r="CI185" s="159"/>
      <c r="CJ185" s="159"/>
      <c r="CK185" s="159"/>
      <c r="CL185" s="159"/>
      <c r="CM185" s="159"/>
      <c r="CN185" s="159"/>
      <c r="CO185" s="159"/>
      <c r="CP185" s="159"/>
      <c r="CQ185" s="159"/>
      <c r="CR185" s="159"/>
      <c r="CS185" s="159"/>
      <c r="CT185" s="159"/>
      <c r="CU185" s="159"/>
      <c r="CV185" s="159"/>
    </row>
    <row r="186" spans="1:100" ht="34.6" customHeight="1" x14ac:dyDescent="0.25">
      <c r="A186" s="166"/>
      <c r="B186" s="166"/>
      <c r="C186" s="166"/>
      <c r="D186" s="166"/>
      <c r="E186" s="166"/>
      <c r="F186" s="166"/>
      <c r="G186" s="166"/>
      <c r="H186" s="166"/>
      <c r="I186" s="166"/>
      <c r="J186" s="166"/>
      <c r="K186" s="166"/>
      <c r="L186" s="166"/>
      <c r="M186" s="166"/>
      <c r="N186" s="166"/>
      <c r="O186" s="166"/>
      <c r="P186" s="166"/>
      <c r="Q186" s="1129"/>
      <c r="R186" s="180" t="str">
        <f>'2.CropManagement'!O311</f>
        <v>-- NY</v>
      </c>
      <c r="S186" s="180">
        <f>'2.CropManagement'!P311</f>
        <v>159</v>
      </c>
      <c r="T186" s="180" t="str">
        <f>'2.CropManagement'!Q311</f>
        <v>North America</v>
      </c>
      <c r="U186" s="180">
        <f>'2.CropManagement'!R311</f>
        <v>0</v>
      </c>
      <c r="V186" s="180">
        <f>'2.CropManagement'!S311</f>
        <v>1</v>
      </c>
      <c r="W186" s="1130"/>
      <c r="X186" s="149"/>
      <c r="Y186" s="149"/>
      <c r="Z186" s="149"/>
      <c r="AA186" s="149"/>
      <c r="AB186" s="149"/>
      <c r="AC186" s="149"/>
      <c r="AD186" s="149"/>
      <c r="AE186" s="149"/>
      <c r="AF186" s="149"/>
      <c r="AG186" s="149"/>
      <c r="AH186" s="149"/>
      <c r="AI186" s="149"/>
      <c r="AJ186" s="149"/>
      <c r="AK186" s="149"/>
      <c r="AL186" s="149"/>
      <c r="AM186" s="149"/>
      <c r="AN186" s="149"/>
      <c r="AO186" s="149"/>
      <c r="AP186" s="149"/>
      <c r="AQ186" s="149"/>
      <c r="AR186" s="149"/>
      <c r="AS186" s="149"/>
      <c r="AT186" s="149"/>
      <c r="AU186" s="149"/>
      <c r="AV186" s="149"/>
      <c r="AW186" s="149"/>
      <c r="AX186" s="149"/>
      <c r="AY186" s="149"/>
      <c r="AZ186" s="149"/>
      <c r="BA186" s="149"/>
      <c r="BB186" s="149"/>
      <c r="BC186" s="166"/>
      <c r="BD186" s="166"/>
      <c r="BE186" s="166"/>
      <c r="BF186" s="166"/>
      <c r="BG186" s="166"/>
      <c r="BH186" s="166"/>
      <c r="BI186" s="166"/>
      <c r="BJ186" s="166"/>
      <c r="BK186" s="166"/>
      <c r="BL186" s="166"/>
      <c r="BM186" s="166"/>
      <c r="BN186" s="166"/>
      <c r="BO186" s="166"/>
      <c r="BP186" s="166"/>
      <c r="BQ186" s="166"/>
      <c r="BR186" s="166"/>
      <c r="BS186" s="166"/>
      <c r="BT186" s="166"/>
      <c r="BU186" s="166"/>
      <c r="BV186" s="166"/>
      <c r="BW186" s="166"/>
      <c r="BX186" s="159"/>
      <c r="BY186" s="159"/>
      <c r="BZ186" s="159"/>
      <c r="CA186" s="159"/>
      <c r="CB186" s="159"/>
      <c r="CC186" s="159"/>
      <c r="CD186" s="159"/>
      <c r="CE186" s="159"/>
      <c r="CF186" s="159"/>
      <c r="CG186" s="159"/>
      <c r="CH186" s="159"/>
      <c r="CI186" s="159"/>
      <c r="CJ186" s="159"/>
      <c r="CK186" s="159"/>
      <c r="CL186" s="159"/>
      <c r="CM186" s="159"/>
      <c r="CN186" s="159"/>
      <c r="CO186" s="159"/>
      <c r="CP186" s="159"/>
      <c r="CQ186" s="159"/>
      <c r="CR186" s="159"/>
      <c r="CS186" s="159"/>
      <c r="CT186" s="159"/>
      <c r="CU186" s="159"/>
      <c r="CV186" s="159"/>
    </row>
    <row r="187" spans="1:100" ht="34.6" customHeight="1" x14ac:dyDescent="0.25">
      <c r="A187" s="166"/>
      <c r="B187" s="166"/>
      <c r="C187" s="166"/>
      <c r="D187" s="166"/>
      <c r="E187" s="166"/>
      <c r="F187" s="166"/>
      <c r="G187" s="166"/>
      <c r="H187" s="166"/>
      <c r="I187" s="166"/>
      <c r="J187" s="166"/>
      <c r="K187" s="166"/>
      <c r="L187" s="166"/>
      <c r="M187" s="166"/>
      <c r="N187" s="166"/>
      <c r="O187" s="166"/>
      <c r="P187" s="166"/>
      <c r="Q187" s="1129"/>
      <c r="R187" s="180" t="str">
        <f>'2.CropManagement'!O312</f>
        <v>-- NC</v>
      </c>
      <c r="S187" s="180">
        <f>'2.CropManagement'!P312</f>
        <v>160</v>
      </c>
      <c r="T187" s="180" t="str">
        <f>'2.CropManagement'!Q312</f>
        <v>North America</v>
      </c>
      <c r="U187" s="180">
        <f>'2.CropManagement'!R312</f>
        <v>0</v>
      </c>
      <c r="V187" s="180">
        <f>'2.CropManagement'!S312</f>
        <v>1</v>
      </c>
      <c r="W187" s="1130"/>
      <c r="X187" s="149"/>
      <c r="Y187" s="149"/>
      <c r="Z187" s="149"/>
      <c r="AA187" s="149"/>
      <c r="AB187" s="149"/>
      <c r="AC187" s="149"/>
      <c r="AD187" s="149"/>
      <c r="AE187" s="149"/>
      <c r="AF187" s="149"/>
      <c r="AG187" s="149"/>
      <c r="AH187" s="149"/>
      <c r="AI187" s="149"/>
      <c r="AJ187" s="149"/>
      <c r="AK187" s="149"/>
      <c r="AL187" s="149"/>
      <c r="AM187" s="149"/>
      <c r="AN187" s="149"/>
      <c r="AO187" s="149"/>
      <c r="AP187" s="149"/>
      <c r="AQ187" s="149"/>
      <c r="AR187" s="149"/>
      <c r="AS187" s="149"/>
      <c r="AT187" s="149"/>
      <c r="AU187" s="149"/>
      <c r="AV187" s="149"/>
      <c r="AW187" s="149"/>
      <c r="AX187" s="149"/>
      <c r="AY187" s="149"/>
      <c r="AZ187" s="149"/>
      <c r="BA187" s="149"/>
      <c r="BB187" s="149"/>
      <c r="BC187" s="166"/>
      <c r="BD187" s="166"/>
      <c r="BE187" s="166"/>
      <c r="BF187" s="166"/>
      <c r="BG187" s="166"/>
      <c r="BH187" s="166"/>
      <c r="BI187" s="166"/>
      <c r="BJ187" s="166"/>
      <c r="BK187" s="166"/>
      <c r="BL187" s="166"/>
      <c r="BM187" s="166"/>
      <c r="BN187" s="166"/>
      <c r="BO187" s="166"/>
      <c r="BP187" s="166"/>
      <c r="BQ187" s="166"/>
      <c r="BR187" s="166"/>
      <c r="BS187" s="166"/>
      <c r="BT187" s="166"/>
      <c r="BU187" s="166"/>
      <c r="BV187" s="166"/>
      <c r="BW187" s="166"/>
      <c r="BX187" s="159"/>
      <c r="BY187" s="159"/>
      <c r="BZ187" s="159"/>
      <c r="CA187" s="159"/>
      <c r="CB187" s="159"/>
      <c r="CC187" s="159"/>
      <c r="CD187" s="159"/>
      <c r="CE187" s="159"/>
      <c r="CF187" s="159"/>
      <c r="CG187" s="159"/>
      <c r="CH187" s="159"/>
      <c r="CI187" s="159"/>
      <c r="CJ187" s="159"/>
      <c r="CK187" s="159"/>
      <c r="CL187" s="159"/>
      <c r="CM187" s="159"/>
      <c r="CN187" s="159"/>
      <c r="CO187" s="159"/>
      <c r="CP187" s="159"/>
      <c r="CQ187" s="159"/>
      <c r="CR187" s="159"/>
      <c r="CS187" s="159"/>
      <c r="CT187" s="159"/>
      <c r="CU187" s="159"/>
      <c r="CV187" s="159"/>
    </row>
    <row r="188" spans="1:100" ht="34.6" customHeight="1" x14ac:dyDescent="0.25">
      <c r="A188" s="166"/>
      <c r="B188" s="166"/>
      <c r="C188" s="166"/>
      <c r="D188" s="166"/>
      <c r="E188" s="166"/>
      <c r="F188" s="166"/>
      <c r="G188" s="166"/>
      <c r="H188" s="166"/>
      <c r="I188" s="166"/>
      <c r="J188" s="166"/>
      <c r="K188" s="166"/>
      <c r="L188" s="166"/>
      <c r="M188" s="166"/>
      <c r="N188" s="166"/>
      <c r="O188" s="166"/>
      <c r="P188" s="166"/>
      <c r="Q188" s="1129"/>
      <c r="R188" s="180" t="str">
        <f>'2.CropManagement'!O313</f>
        <v>-- ND</v>
      </c>
      <c r="S188" s="180">
        <f>'2.CropManagement'!P313</f>
        <v>161</v>
      </c>
      <c r="T188" s="180" t="str">
        <f>'2.CropManagement'!Q313</f>
        <v>North America</v>
      </c>
      <c r="U188" s="180">
        <f>'2.CropManagement'!R313</f>
        <v>0</v>
      </c>
      <c r="V188" s="180">
        <f>'2.CropManagement'!S313</f>
        <v>1</v>
      </c>
      <c r="W188" s="1130"/>
      <c r="X188" s="149"/>
      <c r="Y188" s="149"/>
      <c r="Z188" s="149"/>
      <c r="AA188" s="149"/>
      <c r="AB188" s="149"/>
      <c r="AC188" s="149"/>
      <c r="AD188" s="149"/>
      <c r="AE188" s="149"/>
      <c r="AF188" s="149"/>
      <c r="AG188" s="149"/>
      <c r="AH188" s="149"/>
      <c r="AI188" s="149"/>
      <c r="AJ188" s="149"/>
      <c r="AK188" s="149"/>
      <c r="AL188" s="149"/>
      <c r="AM188" s="149"/>
      <c r="AN188" s="149"/>
      <c r="AO188" s="149"/>
      <c r="AP188" s="149"/>
      <c r="AQ188" s="149"/>
      <c r="AR188" s="149"/>
      <c r="AS188" s="149"/>
      <c r="AT188" s="149"/>
      <c r="AU188" s="149"/>
      <c r="AV188" s="149"/>
      <c r="AW188" s="149"/>
      <c r="AX188" s="149"/>
      <c r="AY188" s="149"/>
      <c r="AZ188" s="149"/>
      <c r="BA188" s="149"/>
      <c r="BB188" s="149"/>
      <c r="BC188" s="166"/>
      <c r="BD188" s="166"/>
      <c r="BE188" s="166"/>
      <c r="BF188" s="166"/>
      <c r="BG188" s="166"/>
      <c r="BH188" s="166"/>
      <c r="BI188" s="166"/>
      <c r="BJ188" s="166"/>
      <c r="BK188" s="166"/>
      <c r="BL188" s="166"/>
      <c r="BM188" s="166"/>
      <c r="BN188" s="166"/>
      <c r="BO188" s="166"/>
      <c r="BP188" s="166"/>
      <c r="BQ188" s="166"/>
      <c r="BR188" s="166"/>
      <c r="BS188" s="166"/>
      <c r="BT188" s="166"/>
      <c r="BU188" s="166"/>
      <c r="BV188" s="166"/>
      <c r="BW188" s="166"/>
      <c r="BX188" s="159"/>
      <c r="BY188" s="159"/>
      <c r="BZ188" s="159"/>
      <c r="CA188" s="159"/>
      <c r="CB188" s="159"/>
      <c r="CC188" s="159"/>
      <c r="CD188" s="159"/>
      <c r="CE188" s="159"/>
      <c r="CF188" s="159"/>
      <c r="CG188" s="159"/>
      <c r="CH188" s="159"/>
      <c r="CI188" s="159"/>
      <c r="CJ188" s="159"/>
      <c r="CK188" s="159"/>
      <c r="CL188" s="159"/>
      <c r="CM188" s="159"/>
      <c r="CN188" s="159"/>
      <c r="CO188" s="159"/>
      <c r="CP188" s="159"/>
      <c r="CQ188" s="159"/>
      <c r="CR188" s="159"/>
      <c r="CS188" s="159"/>
      <c r="CT188" s="159"/>
      <c r="CU188" s="159"/>
      <c r="CV188" s="159"/>
    </row>
    <row r="189" spans="1:100" ht="34.6" customHeight="1" x14ac:dyDescent="0.25">
      <c r="A189" s="166"/>
      <c r="B189" s="166"/>
      <c r="C189" s="166"/>
      <c r="D189" s="166"/>
      <c r="E189" s="166"/>
      <c r="F189" s="166"/>
      <c r="G189" s="166"/>
      <c r="H189" s="166"/>
      <c r="I189" s="166"/>
      <c r="J189" s="166"/>
      <c r="K189" s="166"/>
      <c r="L189" s="166"/>
      <c r="M189" s="166"/>
      <c r="N189" s="166"/>
      <c r="O189" s="166"/>
      <c r="P189" s="166"/>
      <c r="Q189" s="1129"/>
      <c r="R189" s="180" t="str">
        <f>'2.CropManagement'!O314</f>
        <v>-- OH</v>
      </c>
      <c r="S189" s="180">
        <f>'2.CropManagement'!P314</f>
        <v>162</v>
      </c>
      <c r="T189" s="180" t="str">
        <f>'2.CropManagement'!Q314</f>
        <v>North America</v>
      </c>
      <c r="U189" s="180">
        <f>'2.CropManagement'!R314</f>
        <v>0</v>
      </c>
      <c r="V189" s="180">
        <f>'2.CropManagement'!S314</f>
        <v>1</v>
      </c>
      <c r="W189" s="1130"/>
      <c r="X189" s="149"/>
      <c r="Y189" s="149"/>
      <c r="Z189" s="149"/>
      <c r="AA189" s="149"/>
      <c r="AB189" s="149"/>
      <c r="AC189" s="149"/>
      <c r="AD189" s="149"/>
      <c r="AE189" s="149"/>
      <c r="AF189" s="149"/>
      <c r="AG189" s="149"/>
      <c r="AH189" s="149"/>
      <c r="AI189" s="149"/>
      <c r="AJ189" s="149"/>
      <c r="AK189" s="149"/>
      <c r="AL189" s="149"/>
      <c r="AM189" s="149"/>
      <c r="AN189" s="149"/>
      <c r="AO189" s="149"/>
      <c r="AP189" s="149"/>
      <c r="AQ189" s="149"/>
      <c r="AR189" s="149"/>
      <c r="AS189" s="149"/>
      <c r="AT189" s="149"/>
      <c r="AU189" s="149"/>
      <c r="AV189" s="149"/>
      <c r="AW189" s="149"/>
      <c r="AX189" s="149"/>
      <c r="AY189" s="149"/>
      <c r="AZ189" s="149"/>
      <c r="BA189" s="149"/>
      <c r="BB189" s="149"/>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59"/>
      <c r="BY189" s="159"/>
      <c r="BZ189" s="159"/>
      <c r="CA189" s="159"/>
      <c r="CB189" s="159"/>
      <c r="CC189" s="159"/>
      <c r="CD189" s="159"/>
      <c r="CE189" s="159"/>
      <c r="CF189" s="159"/>
      <c r="CG189" s="159"/>
      <c r="CH189" s="159"/>
      <c r="CI189" s="159"/>
      <c r="CJ189" s="159"/>
      <c r="CK189" s="159"/>
      <c r="CL189" s="159"/>
      <c r="CM189" s="159"/>
      <c r="CN189" s="159"/>
      <c r="CO189" s="159"/>
      <c r="CP189" s="159"/>
      <c r="CQ189" s="159"/>
      <c r="CR189" s="159"/>
      <c r="CS189" s="159"/>
      <c r="CT189" s="159"/>
      <c r="CU189" s="159"/>
      <c r="CV189" s="159"/>
    </row>
    <row r="190" spans="1:100" ht="34.6" customHeight="1" x14ac:dyDescent="0.25">
      <c r="A190" s="166"/>
      <c r="B190" s="166"/>
      <c r="C190" s="166"/>
      <c r="D190" s="166"/>
      <c r="E190" s="166"/>
      <c r="F190" s="166"/>
      <c r="G190" s="166"/>
      <c r="H190" s="166"/>
      <c r="I190" s="166"/>
      <c r="J190" s="166"/>
      <c r="K190" s="166"/>
      <c r="L190" s="166"/>
      <c r="M190" s="166"/>
      <c r="N190" s="166"/>
      <c r="O190" s="166"/>
      <c r="P190" s="166"/>
      <c r="Q190" s="1129"/>
      <c r="R190" s="180" t="str">
        <f>'2.CropManagement'!O315</f>
        <v>-- OK</v>
      </c>
      <c r="S190" s="180">
        <f>'2.CropManagement'!P315</f>
        <v>163</v>
      </c>
      <c r="T190" s="180" t="str">
        <f>'2.CropManagement'!Q315</f>
        <v>North America</v>
      </c>
      <c r="U190" s="180">
        <f>'2.CropManagement'!R315</f>
        <v>0</v>
      </c>
      <c r="V190" s="180">
        <f>'2.CropManagement'!S315</f>
        <v>1</v>
      </c>
      <c r="W190" s="1130"/>
      <c r="X190" s="149"/>
      <c r="Y190" s="149"/>
      <c r="Z190" s="149"/>
      <c r="AA190" s="149"/>
      <c r="AB190" s="149"/>
      <c r="AC190" s="149"/>
      <c r="AD190" s="149"/>
      <c r="AE190" s="149"/>
      <c r="AF190" s="149"/>
      <c r="AG190" s="149"/>
      <c r="AH190" s="149"/>
      <c r="AI190" s="149"/>
      <c r="AJ190" s="149"/>
      <c r="AK190" s="149"/>
      <c r="AL190" s="149"/>
      <c r="AM190" s="149"/>
      <c r="AN190" s="149"/>
      <c r="AO190" s="149"/>
      <c r="AP190" s="149"/>
      <c r="AQ190" s="149"/>
      <c r="AR190" s="149"/>
      <c r="AS190" s="149"/>
      <c r="AT190" s="149"/>
      <c r="AU190" s="149"/>
      <c r="AV190" s="149"/>
      <c r="AW190" s="149"/>
      <c r="AX190" s="149"/>
      <c r="AY190" s="149"/>
      <c r="AZ190" s="149"/>
      <c r="BA190" s="149"/>
      <c r="BB190" s="149"/>
      <c r="BC190" s="166"/>
      <c r="BD190" s="166"/>
      <c r="BE190" s="166"/>
      <c r="BF190" s="166"/>
      <c r="BG190" s="166"/>
      <c r="BH190" s="166"/>
      <c r="BI190" s="166"/>
      <c r="BJ190" s="166"/>
      <c r="BK190" s="166"/>
      <c r="BL190" s="166"/>
      <c r="BM190" s="166"/>
      <c r="BN190" s="166"/>
      <c r="BO190" s="166"/>
      <c r="BP190" s="166"/>
      <c r="BQ190" s="166"/>
      <c r="BR190" s="166"/>
      <c r="BS190" s="166"/>
      <c r="BT190" s="166"/>
      <c r="BU190" s="166"/>
      <c r="BV190" s="166"/>
      <c r="BW190" s="166"/>
      <c r="BX190" s="159"/>
      <c r="BY190" s="159"/>
      <c r="BZ190" s="159"/>
      <c r="CA190" s="159"/>
      <c r="CB190" s="159"/>
      <c r="CC190" s="159"/>
      <c r="CD190" s="159"/>
      <c r="CE190" s="159"/>
      <c r="CF190" s="159"/>
      <c r="CG190" s="159"/>
      <c r="CH190" s="159"/>
      <c r="CI190" s="159"/>
      <c r="CJ190" s="159"/>
      <c r="CK190" s="159"/>
      <c r="CL190" s="159"/>
      <c r="CM190" s="159"/>
      <c r="CN190" s="159"/>
      <c r="CO190" s="159"/>
      <c r="CP190" s="159"/>
      <c r="CQ190" s="159"/>
      <c r="CR190" s="159"/>
      <c r="CS190" s="159"/>
      <c r="CT190" s="159"/>
      <c r="CU190" s="159"/>
      <c r="CV190" s="159"/>
    </row>
    <row r="191" spans="1:100" ht="34.6" customHeight="1" x14ac:dyDescent="0.25">
      <c r="A191" s="166"/>
      <c r="B191" s="166"/>
      <c r="C191" s="166"/>
      <c r="D191" s="166"/>
      <c r="E191" s="166"/>
      <c r="F191" s="166"/>
      <c r="G191" s="166"/>
      <c r="H191" s="166"/>
      <c r="I191" s="166"/>
      <c r="J191" s="166"/>
      <c r="K191" s="166"/>
      <c r="L191" s="166"/>
      <c r="M191" s="166"/>
      <c r="N191" s="166"/>
      <c r="O191" s="166"/>
      <c r="P191" s="166"/>
      <c r="Q191" s="1129"/>
      <c r="R191" s="180" t="str">
        <f>'2.CropManagement'!O316</f>
        <v>-- OR</v>
      </c>
      <c r="S191" s="180">
        <f>'2.CropManagement'!P316</f>
        <v>164</v>
      </c>
      <c r="T191" s="180" t="str">
        <f>'2.CropManagement'!Q316</f>
        <v>North America</v>
      </c>
      <c r="U191" s="180">
        <f>'2.CropManagement'!R316</f>
        <v>0</v>
      </c>
      <c r="V191" s="180">
        <f>'2.CropManagement'!S316</f>
        <v>1</v>
      </c>
      <c r="W191" s="1130"/>
      <c r="X191" s="149"/>
      <c r="Y191" s="149"/>
      <c r="Z191" s="149"/>
      <c r="AA191" s="149"/>
      <c r="AB191" s="149"/>
      <c r="AC191" s="149"/>
      <c r="AD191" s="149"/>
      <c r="AE191" s="149"/>
      <c r="AF191" s="149"/>
      <c r="AG191" s="149"/>
      <c r="AH191" s="149"/>
      <c r="AI191" s="149"/>
      <c r="AJ191" s="149"/>
      <c r="AK191" s="149"/>
      <c r="AL191" s="149"/>
      <c r="AM191" s="149"/>
      <c r="AN191" s="149"/>
      <c r="AO191" s="149"/>
      <c r="AP191" s="149"/>
      <c r="AQ191" s="149"/>
      <c r="AR191" s="149"/>
      <c r="AS191" s="149"/>
      <c r="AT191" s="149"/>
      <c r="AU191" s="149"/>
      <c r="AV191" s="149"/>
      <c r="AW191" s="149"/>
      <c r="AX191" s="149"/>
      <c r="AY191" s="149"/>
      <c r="AZ191" s="149"/>
      <c r="BA191" s="149"/>
      <c r="BB191" s="149"/>
      <c r="BC191" s="166"/>
      <c r="BD191" s="166"/>
      <c r="BE191" s="166"/>
      <c r="BF191" s="166"/>
      <c r="BG191" s="166"/>
      <c r="BH191" s="166"/>
      <c r="BI191" s="166"/>
      <c r="BJ191" s="166"/>
      <c r="BK191" s="166"/>
      <c r="BL191" s="166"/>
      <c r="BM191" s="166"/>
      <c r="BN191" s="166"/>
      <c r="BO191" s="166"/>
      <c r="BP191" s="166"/>
      <c r="BQ191" s="166"/>
      <c r="BR191" s="166"/>
      <c r="BS191" s="166"/>
      <c r="BT191" s="166"/>
      <c r="BU191" s="166"/>
      <c r="BV191" s="166"/>
      <c r="BW191" s="166"/>
      <c r="BX191" s="159"/>
      <c r="BY191" s="159"/>
      <c r="BZ191" s="159"/>
      <c r="CA191" s="159"/>
      <c r="CB191" s="159"/>
      <c r="CC191" s="159"/>
      <c r="CD191" s="159"/>
      <c r="CE191" s="159"/>
      <c r="CF191" s="159"/>
      <c r="CG191" s="159"/>
      <c r="CH191" s="159"/>
      <c r="CI191" s="159"/>
      <c r="CJ191" s="159"/>
      <c r="CK191" s="159"/>
      <c r="CL191" s="159"/>
      <c r="CM191" s="159"/>
      <c r="CN191" s="159"/>
      <c r="CO191" s="159"/>
      <c r="CP191" s="159"/>
      <c r="CQ191" s="159"/>
      <c r="CR191" s="159"/>
      <c r="CS191" s="159"/>
      <c r="CT191" s="159"/>
      <c r="CU191" s="159"/>
      <c r="CV191" s="159"/>
    </row>
    <row r="192" spans="1:100" ht="34.6" customHeight="1" x14ac:dyDescent="0.25">
      <c r="A192" s="166"/>
      <c r="B192" s="166"/>
      <c r="C192" s="166"/>
      <c r="D192" s="166"/>
      <c r="E192" s="166"/>
      <c r="F192" s="166"/>
      <c r="G192" s="166"/>
      <c r="H192" s="166"/>
      <c r="I192" s="166"/>
      <c r="J192" s="166"/>
      <c r="K192" s="166"/>
      <c r="L192" s="166"/>
      <c r="M192" s="166"/>
      <c r="N192" s="166"/>
      <c r="O192" s="166"/>
      <c r="P192" s="166"/>
      <c r="Q192" s="1129"/>
      <c r="R192" s="180" t="str">
        <f>'2.CropManagement'!O317</f>
        <v>-- PA</v>
      </c>
      <c r="S192" s="180">
        <f>'2.CropManagement'!P317</f>
        <v>165</v>
      </c>
      <c r="T192" s="180" t="str">
        <f>'2.CropManagement'!Q317</f>
        <v>North America</v>
      </c>
      <c r="U192" s="180">
        <f>'2.CropManagement'!R317</f>
        <v>0</v>
      </c>
      <c r="V192" s="180">
        <f>'2.CropManagement'!S317</f>
        <v>1</v>
      </c>
      <c r="W192" s="1130"/>
      <c r="X192" s="149"/>
      <c r="Y192" s="149"/>
      <c r="Z192" s="149"/>
      <c r="AA192" s="149"/>
      <c r="AB192" s="149"/>
      <c r="AC192" s="149"/>
      <c r="AD192" s="149"/>
      <c r="AE192" s="149"/>
      <c r="AF192" s="149"/>
      <c r="AG192" s="149"/>
      <c r="AH192" s="149"/>
      <c r="AI192" s="149"/>
      <c r="AJ192" s="149"/>
      <c r="AK192" s="149"/>
      <c r="AL192" s="149"/>
      <c r="AM192" s="149"/>
      <c r="AN192" s="149"/>
      <c r="AO192" s="149"/>
      <c r="AP192" s="149"/>
      <c r="AQ192" s="149"/>
      <c r="AR192" s="149"/>
      <c r="AS192" s="149"/>
      <c r="AT192" s="149"/>
      <c r="AU192" s="149"/>
      <c r="AV192" s="149"/>
      <c r="AW192" s="149"/>
      <c r="AX192" s="149"/>
      <c r="AY192" s="149"/>
      <c r="AZ192" s="149"/>
      <c r="BA192" s="149"/>
      <c r="BB192" s="149"/>
      <c r="BC192" s="166"/>
      <c r="BD192" s="166"/>
      <c r="BE192" s="166"/>
      <c r="BF192" s="166"/>
      <c r="BG192" s="166"/>
      <c r="BH192" s="166"/>
      <c r="BI192" s="166"/>
      <c r="BJ192" s="166"/>
      <c r="BK192" s="166"/>
      <c r="BL192" s="166"/>
      <c r="BM192" s="166"/>
      <c r="BN192" s="166"/>
      <c r="BO192" s="166"/>
      <c r="BP192" s="166"/>
      <c r="BQ192" s="166"/>
      <c r="BR192" s="166"/>
      <c r="BS192" s="166"/>
      <c r="BT192" s="166"/>
      <c r="BU192" s="166"/>
      <c r="BV192" s="166"/>
      <c r="BW192" s="166"/>
      <c r="BX192" s="159"/>
      <c r="BY192" s="159"/>
      <c r="BZ192" s="159"/>
      <c r="CA192" s="159"/>
      <c r="CB192" s="159"/>
      <c r="CC192" s="159"/>
      <c r="CD192" s="159"/>
      <c r="CE192" s="159"/>
      <c r="CF192" s="159"/>
      <c r="CG192" s="159"/>
      <c r="CH192" s="159"/>
      <c r="CI192" s="159"/>
      <c r="CJ192" s="159"/>
      <c r="CK192" s="159"/>
      <c r="CL192" s="159"/>
      <c r="CM192" s="159"/>
      <c r="CN192" s="159"/>
      <c r="CO192" s="159"/>
      <c r="CP192" s="159"/>
      <c r="CQ192" s="159"/>
      <c r="CR192" s="159"/>
      <c r="CS192" s="159"/>
      <c r="CT192" s="159"/>
      <c r="CU192" s="159"/>
      <c r="CV192" s="159"/>
    </row>
    <row r="193" spans="1:100" ht="34.6" customHeight="1" x14ac:dyDescent="0.25">
      <c r="A193" s="166"/>
      <c r="B193" s="166"/>
      <c r="C193" s="166"/>
      <c r="D193" s="166"/>
      <c r="E193" s="166"/>
      <c r="F193" s="166"/>
      <c r="G193" s="166"/>
      <c r="H193" s="166"/>
      <c r="I193" s="166"/>
      <c r="J193" s="166"/>
      <c r="K193" s="166"/>
      <c r="L193" s="166"/>
      <c r="M193" s="166"/>
      <c r="N193" s="166"/>
      <c r="O193" s="166"/>
      <c r="P193" s="166"/>
      <c r="Q193" s="1129"/>
      <c r="R193" s="180" t="str">
        <f>'2.CropManagement'!O318</f>
        <v>-- RI</v>
      </c>
      <c r="S193" s="180">
        <f>'2.CropManagement'!P318</f>
        <v>166</v>
      </c>
      <c r="T193" s="180" t="str">
        <f>'2.CropManagement'!Q318</f>
        <v>North America</v>
      </c>
      <c r="U193" s="180">
        <f>'2.CropManagement'!R318</f>
        <v>0</v>
      </c>
      <c r="V193" s="180">
        <f>'2.CropManagement'!S318</f>
        <v>1</v>
      </c>
      <c r="W193" s="1130"/>
      <c r="X193" s="149"/>
      <c r="Y193" s="149"/>
      <c r="Z193" s="149"/>
      <c r="AA193" s="149"/>
      <c r="AB193" s="149"/>
      <c r="AC193" s="149"/>
      <c r="AD193" s="149"/>
      <c r="AE193" s="149"/>
      <c r="AF193" s="149"/>
      <c r="AG193" s="149"/>
      <c r="AH193" s="149"/>
      <c r="AI193" s="149"/>
      <c r="AJ193" s="149"/>
      <c r="AK193" s="149"/>
      <c r="AL193" s="149"/>
      <c r="AM193" s="149"/>
      <c r="AN193" s="149"/>
      <c r="AO193" s="149"/>
      <c r="AP193" s="149"/>
      <c r="AQ193" s="149"/>
      <c r="AR193" s="149"/>
      <c r="AS193" s="149"/>
      <c r="AT193" s="149"/>
      <c r="AU193" s="149"/>
      <c r="AV193" s="149"/>
      <c r="AW193" s="149"/>
      <c r="AX193" s="149"/>
      <c r="AY193" s="149"/>
      <c r="AZ193" s="149"/>
      <c r="BA193" s="149"/>
      <c r="BB193" s="149"/>
      <c r="BC193" s="166"/>
      <c r="BD193" s="166"/>
      <c r="BE193" s="166"/>
      <c r="BF193" s="166"/>
      <c r="BG193" s="166"/>
      <c r="BH193" s="166"/>
      <c r="BI193" s="166"/>
      <c r="BJ193" s="166"/>
      <c r="BK193" s="166"/>
      <c r="BL193" s="166"/>
      <c r="BM193" s="166"/>
      <c r="BN193" s="166"/>
      <c r="BO193" s="166"/>
      <c r="BP193" s="166"/>
      <c r="BQ193" s="166"/>
      <c r="BR193" s="166"/>
      <c r="BS193" s="166"/>
      <c r="BT193" s="166"/>
      <c r="BU193" s="166"/>
      <c r="BV193" s="166"/>
      <c r="BW193" s="166"/>
      <c r="BX193" s="159"/>
      <c r="BY193" s="159"/>
      <c r="BZ193" s="159"/>
      <c r="CA193" s="159"/>
      <c r="CB193" s="159"/>
      <c r="CC193" s="159"/>
      <c r="CD193" s="159"/>
      <c r="CE193" s="159"/>
      <c r="CF193" s="159"/>
      <c r="CG193" s="159"/>
      <c r="CH193" s="159"/>
      <c r="CI193" s="159"/>
      <c r="CJ193" s="159"/>
      <c r="CK193" s="159"/>
      <c r="CL193" s="159"/>
      <c r="CM193" s="159"/>
      <c r="CN193" s="159"/>
      <c r="CO193" s="159"/>
      <c r="CP193" s="159"/>
      <c r="CQ193" s="159"/>
      <c r="CR193" s="159"/>
      <c r="CS193" s="159"/>
      <c r="CT193" s="159"/>
      <c r="CU193" s="159"/>
      <c r="CV193" s="159"/>
    </row>
    <row r="194" spans="1:100" ht="34.6" customHeight="1" x14ac:dyDescent="0.25">
      <c r="A194" s="166"/>
      <c r="B194" s="166"/>
      <c r="C194" s="166"/>
      <c r="D194" s="166"/>
      <c r="E194" s="166"/>
      <c r="F194" s="166"/>
      <c r="G194" s="166"/>
      <c r="H194" s="166"/>
      <c r="I194" s="166"/>
      <c r="J194" s="166"/>
      <c r="K194" s="166"/>
      <c r="L194" s="166"/>
      <c r="M194" s="166"/>
      <c r="N194" s="166"/>
      <c r="O194" s="166"/>
      <c r="P194" s="166"/>
      <c r="Q194" s="1129"/>
      <c r="R194" s="180" t="str">
        <f>'2.CropManagement'!O319</f>
        <v>-- SC</v>
      </c>
      <c r="S194" s="180">
        <f>'2.CropManagement'!P319</f>
        <v>167</v>
      </c>
      <c r="T194" s="180" t="str">
        <f>'2.CropManagement'!Q319</f>
        <v>North America</v>
      </c>
      <c r="U194" s="180">
        <f>'2.CropManagement'!R319</f>
        <v>0</v>
      </c>
      <c r="V194" s="180">
        <f>'2.CropManagement'!S319</f>
        <v>1</v>
      </c>
      <c r="W194" s="1130"/>
      <c r="X194" s="149"/>
      <c r="Y194" s="149"/>
      <c r="Z194" s="149"/>
      <c r="AA194" s="149"/>
      <c r="AB194" s="149"/>
      <c r="AC194" s="149"/>
      <c r="AD194" s="149"/>
      <c r="AE194" s="149"/>
      <c r="AF194" s="149"/>
      <c r="AG194" s="149"/>
      <c r="AH194" s="149"/>
      <c r="AI194" s="149"/>
      <c r="AJ194" s="149"/>
      <c r="AK194" s="149"/>
      <c r="AL194" s="149"/>
      <c r="AM194" s="149"/>
      <c r="AN194" s="149"/>
      <c r="AO194" s="149"/>
      <c r="AP194" s="149"/>
      <c r="AQ194" s="149"/>
      <c r="AR194" s="149"/>
      <c r="AS194" s="149"/>
      <c r="AT194" s="149"/>
      <c r="AU194" s="149"/>
      <c r="AV194" s="149"/>
      <c r="AW194" s="149"/>
      <c r="AX194" s="149"/>
      <c r="AY194" s="149"/>
      <c r="AZ194" s="149"/>
      <c r="BA194" s="149"/>
      <c r="BB194" s="149"/>
      <c r="BC194" s="166"/>
      <c r="BD194" s="166"/>
      <c r="BE194" s="166"/>
      <c r="BF194" s="166"/>
      <c r="BG194" s="166"/>
      <c r="BH194" s="166"/>
      <c r="BI194" s="166"/>
      <c r="BJ194" s="166"/>
      <c r="BK194" s="166"/>
      <c r="BL194" s="166"/>
      <c r="BM194" s="166"/>
      <c r="BN194" s="166"/>
      <c r="BO194" s="166"/>
      <c r="BP194" s="166"/>
      <c r="BQ194" s="166"/>
      <c r="BR194" s="166"/>
      <c r="BS194" s="166"/>
      <c r="BT194" s="166"/>
      <c r="BU194" s="166"/>
      <c r="BV194" s="166"/>
      <c r="BW194" s="166"/>
      <c r="BX194" s="159"/>
      <c r="BY194" s="159"/>
      <c r="BZ194" s="159"/>
      <c r="CA194" s="159"/>
      <c r="CB194" s="159"/>
      <c r="CC194" s="159"/>
      <c r="CD194" s="159"/>
      <c r="CE194" s="159"/>
      <c r="CF194" s="159"/>
      <c r="CG194" s="159"/>
      <c r="CH194" s="159"/>
      <c r="CI194" s="159"/>
      <c r="CJ194" s="159"/>
      <c r="CK194" s="159"/>
      <c r="CL194" s="159"/>
      <c r="CM194" s="159"/>
      <c r="CN194" s="159"/>
      <c r="CO194" s="159"/>
      <c r="CP194" s="159"/>
      <c r="CQ194" s="159"/>
      <c r="CR194" s="159"/>
      <c r="CS194" s="159"/>
      <c r="CT194" s="159"/>
      <c r="CU194" s="159"/>
      <c r="CV194" s="159"/>
    </row>
    <row r="195" spans="1:100" ht="34.6" customHeight="1" x14ac:dyDescent="0.25">
      <c r="A195" s="166"/>
      <c r="B195" s="166"/>
      <c r="C195" s="166"/>
      <c r="D195" s="166"/>
      <c r="E195" s="166"/>
      <c r="F195" s="166"/>
      <c r="G195" s="166"/>
      <c r="H195" s="166"/>
      <c r="I195" s="166"/>
      <c r="J195" s="166"/>
      <c r="K195" s="166"/>
      <c r="L195" s="166"/>
      <c r="M195" s="166"/>
      <c r="N195" s="166"/>
      <c r="O195" s="166"/>
      <c r="P195" s="166"/>
      <c r="Q195" s="1129"/>
      <c r="R195" s="180" t="str">
        <f>'2.CropManagement'!O320</f>
        <v>-- SD</v>
      </c>
      <c r="S195" s="180">
        <f>'2.CropManagement'!P320</f>
        <v>168</v>
      </c>
      <c r="T195" s="180" t="str">
        <f>'2.CropManagement'!Q320</f>
        <v>North America</v>
      </c>
      <c r="U195" s="180">
        <f>'2.CropManagement'!R320</f>
        <v>0</v>
      </c>
      <c r="V195" s="180">
        <f>'2.CropManagement'!S320</f>
        <v>1</v>
      </c>
      <c r="W195" s="1130"/>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66"/>
      <c r="BD195" s="166"/>
      <c r="BE195" s="166"/>
      <c r="BF195" s="166"/>
      <c r="BG195" s="166"/>
      <c r="BH195" s="166"/>
      <c r="BI195" s="166"/>
      <c r="BJ195" s="166"/>
      <c r="BK195" s="166"/>
      <c r="BL195" s="166"/>
      <c r="BM195" s="166"/>
      <c r="BN195" s="166"/>
      <c r="BO195" s="166"/>
      <c r="BP195" s="166"/>
      <c r="BQ195" s="166"/>
      <c r="BR195" s="166"/>
      <c r="BS195" s="166"/>
      <c r="BT195" s="166"/>
      <c r="BU195" s="166"/>
      <c r="BV195" s="166"/>
      <c r="BW195" s="166"/>
      <c r="BX195" s="159"/>
      <c r="BY195" s="159"/>
      <c r="BZ195" s="159"/>
      <c r="CA195" s="159"/>
      <c r="CB195" s="159"/>
      <c r="CC195" s="159"/>
      <c r="CD195" s="159"/>
      <c r="CE195" s="159"/>
      <c r="CF195" s="159"/>
      <c r="CG195" s="159"/>
      <c r="CH195" s="159"/>
      <c r="CI195" s="159"/>
      <c r="CJ195" s="159"/>
      <c r="CK195" s="159"/>
      <c r="CL195" s="159"/>
      <c r="CM195" s="159"/>
      <c r="CN195" s="159"/>
      <c r="CO195" s="159"/>
      <c r="CP195" s="159"/>
      <c r="CQ195" s="159"/>
      <c r="CR195" s="159"/>
      <c r="CS195" s="159"/>
      <c r="CT195" s="159"/>
      <c r="CU195" s="159"/>
      <c r="CV195" s="159"/>
    </row>
    <row r="196" spans="1:100" ht="34.6" customHeight="1" x14ac:dyDescent="0.25">
      <c r="A196" s="166"/>
      <c r="B196" s="166"/>
      <c r="C196" s="166"/>
      <c r="D196" s="166"/>
      <c r="E196" s="166"/>
      <c r="F196" s="166"/>
      <c r="G196" s="166"/>
      <c r="H196" s="166"/>
      <c r="I196" s="166"/>
      <c r="J196" s="166"/>
      <c r="K196" s="166"/>
      <c r="L196" s="166"/>
      <c r="M196" s="166"/>
      <c r="N196" s="166"/>
      <c r="O196" s="166"/>
      <c r="P196" s="166"/>
      <c r="Q196" s="1129"/>
      <c r="R196" s="180" t="str">
        <f>'2.CropManagement'!O321</f>
        <v>-- TN</v>
      </c>
      <c r="S196" s="180">
        <f>'2.CropManagement'!P321</f>
        <v>169</v>
      </c>
      <c r="T196" s="180" t="str">
        <f>'2.CropManagement'!Q321</f>
        <v>North America</v>
      </c>
      <c r="U196" s="180">
        <f>'2.CropManagement'!R321</f>
        <v>0</v>
      </c>
      <c r="V196" s="180">
        <f>'2.CropManagement'!S321</f>
        <v>1</v>
      </c>
      <c r="W196" s="1130"/>
      <c r="X196" s="149"/>
      <c r="Y196" s="149"/>
      <c r="Z196" s="149"/>
      <c r="AA196" s="149"/>
      <c r="AB196" s="149"/>
      <c r="AC196" s="149"/>
      <c r="AD196" s="149"/>
      <c r="AE196" s="149"/>
      <c r="AF196" s="149"/>
      <c r="AG196" s="149"/>
      <c r="AH196" s="149"/>
      <c r="AI196" s="149"/>
      <c r="AJ196" s="149"/>
      <c r="AK196" s="149"/>
      <c r="AL196" s="149"/>
      <c r="AM196" s="149"/>
      <c r="AN196" s="149"/>
      <c r="AO196" s="149"/>
      <c r="AP196" s="149"/>
      <c r="AQ196" s="149"/>
      <c r="AR196" s="149"/>
      <c r="AS196" s="149"/>
      <c r="AT196" s="149"/>
      <c r="AU196" s="149"/>
      <c r="AV196" s="149"/>
      <c r="AW196" s="149"/>
      <c r="AX196" s="149"/>
      <c r="AY196" s="149"/>
      <c r="AZ196" s="149"/>
      <c r="BA196" s="149"/>
      <c r="BB196" s="149"/>
      <c r="BC196" s="166"/>
      <c r="BD196" s="166"/>
      <c r="BE196" s="166"/>
      <c r="BF196" s="166"/>
      <c r="BG196" s="166"/>
      <c r="BH196" s="166"/>
      <c r="BI196" s="166"/>
      <c r="BJ196" s="166"/>
      <c r="BK196" s="166"/>
      <c r="BL196" s="166"/>
      <c r="BM196" s="166"/>
      <c r="BN196" s="166"/>
      <c r="BO196" s="166"/>
      <c r="BP196" s="166"/>
      <c r="BQ196" s="166"/>
      <c r="BR196" s="166"/>
      <c r="BS196" s="166"/>
      <c r="BT196" s="166"/>
      <c r="BU196" s="166"/>
      <c r="BV196" s="166"/>
      <c r="BW196" s="166"/>
      <c r="BX196" s="159"/>
      <c r="BY196" s="159"/>
      <c r="BZ196" s="159"/>
      <c r="CA196" s="159"/>
      <c r="CB196" s="159"/>
      <c r="CC196" s="159"/>
      <c r="CD196" s="159"/>
      <c r="CE196" s="159"/>
      <c r="CF196" s="159"/>
      <c r="CG196" s="159"/>
      <c r="CH196" s="159"/>
      <c r="CI196" s="159"/>
      <c r="CJ196" s="159"/>
      <c r="CK196" s="159"/>
      <c r="CL196" s="159"/>
      <c r="CM196" s="159"/>
      <c r="CN196" s="159"/>
      <c r="CO196" s="159"/>
      <c r="CP196" s="159"/>
      <c r="CQ196" s="159"/>
      <c r="CR196" s="159"/>
      <c r="CS196" s="159"/>
      <c r="CT196" s="159"/>
      <c r="CU196" s="159"/>
      <c r="CV196" s="159"/>
    </row>
    <row r="197" spans="1:100" ht="34.6" customHeight="1" x14ac:dyDescent="0.25">
      <c r="A197" s="166"/>
      <c r="B197" s="166"/>
      <c r="C197" s="166"/>
      <c r="D197" s="166"/>
      <c r="E197" s="166"/>
      <c r="F197" s="166"/>
      <c r="G197" s="166"/>
      <c r="H197" s="166"/>
      <c r="I197" s="166"/>
      <c r="J197" s="166"/>
      <c r="K197" s="166"/>
      <c r="L197" s="166"/>
      <c r="M197" s="166"/>
      <c r="N197" s="166"/>
      <c r="O197" s="166"/>
      <c r="P197" s="166"/>
      <c r="Q197" s="1129"/>
      <c r="R197" s="180" t="str">
        <f>'2.CropManagement'!O322</f>
        <v>-- TX</v>
      </c>
      <c r="S197" s="180">
        <f>'2.CropManagement'!P322</f>
        <v>170</v>
      </c>
      <c r="T197" s="180" t="str">
        <f>'2.CropManagement'!Q322</f>
        <v>North America</v>
      </c>
      <c r="U197" s="180">
        <f>'2.CropManagement'!R322</f>
        <v>0</v>
      </c>
      <c r="V197" s="180">
        <f>'2.CropManagement'!S322</f>
        <v>1</v>
      </c>
      <c r="W197" s="1130"/>
      <c r="X197" s="149"/>
      <c r="Y197" s="149"/>
      <c r="Z197" s="149"/>
      <c r="AA197" s="149"/>
      <c r="AB197" s="149"/>
      <c r="AC197" s="149"/>
      <c r="AD197" s="149"/>
      <c r="AE197" s="149"/>
      <c r="AF197" s="149"/>
      <c r="AG197" s="149"/>
      <c r="AH197" s="149"/>
      <c r="AI197" s="149"/>
      <c r="AJ197" s="149"/>
      <c r="AK197" s="149"/>
      <c r="AL197" s="149"/>
      <c r="AM197" s="149"/>
      <c r="AN197" s="149"/>
      <c r="AO197" s="149"/>
      <c r="AP197" s="149"/>
      <c r="AQ197" s="149"/>
      <c r="AR197" s="149"/>
      <c r="AS197" s="149"/>
      <c r="AT197" s="149"/>
      <c r="AU197" s="149"/>
      <c r="AV197" s="149"/>
      <c r="AW197" s="149"/>
      <c r="AX197" s="149"/>
      <c r="AY197" s="149"/>
      <c r="AZ197" s="149"/>
      <c r="BA197" s="149"/>
      <c r="BB197" s="149"/>
      <c r="BC197" s="166"/>
      <c r="BD197" s="166"/>
      <c r="BE197" s="166"/>
      <c r="BF197" s="166"/>
      <c r="BG197" s="166"/>
      <c r="BH197" s="166"/>
      <c r="BI197" s="166"/>
      <c r="BJ197" s="166"/>
      <c r="BK197" s="166"/>
      <c r="BL197" s="166"/>
      <c r="BM197" s="166"/>
      <c r="BN197" s="166"/>
      <c r="BO197" s="166"/>
      <c r="BP197" s="166"/>
      <c r="BQ197" s="166"/>
      <c r="BR197" s="166"/>
      <c r="BS197" s="166"/>
      <c r="BT197" s="166"/>
      <c r="BU197" s="166"/>
      <c r="BV197" s="166"/>
      <c r="BW197" s="166"/>
      <c r="BX197" s="159"/>
      <c r="BY197" s="159"/>
      <c r="BZ197" s="159"/>
      <c r="CA197" s="159"/>
      <c r="CB197" s="159"/>
      <c r="CC197" s="159"/>
      <c r="CD197" s="159"/>
      <c r="CE197" s="159"/>
      <c r="CF197" s="159"/>
      <c r="CG197" s="159"/>
      <c r="CH197" s="159"/>
      <c r="CI197" s="159"/>
      <c r="CJ197" s="159"/>
      <c r="CK197" s="159"/>
      <c r="CL197" s="159"/>
      <c r="CM197" s="159"/>
      <c r="CN197" s="159"/>
      <c r="CO197" s="159"/>
      <c r="CP197" s="159"/>
      <c r="CQ197" s="159"/>
      <c r="CR197" s="159"/>
      <c r="CS197" s="159"/>
      <c r="CT197" s="159"/>
      <c r="CU197" s="159"/>
      <c r="CV197" s="159"/>
    </row>
    <row r="198" spans="1:100" ht="34.6" customHeight="1" x14ac:dyDescent="0.25">
      <c r="A198" s="166"/>
      <c r="B198" s="166"/>
      <c r="C198" s="166"/>
      <c r="D198" s="166"/>
      <c r="E198" s="166"/>
      <c r="F198" s="166"/>
      <c r="G198" s="166"/>
      <c r="H198" s="166"/>
      <c r="I198" s="166"/>
      <c r="J198" s="166"/>
      <c r="K198" s="166"/>
      <c r="L198" s="166"/>
      <c r="M198" s="166"/>
      <c r="N198" s="166"/>
      <c r="O198" s="166"/>
      <c r="P198" s="166"/>
      <c r="Q198" s="1129"/>
      <c r="R198" s="180" t="str">
        <f>'2.CropManagement'!O323</f>
        <v>-- UT</v>
      </c>
      <c r="S198" s="180">
        <f>'2.CropManagement'!P323</f>
        <v>171</v>
      </c>
      <c r="T198" s="180" t="str">
        <f>'2.CropManagement'!Q323</f>
        <v>North America</v>
      </c>
      <c r="U198" s="180">
        <f>'2.CropManagement'!R323</f>
        <v>0</v>
      </c>
      <c r="V198" s="180">
        <f>'2.CropManagement'!S323</f>
        <v>1</v>
      </c>
      <c r="W198" s="1130"/>
      <c r="X198" s="149"/>
      <c r="Y198" s="149"/>
      <c r="Z198" s="149"/>
      <c r="AA198" s="149"/>
      <c r="AB198" s="149"/>
      <c r="AC198" s="149"/>
      <c r="AD198" s="149"/>
      <c r="AE198" s="149"/>
      <c r="AF198" s="149"/>
      <c r="AG198" s="149"/>
      <c r="AH198" s="149"/>
      <c r="AI198" s="149"/>
      <c r="AJ198" s="149"/>
      <c r="AK198" s="149"/>
      <c r="AL198" s="149"/>
      <c r="AM198" s="149"/>
      <c r="AN198" s="149"/>
      <c r="AO198" s="149"/>
      <c r="AP198" s="149"/>
      <c r="AQ198" s="149"/>
      <c r="AR198" s="149"/>
      <c r="AS198" s="149"/>
      <c r="AT198" s="149"/>
      <c r="AU198" s="149"/>
      <c r="AV198" s="149"/>
      <c r="AW198" s="149"/>
      <c r="AX198" s="149"/>
      <c r="AY198" s="149"/>
      <c r="AZ198" s="149"/>
      <c r="BA198" s="149"/>
      <c r="BB198" s="149"/>
      <c r="BC198" s="166"/>
      <c r="BD198" s="166"/>
      <c r="BE198" s="166"/>
      <c r="BF198" s="166"/>
      <c r="BG198" s="166"/>
      <c r="BH198" s="166"/>
      <c r="BI198" s="166"/>
      <c r="BJ198" s="166"/>
      <c r="BK198" s="166"/>
      <c r="BL198" s="166"/>
      <c r="BM198" s="166"/>
      <c r="BN198" s="166"/>
      <c r="BO198" s="166"/>
      <c r="BP198" s="166"/>
      <c r="BQ198" s="166"/>
      <c r="BR198" s="166"/>
      <c r="BS198" s="166"/>
      <c r="BT198" s="166"/>
      <c r="BU198" s="166"/>
      <c r="BV198" s="166"/>
      <c r="BW198" s="166"/>
      <c r="BX198" s="159"/>
      <c r="BY198" s="159"/>
      <c r="BZ198" s="159"/>
      <c r="CA198" s="159"/>
      <c r="CB198" s="159"/>
      <c r="CC198" s="159"/>
      <c r="CD198" s="159"/>
      <c r="CE198" s="159"/>
      <c r="CF198" s="159"/>
      <c r="CG198" s="159"/>
      <c r="CH198" s="159"/>
      <c r="CI198" s="159"/>
      <c r="CJ198" s="159"/>
      <c r="CK198" s="159"/>
      <c r="CL198" s="159"/>
      <c r="CM198" s="159"/>
      <c r="CN198" s="159"/>
      <c r="CO198" s="159"/>
      <c r="CP198" s="159"/>
      <c r="CQ198" s="159"/>
      <c r="CR198" s="159"/>
      <c r="CS198" s="159"/>
      <c r="CT198" s="159"/>
      <c r="CU198" s="159"/>
      <c r="CV198" s="159"/>
    </row>
    <row r="199" spans="1:100" ht="34.6" customHeight="1" x14ac:dyDescent="0.25">
      <c r="A199" s="166"/>
      <c r="B199" s="166"/>
      <c r="C199" s="166"/>
      <c r="D199" s="166"/>
      <c r="E199" s="166"/>
      <c r="F199" s="166"/>
      <c r="G199" s="166"/>
      <c r="H199" s="166"/>
      <c r="I199" s="166"/>
      <c r="J199" s="166"/>
      <c r="K199" s="166"/>
      <c r="L199" s="166"/>
      <c r="M199" s="166"/>
      <c r="N199" s="166"/>
      <c r="O199" s="166"/>
      <c r="P199" s="166"/>
      <c r="Q199" s="1129"/>
      <c r="R199" s="180" t="str">
        <f>'2.CropManagement'!O324</f>
        <v>-- VT</v>
      </c>
      <c r="S199" s="180">
        <f>'2.CropManagement'!P324</f>
        <v>172</v>
      </c>
      <c r="T199" s="180" t="str">
        <f>'2.CropManagement'!Q324</f>
        <v>North America</v>
      </c>
      <c r="U199" s="180">
        <f>'2.CropManagement'!R324</f>
        <v>0</v>
      </c>
      <c r="V199" s="180">
        <f>'2.CropManagement'!S324</f>
        <v>1</v>
      </c>
      <c r="W199" s="1130"/>
      <c r="X199" s="149"/>
      <c r="Y199" s="149"/>
      <c r="Z199" s="149"/>
      <c r="AA199" s="149"/>
      <c r="AB199" s="149"/>
      <c r="AC199" s="149"/>
      <c r="AD199" s="149"/>
      <c r="AE199" s="149"/>
      <c r="AF199" s="149"/>
      <c r="AG199" s="149"/>
      <c r="AH199" s="149"/>
      <c r="AI199" s="149"/>
      <c r="AJ199" s="149"/>
      <c r="AK199" s="149"/>
      <c r="AL199" s="149"/>
      <c r="AM199" s="149"/>
      <c r="AN199" s="149"/>
      <c r="AO199" s="149"/>
      <c r="AP199" s="149"/>
      <c r="AQ199" s="149"/>
      <c r="AR199" s="149"/>
      <c r="AS199" s="149"/>
      <c r="AT199" s="149"/>
      <c r="AU199" s="149"/>
      <c r="AV199" s="149"/>
      <c r="AW199" s="149"/>
      <c r="AX199" s="149"/>
      <c r="AY199" s="149"/>
      <c r="AZ199" s="149"/>
      <c r="BA199" s="149"/>
      <c r="BB199" s="149"/>
      <c r="BC199" s="166"/>
      <c r="BD199" s="166"/>
      <c r="BE199" s="166"/>
      <c r="BF199" s="166"/>
      <c r="BG199" s="166"/>
      <c r="BH199" s="166"/>
      <c r="BI199" s="166"/>
      <c r="BJ199" s="166"/>
      <c r="BK199" s="166"/>
      <c r="BL199" s="166"/>
      <c r="BM199" s="166"/>
      <c r="BN199" s="166"/>
      <c r="BO199" s="166"/>
      <c r="BP199" s="166"/>
      <c r="BQ199" s="166"/>
      <c r="BR199" s="166"/>
      <c r="BS199" s="166"/>
      <c r="BT199" s="166"/>
      <c r="BU199" s="166"/>
      <c r="BV199" s="166"/>
      <c r="BW199" s="166"/>
      <c r="BX199" s="159"/>
      <c r="BY199" s="159"/>
      <c r="BZ199" s="159"/>
      <c r="CA199" s="159"/>
      <c r="CB199" s="159"/>
      <c r="CC199" s="159"/>
      <c r="CD199" s="159"/>
      <c r="CE199" s="159"/>
      <c r="CF199" s="159"/>
      <c r="CG199" s="159"/>
      <c r="CH199" s="159"/>
      <c r="CI199" s="159"/>
      <c r="CJ199" s="159"/>
      <c r="CK199" s="159"/>
      <c r="CL199" s="159"/>
      <c r="CM199" s="159"/>
      <c r="CN199" s="159"/>
      <c r="CO199" s="159"/>
      <c r="CP199" s="159"/>
      <c r="CQ199" s="159"/>
      <c r="CR199" s="159"/>
      <c r="CS199" s="159"/>
      <c r="CT199" s="159"/>
      <c r="CU199" s="159"/>
      <c r="CV199" s="159"/>
    </row>
    <row r="200" spans="1:100" ht="34.6" customHeight="1" x14ac:dyDescent="0.25">
      <c r="A200" s="166"/>
      <c r="B200" s="166"/>
      <c r="C200" s="166"/>
      <c r="D200" s="166"/>
      <c r="E200" s="166"/>
      <c r="F200" s="166"/>
      <c r="G200" s="166"/>
      <c r="H200" s="166"/>
      <c r="I200" s="166"/>
      <c r="J200" s="166"/>
      <c r="K200" s="166"/>
      <c r="L200" s="166"/>
      <c r="M200" s="166"/>
      <c r="N200" s="166"/>
      <c r="O200" s="166"/>
      <c r="P200" s="166"/>
      <c r="Q200" s="1129"/>
      <c r="R200" s="180" t="str">
        <f>'2.CropManagement'!O325</f>
        <v>-- VA</v>
      </c>
      <c r="S200" s="180">
        <f>'2.CropManagement'!P325</f>
        <v>173</v>
      </c>
      <c r="T200" s="180" t="str">
        <f>'2.CropManagement'!Q325</f>
        <v>North America</v>
      </c>
      <c r="U200" s="180">
        <f>'2.CropManagement'!R325</f>
        <v>0</v>
      </c>
      <c r="V200" s="180">
        <f>'2.CropManagement'!S325</f>
        <v>1</v>
      </c>
      <c r="W200" s="1130"/>
      <c r="X200" s="149"/>
      <c r="Y200" s="149"/>
      <c r="Z200" s="149"/>
      <c r="AA200" s="149"/>
      <c r="AB200" s="149"/>
      <c r="AC200" s="149"/>
      <c r="AD200" s="149"/>
      <c r="AE200" s="149"/>
      <c r="AF200" s="149"/>
      <c r="AG200" s="149"/>
      <c r="AH200" s="149"/>
      <c r="AI200" s="149"/>
      <c r="AJ200" s="149"/>
      <c r="AK200" s="149"/>
      <c r="AL200" s="149"/>
      <c r="AM200" s="149"/>
      <c r="AN200" s="149"/>
      <c r="AO200" s="149"/>
      <c r="AP200" s="149"/>
      <c r="AQ200" s="149"/>
      <c r="AR200" s="149"/>
      <c r="AS200" s="149"/>
      <c r="AT200" s="149"/>
      <c r="AU200" s="149"/>
      <c r="AV200" s="149"/>
      <c r="AW200" s="149"/>
      <c r="AX200" s="149"/>
      <c r="AY200" s="149"/>
      <c r="AZ200" s="149"/>
      <c r="BA200" s="149"/>
      <c r="BB200" s="149"/>
      <c r="BC200" s="166"/>
      <c r="BD200" s="166"/>
      <c r="BE200" s="166"/>
      <c r="BF200" s="166"/>
      <c r="BG200" s="166"/>
      <c r="BH200" s="166"/>
      <c r="BI200" s="166"/>
      <c r="BJ200" s="166"/>
      <c r="BK200" s="166"/>
      <c r="BL200" s="166"/>
      <c r="BM200" s="166"/>
      <c r="BN200" s="166"/>
      <c r="BO200" s="166"/>
      <c r="BP200" s="166"/>
      <c r="BQ200" s="166"/>
      <c r="BR200" s="166"/>
      <c r="BS200" s="166"/>
      <c r="BT200" s="166"/>
      <c r="BU200" s="166"/>
      <c r="BV200" s="166"/>
      <c r="BW200" s="166"/>
      <c r="BX200" s="159"/>
      <c r="BY200" s="159"/>
      <c r="BZ200" s="159"/>
      <c r="CA200" s="159"/>
      <c r="CB200" s="159"/>
      <c r="CC200" s="159"/>
      <c r="CD200" s="159"/>
      <c r="CE200" s="159"/>
      <c r="CF200" s="159"/>
      <c r="CG200" s="159"/>
      <c r="CH200" s="159"/>
      <c r="CI200" s="159"/>
      <c r="CJ200" s="159"/>
      <c r="CK200" s="159"/>
      <c r="CL200" s="159"/>
      <c r="CM200" s="159"/>
      <c r="CN200" s="159"/>
      <c r="CO200" s="159"/>
      <c r="CP200" s="159"/>
      <c r="CQ200" s="159"/>
      <c r="CR200" s="159"/>
      <c r="CS200" s="159"/>
      <c r="CT200" s="159"/>
      <c r="CU200" s="159"/>
      <c r="CV200" s="159"/>
    </row>
    <row r="201" spans="1:100" ht="34.6" customHeight="1" x14ac:dyDescent="0.25">
      <c r="A201" s="166"/>
      <c r="B201" s="166"/>
      <c r="C201" s="166"/>
      <c r="D201" s="166"/>
      <c r="E201" s="166"/>
      <c r="F201" s="166"/>
      <c r="G201" s="166"/>
      <c r="H201" s="166"/>
      <c r="I201" s="166"/>
      <c r="J201" s="166"/>
      <c r="K201" s="166"/>
      <c r="L201" s="166"/>
      <c r="M201" s="166"/>
      <c r="N201" s="166"/>
      <c r="O201" s="166"/>
      <c r="P201" s="166"/>
      <c r="Q201" s="1129"/>
      <c r="R201" s="180" t="str">
        <f>'2.CropManagement'!O326</f>
        <v>-- WA</v>
      </c>
      <c r="S201" s="180">
        <f>'2.CropManagement'!P326</f>
        <v>174</v>
      </c>
      <c r="T201" s="180" t="str">
        <f>'2.CropManagement'!Q326</f>
        <v>North America</v>
      </c>
      <c r="U201" s="180">
        <f>'2.CropManagement'!R326</f>
        <v>0</v>
      </c>
      <c r="V201" s="180">
        <f>'2.CropManagement'!S326</f>
        <v>1</v>
      </c>
      <c r="W201" s="1130"/>
      <c r="X201" s="149"/>
      <c r="Y201" s="149"/>
      <c r="Z201" s="149"/>
      <c r="AA201" s="149"/>
      <c r="AB201" s="149"/>
      <c r="AC201" s="149"/>
      <c r="AD201" s="149"/>
      <c r="AE201" s="149"/>
      <c r="AF201" s="149"/>
      <c r="AG201" s="149"/>
      <c r="AH201" s="149"/>
      <c r="AI201" s="149"/>
      <c r="AJ201" s="149"/>
      <c r="AK201" s="149"/>
      <c r="AL201" s="149"/>
      <c r="AM201" s="149"/>
      <c r="AN201" s="149"/>
      <c r="AO201" s="149"/>
      <c r="AP201" s="149"/>
      <c r="AQ201" s="149"/>
      <c r="AR201" s="149"/>
      <c r="AS201" s="149"/>
      <c r="AT201" s="149"/>
      <c r="AU201" s="149"/>
      <c r="AV201" s="149"/>
      <c r="AW201" s="149"/>
      <c r="AX201" s="149"/>
      <c r="AY201" s="149"/>
      <c r="AZ201" s="149"/>
      <c r="BA201" s="149"/>
      <c r="BB201" s="149"/>
      <c r="BC201" s="166"/>
      <c r="BD201" s="166"/>
      <c r="BE201" s="166"/>
      <c r="BF201" s="166"/>
      <c r="BG201" s="166"/>
      <c r="BH201" s="166"/>
      <c r="BI201" s="166"/>
      <c r="BJ201" s="166"/>
      <c r="BK201" s="166"/>
      <c r="BL201" s="166"/>
      <c r="BM201" s="166"/>
      <c r="BN201" s="166"/>
      <c r="BO201" s="166"/>
      <c r="BP201" s="166"/>
      <c r="BQ201" s="166"/>
      <c r="BR201" s="166"/>
      <c r="BS201" s="166"/>
      <c r="BT201" s="166"/>
      <c r="BU201" s="166"/>
      <c r="BV201" s="166"/>
      <c r="BW201" s="166"/>
      <c r="BX201" s="159"/>
      <c r="BY201" s="159"/>
      <c r="BZ201" s="159"/>
      <c r="CA201" s="159"/>
      <c r="CB201" s="159"/>
      <c r="CC201" s="159"/>
      <c r="CD201" s="159"/>
      <c r="CE201" s="159"/>
      <c r="CF201" s="159"/>
      <c r="CG201" s="159"/>
      <c r="CH201" s="159"/>
      <c r="CI201" s="159"/>
      <c r="CJ201" s="159"/>
      <c r="CK201" s="159"/>
      <c r="CL201" s="159"/>
      <c r="CM201" s="159"/>
      <c r="CN201" s="159"/>
      <c r="CO201" s="159"/>
      <c r="CP201" s="159"/>
      <c r="CQ201" s="159"/>
      <c r="CR201" s="159"/>
      <c r="CS201" s="159"/>
      <c r="CT201" s="159"/>
      <c r="CU201" s="159"/>
      <c r="CV201" s="159"/>
    </row>
    <row r="202" spans="1:100" ht="34.6" customHeight="1" x14ac:dyDescent="0.25">
      <c r="A202" s="166"/>
      <c r="B202" s="166"/>
      <c r="C202" s="166"/>
      <c r="D202" s="166"/>
      <c r="E202" s="166"/>
      <c r="F202" s="166"/>
      <c r="G202" s="166"/>
      <c r="H202" s="166"/>
      <c r="I202" s="166"/>
      <c r="J202" s="166"/>
      <c r="K202" s="166"/>
      <c r="L202" s="166"/>
      <c r="M202" s="166"/>
      <c r="N202" s="166"/>
      <c r="O202" s="166"/>
      <c r="P202" s="166"/>
      <c r="Q202" s="1129"/>
      <c r="R202" s="180" t="str">
        <f>'2.CropManagement'!O327</f>
        <v>-- WV</v>
      </c>
      <c r="S202" s="180">
        <f>'2.CropManagement'!P327</f>
        <v>175</v>
      </c>
      <c r="T202" s="180" t="str">
        <f>'2.CropManagement'!Q327</f>
        <v>North America</v>
      </c>
      <c r="U202" s="180">
        <f>'2.CropManagement'!R327</f>
        <v>0</v>
      </c>
      <c r="V202" s="180">
        <f>'2.CropManagement'!S327</f>
        <v>1</v>
      </c>
      <c r="W202" s="1130"/>
      <c r="X202" s="149"/>
      <c r="Y202" s="149"/>
      <c r="Z202" s="149"/>
      <c r="AA202" s="149"/>
      <c r="AB202" s="149"/>
      <c r="AC202" s="149"/>
      <c r="AD202" s="149"/>
      <c r="AE202" s="149"/>
      <c r="AF202" s="149"/>
      <c r="AG202" s="149"/>
      <c r="AH202" s="149"/>
      <c r="AI202" s="149"/>
      <c r="AJ202" s="149"/>
      <c r="AK202" s="149"/>
      <c r="AL202" s="149"/>
      <c r="AM202" s="149"/>
      <c r="AN202" s="149"/>
      <c r="AO202" s="149"/>
      <c r="AP202" s="149"/>
      <c r="AQ202" s="149"/>
      <c r="AR202" s="149"/>
      <c r="AS202" s="149"/>
      <c r="AT202" s="149"/>
      <c r="AU202" s="149"/>
      <c r="AV202" s="149"/>
      <c r="AW202" s="149"/>
      <c r="AX202" s="149"/>
      <c r="AY202" s="149"/>
      <c r="AZ202" s="149"/>
      <c r="BA202" s="149"/>
      <c r="BB202" s="149"/>
      <c r="BC202" s="166"/>
      <c r="BD202" s="166"/>
      <c r="BE202" s="166"/>
      <c r="BF202" s="166"/>
      <c r="BG202" s="166"/>
      <c r="BH202" s="166"/>
      <c r="BI202" s="166"/>
      <c r="BJ202" s="166"/>
      <c r="BK202" s="166"/>
      <c r="BL202" s="166"/>
      <c r="BM202" s="166"/>
      <c r="BN202" s="166"/>
      <c r="BO202" s="166"/>
      <c r="BP202" s="166"/>
      <c r="BQ202" s="166"/>
      <c r="BR202" s="166"/>
      <c r="BS202" s="166"/>
      <c r="BT202" s="166"/>
      <c r="BU202" s="166"/>
      <c r="BV202" s="166"/>
      <c r="BW202" s="166"/>
      <c r="BX202" s="159"/>
      <c r="BY202" s="159"/>
      <c r="BZ202" s="159"/>
      <c r="CA202" s="159"/>
      <c r="CB202" s="159"/>
      <c r="CC202" s="159"/>
      <c r="CD202" s="159"/>
      <c r="CE202" s="159"/>
      <c r="CF202" s="159"/>
      <c r="CG202" s="159"/>
      <c r="CH202" s="159"/>
      <c r="CI202" s="159"/>
      <c r="CJ202" s="159"/>
      <c r="CK202" s="159"/>
      <c r="CL202" s="159"/>
      <c r="CM202" s="159"/>
      <c r="CN202" s="159"/>
      <c r="CO202" s="159"/>
      <c r="CP202" s="159"/>
      <c r="CQ202" s="159"/>
      <c r="CR202" s="159"/>
      <c r="CS202" s="159"/>
      <c r="CT202" s="159"/>
      <c r="CU202" s="159"/>
      <c r="CV202" s="159"/>
    </row>
    <row r="203" spans="1:100" ht="34.6" customHeight="1" x14ac:dyDescent="0.25">
      <c r="A203" s="166"/>
      <c r="B203" s="166"/>
      <c r="C203" s="166"/>
      <c r="D203" s="166"/>
      <c r="E203" s="166"/>
      <c r="F203" s="166"/>
      <c r="G203" s="166"/>
      <c r="H203" s="166"/>
      <c r="I203" s="166"/>
      <c r="J203" s="166"/>
      <c r="K203" s="166"/>
      <c r="L203" s="166"/>
      <c r="M203" s="166"/>
      <c r="N203" s="166"/>
      <c r="O203" s="166"/>
      <c r="P203" s="166"/>
      <c r="Q203" s="1129"/>
      <c r="R203" s="180" t="str">
        <f>'2.CropManagement'!O328</f>
        <v>-- WI</v>
      </c>
      <c r="S203" s="180">
        <f>'2.CropManagement'!P328</f>
        <v>176</v>
      </c>
      <c r="T203" s="180" t="str">
        <f>'2.CropManagement'!Q328</f>
        <v>North America</v>
      </c>
      <c r="U203" s="180">
        <f>'2.CropManagement'!R328</f>
        <v>0</v>
      </c>
      <c r="V203" s="180">
        <f>'2.CropManagement'!S328</f>
        <v>1</v>
      </c>
      <c r="W203" s="1130"/>
      <c r="X203" s="149"/>
      <c r="Y203" s="149"/>
      <c r="Z203" s="149"/>
      <c r="AA203" s="149"/>
      <c r="AB203" s="149"/>
      <c r="AC203" s="149"/>
      <c r="AD203" s="149"/>
      <c r="AE203" s="149"/>
      <c r="AF203" s="149"/>
      <c r="AG203" s="149"/>
      <c r="AH203" s="149"/>
      <c r="AI203" s="149"/>
      <c r="AJ203" s="149"/>
      <c r="AK203" s="149"/>
      <c r="AL203" s="149"/>
      <c r="AM203" s="149"/>
      <c r="AN203" s="149"/>
      <c r="AO203" s="149"/>
      <c r="AP203" s="149"/>
      <c r="AQ203" s="149"/>
      <c r="AR203" s="149"/>
      <c r="AS203" s="149"/>
      <c r="AT203" s="149"/>
      <c r="AU203" s="149"/>
      <c r="AV203" s="149"/>
      <c r="AW203" s="149"/>
      <c r="AX203" s="149"/>
      <c r="AY203" s="149"/>
      <c r="AZ203" s="149"/>
      <c r="BA203" s="149"/>
      <c r="BB203" s="149"/>
      <c r="BC203" s="166"/>
      <c r="BD203" s="166"/>
      <c r="BE203" s="166"/>
      <c r="BF203" s="166"/>
      <c r="BG203" s="166"/>
      <c r="BH203" s="166"/>
      <c r="BI203" s="166"/>
      <c r="BJ203" s="166"/>
      <c r="BK203" s="166"/>
      <c r="BL203" s="166"/>
      <c r="BM203" s="166"/>
      <c r="BN203" s="166"/>
      <c r="BO203" s="166"/>
      <c r="BP203" s="166"/>
      <c r="BQ203" s="166"/>
      <c r="BR203" s="166"/>
      <c r="BS203" s="166"/>
      <c r="BT203" s="166"/>
      <c r="BU203" s="166"/>
      <c r="BV203" s="166"/>
      <c r="BW203" s="166"/>
      <c r="BX203" s="159"/>
      <c r="BY203" s="159"/>
      <c r="BZ203" s="159"/>
      <c r="CA203" s="159"/>
      <c r="CB203" s="159"/>
      <c r="CC203" s="159"/>
      <c r="CD203" s="159"/>
      <c r="CE203" s="159"/>
      <c r="CF203" s="159"/>
      <c r="CG203" s="159"/>
      <c r="CH203" s="159"/>
      <c r="CI203" s="159"/>
      <c r="CJ203" s="159"/>
      <c r="CK203" s="159"/>
      <c r="CL203" s="159"/>
      <c r="CM203" s="159"/>
      <c r="CN203" s="159"/>
      <c r="CO203" s="159"/>
      <c r="CP203" s="159"/>
      <c r="CQ203" s="159"/>
      <c r="CR203" s="159"/>
      <c r="CS203" s="159"/>
      <c r="CT203" s="159"/>
      <c r="CU203" s="159"/>
      <c r="CV203" s="159"/>
    </row>
    <row r="204" spans="1:100" ht="34.6" customHeight="1" x14ac:dyDescent="0.25">
      <c r="A204" s="166"/>
      <c r="B204" s="166"/>
      <c r="C204" s="166"/>
      <c r="D204" s="166"/>
      <c r="E204" s="166"/>
      <c r="F204" s="166"/>
      <c r="G204" s="166"/>
      <c r="H204" s="166"/>
      <c r="I204" s="166"/>
      <c r="J204" s="166"/>
      <c r="K204" s="166"/>
      <c r="L204" s="166"/>
      <c r="M204" s="166"/>
      <c r="N204" s="166"/>
      <c r="O204" s="166"/>
      <c r="P204" s="166"/>
      <c r="Q204" s="1129"/>
      <c r="R204" s="180" t="str">
        <f>'2.CropManagement'!O329</f>
        <v>-- WY</v>
      </c>
      <c r="S204" s="180">
        <f>'2.CropManagement'!P329</f>
        <v>177</v>
      </c>
      <c r="T204" s="180" t="str">
        <f>'2.CropManagement'!Q329</f>
        <v>North America</v>
      </c>
      <c r="U204" s="180">
        <f>'2.CropManagement'!R329</f>
        <v>0</v>
      </c>
      <c r="V204" s="180">
        <f>'2.CropManagement'!S329</f>
        <v>1</v>
      </c>
      <c r="W204" s="1130"/>
      <c r="X204" s="149"/>
      <c r="Y204" s="149"/>
      <c r="Z204" s="149"/>
      <c r="AA204" s="149"/>
      <c r="AB204" s="149"/>
      <c r="AC204" s="149"/>
      <c r="AD204" s="149"/>
      <c r="AE204" s="149"/>
      <c r="AF204" s="149"/>
      <c r="AG204" s="149"/>
      <c r="AH204" s="149"/>
      <c r="AI204" s="149"/>
      <c r="AJ204" s="149"/>
      <c r="AK204" s="149"/>
      <c r="AL204" s="149"/>
      <c r="AM204" s="149"/>
      <c r="AN204" s="149"/>
      <c r="AO204" s="149"/>
      <c r="AP204" s="149"/>
      <c r="AQ204" s="149"/>
      <c r="AR204" s="149"/>
      <c r="AS204" s="149"/>
      <c r="AT204" s="149"/>
      <c r="AU204" s="149"/>
      <c r="AV204" s="149"/>
      <c r="AW204" s="149"/>
      <c r="AX204" s="149"/>
      <c r="AY204" s="149"/>
      <c r="AZ204" s="149"/>
      <c r="BA204" s="149"/>
      <c r="BB204" s="149"/>
      <c r="BC204" s="166"/>
      <c r="BD204" s="166"/>
      <c r="BE204" s="166"/>
      <c r="BF204" s="166"/>
      <c r="BG204" s="166"/>
      <c r="BH204" s="166"/>
      <c r="BI204" s="166"/>
      <c r="BJ204" s="166"/>
      <c r="BK204" s="166"/>
      <c r="BL204" s="166"/>
      <c r="BM204" s="166"/>
      <c r="BN204" s="166"/>
      <c r="BO204" s="166"/>
      <c r="BP204" s="166"/>
      <c r="BQ204" s="166"/>
      <c r="BR204" s="166"/>
      <c r="BS204" s="166"/>
      <c r="BT204" s="166"/>
      <c r="BU204" s="166"/>
      <c r="BV204" s="166"/>
      <c r="BW204" s="166"/>
      <c r="BX204" s="159"/>
      <c r="BY204" s="159"/>
      <c r="BZ204" s="159"/>
      <c r="CA204" s="159"/>
      <c r="CB204" s="159"/>
      <c r="CC204" s="159"/>
      <c r="CD204" s="159"/>
      <c r="CE204" s="159"/>
      <c r="CF204" s="159"/>
      <c r="CG204" s="159"/>
      <c r="CH204" s="159"/>
      <c r="CI204" s="159"/>
      <c r="CJ204" s="159"/>
      <c r="CK204" s="159"/>
      <c r="CL204" s="159"/>
      <c r="CM204" s="159"/>
      <c r="CN204" s="159"/>
      <c r="CO204" s="159"/>
      <c r="CP204" s="159"/>
      <c r="CQ204" s="159"/>
      <c r="CR204" s="159"/>
      <c r="CS204" s="159"/>
      <c r="CT204" s="159"/>
      <c r="CU204" s="159"/>
      <c r="CV204" s="159"/>
    </row>
    <row r="205" spans="1:100" ht="34.6" customHeight="1" x14ac:dyDescent="0.25">
      <c r="A205" s="166"/>
      <c r="B205" s="166"/>
      <c r="C205" s="166"/>
      <c r="D205" s="166"/>
      <c r="E205" s="166"/>
      <c r="F205" s="166"/>
      <c r="G205" s="166"/>
      <c r="H205" s="166"/>
      <c r="I205" s="166"/>
      <c r="J205" s="166"/>
      <c r="K205" s="166"/>
      <c r="L205" s="166"/>
      <c r="M205" s="166"/>
      <c r="N205" s="166"/>
      <c r="O205" s="166"/>
      <c r="P205" s="166"/>
      <c r="Q205" s="1129"/>
      <c r="R205" s="180" t="str">
        <f>'2.CropManagement'!O330</f>
        <v xml:space="preserve"> - Uruguay</v>
      </c>
      <c r="S205" s="180">
        <f>'2.CropManagement'!P330</f>
        <v>178</v>
      </c>
      <c r="T205" s="180" t="str">
        <f>'2.CropManagement'!Q330</f>
        <v>Latin America</v>
      </c>
      <c r="U205" s="180">
        <f>'2.CropManagement'!R330</f>
        <v>0</v>
      </c>
      <c r="V205" s="180">
        <f>'2.CropManagement'!S330</f>
        <v>0</v>
      </c>
      <c r="W205" s="1130"/>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c r="BC205" s="166"/>
      <c r="BD205" s="166"/>
      <c r="BE205" s="166"/>
      <c r="BF205" s="166"/>
      <c r="BG205" s="166"/>
      <c r="BH205" s="166"/>
      <c r="BI205" s="166"/>
      <c r="BJ205" s="166"/>
      <c r="BK205" s="166"/>
      <c r="BL205" s="166"/>
      <c r="BM205" s="166"/>
      <c r="BN205" s="166"/>
      <c r="BO205" s="166"/>
      <c r="BP205" s="166"/>
      <c r="BQ205" s="166"/>
      <c r="BR205" s="166"/>
      <c r="BS205" s="166"/>
      <c r="BT205" s="166"/>
      <c r="BU205" s="166"/>
      <c r="BV205" s="166"/>
      <c r="BW205" s="166"/>
      <c r="BX205" s="159"/>
      <c r="BY205" s="159"/>
      <c r="BZ205" s="159"/>
      <c r="CA205" s="159"/>
      <c r="CB205" s="159"/>
      <c r="CC205" s="159"/>
      <c r="CD205" s="159"/>
      <c r="CE205" s="159"/>
      <c r="CF205" s="159"/>
      <c r="CG205" s="159"/>
      <c r="CH205" s="159"/>
      <c r="CI205" s="159"/>
      <c r="CJ205" s="159"/>
      <c r="CK205" s="159"/>
      <c r="CL205" s="159"/>
      <c r="CM205" s="159"/>
      <c r="CN205" s="159"/>
      <c r="CO205" s="159"/>
      <c r="CP205" s="159"/>
      <c r="CQ205" s="159"/>
      <c r="CR205" s="159"/>
      <c r="CS205" s="159"/>
      <c r="CT205" s="159"/>
      <c r="CU205" s="159"/>
      <c r="CV205" s="159"/>
    </row>
    <row r="206" spans="1:100" ht="34.6" customHeight="1" x14ac:dyDescent="0.25">
      <c r="A206" s="166"/>
      <c r="B206" s="166"/>
      <c r="C206" s="166"/>
      <c r="D206" s="166"/>
      <c r="E206" s="166"/>
      <c r="F206" s="166"/>
      <c r="G206" s="166"/>
      <c r="H206" s="166"/>
      <c r="I206" s="166"/>
      <c r="J206" s="166"/>
      <c r="K206" s="166"/>
      <c r="L206" s="166"/>
      <c r="M206" s="166"/>
      <c r="N206" s="166"/>
      <c r="O206" s="166"/>
      <c r="P206" s="166"/>
      <c r="Q206" s="1129"/>
      <c r="R206" s="180" t="str">
        <f>'2.CropManagement'!O331</f>
        <v xml:space="preserve"> - Uzbekistan</v>
      </c>
      <c r="S206" s="180">
        <f>'2.CropManagement'!P331</f>
        <v>179</v>
      </c>
      <c r="T206" s="180" t="str">
        <f>'2.CropManagement'!Q331</f>
        <v>Asia</v>
      </c>
      <c r="U206" s="180">
        <f>'2.CropManagement'!R331</f>
        <v>0</v>
      </c>
      <c r="V206" s="180">
        <f>'2.CropManagement'!S331</f>
        <v>0</v>
      </c>
      <c r="W206" s="1130"/>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c r="BC206" s="166"/>
      <c r="BD206" s="166"/>
      <c r="BE206" s="166"/>
      <c r="BF206" s="166"/>
      <c r="BG206" s="166"/>
      <c r="BH206" s="166"/>
      <c r="BI206" s="166"/>
      <c r="BJ206" s="166"/>
      <c r="BK206" s="166"/>
      <c r="BL206" s="166"/>
      <c r="BM206" s="166"/>
      <c r="BN206" s="166"/>
      <c r="BO206" s="166"/>
      <c r="BP206" s="166"/>
      <c r="BQ206" s="166"/>
      <c r="BR206" s="166"/>
      <c r="BS206" s="166"/>
      <c r="BT206" s="166"/>
      <c r="BU206" s="166"/>
      <c r="BV206" s="166"/>
      <c r="BW206" s="166"/>
      <c r="BX206" s="159"/>
      <c r="BY206" s="159"/>
      <c r="BZ206" s="159"/>
      <c r="CA206" s="159"/>
      <c r="CB206" s="159"/>
      <c r="CC206" s="159"/>
      <c r="CD206" s="159"/>
      <c r="CE206" s="159"/>
      <c r="CF206" s="159"/>
      <c r="CG206" s="159"/>
      <c r="CH206" s="159"/>
      <c r="CI206" s="159"/>
      <c r="CJ206" s="159"/>
      <c r="CK206" s="159"/>
      <c r="CL206" s="159"/>
      <c r="CM206" s="159"/>
      <c r="CN206" s="159"/>
      <c r="CO206" s="159"/>
      <c r="CP206" s="159"/>
      <c r="CQ206" s="159"/>
      <c r="CR206" s="159"/>
      <c r="CS206" s="159"/>
      <c r="CT206" s="159"/>
      <c r="CU206" s="159"/>
      <c r="CV206" s="159"/>
    </row>
    <row r="207" spans="1:100" ht="34.6" customHeight="1" x14ac:dyDescent="0.25">
      <c r="A207" s="166"/>
      <c r="B207" s="166"/>
      <c r="C207" s="166"/>
      <c r="D207" s="166"/>
      <c r="E207" s="166"/>
      <c r="F207" s="166"/>
      <c r="G207" s="166"/>
      <c r="H207" s="166"/>
      <c r="I207" s="166"/>
      <c r="J207" s="166"/>
      <c r="K207" s="166"/>
      <c r="L207" s="166"/>
      <c r="M207" s="166"/>
      <c r="N207" s="166"/>
      <c r="O207" s="166"/>
      <c r="P207" s="166"/>
      <c r="Q207" s="1129"/>
      <c r="R207" s="180" t="str">
        <f>'2.CropManagement'!O332</f>
        <v xml:space="preserve"> - Venezuela</v>
      </c>
      <c r="S207" s="180">
        <f>'2.CropManagement'!P332</f>
        <v>180</v>
      </c>
      <c r="T207" s="180" t="str">
        <f>'2.CropManagement'!Q332</f>
        <v>Latin America</v>
      </c>
      <c r="U207" s="180">
        <f>'2.CropManagement'!R332</f>
        <v>0</v>
      </c>
      <c r="V207" s="180">
        <f>'2.CropManagement'!S332</f>
        <v>0</v>
      </c>
      <c r="W207" s="1130"/>
      <c r="X207" s="149"/>
      <c r="Y207" s="149"/>
      <c r="Z207" s="149"/>
      <c r="AA207" s="149"/>
      <c r="AB207" s="149"/>
      <c r="AC207" s="149"/>
      <c r="AD207" s="149"/>
      <c r="AE207" s="149"/>
      <c r="AF207" s="149"/>
      <c r="AG207" s="149"/>
      <c r="AH207" s="149"/>
      <c r="AI207" s="149"/>
      <c r="AJ207" s="149"/>
      <c r="AK207" s="149"/>
      <c r="AL207" s="149"/>
      <c r="AM207" s="149"/>
      <c r="AN207" s="149"/>
      <c r="AO207" s="149"/>
      <c r="AP207" s="149"/>
      <c r="AQ207" s="149"/>
      <c r="AR207" s="149"/>
      <c r="AS207" s="149"/>
      <c r="AT207" s="149"/>
      <c r="AU207" s="149"/>
      <c r="AV207" s="149"/>
      <c r="AW207" s="149"/>
      <c r="AX207" s="149"/>
      <c r="AY207" s="149"/>
      <c r="AZ207" s="149"/>
      <c r="BA207" s="149"/>
      <c r="BB207" s="149"/>
      <c r="BC207" s="166"/>
      <c r="BD207" s="166"/>
      <c r="BE207" s="166"/>
      <c r="BF207" s="166"/>
      <c r="BG207" s="166"/>
      <c r="BH207" s="166"/>
      <c r="BI207" s="166"/>
      <c r="BJ207" s="166"/>
      <c r="BK207" s="166"/>
      <c r="BL207" s="166"/>
      <c r="BM207" s="166"/>
      <c r="BN207" s="166"/>
      <c r="BO207" s="166"/>
      <c r="BP207" s="166"/>
      <c r="BQ207" s="166"/>
      <c r="BR207" s="166"/>
      <c r="BS207" s="166"/>
      <c r="BT207" s="166"/>
      <c r="BU207" s="166"/>
      <c r="BV207" s="166"/>
      <c r="BW207" s="166"/>
      <c r="BX207" s="159"/>
      <c r="BY207" s="159"/>
      <c r="BZ207" s="159"/>
      <c r="CA207" s="159"/>
      <c r="CB207" s="159"/>
      <c r="CC207" s="159"/>
      <c r="CD207" s="159"/>
      <c r="CE207" s="159"/>
      <c r="CF207" s="159"/>
      <c r="CG207" s="159"/>
      <c r="CH207" s="159"/>
      <c r="CI207" s="159"/>
      <c r="CJ207" s="159"/>
      <c r="CK207" s="159"/>
      <c r="CL207" s="159"/>
      <c r="CM207" s="159"/>
      <c r="CN207" s="159"/>
      <c r="CO207" s="159"/>
      <c r="CP207" s="159"/>
      <c r="CQ207" s="159"/>
      <c r="CR207" s="159"/>
      <c r="CS207" s="159"/>
      <c r="CT207" s="159"/>
      <c r="CU207" s="159"/>
      <c r="CV207" s="159"/>
    </row>
    <row r="208" spans="1:100" ht="34.6" customHeight="1" x14ac:dyDescent="0.25">
      <c r="A208" s="166"/>
      <c r="B208" s="166"/>
      <c r="C208" s="166"/>
      <c r="D208" s="166"/>
      <c r="E208" s="166"/>
      <c r="F208" s="166"/>
      <c r="G208" s="166"/>
      <c r="H208" s="166"/>
      <c r="I208" s="166"/>
      <c r="J208" s="166"/>
      <c r="K208" s="166"/>
      <c r="L208" s="166"/>
      <c r="M208" s="166"/>
      <c r="N208" s="166"/>
      <c r="O208" s="166"/>
      <c r="P208" s="166"/>
      <c r="Q208" s="1129"/>
      <c r="R208" s="180" t="str">
        <f>'2.CropManagement'!O333</f>
        <v xml:space="preserve"> - Vietnam</v>
      </c>
      <c r="S208" s="180">
        <f>'2.CropManagement'!P333</f>
        <v>181</v>
      </c>
      <c r="T208" s="180" t="str">
        <f>'2.CropManagement'!Q333</f>
        <v>Asia</v>
      </c>
      <c r="U208" s="180">
        <f>'2.CropManagement'!R333</f>
        <v>0</v>
      </c>
      <c r="V208" s="180">
        <f>'2.CropManagement'!S333</f>
        <v>0</v>
      </c>
      <c r="W208" s="1130"/>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49"/>
      <c r="AS208" s="149"/>
      <c r="AT208" s="149"/>
      <c r="AU208" s="149"/>
      <c r="AV208" s="149"/>
      <c r="AW208" s="149"/>
      <c r="AX208" s="149"/>
      <c r="AY208" s="149"/>
      <c r="AZ208" s="149"/>
      <c r="BA208" s="149"/>
      <c r="BB208" s="149"/>
      <c r="BC208" s="166"/>
      <c r="BD208" s="166"/>
      <c r="BE208" s="166"/>
      <c r="BF208" s="166"/>
      <c r="BG208" s="166"/>
      <c r="BH208" s="166"/>
      <c r="BI208" s="166"/>
      <c r="BJ208" s="166"/>
      <c r="BK208" s="166"/>
      <c r="BL208" s="166"/>
      <c r="BM208" s="166"/>
      <c r="BN208" s="166"/>
      <c r="BO208" s="166"/>
      <c r="BP208" s="166"/>
      <c r="BQ208" s="166"/>
      <c r="BR208" s="166"/>
      <c r="BS208" s="166"/>
      <c r="BT208" s="166"/>
      <c r="BU208" s="166"/>
      <c r="BV208" s="166"/>
      <c r="BW208" s="166"/>
      <c r="BX208" s="159"/>
      <c r="BY208" s="159"/>
      <c r="BZ208" s="159"/>
      <c r="CA208" s="159"/>
      <c r="CB208" s="159"/>
      <c r="CC208" s="159"/>
      <c r="CD208" s="159"/>
      <c r="CE208" s="159"/>
      <c r="CF208" s="159"/>
      <c r="CG208" s="159"/>
      <c r="CH208" s="159"/>
      <c r="CI208" s="159"/>
      <c r="CJ208" s="159"/>
      <c r="CK208" s="159"/>
      <c r="CL208" s="159"/>
      <c r="CM208" s="159"/>
      <c r="CN208" s="159"/>
      <c r="CO208" s="159"/>
      <c r="CP208" s="159"/>
      <c r="CQ208" s="159"/>
      <c r="CR208" s="159"/>
      <c r="CS208" s="159"/>
      <c r="CT208" s="159"/>
      <c r="CU208" s="159"/>
      <c r="CV208" s="159"/>
    </row>
    <row r="209" spans="1:100" ht="34.6" customHeight="1" x14ac:dyDescent="0.25">
      <c r="A209" s="166"/>
      <c r="B209" s="166"/>
      <c r="C209" s="166"/>
      <c r="D209" s="166"/>
      <c r="E209" s="166"/>
      <c r="F209" s="166"/>
      <c r="G209" s="166"/>
      <c r="H209" s="166"/>
      <c r="I209" s="166"/>
      <c r="J209" s="166"/>
      <c r="K209" s="166"/>
      <c r="L209" s="166"/>
      <c r="M209" s="166"/>
      <c r="N209" s="166"/>
      <c r="O209" s="166"/>
      <c r="P209" s="166"/>
      <c r="Q209" s="1129"/>
      <c r="R209" s="180" t="str">
        <f>'2.CropManagement'!O334</f>
        <v xml:space="preserve"> - Yemen</v>
      </c>
      <c r="S209" s="180">
        <f>'2.CropManagement'!P334</f>
        <v>182</v>
      </c>
      <c r="T209" s="180" t="str">
        <f>'2.CropManagement'!Q334</f>
        <v>Middle East</v>
      </c>
      <c r="U209" s="180">
        <f>'2.CropManagement'!R334</f>
        <v>0</v>
      </c>
      <c r="V209" s="180">
        <f>'2.CropManagement'!S334</f>
        <v>0</v>
      </c>
      <c r="W209" s="1130"/>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c r="BC209" s="166"/>
      <c r="BD209" s="166"/>
      <c r="BE209" s="166"/>
      <c r="BF209" s="166"/>
      <c r="BG209" s="166"/>
      <c r="BH209" s="166"/>
      <c r="BI209" s="166"/>
      <c r="BJ209" s="166"/>
      <c r="BK209" s="166"/>
      <c r="BL209" s="166"/>
      <c r="BM209" s="166"/>
      <c r="BN209" s="166"/>
      <c r="BO209" s="166"/>
      <c r="BP209" s="166"/>
      <c r="BQ209" s="166"/>
      <c r="BR209" s="166"/>
      <c r="BS209" s="166"/>
      <c r="BT209" s="166"/>
      <c r="BU209" s="166"/>
      <c r="BV209" s="166"/>
      <c r="BW209" s="166"/>
      <c r="BX209" s="159"/>
      <c r="BY209" s="159"/>
      <c r="BZ209" s="159"/>
      <c r="CA209" s="159"/>
      <c r="CB209" s="159"/>
      <c r="CC209" s="159"/>
      <c r="CD209" s="159"/>
      <c r="CE209" s="159"/>
      <c r="CF209" s="159"/>
      <c r="CG209" s="159"/>
      <c r="CH209" s="159"/>
      <c r="CI209" s="159"/>
      <c r="CJ209" s="159"/>
      <c r="CK209" s="159"/>
      <c r="CL209" s="159"/>
      <c r="CM209" s="159"/>
      <c r="CN209" s="159"/>
      <c r="CO209" s="159"/>
      <c r="CP209" s="159"/>
      <c r="CQ209" s="159"/>
      <c r="CR209" s="159"/>
      <c r="CS209" s="159"/>
      <c r="CT209" s="159"/>
      <c r="CU209" s="159"/>
      <c r="CV209" s="159"/>
    </row>
    <row r="210" spans="1:100" ht="34.6" customHeight="1" x14ac:dyDescent="0.25">
      <c r="A210" s="166"/>
      <c r="B210" s="166"/>
      <c r="C210" s="166"/>
      <c r="D210" s="166"/>
      <c r="E210" s="166"/>
      <c r="F210" s="166"/>
      <c r="G210" s="166"/>
      <c r="H210" s="166"/>
      <c r="I210" s="166"/>
      <c r="J210" s="166"/>
      <c r="K210" s="166"/>
      <c r="L210" s="166"/>
      <c r="M210" s="166"/>
      <c r="N210" s="166"/>
      <c r="O210" s="166"/>
      <c r="P210" s="166"/>
      <c r="Q210" s="1129"/>
      <c r="R210" s="180" t="str">
        <f>'2.CropManagement'!O335</f>
        <v xml:space="preserve"> - Zambia</v>
      </c>
      <c r="S210" s="180">
        <f>'2.CropManagement'!P335</f>
        <v>183</v>
      </c>
      <c r="T210" s="180" t="str">
        <f>'2.CropManagement'!Q335</f>
        <v>Africa</v>
      </c>
      <c r="U210" s="180">
        <f>'2.CropManagement'!R335</f>
        <v>0</v>
      </c>
      <c r="V210" s="180">
        <f>'2.CropManagement'!S335</f>
        <v>0</v>
      </c>
      <c r="W210" s="1130"/>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c r="BC210" s="166"/>
      <c r="BD210" s="166"/>
      <c r="BE210" s="166"/>
      <c r="BF210" s="166"/>
      <c r="BG210" s="166"/>
      <c r="BH210" s="166"/>
      <c r="BI210" s="166"/>
      <c r="BJ210" s="166"/>
      <c r="BK210" s="166"/>
      <c r="BL210" s="166"/>
      <c r="BM210" s="166"/>
      <c r="BN210" s="166"/>
      <c r="BO210" s="166"/>
      <c r="BP210" s="166"/>
      <c r="BQ210" s="166"/>
      <c r="BR210" s="166"/>
      <c r="BS210" s="166"/>
      <c r="BT210" s="166"/>
      <c r="BU210" s="166"/>
      <c r="BV210" s="166"/>
      <c r="BW210" s="166"/>
      <c r="BX210" s="159"/>
      <c r="BY210" s="159"/>
      <c r="BZ210" s="159"/>
      <c r="CA210" s="159"/>
      <c r="CB210" s="159"/>
      <c r="CC210" s="159"/>
      <c r="CD210" s="159"/>
      <c r="CE210" s="159"/>
      <c r="CF210" s="159"/>
      <c r="CG210" s="159"/>
      <c r="CH210" s="159"/>
      <c r="CI210" s="159"/>
      <c r="CJ210" s="159"/>
      <c r="CK210" s="159"/>
      <c r="CL210" s="159"/>
      <c r="CM210" s="159"/>
      <c r="CN210" s="159"/>
      <c r="CO210" s="159"/>
      <c r="CP210" s="159"/>
      <c r="CQ210" s="159"/>
      <c r="CR210" s="159"/>
      <c r="CS210" s="159"/>
      <c r="CT210" s="159"/>
      <c r="CU210" s="159"/>
      <c r="CV210" s="159"/>
    </row>
    <row r="211" spans="1:100" ht="34.6" customHeight="1" x14ac:dyDescent="0.25">
      <c r="A211" s="166"/>
      <c r="B211" s="166"/>
      <c r="C211" s="166"/>
      <c r="D211" s="166"/>
      <c r="E211" s="166"/>
      <c r="F211" s="166"/>
      <c r="G211" s="166"/>
      <c r="H211" s="166"/>
      <c r="I211" s="166"/>
      <c r="J211" s="166"/>
      <c r="K211" s="166"/>
      <c r="L211" s="166"/>
      <c r="M211" s="166"/>
      <c r="N211" s="166"/>
      <c r="O211" s="166"/>
      <c r="P211" s="166"/>
      <c r="Q211" s="1129"/>
      <c r="R211" s="180" t="str">
        <f>'2.CropManagement'!O336</f>
        <v xml:space="preserve"> - Zimbabwe</v>
      </c>
      <c r="S211" s="180">
        <f>'2.CropManagement'!P336</f>
        <v>184</v>
      </c>
      <c r="T211" s="180" t="str">
        <f>'2.CropManagement'!Q336</f>
        <v>Africa</v>
      </c>
      <c r="U211" s="180">
        <f>'2.CropManagement'!R336</f>
        <v>0</v>
      </c>
      <c r="V211" s="180">
        <f>'2.CropManagement'!S336</f>
        <v>0</v>
      </c>
      <c r="W211" s="1130"/>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66"/>
      <c r="BD211" s="166"/>
      <c r="BE211" s="166"/>
      <c r="BF211" s="166"/>
      <c r="BG211" s="166"/>
      <c r="BH211" s="166"/>
      <c r="BI211" s="166"/>
      <c r="BJ211" s="166"/>
      <c r="BK211" s="166"/>
      <c r="BL211" s="166"/>
      <c r="BM211" s="166"/>
      <c r="BN211" s="166"/>
      <c r="BO211" s="166"/>
      <c r="BP211" s="166"/>
      <c r="BQ211" s="166"/>
      <c r="BR211" s="166"/>
      <c r="BS211" s="166"/>
      <c r="BT211" s="166"/>
      <c r="BU211" s="166"/>
      <c r="BV211" s="166"/>
      <c r="BW211" s="166"/>
      <c r="BX211" s="159"/>
      <c r="BY211" s="159"/>
      <c r="BZ211" s="159"/>
      <c r="CA211" s="159"/>
      <c r="CB211" s="159"/>
      <c r="CC211" s="159"/>
      <c r="CD211" s="159"/>
      <c r="CE211" s="159"/>
      <c r="CF211" s="159"/>
      <c r="CG211" s="159"/>
      <c r="CH211" s="159"/>
      <c r="CI211" s="159"/>
      <c r="CJ211" s="159"/>
      <c r="CK211" s="159"/>
      <c r="CL211" s="159"/>
      <c r="CM211" s="159"/>
      <c r="CN211" s="159"/>
      <c r="CO211" s="159"/>
      <c r="CP211" s="159"/>
      <c r="CQ211" s="159"/>
      <c r="CR211" s="159"/>
      <c r="CS211" s="159"/>
      <c r="CT211" s="159"/>
      <c r="CU211" s="159"/>
      <c r="CV211" s="159"/>
    </row>
    <row r="212" spans="1:100" ht="34.6" customHeight="1" x14ac:dyDescent="0.25">
      <c r="A212" s="166"/>
      <c r="B212" s="166"/>
      <c r="C212" s="166"/>
      <c r="D212" s="166"/>
      <c r="E212" s="166"/>
      <c r="F212" s="166"/>
      <c r="G212" s="166"/>
      <c r="H212" s="166"/>
      <c r="I212" s="166"/>
      <c r="J212" s="166"/>
      <c r="K212" s="166"/>
      <c r="L212" s="166"/>
      <c r="M212" s="166"/>
      <c r="N212" s="166"/>
      <c r="O212" s="166"/>
      <c r="P212" s="166"/>
      <c r="Q212" s="1129"/>
      <c r="R212" s="180" t="str">
        <f>'2.CropManagement'!O337</f>
        <v>Africa</v>
      </c>
      <c r="S212" s="180">
        <f>'2.CropManagement'!P337</f>
        <v>185</v>
      </c>
      <c r="T212" s="180" t="str">
        <f>'2.CropManagement'!Q337</f>
        <v>Africa</v>
      </c>
      <c r="U212" s="180">
        <f>'2.CropManagement'!R337</f>
        <v>0</v>
      </c>
      <c r="V212" s="180">
        <f>'2.CropManagement'!S337</f>
        <v>0</v>
      </c>
      <c r="W212" s="1130"/>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c r="BC212" s="166"/>
      <c r="BD212" s="166"/>
      <c r="BE212" s="166"/>
      <c r="BF212" s="166"/>
      <c r="BG212" s="166"/>
      <c r="BH212" s="166"/>
      <c r="BI212" s="166"/>
      <c r="BJ212" s="166"/>
      <c r="BK212" s="166"/>
      <c r="BL212" s="166"/>
      <c r="BM212" s="166"/>
      <c r="BN212" s="166"/>
      <c r="BO212" s="166"/>
      <c r="BP212" s="166"/>
      <c r="BQ212" s="166"/>
      <c r="BR212" s="166"/>
      <c r="BS212" s="166"/>
      <c r="BT212" s="166"/>
      <c r="BU212" s="166"/>
      <c r="BV212" s="166"/>
      <c r="BW212" s="166"/>
      <c r="BX212" s="159"/>
      <c r="BY212" s="159"/>
      <c r="BZ212" s="159"/>
      <c r="CA212" s="159"/>
      <c r="CB212" s="159"/>
      <c r="CC212" s="159"/>
      <c r="CD212" s="159"/>
      <c r="CE212" s="159"/>
      <c r="CF212" s="159"/>
      <c r="CG212" s="159"/>
      <c r="CH212" s="159"/>
      <c r="CI212" s="159"/>
      <c r="CJ212" s="159"/>
      <c r="CK212" s="159"/>
      <c r="CL212" s="159"/>
      <c r="CM212" s="159"/>
      <c r="CN212" s="159"/>
      <c r="CO212" s="159"/>
      <c r="CP212" s="159"/>
      <c r="CQ212" s="159"/>
      <c r="CR212" s="159"/>
      <c r="CS212" s="159"/>
      <c r="CT212" s="159"/>
      <c r="CU212" s="159"/>
      <c r="CV212" s="159"/>
    </row>
    <row r="213" spans="1:100" ht="34.6" customHeight="1" x14ac:dyDescent="0.25">
      <c r="Q213" s="1633"/>
      <c r="R213" s="180" t="str">
        <f>'2.CropManagement'!O338</f>
        <v>Asia</v>
      </c>
      <c r="S213" s="180">
        <f>'2.CropManagement'!P338</f>
        <v>186</v>
      </c>
      <c r="T213" s="180" t="str">
        <f>'2.CropManagement'!Q338</f>
        <v>Asia</v>
      </c>
      <c r="U213" s="180">
        <f>'2.CropManagement'!R338</f>
        <v>0</v>
      </c>
      <c r="V213" s="180">
        <f>'2.CropManagement'!S338</f>
        <v>0</v>
      </c>
      <c r="W213" s="1675"/>
      <c r="BN213" s="166"/>
      <c r="BO213" s="166"/>
      <c r="BP213" s="166"/>
      <c r="BQ213" s="166"/>
      <c r="BR213" s="166"/>
      <c r="BS213" s="166"/>
      <c r="BT213" s="166"/>
      <c r="BU213" s="166"/>
      <c r="BV213" s="166"/>
      <c r="BW213" s="166"/>
      <c r="BX213" s="159"/>
      <c r="BY213" s="159"/>
      <c r="BZ213" s="159"/>
      <c r="CA213" s="159"/>
      <c r="CB213" s="159"/>
      <c r="CC213" s="159"/>
      <c r="CD213" s="159"/>
      <c r="CE213" s="159"/>
      <c r="CF213" s="159"/>
      <c r="CG213" s="159"/>
      <c r="CH213" s="159"/>
      <c r="CI213" s="159"/>
      <c r="CJ213" s="159"/>
      <c r="CK213" s="159"/>
      <c r="CL213" s="159"/>
      <c r="CM213" s="159"/>
      <c r="CN213" s="159"/>
      <c r="CO213" s="159"/>
      <c r="CP213" s="159"/>
      <c r="CQ213" s="159"/>
      <c r="CR213" s="159"/>
      <c r="CS213" s="159"/>
      <c r="CT213" s="159"/>
      <c r="CU213" s="159"/>
      <c r="CV213" s="159"/>
    </row>
    <row r="214" spans="1:100" ht="34.6" customHeight="1" x14ac:dyDescent="0.25">
      <c r="Q214" s="1633"/>
      <c r="R214" s="180" t="str">
        <f>'2.CropManagement'!O339</f>
        <v>Central and Eastern Europe</v>
      </c>
      <c r="S214" s="180">
        <f>'2.CropManagement'!P339</f>
        <v>187</v>
      </c>
      <c r="T214" s="180" t="str">
        <f>'2.CropManagement'!Q339</f>
        <v>Eastern Europe</v>
      </c>
      <c r="U214" s="180">
        <f>'2.CropManagement'!R339</f>
        <v>0</v>
      </c>
      <c r="V214" s="180">
        <f>'2.CropManagement'!S339</f>
        <v>0</v>
      </c>
      <c r="W214" s="1675"/>
      <c r="BN214" s="166"/>
      <c r="BO214" s="166"/>
      <c r="BP214" s="166"/>
      <c r="BQ214" s="166"/>
      <c r="BR214" s="166"/>
      <c r="BS214" s="166"/>
      <c r="BT214" s="166"/>
      <c r="BU214" s="166"/>
      <c r="BV214" s="166"/>
      <c r="BW214" s="166"/>
      <c r="BX214" s="159"/>
      <c r="BY214" s="159"/>
      <c r="BZ214" s="159"/>
      <c r="CA214" s="159"/>
      <c r="CB214" s="159"/>
      <c r="CC214" s="159"/>
      <c r="CD214" s="159"/>
      <c r="CE214" s="159"/>
      <c r="CF214" s="159"/>
      <c r="CG214" s="159"/>
      <c r="CH214" s="159"/>
      <c r="CI214" s="159"/>
      <c r="CJ214" s="159"/>
      <c r="CK214" s="159"/>
      <c r="CL214" s="159"/>
      <c r="CM214" s="159"/>
      <c r="CN214" s="159"/>
      <c r="CO214" s="159"/>
      <c r="CP214" s="159"/>
      <c r="CQ214" s="159"/>
      <c r="CR214" s="159"/>
      <c r="CS214" s="159"/>
      <c r="CT214" s="159"/>
      <c r="CU214" s="159"/>
      <c r="CV214" s="159"/>
    </row>
    <row r="215" spans="1:100" ht="34.6" customHeight="1" x14ac:dyDescent="0.25">
      <c r="Q215" s="1633"/>
      <c r="R215" s="180" t="str">
        <f>'2.CropManagement'!O340</f>
        <v>China (including Hong Kong)</v>
      </c>
      <c r="S215" s="180">
        <f>'2.CropManagement'!P340</f>
        <v>188</v>
      </c>
      <c r="T215" s="180" t="str">
        <f>'2.CropManagement'!Q340</f>
        <v>Asia</v>
      </c>
      <c r="U215" s="180">
        <f>'2.CropManagement'!R340</f>
        <v>0</v>
      </c>
      <c r="V215" s="180">
        <f>'2.CropManagement'!S340</f>
        <v>0</v>
      </c>
      <c r="W215" s="1675"/>
      <c r="BN215" s="166"/>
      <c r="BO215" s="166"/>
      <c r="BP215" s="166"/>
      <c r="BQ215" s="166"/>
      <c r="BR215" s="166"/>
      <c r="BS215" s="166"/>
      <c r="BT215" s="166"/>
      <c r="BU215" s="166"/>
      <c r="BV215" s="166"/>
      <c r="BW215" s="166"/>
      <c r="BX215" s="159"/>
      <c r="BY215" s="159"/>
      <c r="BZ215" s="159"/>
      <c r="CA215" s="159"/>
      <c r="CB215" s="159"/>
      <c r="CC215" s="159"/>
      <c r="CD215" s="159"/>
      <c r="CE215" s="159"/>
      <c r="CF215" s="159"/>
      <c r="CG215" s="159"/>
      <c r="CH215" s="159"/>
      <c r="CI215" s="159"/>
      <c r="CJ215" s="159"/>
      <c r="CK215" s="159"/>
      <c r="CL215" s="159"/>
      <c r="CM215" s="159"/>
      <c r="CN215" s="159"/>
      <c r="CO215" s="159"/>
      <c r="CP215" s="159"/>
      <c r="CQ215" s="159"/>
      <c r="CR215" s="159"/>
      <c r="CS215" s="159"/>
      <c r="CT215" s="159"/>
      <c r="CU215" s="159"/>
      <c r="CV215" s="159"/>
    </row>
    <row r="216" spans="1:100" ht="34.6" customHeight="1" x14ac:dyDescent="0.25">
      <c r="Q216" s="1633"/>
      <c r="R216" s="180" t="str">
        <f>'2.CropManagement'!O341</f>
        <v>Former USSR</v>
      </c>
      <c r="S216" s="180">
        <f>'2.CropManagement'!P341</f>
        <v>189</v>
      </c>
      <c r="T216" s="180" t="str">
        <f>'2.CropManagement'!Q341</f>
        <v>Asia</v>
      </c>
      <c r="U216" s="180">
        <f>'2.CropManagement'!R341</f>
        <v>0</v>
      </c>
      <c r="V216" s="180">
        <f>'2.CropManagement'!S341</f>
        <v>0</v>
      </c>
      <c r="W216" s="1675"/>
      <c r="BN216" s="166"/>
      <c r="BO216" s="166"/>
      <c r="BP216" s="166"/>
      <c r="BQ216" s="166"/>
      <c r="BR216" s="166"/>
      <c r="BS216" s="166"/>
      <c r="BT216" s="166"/>
      <c r="BU216" s="166"/>
      <c r="BV216" s="166"/>
      <c r="BW216" s="166"/>
      <c r="BX216" s="159"/>
      <c r="BY216" s="159"/>
      <c r="BZ216" s="159"/>
      <c r="CA216" s="159"/>
      <c r="CB216" s="159"/>
      <c r="CC216" s="159"/>
      <c r="CD216" s="159"/>
      <c r="CE216" s="159"/>
      <c r="CF216" s="159"/>
      <c r="CG216" s="159"/>
      <c r="CH216" s="159"/>
      <c r="CI216" s="159"/>
      <c r="CJ216" s="159"/>
      <c r="CK216" s="159"/>
      <c r="CL216" s="159"/>
      <c r="CM216" s="159"/>
      <c r="CN216" s="159"/>
      <c r="CO216" s="159"/>
      <c r="CP216" s="159"/>
      <c r="CQ216" s="159"/>
      <c r="CR216" s="159"/>
      <c r="CS216" s="159"/>
      <c r="CT216" s="159"/>
      <c r="CU216" s="159"/>
      <c r="CV216" s="159"/>
    </row>
    <row r="217" spans="1:100" ht="34.6" customHeight="1" x14ac:dyDescent="0.25">
      <c r="Q217" s="1633"/>
      <c r="R217" s="180" t="str">
        <f>'2.CropManagement'!O342</f>
        <v>Latin America</v>
      </c>
      <c r="S217" s="180">
        <f>'2.CropManagement'!P342</f>
        <v>190</v>
      </c>
      <c r="T217" s="180" t="str">
        <f>'2.CropManagement'!Q342</f>
        <v>Latin America</v>
      </c>
      <c r="U217" s="180">
        <f>'2.CropManagement'!R342</f>
        <v>0</v>
      </c>
      <c r="V217" s="180">
        <f>'2.CropManagement'!S342</f>
        <v>0</v>
      </c>
      <c r="W217" s="1675"/>
      <c r="BN217" s="166"/>
      <c r="BO217" s="166"/>
      <c r="BP217" s="166"/>
      <c r="BQ217" s="166"/>
      <c r="BR217" s="166"/>
      <c r="BS217" s="166"/>
      <c r="BT217" s="166"/>
      <c r="BU217" s="166"/>
      <c r="BV217" s="166"/>
      <c r="BW217" s="166"/>
      <c r="BX217" s="159"/>
      <c r="BY217" s="159"/>
      <c r="BZ217" s="159"/>
      <c r="CA217" s="159"/>
      <c r="CB217" s="159"/>
      <c r="CC217" s="159"/>
      <c r="CD217" s="159"/>
      <c r="CE217" s="159"/>
      <c r="CF217" s="159"/>
      <c r="CG217" s="159"/>
      <c r="CH217" s="159"/>
      <c r="CI217" s="159"/>
      <c r="CJ217" s="159"/>
      <c r="CK217" s="159"/>
      <c r="CL217" s="159"/>
      <c r="CM217" s="159"/>
      <c r="CN217" s="159"/>
      <c r="CO217" s="159"/>
      <c r="CP217" s="159"/>
      <c r="CQ217" s="159"/>
      <c r="CR217" s="159"/>
      <c r="CS217" s="159"/>
      <c r="CT217" s="159"/>
      <c r="CU217" s="159"/>
      <c r="CV217" s="159"/>
    </row>
    <row r="218" spans="1:100" ht="34.6" customHeight="1" x14ac:dyDescent="0.25">
      <c r="Q218" s="1633"/>
      <c r="R218" s="180" t="str">
        <f>'2.CropManagement'!O343</f>
        <v>Middle East</v>
      </c>
      <c r="S218" s="180">
        <f>'2.CropManagement'!P343</f>
        <v>191</v>
      </c>
      <c r="T218" s="180" t="str">
        <f>'2.CropManagement'!Q343</f>
        <v>Middle East</v>
      </c>
      <c r="U218" s="180">
        <f>'2.CropManagement'!R343</f>
        <v>0</v>
      </c>
      <c r="V218" s="180">
        <f>'2.CropManagement'!S343</f>
        <v>0</v>
      </c>
      <c r="W218" s="1675"/>
      <c r="BN218" s="166"/>
      <c r="BO218" s="166"/>
      <c r="BP218" s="166"/>
      <c r="BQ218" s="166"/>
      <c r="BR218" s="166"/>
      <c r="BS218" s="166"/>
      <c r="BT218" s="166"/>
      <c r="BU218" s="166"/>
      <c r="BV218" s="166"/>
      <c r="BW218" s="166"/>
      <c r="BX218" s="159"/>
      <c r="BY218" s="159"/>
      <c r="BZ218" s="159"/>
      <c r="CA218" s="159"/>
      <c r="CB218" s="159"/>
      <c r="CC218" s="159"/>
      <c r="CD218" s="159"/>
      <c r="CE218" s="159"/>
      <c r="CF218" s="159"/>
      <c r="CG218" s="159"/>
      <c r="CH218" s="159"/>
      <c r="CI218" s="159"/>
      <c r="CJ218" s="159"/>
      <c r="CK218" s="159"/>
      <c r="CL218" s="159"/>
      <c r="CM218" s="159"/>
      <c r="CN218" s="159"/>
      <c r="CO218" s="159"/>
      <c r="CP218" s="159"/>
      <c r="CQ218" s="159"/>
      <c r="CR218" s="159"/>
      <c r="CS218" s="159"/>
      <c r="CT218" s="159"/>
      <c r="CU218" s="159"/>
      <c r="CV218" s="159"/>
    </row>
    <row r="219" spans="1:100" ht="34.6" customHeight="1" x14ac:dyDescent="0.25">
      <c r="Q219" s="1633"/>
      <c r="R219" s="180" t="str">
        <f>'2.CropManagement'!O344</f>
        <v>North America</v>
      </c>
      <c r="S219" s="180">
        <f>'2.CropManagement'!P344</f>
        <v>192</v>
      </c>
      <c r="T219" s="180" t="str">
        <f>'2.CropManagement'!Q344</f>
        <v>North America</v>
      </c>
      <c r="U219" s="180">
        <f>'2.CropManagement'!R344</f>
        <v>0</v>
      </c>
      <c r="V219" s="180">
        <f>'2.CropManagement'!S344</f>
        <v>0</v>
      </c>
      <c r="W219" s="1675"/>
    </row>
    <row r="220" spans="1:100" ht="34.6" customHeight="1" x14ac:dyDescent="0.25">
      <c r="Q220" s="1633"/>
      <c r="R220" s="180" t="str">
        <f>'2.CropManagement'!O345</f>
        <v>Pacific</v>
      </c>
      <c r="S220" s="180">
        <f>'2.CropManagement'!P345</f>
        <v>193</v>
      </c>
      <c r="T220" s="180" t="str">
        <f>'2.CropManagement'!Q345</f>
        <v>Asia</v>
      </c>
      <c r="U220" s="180">
        <f>'2.CropManagement'!R345</f>
        <v>0</v>
      </c>
      <c r="V220" s="180">
        <f>'2.CropManagement'!S345</f>
        <v>0</v>
      </c>
      <c r="W220" s="1675"/>
    </row>
    <row r="221" spans="1:100" ht="34.6" customHeight="1" x14ac:dyDescent="0.25">
      <c r="Q221" s="1633"/>
      <c r="R221" s="180" t="str">
        <f>'2.CropManagement'!O346</f>
        <v>Rest of Europe</v>
      </c>
      <c r="S221" s="180">
        <f>'2.CropManagement'!P346</f>
        <v>194</v>
      </c>
      <c r="T221" s="180" t="str">
        <f>'2.CropManagement'!Q346</f>
        <v>Western Europe</v>
      </c>
      <c r="U221" s="180">
        <f>'2.CropManagement'!R346</f>
        <v>0</v>
      </c>
      <c r="V221" s="180">
        <f>'2.CropManagement'!S346</f>
        <v>0</v>
      </c>
      <c r="W221" s="1675"/>
    </row>
    <row r="222" spans="1:100" ht="34.6" customHeight="1" x14ac:dyDescent="0.25">
      <c r="Q222" s="1633"/>
      <c r="R222" s="188"/>
      <c r="S222" s="188"/>
      <c r="T222" s="188"/>
      <c r="U222" s="188"/>
      <c r="V222" s="188"/>
      <c r="W222" s="1675"/>
    </row>
    <row r="223" spans="1:100" ht="34.6" customHeight="1" x14ac:dyDescent="0.25">
      <c r="Q223" s="1633"/>
      <c r="R223" s="188"/>
      <c r="S223" s="188"/>
      <c r="T223" s="188"/>
      <c r="U223" s="188"/>
      <c r="V223" s="188"/>
      <c r="W223" s="1675"/>
    </row>
    <row r="224" spans="1:100" ht="34.6" customHeight="1" thickBot="1" x14ac:dyDescent="0.3">
      <c r="Q224" s="1649"/>
      <c r="R224" s="1634"/>
      <c r="S224" s="1634"/>
      <c r="T224" s="1634"/>
      <c r="U224" s="1634"/>
      <c r="V224" s="1634"/>
      <c r="W224" s="1691"/>
    </row>
    <row r="225" ht="34.6" customHeight="1" x14ac:dyDescent="0.25"/>
    <row r="226" ht="34.6" customHeight="1" x14ac:dyDescent="0.25"/>
    <row r="227" ht="34.6" customHeight="1" x14ac:dyDescent="0.25"/>
    <row r="228" ht="34.6" customHeight="1" x14ac:dyDescent="0.25"/>
    <row r="229" ht="34.6" customHeight="1" x14ac:dyDescent="0.25"/>
    <row r="230" ht="34.6" customHeight="1" x14ac:dyDescent="0.25"/>
    <row r="231" ht="34.6" customHeight="1" x14ac:dyDescent="0.25"/>
    <row r="232" ht="34.6" customHeight="1" x14ac:dyDescent="0.25"/>
    <row r="233" ht="34.6" customHeight="1" x14ac:dyDescent="0.25"/>
    <row r="234" ht="34.6" customHeight="1" x14ac:dyDescent="0.25"/>
    <row r="235" ht="34.6" customHeight="1" x14ac:dyDescent="0.25"/>
    <row r="236" ht="34.6" customHeight="1" x14ac:dyDescent="0.25"/>
    <row r="237" ht="34.6" customHeight="1" x14ac:dyDescent="0.25"/>
    <row r="238" ht="34.6" customHeight="1" x14ac:dyDescent="0.25"/>
    <row r="239" ht="34.6" customHeight="1" x14ac:dyDescent="0.25"/>
    <row r="240" ht="34.6" customHeight="1" x14ac:dyDescent="0.25"/>
    <row r="241" ht="34.6" customHeight="1" x14ac:dyDescent="0.25"/>
    <row r="242" ht="34.6" customHeight="1" x14ac:dyDescent="0.25"/>
    <row r="243" ht="34.6" customHeight="1" x14ac:dyDescent="0.25"/>
    <row r="244" ht="34.6" customHeight="1" x14ac:dyDescent="0.25"/>
    <row r="245" ht="34.6" customHeight="1" x14ac:dyDescent="0.25"/>
    <row r="246" ht="34.6" customHeight="1" x14ac:dyDescent="0.25"/>
    <row r="247" ht="34.6" customHeight="1" x14ac:dyDescent="0.25"/>
    <row r="248" ht="34.6" customHeight="1" x14ac:dyDescent="0.25"/>
    <row r="249" ht="34.6" customHeight="1" x14ac:dyDescent="0.25"/>
    <row r="250" ht="34.6" customHeight="1" x14ac:dyDescent="0.25"/>
    <row r="251" ht="34.6" customHeight="1" x14ac:dyDescent="0.25"/>
    <row r="252" ht="34.6" customHeight="1" x14ac:dyDescent="0.25"/>
    <row r="253" ht="34.6" customHeight="1" x14ac:dyDescent="0.25"/>
    <row r="254" ht="34.6" customHeight="1" x14ac:dyDescent="0.25"/>
    <row r="255" ht="34.6" customHeight="1" x14ac:dyDescent="0.25"/>
    <row r="256" ht="34.6" customHeight="1" x14ac:dyDescent="0.25"/>
    <row r="257" ht="34.6" customHeight="1" x14ac:dyDescent="0.25"/>
    <row r="258" ht="34.6" customHeight="1" x14ac:dyDescent="0.25"/>
    <row r="259" ht="34.6" customHeight="1" x14ac:dyDescent="0.25"/>
    <row r="260" ht="34.6" customHeight="1" x14ac:dyDescent="0.25"/>
    <row r="261" ht="34.6" customHeight="1" x14ac:dyDescent="0.25"/>
    <row r="262" ht="34.6" customHeight="1" x14ac:dyDescent="0.25"/>
    <row r="263" ht="34.6" customHeight="1" x14ac:dyDescent="0.25"/>
    <row r="264" ht="34.6" customHeight="1" x14ac:dyDescent="0.25"/>
    <row r="265" ht="34.6" customHeight="1" x14ac:dyDescent="0.25"/>
    <row r="266" ht="34.6" customHeight="1" x14ac:dyDescent="0.25"/>
    <row r="267" ht="34.6" customHeight="1" x14ac:dyDescent="0.25"/>
    <row r="268" ht="34.6" customHeight="1" x14ac:dyDescent="0.25"/>
    <row r="269" ht="34.6" customHeight="1" x14ac:dyDescent="0.25"/>
    <row r="270" ht="34.6" customHeight="1" x14ac:dyDescent="0.25"/>
    <row r="271" ht="34.6" customHeight="1" x14ac:dyDescent="0.25"/>
    <row r="272" ht="34.6" customHeight="1" x14ac:dyDescent="0.25"/>
    <row r="273" ht="34.6" customHeight="1" x14ac:dyDescent="0.25"/>
    <row r="274" ht="34.6" customHeight="1" x14ac:dyDescent="0.25"/>
    <row r="275" ht="34.6" customHeight="1" x14ac:dyDescent="0.25"/>
    <row r="276" ht="34.6" customHeight="1" x14ac:dyDescent="0.25"/>
    <row r="277" ht="34.6" customHeight="1" x14ac:dyDescent="0.25"/>
    <row r="278" ht="34.6" customHeight="1" x14ac:dyDescent="0.25"/>
    <row r="279" ht="34.6" customHeight="1" x14ac:dyDescent="0.25"/>
    <row r="280" ht="34.6" customHeight="1" x14ac:dyDescent="0.25"/>
    <row r="281" ht="34.6" customHeight="1" x14ac:dyDescent="0.25"/>
    <row r="282" ht="34.6" customHeight="1" x14ac:dyDescent="0.25"/>
    <row r="283" ht="34.6" customHeight="1" x14ac:dyDescent="0.25"/>
    <row r="284" ht="34.6" customHeight="1" x14ac:dyDescent="0.25"/>
    <row r="285" ht="34.6" customHeight="1" x14ac:dyDescent="0.25"/>
    <row r="286" ht="34.6" customHeight="1" x14ac:dyDescent="0.25"/>
    <row r="287" ht="34.6" customHeight="1" x14ac:dyDescent="0.25"/>
    <row r="288" ht="34.6" customHeight="1" x14ac:dyDescent="0.25"/>
    <row r="289" ht="34.6" customHeight="1" x14ac:dyDescent="0.25"/>
    <row r="290" ht="34.6" customHeight="1" x14ac:dyDescent="0.25"/>
    <row r="291" ht="34.6" customHeight="1" x14ac:dyDescent="0.25"/>
    <row r="292" ht="34.6" customHeight="1" x14ac:dyDescent="0.25"/>
    <row r="293" ht="34.6" customHeight="1" x14ac:dyDescent="0.25"/>
    <row r="294" ht="34.6" customHeight="1" x14ac:dyDescent="0.25"/>
    <row r="295" ht="34.6" customHeight="1" x14ac:dyDescent="0.25"/>
    <row r="296" ht="34.6" customHeight="1" x14ac:dyDescent="0.25"/>
    <row r="297" ht="34.6" customHeight="1" x14ac:dyDescent="0.25"/>
  </sheetData>
  <sheetProtection password="838D" sheet="1" objects="1" scenarios="1"/>
  <mergeCells count="3">
    <mergeCell ref="B2:J3"/>
    <mergeCell ref="G5:H9"/>
    <mergeCell ref="I8:M9"/>
  </mergeCells>
  <phoneticPr fontId="57" type="noConversion"/>
  <conditionalFormatting sqref="P27:P30 P25:Q25">
    <cfRule type="cellIs" dxfId="19" priority="5" stopIfTrue="1" operator="equal">
      <formula>0</formula>
    </cfRule>
  </conditionalFormatting>
  <conditionalFormatting sqref="H12">
    <cfRule type="cellIs" dxfId="18" priority="8" stopIfTrue="1" operator="equal">
      <formula>""""""</formula>
    </cfRule>
    <cfRule type="cellIs" dxfId="17" priority="9" stopIfTrue="1" operator="notEqual">
      <formula>""""""</formula>
    </cfRule>
  </conditionalFormatting>
  <conditionalFormatting sqref="G12">
    <cfRule type="cellIs" dxfId="16" priority="4" stopIfTrue="1" operator="equal">
      <formula>TRUE</formula>
    </cfRule>
  </conditionalFormatting>
  <dataValidations xWindow="315" yWindow="568" count="29">
    <dataValidation allowBlank="1" showInputMessage="1" showErrorMessage="1" prompt="If left blank the &quot;Untreated&quot; will be assumed." sqref="D40" xr:uid="{00000000-0002-0000-0100-000000000000}"/>
    <dataValidation allowBlank="1" showInputMessage="1" sqref="D92:D93" xr:uid="{00000000-0002-0000-0100-000001000000}"/>
    <dataValidation operator="equal" allowBlank="1" sqref="AS16:AT19 AV16:AY19 AU17:AU19 D19:K19" xr:uid="{00000000-0002-0000-0100-000002000000}"/>
    <dataValidation type="list" allowBlank="1" showInputMessage="1" sqref="F39" xr:uid="{00000000-0002-0000-0100-000003000000}">
      <formula1>$AQ$31:$AQ$35</formula1>
    </dataValidation>
    <dataValidation type="list" allowBlank="1" showInputMessage="1" sqref="I39" xr:uid="{00000000-0002-0000-0100-000004000000}">
      <formula1>$D$97:$D$99</formula1>
    </dataValidation>
    <dataValidation type="list" allowBlank="1" showInputMessage="1" showErrorMessage="1" sqref="D89:D90" xr:uid="{00000000-0002-0000-0100-000005000000}">
      <formula1>$K$22:$K$26</formula1>
    </dataValidation>
    <dataValidation type="list" allowBlank="1" showInputMessage="1" showErrorMessage="1" sqref="D87" xr:uid="{00000000-0002-0000-0100-000006000000}">
      <formula1>$K$90:$K$97</formula1>
    </dataValidation>
    <dataValidation type="list" allowBlank="1" showInputMessage="1" showErrorMessage="1" sqref="D86" xr:uid="{00000000-0002-0000-0100-000007000000}">
      <formula1>$K$101:$K$104</formula1>
    </dataValidation>
    <dataValidation type="list" allowBlank="1" showInputMessage="1" showErrorMessage="1" sqref="AV161:AV186" xr:uid="{00000000-0002-0000-0100-000008000000}">
      <formula1>$AR$129:$AR$133</formula1>
    </dataValidation>
    <dataValidation type="list" allowBlank="1" showInputMessage="1" showErrorMessage="1" sqref="E40" xr:uid="{00000000-0002-0000-0100-000009000000}">
      <formula1>$Y$48:$Y$53</formula1>
    </dataValidation>
    <dataValidation type="list" operator="equal" allowBlank="1" sqref="V13" xr:uid="{00000000-0002-0000-0100-00000A000000}">
      <formula1>$AR$116:$AR$120</formula1>
    </dataValidation>
    <dataValidation allowBlank="1" showInputMessage="1" showErrorMessage="1" prompt="Enter average ANNUAL temperature (not just for the length of crop cycle) if known. If not known an average of 10 degrees C (50F) will be assumed for temperate climates and 18 degrees C (64.4F) for tropical." sqref="D18" xr:uid="{00000000-0002-0000-0100-00000B000000}"/>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35:B36" xr:uid="{00000000-0002-0000-0100-00000C000000}"/>
    <dataValidation allowBlank="1" showInputMessage="1" showErrorMessage="1" promptTitle="Climate clasification" prompt="&quot;Tropical&quot;  includes both sub-tropical and tropical climates._x000d__x000d_" sqref="D17" xr:uid="{00000000-0002-0000-0100-00000D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O35" xr:uid="{00000000-0002-0000-0100-00000E000000}"/>
    <dataValidation operator="equal" allowBlank="1" promptTitle="This can be estimated from fertiliser input data" sqref="AU113" xr:uid="{00000000-0002-0000-0100-00000F000000}"/>
    <dataValidation type="list" operator="equal" allowBlank="1" showDropDown="1" promptTitle="This can be estimated from fertiliser input data" sqref="P24:Q24" xr:uid="{00000000-0002-0000-0100-000010000000}">
      <formula1>""</formula1>
      <formula2>0</formula2>
    </dataValidation>
    <dataValidation type="list" allowBlank="1" showInputMessage="1" showErrorMessage="1" sqref="G44" xr:uid="{00000000-0002-0000-0100-000011000000}">
      <formula1>#REF!</formula1>
    </dataValidation>
    <dataValidation allowBlank="1" showInputMessage="1" showErrorMessage="1" prompt="This may be the same as the above fresh product - but will be different in some cases. For example, from oilseed crops you may have 3 tonnes/hectare of fresh product (seed), but 1 tonne/hectare of finished product (oil) after post-harvest processing." sqref="D14" xr:uid="{00000000-0002-0000-0100-000012000000}"/>
    <dataValidation allowBlank="1" showInputMessage="1" showErrorMessage="1" prompt="This is the TOTAL annual production from the area farmed. If the production area is 1 ha, enter the yield per ha. But if you raise (for example) 10 hectares of wheat at 8 tonnes/hectare, enter 80 in the cell to the right and tonnes in the units cell." sqref="D13" xr:uid="{00000000-0002-0000-0100-000013000000}"/>
    <dataValidation allowBlank="1" showInputMessage="1" showErrorMessage="1" prompt="This is the price per unit of the co-product relative to that of the main product. It is done this way to avoid you having to enter any actual prices. For example if you get $100 per ton for your main product and $20 per ton for the co-product enter 0.2" sqref="N11" xr:uid="{00000000-0002-0000-0100-000014000000}"/>
    <dataValidation allowBlank="1" showInputMessage="1" showErrorMessage="1" prompt="This is the total price paid for the co-product relative to that of the main product. It is done this way to avoid you having to enter actual prices. For example if you get $10000 for your main product and $2000 for the co-product enter 0.2 here" sqref="K11" xr:uid="{00000000-0002-0000-0100-000015000000}"/>
    <dataValidation allowBlank="1" showInputMessage="1" showErrorMessage="1" prompt="This is for the main product. If you wish to allocate emissions between several co-products use the option section to the right and check the PAS2050 results tab. If you only wish to consider one product then check the ResultsGraphs tab." sqref="D11" xr:uid="{00000000-0002-0000-0100-000016000000}"/>
    <dataValidation type="list" allowBlank="1" showInputMessage="1" showErrorMessage="1" sqref="E7" xr:uid="{00000000-0002-0000-0100-000017000000}">
      <formula1>$R$27:$R$221</formula1>
    </dataValidation>
    <dataValidation type="list" allowBlank="1" showErrorMessage="1" sqref="F13:F14" xr:uid="{00000000-0002-0000-0100-000018000000}">
      <formula1>$AA$27:$AA$34</formula1>
    </dataValidation>
    <dataValidation type="list" allowBlank="1" showErrorMessage="1" sqref="F12" xr:uid="{00000000-0002-0000-0100-000019000000}">
      <formula1>$AG$28:$AG$30</formula1>
    </dataValidation>
    <dataValidation type="list" allowBlank="1" showInputMessage="1" showErrorMessage="1" sqref="E8" xr:uid="{00000000-0002-0000-0100-00001A000000}">
      <formula1>$AE$28:$AE$30</formula1>
    </dataValidation>
    <dataValidation type="list" allowBlank="1" showInputMessage="1" showErrorMessage="1" sqref="E17" xr:uid="{00000000-0002-0000-0100-00001B000000}">
      <formula1>$AC$33:$AC$35</formula1>
    </dataValidation>
    <dataValidation type="list" allowBlank="1" showInputMessage="1" sqref="F18" xr:uid="{00000000-0002-0000-0100-00001C000000}">
      <formula1>$AB$42:$AB$44</formula1>
    </dataValidation>
  </dataValidations>
  <pageMargins left="0.78749999999999998" right="0.78749999999999998" top="1.0249999999999999" bottom="1.0249999999999999" header="0.78749999999999998" footer="0.78749999999999998"/>
  <pageSetup paperSize="9" orientation="portrait" horizontalDpi="4294967293" r:id="rId1"/>
  <headerFooter>
    <oddHeader>&amp;C&amp;A</oddHeader>
    <oddFooter>&amp;CPage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Q348"/>
  <sheetViews>
    <sheetView workbookViewId="0">
      <pane ySplit="1" topLeftCell="A11" activePane="bottomLeft" state="frozen"/>
      <selection activeCell="E31" sqref="E31"/>
      <selection pane="bottomLeft" activeCell="E19" sqref="E19"/>
    </sheetView>
  </sheetViews>
  <sheetFormatPr defaultColWidth="11.44140625" defaultRowHeight="12.7" x14ac:dyDescent="0.25"/>
  <cols>
    <col min="1" max="1" width="5.44140625" customWidth="1" collapsed="1"/>
    <col min="2" max="2" width="20" customWidth="1" collapsed="1"/>
    <col min="3" max="3" width="1.44140625" customWidth="1" collapsed="1"/>
    <col min="4" max="4" width="21.44140625" customWidth="1" collapsed="1"/>
    <col min="5" max="5" width="26.44140625" customWidth="1" collapsed="1"/>
    <col min="6" max="6" width="14.44140625" customWidth="1" collapsed="1"/>
    <col min="7" max="7" width="18.77734375" customWidth="1" collapsed="1"/>
    <col min="8" max="8" width="14.33203125" customWidth="1" collapsed="1"/>
    <col min="9" max="9" width="14.21875" customWidth="1" collapsed="1"/>
    <col min="10" max="10" width="13.21875" customWidth="1" collapsed="1"/>
    <col min="11" max="11" width="15.21875" customWidth="1" collapsed="1"/>
    <col min="12" max="12" width="1.33203125" customWidth="1" collapsed="1"/>
    <col min="13" max="13" width="16" customWidth="1" collapsed="1"/>
    <col min="14" max="14" width="48" customWidth="1" collapsed="1"/>
    <col min="15" max="15" width="45" customWidth="1" collapsed="1"/>
    <col min="16" max="16" width="21.44140625" customWidth="1" collapsed="1"/>
    <col min="17" max="17" width="27.33203125" customWidth="1" collapsed="1"/>
    <col min="18" max="18" width="23.21875" customWidth="1" collapsed="1"/>
    <col min="19" max="19" width="15.21875" customWidth="1" collapsed="1"/>
    <col min="20" max="20" width="24.6640625" customWidth="1" collapsed="1"/>
    <col min="21" max="21" width="12.77734375" customWidth="1" collapsed="1"/>
    <col min="22" max="22" width="28.44140625" customWidth="1" collapsed="1"/>
    <col min="23" max="23" width="14.6640625" customWidth="1" collapsed="1"/>
    <col min="24" max="24" width="25.44140625" customWidth="1" collapsed="1"/>
    <col min="25" max="25" width="34.33203125" customWidth="1" collapsed="1"/>
    <col min="26" max="26" width="29" customWidth="1" collapsed="1"/>
    <col min="27" max="27" width="19.21875" customWidth="1" collapsed="1"/>
    <col min="28" max="28" width="22.33203125" customWidth="1" collapsed="1"/>
    <col min="29" max="29" width="14" customWidth="1" collapsed="1"/>
    <col min="30" max="30" width="31" customWidth="1" collapsed="1"/>
    <col min="31" max="31" width="16.77734375" customWidth="1" collapsed="1"/>
    <col min="32" max="32" width="14" customWidth="1" collapsed="1"/>
    <col min="33" max="33" width="16" customWidth="1" collapsed="1"/>
    <col min="34" max="34" width="15.77734375" customWidth="1" collapsed="1"/>
    <col min="35" max="42" width="18" customWidth="1" collapsed="1"/>
    <col min="43" max="43" width="26.33203125" customWidth="1" collapsed="1"/>
    <col min="44" max="44" width="22.21875" customWidth="1" collapsed="1"/>
    <col min="45" max="45" width="15.44140625" customWidth="1" collapsed="1"/>
    <col min="49" max="49" width="15.77734375" customWidth="1" collapsed="1"/>
    <col min="57" max="57" width="25" customWidth="1" collapsed="1"/>
    <col min="58" max="58" width="46.6640625" customWidth="1" collapsed="1"/>
    <col min="60" max="60" width="18.33203125" customWidth="1" collapsed="1"/>
    <col min="61" max="61" width="8" customWidth="1" collapsed="1"/>
    <col min="72" max="72" width="23.44140625" customWidth="1" collapsed="1"/>
  </cols>
  <sheetData>
    <row r="1" spans="1:95" ht="104.25" customHeight="1" x14ac:dyDescent="0.25">
      <c r="A1" s="149"/>
      <c r="B1" s="149"/>
      <c r="C1" s="149"/>
      <c r="D1" s="149"/>
      <c r="E1" s="149"/>
      <c r="F1" s="149"/>
      <c r="G1" s="149"/>
      <c r="H1" s="149"/>
      <c r="I1" s="149"/>
      <c r="J1" s="149"/>
      <c r="K1" s="149"/>
      <c r="L1" s="149"/>
      <c r="M1" s="149"/>
      <c r="N1" s="149" t="s">
        <v>2066</v>
      </c>
      <c r="O1" s="149"/>
      <c r="P1" s="149"/>
      <c r="Q1" s="149"/>
      <c r="R1" s="149"/>
      <c r="S1" s="149"/>
      <c r="T1" s="149"/>
      <c r="U1" s="149"/>
      <c r="V1" s="149"/>
      <c r="W1" s="149"/>
      <c r="X1" s="149"/>
      <c r="Y1" s="149"/>
      <c r="Z1" s="149"/>
      <c r="AA1" s="149"/>
      <c r="AB1" s="149"/>
      <c r="AC1" s="149"/>
      <c r="AD1" s="149"/>
      <c r="AE1" s="149"/>
      <c r="AF1" s="149"/>
      <c r="AG1" s="149"/>
      <c r="AH1" s="149"/>
      <c r="AI1" s="149"/>
      <c r="AJ1" s="149"/>
      <c r="AK1" s="149"/>
      <c r="AL1" s="149"/>
      <c r="AM1" s="149"/>
      <c r="AN1" s="149"/>
      <c r="AO1" s="149"/>
      <c r="AP1" s="149"/>
      <c r="AQ1" s="149"/>
      <c r="AR1" s="149"/>
      <c r="AS1" s="149"/>
      <c r="AT1" s="149"/>
      <c r="AU1" s="149"/>
      <c r="AV1" s="149"/>
      <c r="AW1" s="149"/>
      <c r="AX1" s="149"/>
      <c r="AY1" s="149"/>
      <c r="AZ1" s="149"/>
      <c r="BA1" s="149"/>
      <c r="BB1" s="149"/>
      <c r="BC1" s="149"/>
      <c r="BD1" s="149"/>
      <c r="BE1" s="149"/>
      <c r="BF1" s="149"/>
      <c r="BG1" s="149"/>
      <c r="BH1" s="149"/>
      <c r="BI1" s="149"/>
      <c r="BJ1" s="149"/>
      <c r="BK1" s="149"/>
      <c r="BL1" s="149"/>
      <c r="BM1" s="149"/>
      <c r="BN1" s="149"/>
      <c r="BO1" s="149"/>
      <c r="BP1" s="149"/>
      <c r="BQ1" s="149"/>
      <c r="BR1" s="149"/>
      <c r="BS1" s="149"/>
      <c r="BT1" s="149"/>
      <c r="BU1" s="149"/>
      <c r="BV1" s="149"/>
      <c r="BW1" s="149"/>
      <c r="BX1" s="181"/>
      <c r="BY1" s="181"/>
      <c r="BZ1" s="181"/>
      <c r="CA1" s="181"/>
      <c r="CB1" s="181"/>
      <c r="CC1" s="181"/>
      <c r="CD1" s="181"/>
      <c r="CE1" s="181"/>
      <c r="CF1" s="181"/>
      <c r="CG1" s="181"/>
      <c r="CH1" s="181"/>
      <c r="CI1" s="181"/>
      <c r="CJ1" s="181"/>
      <c r="CK1" s="181"/>
      <c r="CL1" s="181"/>
      <c r="CM1" s="181"/>
      <c r="CN1" s="181"/>
      <c r="CO1" s="181"/>
      <c r="CP1" s="181"/>
      <c r="CQ1" s="181"/>
    </row>
    <row r="2" spans="1:95" ht="7.5" customHeight="1" x14ac:dyDescent="0.25">
      <c r="A2" s="149"/>
      <c r="B2" s="2263"/>
      <c r="C2" s="2263"/>
      <c r="D2" s="2263"/>
      <c r="E2" s="2263"/>
      <c r="F2" s="2263"/>
      <c r="G2" s="2263"/>
      <c r="H2" s="2263"/>
      <c r="I2" s="2263"/>
      <c r="J2" s="2263"/>
      <c r="K2" s="399"/>
      <c r="L2" s="399"/>
      <c r="M2" s="39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2"/>
    </row>
    <row r="3" spans="1:95" ht="16.600000000000001" customHeight="1" thickBot="1" x14ac:dyDescent="0.3">
      <c r="A3" s="149"/>
      <c r="B3" s="2275"/>
      <c r="C3" s="2263"/>
      <c r="D3" s="2263"/>
      <c r="E3" s="2263"/>
      <c r="F3" s="2263"/>
      <c r="G3" s="2263"/>
      <c r="H3" s="2263"/>
      <c r="I3" s="2263"/>
      <c r="J3" s="2263"/>
      <c r="K3" s="854"/>
      <c r="L3" s="854"/>
      <c r="M3" s="855" t="s">
        <v>1222</v>
      </c>
      <c r="N3" s="149"/>
      <c r="O3" s="149"/>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row>
    <row r="4" spans="1:95" ht="10.55" customHeight="1" x14ac:dyDescent="0.25">
      <c r="A4" s="166"/>
      <c r="B4" s="1086"/>
      <c r="C4" s="167"/>
      <c r="D4" s="647"/>
      <c r="E4" s="169"/>
      <c r="F4" s="169"/>
      <c r="G4" s="169"/>
      <c r="H4" s="346"/>
      <c r="I4" s="1082"/>
      <c r="J4" s="1082"/>
      <c r="K4" s="169"/>
      <c r="L4" s="170"/>
      <c r="M4" s="1091"/>
      <c r="N4" s="193"/>
      <c r="O4" s="193"/>
      <c r="P4" s="193"/>
      <c r="Q4" s="193"/>
      <c r="R4" s="193"/>
      <c r="S4" s="173"/>
      <c r="T4" s="2"/>
      <c r="U4" s="2"/>
      <c r="V4" s="166"/>
      <c r="W4" s="149"/>
      <c r="X4" s="243"/>
      <c r="Y4" s="243"/>
      <c r="Z4" s="2"/>
      <c r="AA4" s="2"/>
      <c r="AB4" s="2"/>
      <c r="AC4" s="2"/>
      <c r="AD4" s="149"/>
      <c r="AE4" s="149"/>
      <c r="AF4" s="2"/>
      <c r="AG4" s="149"/>
      <c r="AH4" s="149"/>
      <c r="AI4" s="149"/>
      <c r="AJ4" s="149"/>
      <c r="AK4" s="149"/>
      <c r="AL4" s="149"/>
      <c r="AM4" s="149"/>
      <c r="AN4" s="149"/>
      <c r="AO4" s="149"/>
      <c r="AP4" s="2"/>
      <c r="AQ4" s="2"/>
      <c r="AR4" s="2"/>
      <c r="AS4" s="2"/>
      <c r="AT4" s="2"/>
      <c r="AU4" s="2"/>
      <c r="AV4" s="2"/>
      <c r="AW4" s="2"/>
      <c r="AX4" s="2"/>
      <c r="AY4" s="2"/>
      <c r="AZ4" s="2"/>
      <c r="BA4" s="2"/>
      <c r="BB4" s="2"/>
      <c r="BC4" s="2"/>
      <c r="BD4" s="2"/>
      <c r="BE4" s="1632"/>
      <c r="BF4" s="1524"/>
      <c r="BG4" s="1524"/>
      <c r="BH4" s="2288" t="s">
        <v>1220</v>
      </c>
      <c r="BI4" s="2288"/>
      <c r="BJ4" s="2288"/>
      <c r="BK4" s="2288"/>
      <c r="BL4" s="2288"/>
      <c r="BM4" s="2288"/>
      <c r="BN4" s="2288"/>
      <c r="BO4" s="1127"/>
      <c r="BP4" s="1127"/>
      <c r="BQ4" s="1127"/>
      <c r="BR4" s="1127"/>
      <c r="BS4" s="1127"/>
      <c r="BT4" s="1127"/>
      <c r="BU4" s="1128"/>
      <c r="BV4" s="2"/>
      <c r="BW4" s="2"/>
    </row>
    <row r="5" spans="1:95" ht="27.1" customHeight="1" x14ac:dyDescent="0.25">
      <c r="A5" s="166"/>
      <c r="B5" s="1087" t="s">
        <v>1558</v>
      </c>
      <c r="C5" s="195"/>
      <c r="D5" s="1223" t="s">
        <v>850</v>
      </c>
      <c r="E5" s="1195" t="s">
        <v>1451</v>
      </c>
      <c r="F5" s="197"/>
      <c r="G5" s="1585" t="str">
        <f>IF($R$72=1,R76,"Rice only")</f>
        <v>Rice only</v>
      </c>
      <c r="H5" s="1193" t="str">
        <f>IF(ISBLANK(Import!D284),IF(R72=1,"Enter period",U72), Import!D284)</f>
        <v>Rice</v>
      </c>
      <c r="I5" s="197"/>
      <c r="J5" s="197"/>
      <c r="K5" s="197"/>
      <c r="L5" s="199"/>
      <c r="M5" s="1092"/>
      <c r="N5" s="171"/>
      <c r="O5" s="171"/>
      <c r="P5" s="171"/>
      <c r="Q5" s="193"/>
      <c r="R5" s="193"/>
      <c r="S5" s="173"/>
      <c r="T5" s="2"/>
      <c r="U5" s="2"/>
      <c r="V5" s="166"/>
      <c r="W5" s="149"/>
      <c r="X5" s="149"/>
      <c r="Y5" s="149"/>
      <c r="Z5" s="243"/>
      <c r="AA5" s="243"/>
      <c r="AB5" s="243"/>
      <c r="AC5" s="243"/>
      <c r="AD5" s="200"/>
      <c r="AE5" s="149"/>
      <c r="AF5" s="2"/>
      <c r="AG5" s="149"/>
      <c r="AH5" s="149"/>
      <c r="AI5" s="149"/>
      <c r="AJ5" s="149"/>
      <c r="AK5" s="149"/>
      <c r="AL5" s="149"/>
      <c r="AM5" s="149"/>
      <c r="AN5" s="149"/>
      <c r="AO5" s="149"/>
      <c r="AP5" s="149"/>
      <c r="AQ5" s="149"/>
      <c r="AR5" s="149"/>
      <c r="AS5" s="149"/>
      <c r="AT5" s="149"/>
      <c r="AU5" s="149"/>
      <c r="AV5" s="149"/>
      <c r="AW5" s="149"/>
      <c r="AX5" s="149"/>
      <c r="AY5" s="149"/>
      <c r="AZ5" s="149"/>
      <c r="BA5" s="149"/>
      <c r="BB5" s="149"/>
      <c r="BC5" s="149"/>
      <c r="BD5" s="149"/>
      <c r="BE5" s="1129"/>
      <c r="BF5" s="188"/>
      <c r="BG5" s="188"/>
      <c r="BH5" s="2289"/>
      <c r="BI5" s="2289"/>
      <c r="BJ5" s="2289"/>
      <c r="BK5" s="2289"/>
      <c r="BL5" s="2289"/>
      <c r="BM5" s="2289"/>
      <c r="BN5" s="2289"/>
      <c r="BO5" s="188"/>
      <c r="BP5" s="188"/>
      <c r="BQ5" s="188"/>
      <c r="BR5" s="188"/>
      <c r="BS5" s="188"/>
      <c r="BT5" s="188"/>
      <c r="BU5" s="1130"/>
      <c r="BV5" s="149"/>
      <c r="BW5" s="2"/>
      <c r="CM5" s="149"/>
      <c r="CN5" s="149"/>
      <c r="CO5" s="149"/>
      <c r="CP5" s="149"/>
      <c r="CQ5" s="149"/>
    </row>
    <row r="6" spans="1:95" ht="29.25" customHeight="1" x14ac:dyDescent="0.25">
      <c r="A6" s="166"/>
      <c r="B6" s="1087"/>
      <c r="C6" s="195"/>
      <c r="D6" s="196"/>
      <c r="E6" s="172"/>
      <c r="F6" s="197"/>
      <c r="G6" s="1585" t="str">
        <f>IF($R$72=1,R77,"")</f>
        <v/>
      </c>
      <c r="H6" s="1184" t="str">
        <f>IF(ISBLANK(Import!D285),IF(R72=1,AA86,U72),Import!D285)</f>
        <v>Rice</v>
      </c>
      <c r="I6" s="197"/>
      <c r="J6" s="197"/>
      <c r="K6" s="197"/>
      <c r="L6" s="199"/>
      <c r="M6" s="1092"/>
      <c r="N6" s="166"/>
      <c r="O6" s="166"/>
      <c r="P6" s="166"/>
      <c r="Q6" s="193"/>
      <c r="R6" s="193"/>
      <c r="S6" s="173"/>
      <c r="T6" s="171"/>
      <c r="U6" s="243"/>
      <c r="V6" s="166"/>
      <c r="W6" s="149"/>
      <c r="X6" s="149"/>
      <c r="Y6" s="149"/>
      <c r="Z6" s="243"/>
      <c r="AA6" s="243"/>
      <c r="AB6" s="243"/>
      <c r="AC6" s="243"/>
      <c r="AD6" s="200"/>
      <c r="AE6" s="149"/>
      <c r="AF6" s="2"/>
      <c r="AG6" s="149"/>
      <c r="AH6" s="149"/>
      <c r="AI6" s="149"/>
      <c r="AJ6" s="149"/>
      <c r="AK6" s="149"/>
      <c r="AL6" s="149"/>
      <c r="AM6" s="149"/>
      <c r="AN6" s="149"/>
      <c r="AO6" s="149"/>
      <c r="AP6" s="149"/>
      <c r="AQ6" s="149"/>
      <c r="AR6" s="149"/>
      <c r="AS6" s="149"/>
      <c r="AT6" s="149"/>
      <c r="AU6" s="149"/>
      <c r="AV6" s="149"/>
      <c r="AW6" s="149"/>
      <c r="AX6" s="166"/>
      <c r="AY6" s="166"/>
      <c r="AZ6" s="166"/>
      <c r="BA6" s="166"/>
      <c r="BB6" s="166"/>
      <c r="BC6" s="166"/>
      <c r="BD6" s="166"/>
      <c r="BE6" s="1129"/>
      <c r="BF6" s="188"/>
      <c r="BG6" s="1523"/>
      <c r="BH6" s="188"/>
      <c r="BI6" s="188"/>
      <c r="BJ6" s="188"/>
      <c r="BK6" s="188"/>
      <c r="BL6" s="188"/>
      <c r="BM6" s="188"/>
      <c r="BN6" s="188"/>
      <c r="BO6" s="188"/>
      <c r="BP6" s="188"/>
      <c r="BQ6" s="188"/>
      <c r="BR6" s="188"/>
      <c r="BS6" s="188"/>
      <c r="BT6" s="188"/>
      <c r="BU6" s="1130"/>
      <c r="BV6" s="2"/>
      <c r="BW6" s="2"/>
    </row>
    <row r="7" spans="1:95" ht="28.55" customHeight="1" thickBot="1" x14ac:dyDescent="0.3">
      <c r="A7" s="166"/>
      <c r="B7" s="1087"/>
      <c r="C7" s="1089"/>
      <c r="D7" s="181"/>
      <c r="E7" s="172"/>
      <c r="F7" s="197"/>
      <c r="G7" s="1585" t="str">
        <f>IF($R$72=1,R78,"")</f>
        <v/>
      </c>
      <c r="H7" s="1184" t="str">
        <f>IF(ISBLANK(Import!D286),IF(R72=1,AA75,U72),Import!D286)</f>
        <v>Rice</v>
      </c>
      <c r="I7" s="197"/>
      <c r="J7" s="197"/>
      <c r="K7" s="197"/>
      <c r="L7" s="199"/>
      <c r="M7" s="1092"/>
      <c r="N7" s="166"/>
      <c r="O7" s="166"/>
      <c r="P7" s="166"/>
      <c r="Q7" s="193"/>
      <c r="R7" s="193"/>
      <c r="S7" s="173"/>
      <c r="T7" s="2"/>
      <c r="U7" s="2"/>
      <c r="V7" s="2"/>
      <c r="W7" s="2"/>
      <c r="X7" s="2"/>
      <c r="Y7" s="2"/>
      <c r="Z7" s="2"/>
      <c r="AA7" s="2"/>
      <c r="AB7" s="2"/>
      <c r="AC7" s="243"/>
      <c r="AD7" s="200"/>
      <c r="AE7" s="149"/>
      <c r="AF7" s="2"/>
      <c r="AG7" s="149"/>
      <c r="AH7" s="149"/>
      <c r="AI7" s="149"/>
      <c r="AJ7" s="149"/>
      <c r="AK7" s="149"/>
      <c r="AL7" s="149"/>
      <c r="AM7" s="149"/>
      <c r="AN7" s="149"/>
      <c r="AO7" s="149"/>
      <c r="AP7" s="149"/>
      <c r="AQ7" s="149"/>
      <c r="AR7" s="149"/>
      <c r="AS7" s="149"/>
      <c r="AT7" s="149"/>
      <c r="AU7" s="149"/>
      <c r="AV7" s="149"/>
      <c r="AW7" s="149"/>
      <c r="AX7" s="166"/>
      <c r="AY7" s="166"/>
      <c r="AZ7" s="166"/>
      <c r="BA7" s="166"/>
      <c r="BB7" s="166"/>
      <c r="BC7" s="166"/>
      <c r="BD7" s="166"/>
      <c r="BE7" s="1129"/>
      <c r="BF7" s="188"/>
      <c r="BG7" s="1523"/>
      <c r="BH7" s="188"/>
      <c r="BI7" s="188"/>
      <c r="BJ7" s="188"/>
      <c r="BK7" s="188"/>
      <c r="BL7" s="188"/>
      <c r="BM7" s="188"/>
      <c r="BN7" s="188"/>
      <c r="BO7" s="188"/>
      <c r="BP7" s="188" t="b">
        <f>IF('1.GeneralInfo'!E7&lt;&gt;"[Select]",IF('1.GeneralInfo'!E7&lt;&gt;"",TRUE,FALSE),FALSE)</f>
        <v>1</v>
      </c>
      <c r="BQ7" s="188"/>
      <c r="BR7" s="188"/>
      <c r="BS7" s="188"/>
      <c r="BT7" s="188"/>
      <c r="BU7" s="1130"/>
      <c r="BV7" s="2"/>
      <c r="BW7" s="2"/>
    </row>
    <row r="8" spans="1:95" ht="15" customHeight="1" thickBot="1" x14ac:dyDescent="0.3">
      <c r="A8" s="166"/>
      <c r="B8" s="1084"/>
      <c r="C8" s="209"/>
      <c r="D8" s="186"/>
      <c r="E8" s="186"/>
      <c r="F8" s="186"/>
      <c r="G8" s="186"/>
      <c r="H8" s="186"/>
      <c r="I8" s="186"/>
      <c r="J8" s="186"/>
      <c r="K8" s="186"/>
      <c r="L8" s="227"/>
      <c r="M8" s="356"/>
      <c r="N8" s="171"/>
      <c r="O8" s="2296" t="s">
        <v>1149</v>
      </c>
      <c r="P8" s="2297"/>
      <c r="Q8" s="2297"/>
      <c r="R8" s="2301"/>
      <c r="S8" s="1623"/>
      <c r="T8" s="1524"/>
      <c r="U8" s="1524"/>
      <c r="V8" s="1524"/>
      <c r="W8" s="1524"/>
      <c r="X8" s="1524"/>
      <c r="Y8" s="1524"/>
      <c r="Z8" s="1727" t="s">
        <v>864</v>
      </c>
      <c r="AA8" s="1728" t="s">
        <v>865</v>
      </c>
      <c r="AB8" s="1728" t="s">
        <v>1169</v>
      </c>
      <c r="AC8" s="1729" t="s">
        <v>425</v>
      </c>
      <c r="AD8" s="1127"/>
      <c r="AE8" s="1127"/>
      <c r="AF8" s="1524"/>
      <c r="AG8" s="1127"/>
      <c r="AH8" s="1127"/>
      <c r="AI8" s="1127"/>
      <c r="AJ8" s="1127"/>
      <c r="AK8" s="1127"/>
      <c r="AL8" s="1127"/>
      <c r="AM8" s="1127"/>
      <c r="AN8" s="1127"/>
      <c r="AO8" s="1128"/>
      <c r="AP8" s="2"/>
      <c r="AQ8" s="2"/>
      <c r="AR8" s="2"/>
      <c r="AS8" s="2"/>
      <c r="AT8" s="2"/>
      <c r="AU8" s="2"/>
      <c r="AV8" s="2"/>
      <c r="AW8" s="2"/>
      <c r="AX8" s="2"/>
      <c r="AY8" s="2"/>
      <c r="AZ8" s="2"/>
      <c r="BA8" s="2"/>
      <c r="BB8" s="2"/>
      <c r="BC8" s="2"/>
      <c r="BD8" s="2"/>
      <c r="BE8" s="1633"/>
      <c r="BF8" s="1523"/>
      <c r="BG8" s="1523"/>
      <c r="BH8" s="188"/>
      <c r="BI8" s="188"/>
      <c r="BJ8" s="188"/>
      <c r="BK8" s="188"/>
      <c r="BL8" s="188"/>
      <c r="BM8" s="188"/>
      <c r="BN8" s="188"/>
      <c r="BO8" s="188"/>
      <c r="BP8" s="188"/>
      <c r="BQ8" s="188"/>
      <c r="BR8" s="188"/>
      <c r="BS8" s="188"/>
      <c r="BT8" s="188"/>
      <c r="BU8" s="1130"/>
      <c r="BV8" s="2"/>
      <c r="BW8" s="2"/>
    </row>
    <row r="9" spans="1:95" ht="15" customHeight="1" thickBot="1" x14ac:dyDescent="0.3">
      <c r="A9" s="166"/>
      <c r="B9" s="1085"/>
      <c r="C9" s="213"/>
      <c r="D9" s="493"/>
      <c r="E9" s="493"/>
      <c r="F9" s="493"/>
      <c r="G9" s="493"/>
      <c r="H9" s="493"/>
      <c r="I9" s="493"/>
      <c r="J9" s="493"/>
      <c r="K9" s="493"/>
      <c r="L9" s="561"/>
      <c r="M9" s="386"/>
      <c r="N9" s="193"/>
      <c r="O9" s="2298"/>
      <c r="P9" s="2299"/>
      <c r="Q9" s="2299"/>
      <c r="R9" s="2302"/>
      <c r="S9" s="187"/>
      <c r="T9" s="1701" t="s">
        <v>1261</v>
      </c>
      <c r="U9" s="1732"/>
      <c r="V9" s="188"/>
      <c r="W9" s="188"/>
      <c r="X9" s="187"/>
      <c r="Y9" s="1745" t="s">
        <v>1354</v>
      </c>
      <c r="Z9" s="1752">
        <v>-0.41399999999999998</v>
      </c>
      <c r="AA9" s="1753">
        <v>-1.5269999999999999</v>
      </c>
      <c r="AB9" s="1753">
        <v>0</v>
      </c>
      <c r="AC9" s="1754"/>
      <c r="AD9" s="1621"/>
      <c r="AE9" s="188"/>
      <c r="AF9" s="1523"/>
      <c r="AG9" s="188"/>
      <c r="AH9" s="188"/>
      <c r="AI9" s="188"/>
      <c r="AJ9" s="188"/>
      <c r="AK9" s="188"/>
      <c r="AL9" s="188"/>
      <c r="AM9" s="188"/>
      <c r="AN9" s="188"/>
      <c r="AO9" s="1130"/>
      <c r="AP9" s="2"/>
      <c r="AQ9" s="2"/>
      <c r="AR9" s="2"/>
      <c r="AS9" s="2"/>
      <c r="AT9" s="2"/>
      <c r="AU9" s="2"/>
      <c r="AV9" s="2"/>
      <c r="AW9" s="2"/>
      <c r="AX9" s="2"/>
      <c r="AY9" s="2"/>
      <c r="AZ9" s="2"/>
      <c r="BA9" s="2"/>
      <c r="BB9" s="2"/>
      <c r="BC9" s="2"/>
      <c r="BD9" s="2"/>
      <c r="BE9" s="1633"/>
      <c r="BF9" s="1523"/>
      <c r="BG9" s="1523"/>
      <c r="BH9" s="188"/>
      <c r="BI9" s="188" t="b">
        <f>IF('1.GeneralInfo'!E12&lt;&gt;"",TRUE)</f>
        <v>1</v>
      </c>
      <c r="BJ9" s="188" t="b">
        <f>IF('1.GeneralInfo'!F12&lt;&gt;"",TRUE)</f>
        <v>1</v>
      </c>
      <c r="BK9" s="188"/>
      <c r="BL9" s="188"/>
      <c r="BM9" s="188"/>
      <c r="BN9" s="188"/>
      <c r="BO9" s="188"/>
      <c r="BP9" s="188" t="b">
        <f>IF(BI9,IF(BJ9,TRUE,FALSE),IF(BJ9=FALSE,TRUE,FALSE))</f>
        <v>1</v>
      </c>
      <c r="BQ9" s="188"/>
      <c r="BR9" s="188"/>
      <c r="BS9" s="188"/>
      <c r="BT9" s="188"/>
      <c r="BU9" s="1130"/>
      <c r="BV9" s="2"/>
      <c r="BW9" s="2"/>
    </row>
    <row r="10" spans="1:95" ht="16.600000000000001" customHeight="1" x14ac:dyDescent="0.25">
      <c r="A10" s="166"/>
      <c r="B10" s="1088"/>
      <c r="C10" s="209"/>
      <c r="D10" s="1064"/>
      <c r="E10" s="194"/>
      <c r="F10" s="194"/>
      <c r="G10" s="194"/>
      <c r="H10" s="194"/>
      <c r="I10" s="194"/>
      <c r="J10" s="194"/>
      <c r="K10" s="194"/>
      <c r="L10" s="210"/>
      <c r="M10" s="1093"/>
      <c r="N10" s="211"/>
      <c r="O10" s="2298"/>
      <c r="P10" s="2299"/>
      <c r="Q10" s="2299"/>
      <c r="R10" s="2302"/>
      <c r="S10" s="187"/>
      <c r="T10" s="1701" t="str">
        <f xml:space="preserve"> '1.GeneralInfo'!E17 &amp; "-" &amp; E14</f>
        <v>Temperate-Moist</v>
      </c>
      <c r="U10" s="1732"/>
      <c r="V10" s="188"/>
      <c r="W10" s="188"/>
      <c r="X10" s="1742" t="s">
        <v>1145</v>
      </c>
      <c r="Y10" s="1740">
        <f>SUMIF(BB154:BB158,T10,BC154:BC158)</f>
        <v>1</v>
      </c>
      <c r="Z10" s="1755">
        <f ca="1">OFFSET('A1. Submodels &amp; data'!B73,0,Y10)</f>
        <v>0</v>
      </c>
      <c r="AA10" s="1756">
        <f ca="1">OFFSET('A1. Submodels &amp; data'!B82,0,Y10)</f>
        <v>0</v>
      </c>
      <c r="AB10" s="1756">
        <f ca="1">OFFSET('A1. Submodels &amp; data'!B91,0,Y10)</f>
        <v>-0.40200000000000002</v>
      </c>
      <c r="AC10" s="1754"/>
      <c r="AD10" s="1621"/>
      <c r="AE10" s="188"/>
      <c r="AF10" s="1523"/>
      <c r="AG10" s="188"/>
      <c r="AH10" s="188"/>
      <c r="AI10" s="188"/>
      <c r="AJ10" s="188"/>
      <c r="AK10" s="188"/>
      <c r="AL10" s="188"/>
      <c r="AM10" s="188"/>
      <c r="AN10" s="188"/>
      <c r="AO10" s="1130"/>
      <c r="AP10" s="2"/>
      <c r="AQ10" s="2"/>
      <c r="AR10" s="2"/>
      <c r="AS10" s="2"/>
      <c r="AT10" s="2"/>
      <c r="AU10" s="2"/>
      <c r="AV10" s="2"/>
      <c r="AW10" s="2"/>
      <c r="AX10" s="2"/>
      <c r="AY10" s="2"/>
      <c r="AZ10" s="2"/>
      <c r="BA10" s="2"/>
      <c r="BB10" s="2"/>
      <c r="BC10" s="2"/>
      <c r="BD10" s="2"/>
      <c r="BE10" s="1633"/>
      <c r="BF10" s="1523"/>
      <c r="BG10" s="1523"/>
      <c r="BH10" s="188"/>
      <c r="BI10" s="188" t="b">
        <f>IF('1.GeneralInfo'!E13&lt;&gt;"",TRUE)</f>
        <v>0</v>
      </c>
      <c r="BJ10" s="188" t="b">
        <f>IF('1.GeneralInfo'!F13&lt;&gt;"",TRUE)</f>
        <v>0</v>
      </c>
      <c r="BK10" s="188"/>
      <c r="BL10" s="188"/>
      <c r="BM10" s="188"/>
      <c r="BN10" s="188"/>
      <c r="BO10" s="188"/>
      <c r="BP10" s="188" t="b">
        <f>IF(BI10,IF(BJ10,TRUE,FALSE),IF(BJ10=FALSE,TRUE,FALSE))</f>
        <v>1</v>
      </c>
      <c r="BQ10" s="188"/>
      <c r="BR10" s="188"/>
      <c r="BS10" s="188"/>
      <c r="BT10" s="188"/>
      <c r="BU10" s="1130"/>
      <c r="BV10" s="2"/>
      <c r="BW10" s="2"/>
    </row>
    <row r="11" spans="1:95" ht="10.55" customHeight="1" x14ac:dyDescent="0.25">
      <c r="A11" s="166"/>
      <c r="B11" s="2279" t="s">
        <v>364</v>
      </c>
      <c r="C11" s="216"/>
      <c r="D11" s="217"/>
      <c r="E11" s="197"/>
      <c r="F11" s="197"/>
      <c r="G11" s="197"/>
      <c r="H11" s="197"/>
      <c r="I11" s="197"/>
      <c r="J11" s="197"/>
      <c r="K11" s="197"/>
      <c r="L11" s="199"/>
      <c r="M11" s="1092"/>
      <c r="N11" s="166"/>
      <c r="O11" s="2298"/>
      <c r="P11" s="2299"/>
      <c r="Q11" s="2299"/>
      <c r="R11" s="2302"/>
      <c r="S11" s="187"/>
      <c r="T11" s="187"/>
      <c r="U11" s="1732"/>
      <c r="V11" s="188"/>
      <c r="W11" s="188"/>
      <c r="X11" s="1743" t="s">
        <v>1558</v>
      </c>
      <c r="Y11" s="1738">
        <f ca="1">SUMIF(BB166:BB171,OFFSET(AU200,SUMIF(AS200:AS231,E5,AR200:AR231),0),BC166:BC171)</f>
        <v>4</v>
      </c>
      <c r="Z11" s="1755">
        <f ca="1">OFFSET('A1. Submodels &amp; data'!B67,0,Y11)</f>
        <v>0</v>
      </c>
      <c r="AA11" s="1756">
        <f ca="1">OFFSET('A1. Submodels &amp; data'!B76,0,Y11)</f>
        <v>0</v>
      </c>
      <c r="AB11" s="1756">
        <f ca="1">OFFSET('A1. Submodels &amp; data'!B85,0,Y11)</f>
        <v>-4.4999999999999998E-2</v>
      </c>
      <c r="AC11" s="1757"/>
      <c r="AD11" s="1621"/>
      <c r="AE11" s="188"/>
      <c r="AF11" s="1523"/>
      <c r="AG11" s="188"/>
      <c r="AH11" s="188"/>
      <c r="AI11" s="188"/>
      <c r="AJ11" s="188"/>
      <c r="AK11" s="188"/>
      <c r="AL11" s="188"/>
      <c r="AM11" s="188"/>
      <c r="AN11" s="188"/>
      <c r="AO11" s="1130"/>
      <c r="AP11" s="2"/>
      <c r="AQ11" s="2"/>
      <c r="AR11" s="2"/>
      <c r="AS11" s="2"/>
      <c r="AT11" s="2"/>
      <c r="AU11" s="2"/>
      <c r="AV11" s="2"/>
      <c r="AW11" s="2"/>
      <c r="AX11" s="2"/>
      <c r="AY11" s="2"/>
      <c r="AZ11" s="2"/>
      <c r="BA11" s="2"/>
      <c r="BB11" s="2"/>
      <c r="BC11" s="2"/>
      <c r="BD11" s="2"/>
      <c r="BE11" s="1633"/>
      <c r="BF11" s="1523"/>
      <c r="BG11" s="1523"/>
      <c r="BH11" s="188"/>
      <c r="BI11" s="188" t="b">
        <f>IF('1.GeneralInfo'!E14&lt;&gt;"",TRUE)</f>
        <v>1</v>
      </c>
      <c r="BJ11" s="188" t="b">
        <f ca="1">IF('1.GeneralInfo'!F14&lt;&gt;"",TRUE)</f>
        <v>1</v>
      </c>
      <c r="BK11" s="188"/>
      <c r="BL11" s="188"/>
      <c r="BM11" s="188"/>
      <c r="BN11" s="188"/>
      <c r="BO11" s="188"/>
      <c r="BP11" s="188" t="b">
        <f ca="1">IF(BI11,IF(BJ11,TRUE,FALSE),IF(BJ11=FALSE,TRUE,FALSE))</f>
        <v>1</v>
      </c>
      <c r="BQ11" s="188"/>
      <c r="BR11" s="188"/>
      <c r="BS11" s="188"/>
      <c r="BT11" s="188"/>
      <c r="BU11" s="1130"/>
      <c r="BV11" s="2"/>
      <c r="BW11" s="2"/>
    </row>
    <row r="12" spans="1:95" ht="18.75" customHeight="1" thickBot="1" x14ac:dyDescent="0.3">
      <c r="A12" s="166"/>
      <c r="B12" s="2279"/>
      <c r="C12" s="216"/>
      <c r="D12" s="1224" t="s">
        <v>851</v>
      </c>
      <c r="E12" s="1194" t="s">
        <v>1448</v>
      </c>
      <c r="F12" s="197"/>
      <c r="G12" s="197"/>
      <c r="H12" s="186"/>
      <c r="I12" s="197"/>
      <c r="J12" s="197"/>
      <c r="K12" s="197"/>
      <c r="L12" s="199"/>
      <c r="M12" s="1092"/>
      <c r="N12" s="171"/>
      <c r="O12" s="2303"/>
      <c r="P12" s="2304"/>
      <c r="Q12" s="2304"/>
      <c r="R12" s="2305"/>
      <c r="S12" s="187"/>
      <c r="T12" s="187"/>
      <c r="U12" s="1732"/>
      <c r="V12" s="188"/>
      <c r="W12" s="188"/>
      <c r="X12" s="1743" t="s">
        <v>1146</v>
      </c>
      <c r="Y12" s="1738">
        <f>IF(SUMIF(BF190:BF193,E12,BH190:BH193)&gt;0,SUMIF(BF190:BF193,E12,BH190:BH193),0)</f>
        <v>2</v>
      </c>
      <c r="Z12" s="1755">
        <f ca="1">OFFSET('A1. Submodels &amp; data'!B68,0,Y12)</f>
        <v>-0.47199999999999998</v>
      </c>
      <c r="AA12" s="1756">
        <f ca="1">OFFSET('A1. Submodels &amp; data'!B77,0,Y12)</f>
        <v>0</v>
      </c>
      <c r="AB12" s="1756">
        <f ca="1">OFFSET('A1. Submodels &amp; data'!B86,0,Y12)</f>
        <v>0</v>
      </c>
      <c r="AC12" s="1757"/>
      <c r="AD12" s="1621"/>
      <c r="AE12" s="188"/>
      <c r="AF12" s="188"/>
      <c r="AG12" s="188"/>
      <c r="AH12" s="188"/>
      <c r="AI12" s="188"/>
      <c r="AJ12" s="188"/>
      <c r="AK12" s="188"/>
      <c r="AL12" s="188"/>
      <c r="AM12" s="188"/>
      <c r="AN12" s="188"/>
      <c r="AO12" s="1130"/>
      <c r="AP12" s="2"/>
      <c r="AQ12" s="2"/>
      <c r="AR12" s="2"/>
      <c r="AS12" s="2"/>
      <c r="AT12" s="2"/>
      <c r="AU12" s="2"/>
      <c r="AV12" s="2"/>
      <c r="AW12" s="2"/>
      <c r="AX12" s="2"/>
      <c r="AY12" s="2"/>
      <c r="AZ12" s="2"/>
      <c r="BA12" s="2"/>
      <c r="BB12" s="2"/>
      <c r="BC12" s="2"/>
      <c r="BD12" s="2"/>
      <c r="BE12" s="1633"/>
      <c r="BF12" s="1523"/>
      <c r="BG12" s="1523"/>
      <c r="BH12" s="188"/>
      <c r="BI12" s="188"/>
      <c r="BJ12" s="188"/>
      <c r="BK12" s="188"/>
      <c r="BL12" s="188"/>
      <c r="BM12" s="188"/>
      <c r="BN12" s="188"/>
      <c r="BO12" s="188"/>
      <c r="BP12" s="188"/>
      <c r="BQ12" s="188"/>
      <c r="BR12" s="188"/>
      <c r="BS12" s="188"/>
      <c r="BT12" s="188"/>
      <c r="BU12" s="1130"/>
      <c r="BV12" s="2"/>
      <c r="BW12" s="2"/>
    </row>
    <row r="13" spans="1:95" ht="13.55" customHeight="1" x14ac:dyDescent="0.25">
      <c r="A13" s="166"/>
      <c r="B13" s="2279"/>
      <c r="C13" s="216"/>
      <c r="D13" s="1224" t="s">
        <v>1896</v>
      </c>
      <c r="E13" s="1194" t="s">
        <v>1503</v>
      </c>
      <c r="F13" s="197"/>
      <c r="G13" s="197"/>
      <c r="H13" s="186"/>
      <c r="I13" s="172"/>
      <c r="J13" s="172"/>
      <c r="K13" s="172"/>
      <c r="L13" s="178"/>
      <c r="M13" s="1092"/>
      <c r="N13" s="171"/>
      <c r="O13" s="1624"/>
      <c r="P13" s="187"/>
      <c r="Q13" s="187"/>
      <c r="R13" s="187"/>
      <c r="S13" s="187"/>
      <c r="T13" s="187"/>
      <c r="U13" s="1732"/>
      <c r="V13" s="188"/>
      <c r="W13" s="188"/>
      <c r="X13" s="1743" t="s">
        <v>1147</v>
      </c>
      <c r="Y13" s="1741">
        <f>IF(SUMIF(BF162:BF165,E13,BH162:BH165)&lt;&gt;0,SUMIF(BF162:BF165,E13,BH162:BH165),BH166)</f>
        <v>2</v>
      </c>
      <c r="Z13" s="1755">
        <f ca="1">OFFSET('A1. Submodels &amp; data'!B69,0,Y13)</f>
        <v>0.14000000000000001</v>
      </c>
      <c r="AA13" s="1756">
        <f ca="1">OFFSET('A1. Submodels &amp; data'!B78,0,Y13)</f>
        <v>0</v>
      </c>
      <c r="AB13" s="1756">
        <f ca="1">OFFSET('A1. Submodels &amp; data'!B87,0,Y13)</f>
        <v>0</v>
      </c>
      <c r="AC13" s="1757"/>
      <c r="AD13" s="1621"/>
      <c r="AE13" s="188"/>
      <c r="AF13" s="188"/>
      <c r="AG13" s="188"/>
      <c r="AH13" s="188"/>
      <c r="AI13" s="188"/>
      <c r="AJ13" s="188"/>
      <c r="AK13" s="188"/>
      <c r="AL13" s="188"/>
      <c r="AM13" s="188"/>
      <c r="AN13" s="188"/>
      <c r="AO13" s="1130"/>
      <c r="AP13" s="149"/>
      <c r="AQ13" s="2"/>
      <c r="AR13" s="2"/>
      <c r="AS13" s="2"/>
      <c r="AT13" s="2"/>
      <c r="AU13" s="2"/>
      <c r="AV13" s="2"/>
      <c r="AW13" s="166"/>
      <c r="AX13" s="166"/>
      <c r="AY13" s="166"/>
      <c r="AZ13" s="166"/>
      <c r="BA13" s="166"/>
      <c r="BB13" s="166"/>
      <c r="BC13" s="166"/>
      <c r="BD13" s="166"/>
      <c r="BE13" s="1129"/>
      <c r="BF13" s="188"/>
      <c r="BG13" s="188"/>
      <c r="BH13" s="188"/>
      <c r="BI13" s="188"/>
      <c r="BJ13" s="188"/>
      <c r="BK13" s="188"/>
      <c r="BL13" s="188"/>
      <c r="BM13" s="188"/>
      <c r="BN13" s="188"/>
      <c r="BO13" s="188"/>
      <c r="BP13" s="188"/>
      <c r="BQ13" s="188"/>
      <c r="BR13" s="188"/>
      <c r="BS13" s="188"/>
      <c r="BT13" s="188"/>
      <c r="BU13" s="1130"/>
      <c r="BV13" s="149"/>
      <c r="BW13" s="2"/>
      <c r="CM13" s="436" t="s">
        <v>1784</v>
      </c>
      <c r="CN13" s="436" t="s">
        <v>1693</v>
      </c>
      <c r="CO13" s="436" t="s">
        <v>1607</v>
      </c>
      <c r="CP13" s="149"/>
      <c r="CQ13" s="149"/>
    </row>
    <row r="14" spans="1:95" x14ac:dyDescent="0.25">
      <c r="A14" s="166"/>
      <c r="B14" s="2279"/>
      <c r="C14" s="216"/>
      <c r="D14" s="1224" t="s">
        <v>531</v>
      </c>
      <c r="E14" s="1194" t="s">
        <v>529</v>
      </c>
      <c r="F14" s="197"/>
      <c r="G14" s="197"/>
      <c r="H14" s="186"/>
      <c r="I14" s="172"/>
      <c r="J14" s="172"/>
      <c r="K14" s="172"/>
      <c r="L14" s="178"/>
      <c r="M14" s="1092"/>
      <c r="N14" s="171"/>
      <c r="O14" s="1624"/>
      <c r="P14" s="187"/>
      <c r="Q14" s="1125"/>
      <c r="R14" s="1125"/>
      <c r="S14" s="1731"/>
      <c r="T14" s="1701" t="s">
        <v>813</v>
      </c>
      <c r="U14" s="1701">
        <f ca="1">(-59+51*SUMIF(BH155:BH158,E16,BI155:BI158))*'3.Sequestration'!S7/3000000/'3.Sequestration'!S6+(30+4.4*SUMIF(BH155:BH158,E16,BI155:BI158))*SUMIF(BF191:BF193,E12,BG191:BG193)</f>
        <v>22.795999999999999</v>
      </c>
      <c r="V14" s="188"/>
      <c r="W14" s="188"/>
      <c r="X14" s="1743" t="s">
        <v>1148</v>
      </c>
      <c r="Y14" s="1738">
        <f ca="1">IF(U14&lt;16,1,IF(U14&lt;24,2,IF(U14&lt;32,3,4)))</f>
        <v>2</v>
      </c>
      <c r="Z14" s="1755">
        <f ca="1">OFFSET('A1. Submodels &amp; data'!B71,0,Y14)</f>
        <v>0</v>
      </c>
      <c r="AA14" s="1756">
        <f ca="1">OFFSET('A1. Submodels &amp; data'!B80,0,Y14)</f>
        <v>0</v>
      </c>
      <c r="AB14" s="1756">
        <f ca="1">OFFSET('A1. Submodels &amp; data'!B89,0,Y14)</f>
        <v>1.2E-2</v>
      </c>
      <c r="AC14" s="1757"/>
      <c r="AD14" s="1621"/>
      <c r="AE14" s="188"/>
      <c r="AF14" s="188" t="str">
        <f>'A1. Submodels &amp; data'!T15</f>
        <v>Current tech</v>
      </c>
      <c r="AG14" s="188" t="str">
        <f>'A1. Submodels &amp; data'!U15</f>
        <v>New tech</v>
      </c>
      <c r="AH14" s="188" t="str">
        <f>'A1. Submodels &amp; data'!V15</f>
        <v>Old tech</v>
      </c>
      <c r="AI14" s="188" t="str">
        <f>'A1. Submodels &amp; data'!W15</f>
        <v>Older tech</v>
      </c>
      <c r="AJ14" s="188"/>
      <c r="AK14" s="188"/>
      <c r="AL14" s="188"/>
      <c r="AM14" s="188"/>
      <c r="AN14" s="188"/>
      <c r="AO14" s="1130"/>
      <c r="AP14" s="149"/>
      <c r="AQ14" s="2"/>
      <c r="AR14" s="2"/>
      <c r="AS14" s="2"/>
      <c r="AT14" s="2"/>
      <c r="AU14" s="2"/>
      <c r="AV14" s="2"/>
      <c r="AW14" s="149"/>
      <c r="AX14" s="149"/>
      <c r="AY14" s="149"/>
      <c r="AZ14" s="166"/>
      <c r="BA14" s="166"/>
      <c r="BB14" s="166"/>
      <c r="BC14" s="166"/>
      <c r="BD14" s="166"/>
      <c r="BE14" s="1129"/>
      <c r="BF14" s="188"/>
      <c r="BG14" s="188"/>
      <c r="BH14" s="188"/>
      <c r="BI14" s="188"/>
      <c r="BJ14" s="188"/>
      <c r="BK14" s="188"/>
      <c r="BL14" s="188"/>
      <c r="BM14" s="188"/>
      <c r="BN14" s="188"/>
      <c r="BO14" s="188"/>
      <c r="BP14" s="188" t="b">
        <v>1</v>
      </c>
      <c r="BQ14" s="188"/>
      <c r="BR14" s="188"/>
      <c r="BS14" s="188"/>
      <c r="BT14" s="188"/>
      <c r="BU14" s="1130"/>
      <c r="BV14" s="166"/>
      <c r="BW14" s="2"/>
      <c r="CM14" s="292"/>
      <c r="CN14" s="292"/>
      <c r="CO14" s="293"/>
      <c r="CP14" s="60"/>
      <c r="CQ14" s="60"/>
    </row>
    <row r="15" spans="1:95" x14ac:dyDescent="0.25">
      <c r="A15" s="166"/>
      <c r="B15" s="2279"/>
      <c r="C15" s="216"/>
      <c r="D15" s="1224" t="s">
        <v>887</v>
      </c>
      <c r="E15" s="1194" t="s">
        <v>995</v>
      </c>
      <c r="F15" s="197"/>
      <c r="G15" s="197"/>
      <c r="H15" s="186"/>
      <c r="I15" s="172"/>
      <c r="J15" s="172"/>
      <c r="K15" s="172"/>
      <c r="L15" s="178"/>
      <c r="M15" s="1092"/>
      <c r="N15" s="171"/>
      <c r="O15" s="1624"/>
      <c r="P15" s="187"/>
      <c r="Q15" s="1125"/>
      <c r="R15" s="1125"/>
      <c r="S15" s="187"/>
      <c r="T15" s="188"/>
      <c r="U15" s="1523"/>
      <c r="V15" s="188"/>
      <c r="W15" s="188"/>
      <c r="X15" s="1743" t="s">
        <v>167</v>
      </c>
      <c r="Y15" s="1738">
        <f>SUMIF(BB173:BB175,E15,BC173:BC175)</f>
        <v>2</v>
      </c>
      <c r="Z15" s="1755">
        <f ca="1">OFFSET('A1. Submodels &amp; data'!B72,0,Y15)</f>
        <v>-0.42</v>
      </c>
      <c r="AA15" s="1756">
        <f ca="1">OFFSET('A1. Submodels &amp; data'!B81,0,Y15)</f>
        <v>0.94599999999999995</v>
      </c>
      <c r="AB15" s="1756">
        <f ca="1">OFFSET('A1. Submodels &amp; data'!B90,0,Y15)</f>
        <v>0</v>
      </c>
      <c r="AC15" s="1757"/>
      <c r="AD15" s="188"/>
      <c r="AE15" s="188"/>
      <c r="AF15" s="188"/>
      <c r="AG15" s="188"/>
      <c r="AH15" s="188"/>
      <c r="AI15" s="188"/>
      <c r="AJ15" s="188"/>
      <c r="AK15" s="188"/>
      <c r="AL15" s="188"/>
      <c r="AM15" s="188"/>
      <c r="AN15" s="188"/>
      <c r="AO15" s="2300" t="s">
        <v>695</v>
      </c>
      <c r="AP15" s="149"/>
      <c r="AQ15" s="2"/>
      <c r="AR15" s="2"/>
      <c r="AS15" s="2"/>
      <c r="AT15" s="2"/>
      <c r="AU15" s="2"/>
      <c r="AV15" s="2"/>
      <c r="AW15" s="149"/>
      <c r="AX15" s="149"/>
      <c r="AY15" s="149"/>
      <c r="AZ15" s="166"/>
      <c r="BA15" s="166"/>
      <c r="BB15" s="166"/>
      <c r="BC15" s="166"/>
      <c r="BD15" s="166"/>
      <c r="BE15" s="1129"/>
      <c r="BF15" s="188"/>
      <c r="BG15" s="188"/>
      <c r="BH15" s="188"/>
      <c r="BI15" s="188"/>
      <c r="BJ15" s="188"/>
      <c r="BK15" s="188"/>
      <c r="BL15" s="188"/>
      <c r="BM15" s="188"/>
      <c r="BN15" s="188"/>
      <c r="BO15" s="188"/>
      <c r="BP15" s="188"/>
      <c r="BQ15" s="188"/>
      <c r="BR15" s="188"/>
      <c r="BS15" s="188"/>
      <c r="BT15" s="188"/>
      <c r="BU15" s="1130"/>
      <c r="BV15" s="166"/>
      <c r="BW15" s="2"/>
      <c r="CM15" s="292"/>
      <c r="CN15" s="292"/>
      <c r="CO15" s="293"/>
      <c r="CP15" s="60"/>
      <c r="CQ15" s="60"/>
    </row>
    <row r="16" spans="1:95" ht="20.05" customHeight="1" thickBot="1" x14ac:dyDescent="0.3">
      <c r="A16" s="166"/>
      <c r="B16" s="2279"/>
      <c r="C16" s="216"/>
      <c r="D16" s="196" t="s">
        <v>852</v>
      </c>
      <c r="E16" s="1194" t="s">
        <v>1751</v>
      </c>
      <c r="F16" s="197"/>
      <c r="G16" s="197"/>
      <c r="H16" s="197"/>
      <c r="I16" s="197"/>
      <c r="J16" s="197"/>
      <c r="K16" s="197"/>
      <c r="L16" s="199"/>
      <c r="M16" s="1092"/>
      <c r="N16" s="171"/>
      <c r="O16" s="1624"/>
      <c r="P16" s="187"/>
      <c r="Q16" s="1126"/>
      <c r="R16" s="1126"/>
      <c r="S16" s="187"/>
      <c r="T16" s="188"/>
      <c r="U16" s="1523"/>
      <c r="V16" s="188"/>
      <c r="W16" s="188"/>
      <c r="X16" s="1744" t="s">
        <v>165</v>
      </c>
      <c r="Y16" s="1739">
        <f>IF(E16=$BH$155,1,IF(E16=$BH$156,2,IF(E16=$BH$157,3,IF(E16=$BH$158,4,IF(E16=BH154,BI154,4)))))</f>
        <v>2</v>
      </c>
      <c r="Z16" s="1755">
        <f ca="1">OFFSET('A1. Submodels &amp; data'!B70,0,Y16)</f>
        <v>0.109</v>
      </c>
      <c r="AA16" s="1756">
        <f ca="1">OFFSET('A1. Submodels &amp; data'!B79,0,Y16)</f>
        <v>0</v>
      </c>
      <c r="AB16" s="1756">
        <f ca="1">OFFSET('A1. Submodels &amp; data'!B88,0,Y16)</f>
        <v>-0.93300000000000005</v>
      </c>
      <c r="AC16" s="1757"/>
      <c r="AD16" s="188"/>
      <c r="AE16" s="188"/>
      <c r="AF16" s="188"/>
      <c r="AG16" s="188"/>
      <c r="AH16" s="188"/>
      <c r="AI16" s="188"/>
      <c r="AJ16" s="188"/>
      <c r="AK16" s="188"/>
      <c r="AL16" s="188"/>
      <c r="AM16" s="188"/>
      <c r="AN16" s="188"/>
      <c r="AO16" s="2300"/>
      <c r="AP16" s="149"/>
      <c r="AQ16" s="2"/>
      <c r="AR16" s="2"/>
      <c r="AS16" s="2"/>
      <c r="AT16" s="2"/>
      <c r="AU16" s="2"/>
      <c r="AV16" s="2"/>
      <c r="AW16" s="149"/>
      <c r="AX16" s="149"/>
      <c r="AY16" s="149"/>
      <c r="AZ16" s="166"/>
      <c r="BA16" s="166"/>
      <c r="BB16" s="166"/>
      <c r="BC16" s="166"/>
      <c r="BD16" s="166"/>
      <c r="BE16" s="1129"/>
      <c r="BF16" s="188"/>
      <c r="BG16" s="188"/>
      <c r="BH16" s="188"/>
      <c r="BI16" s="188"/>
      <c r="BJ16" s="188"/>
      <c r="BK16" s="188"/>
      <c r="BL16" s="188"/>
      <c r="BM16" s="188"/>
      <c r="BN16" s="188"/>
      <c r="BO16" s="188"/>
      <c r="BP16" s="188"/>
      <c r="BQ16" s="188"/>
      <c r="BR16" s="188"/>
      <c r="BS16" s="188"/>
      <c r="BT16" s="188"/>
      <c r="BU16" s="1130"/>
      <c r="BV16" s="166"/>
      <c r="BW16" s="2"/>
      <c r="CM16" s="292"/>
      <c r="CN16" s="292"/>
      <c r="CO16" s="293"/>
      <c r="CP16" s="60"/>
      <c r="CQ16" s="60"/>
    </row>
    <row r="17" spans="1:95" ht="16.600000000000001" customHeight="1" thickBot="1" x14ac:dyDescent="0.3">
      <c r="A17" s="166"/>
      <c r="B17" s="2280"/>
      <c r="C17" s="201"/>
      <c r="D17" s="1090"/>
      <c r="E17" s="1042"/>
      <c r="F17" s="1042"/>
      <c r="G17" s="1042"/>
      <c r="H17" s="1042"/>
      <c r="I17" s="1042"/>
      <c r="J17" s="1042"/>
      <c r="K17" s="1042"/>
      <c r="L17" s="1043"/>
      <c r="M17" s="1094"/>
      <c r="N17" s="218"/>
      <c r="O17" s="1625"/>
      <c r="P17" s="1126"/>
      <c r="Q17" s="1124"/>
      <c r="R17" s="1124"/>
      <c r="S17" s="1124"/>
      <c r="T17" s="1124"/>
      <c r="U17" s="188"/>
      <c r="V17" s="188"/>
      <c r="W17" s="188"/>
      <c r="X17" s="187"/>
      <c r="Y17" s="187"/>
      <c r="Z17" s="1758"/>
      <c r="AA17" s="1759"/>
      <c r="AB17" s="1759"/>
      <c r="AC17" s="1760"/>
      <c r="AD17" s="188"/>
      <c r="AE17" s="188"/>
      <c r="AF17" s="188"/>
      <c r="AG17" s="188"/>
      <c r="AH17" s="188"/>
      <c r="AI17" s="188"/>
      <c r="AJ17" s="188"/>
      <c r="AK17" s="188"/>
      <c r="AL17" s="188"/>
      <c r="AM17" s="188"/>
      <c r="AN17" s="188"/>
      <c r="AO17" s="2300"/>
      <c r="AP17" s="149"/>
      <c r="AQ17" s="2"/>
      <c r="AR17" s="2"/>
      <c r="AS17" s="2"/>
      <c r="AT17" s="2"/>
      <c r="AU17" s="2"/>
      <c r="AV17" s="2"/>
      <c r="AW17" s="149"/>
      <c r="AX17" s="149"/>
      <c r="AY17" s="149"/>
      <c r="AZ17" s="166"/>
      <c r="BA17" s="166"/>
      <c r="BB17" s="166"/>
      <c r="BC17" s="166"/>
      <c r="BD17" s="166"/>
      <c r="BE17" s="1129"/>
      <c r="BF17" s="188"/>
      <c r="BG17" s="188"/>
      <c r="BH17" s="188"/>
      <c r="BI17" s="188"/>
      <c r="BJ17" s="188"/>
      <c r="BK17" s="188"/>
      <c r="BL17" s="188"/>
      <c r="BM17" s="188"/>
      <c r="BN17" s="188"/>
      <c r="BO17" s="188"/>
      <c r="BP17" s="188"/>
      <c r="BQ17" s="188"/>
      <c r="BR17" s="188"/>
      <c r="BS17" s="188"/>
      <c r="BT17" s="188"/>
      <c r="BU17" s="1130"/>
      <c r="BV17" s="166"/>
      <c r="BW17" s="2"/>
      <c r="CM17" s="60"/>
      <c r="CN17" s="60"/>
      <c r="CO17" s="60"/>
      <c r="CP17" s="60"/>
      <c r="CQ17" s="60"/>
    </row>
    <row r="18" spans="1:95" ht="39.75" customHeight="1" thickBot="1" x14ac:dyDescent="0.3">
      <c r="A18" s="166"/>
      <c r="B18" s="897"/>
      <c r="C18" s="220"/>
      <c r="D18" s="221"/>
      <c r="E18" s="222" t="s">
        <v>649</v>
      </c>
      <c r="F18" s="1141" t="s">
        <v>1129</v>
      </c>
      <c r="G18" s="1141" t="s">
        <v>1263</v>
      </c>
      <c r="H18" s="222" t="s">
        <v>682</v>
      </c>
      <c r="I18" s="222" t="s">
        <v>1104</v>
      </c>
      <c r="J18" s="222" t="s">
        <v>218</v>
      </c>
      <c r="K18" s="1141" t="s">
        <v>1433</v>
      </c>
      <c r="L18" s="223"/>
      <c r="M18" s="1185"/>
      <c r="N18" s="219"/>
      <c r="O18" s="1708" t="s">
        <v>1054</v>
      </c>
      <c r="P18" s="1709" t="s">
        <v>1899</v>
      </c>
      <c r="Q18" s="1710" t="s">
        <v>223</v>
      </c>
      <c r="R18" s="1702" t="s">
        <v>1353</v>
      </c>
      <c r="S18" s="1711" t="s">
        <v>518</v>
      </c>
      <c r="T18" s="1710" t="s">
        <v>863</v>
      </c>
      <c r="U18" s="1710" t="s">
        <v>808</v>
      </c>
      <c r="V18" s="1720" t="s">
        <v>1223</v>
      </c>
      <c r="W18" s="1726" t="s">
        <v>1196</v>
      </c>
      <c r="X18" s="1733" t="s">
        <v>78</v>
      </c>
      <c r="Y18" s="1737" t="s">
        <v>1056</v>
      </c>
      <c r="Z18" s="1752"/>
      <c r="AA18" s="1753"/>
      <c r="AB18" s="1753"/>
      <c r="AC18" s="1754"/>
      <c r="AD18" s="188"/>
      <c r="AE18" s="224" t="s">
        <v>1975</v>
      </c>
      <c r="AF18" s="188"/>
      <c r="AG18" s="225" t="s">
        <v>116</v>
      </c>
      <c r="AH18" s="225" t="s">
        <v>1267</v>
      </c>
      <c r="AI18" s="129" t="s">
        <v>1293</v>
      </c>
      <c r="AJ18" s="129" t="s">
        <v>1294</v>
      </c>
      <c r="AK18" s="225" t="s">
        <v>1139</v>
      </c>
      <c r="AL18" s="225" t="s">
        <v>1157</v>
      </c>
      <c r="AM18" s="225" t="s">
        <v>1898</v>
      </c>
      <c r="AN18" s="129" t="s">
        <v>1897</v>
      </c>
      <c r="AO18" s="1130"/>
      <c r="AP18" s="149"/>
      <c r="AQ18" s="2"/>
      <c r="AR18" s="2"/>
      <c r="AS18" s="2"/>
      <c r="AT18" s="2"/>
      <c r="AU18" s="2"/>
      <c r="AV18" s="2"/>
      <c r="AW18" s="149"/>
      <c r="AX18" s="149"/>
      <c r="AY18" s="166"/>
      <c r="AZ18" s="166"/>
      <c r="BA18" s="166"/>
      <c r="BB18" s="166"/>
      <c r="BC18" s="166"/>
      <c r="BD18" s="166"/>
      <c r="BE18" s="1129"/>
      <c r="BF18" s="188"/>
      <c r="BG18" s="188"/>
      <c r="BH18" s="188"/>
      <c r="BI18" s="188"/>
      <c r="BJ18" s="188"/>
      <c r="BK18" s="188"/>
      <c r="BL18" s="188"/>
      <c r="BM18" s="188"/>
      <c r="BN18" s="188"/>
      <c r="BO18" s="188"/>
      <c r="BP18" s="188"/>
      <c r="BQ18" s="188"/>
      <c r="BR18" s="188"/>
      <c r="BS18" s="188"/>
      <c r="BT18" s="188"/>
      <c r="BU18" s="1130"/>
      <c r="BV18" s="166"/>
      <c r="BW18" s="2"/>
      <c r="CM18" s="60"/>
      <c r="CN18" s="60"/>
      <c r="CO18" s="60"/>
      <c r="CP18" s="60"/>
      <c r="CQ18" s="60"/>
    </row>
    <row r="19" spans="1:95" ht="25.5" customHeight="1" x14ac:dyDescent="0.25">
      <c r="A19" s="166"/>
      <c r="B19" s="898" t="s">
        <v>1817</v>
      </c>
      <c r="C19" s="226"/>
      <c r="D19" s="1224" t="s">
        <v>815</v>
      </c>
      <c r="E19" s="1184" t="s">
        <v>1182</v>
      </c>
      <c r="F19" s="1184" t="s">
        <v>488</v>
      </c>
      <c r="G19" s="1184">
        <v>220</v>
      </c>
      <c r="H19" s="1184" t="str">
        <f ca="1">IF(ISBLANK(Import!G32), OFFSET(Z$182,SUMIF(W$183:W$184,'1.GeneralInfo'!$E$8,X$183:X$184),0), Import!G32)</f>
        <v>kg/ha</v>
      </c>
      <c r="I19" s="1184">
        <f>IF(ISBLANK(Import!H32), "", Import!H32)</f>
        <v>0</v>
      </c>
      <c r="J19" s="1184" t="str">
        <f>IF(ISBLANK(Import!I32), "[None]", Import!I32)</f>
        <v>None</v>
      </c>
      <c r="K19" s="2242" t="s">
        <v>1219</v>
      </c>
      <c r="L19" s="1083" t="str">
        <f t="shared" ref="L19:L24" ca="1" si="0">IF(ISERROR(V19),"Error: Please check whether this nutrient is present in the chosen fertiliser","")</f>
        <v/>
      </c>
      <c r="M19" s="228"/>
      <c r="N19" s="1514"/>
      <c r="O19" s="1713">
        <f>SUMIF(BR$34:BR$35,BP34,BS$34:BS$35)</f>
        <v>0</v>
      </c>
      <c r="P19" s="1714">
        <f t="shared" ref="P19:P24" ca="1" si="1">OFFSET($AS$244,SUMIF($AS$238:$AS$240,J19,$AR$238:$AR$240),IF(OFFSET($AU$200,SUMIF($AS$201:$AS$224,$E$5,$AR$201:$AR$224),0)=$AT$237,1,2))</f>
        <v>1</v>
      </c>
      <c r="Q19" s="1701">
        <f t="shared" ref="Q19:Q24" ca="1" si="2">OFFSET($AS$238,SUMIF($AS$238:$AS$240,J19,$AR$238:$AR$240),IF(OFFSET($AU$200,SUMIF($AS$201:$AS$224,$E$5,$AR$201:$AR$224),0)=$AT$237,1,2))</f>
        <v>1</v>
      </c>
      <c r="R19" s="1701">
        <f t="shared" ref="R19:R24" ca="1" si="3">SUMIF(X$169:X$179,H19,Y$169:Y$179)*G19</f>
        <v>220</v>
      </c>
      <c r="S19" s="1715">
        <f t="shared" ref="S19:S24" si="4">SUMIF($AR$156:$AR$195,E19,$AS$156:$AS$195)</f>
        <v>2</v>
      </c>
      <c r="T19" s="1701">
        <f t="shared" ref="T19:T24" si="5">SUMIF($BB$178:$BB$183,I19,$BC$178:$BC$183)</f>
        <v>0</v>
      </c>
      <c r="U19" s="1701">
        <f t="shared" ref="U19:U24" si="6">SUMIF($BF$172:$BF$183,F19,$BG$172:$BG$183)</f>
        <v>1</v>
      </c>
      <c r="V19" s="1721">
        <f ca="1">IF(U19&lt;&gt;0,IF(U19&lt;&gt;$BG$183,R19/OFFSET('A1. Submodels &amp; data'!H$18,'2.CropManagement'!S19,'2.CropManagement'!U19),R19),0)</f>
        <v>628.57142857142856</v>
      </c>
      <c r="W19" s="1725">
        <f ca="1">IF(E19&lt;&gt;$AR$155,IF(E19&lt;&gt;"",OFFSET('A1. Submodels &amp; data'!I$18,S19,0),0),0)</f>
        <v>0.35</v>
      </c>
      <c r="X19" s="1734">
        <f ca="1">IF(S19&gt;0,OFFSET('A1. Submodels &amp; data'!Y$18,S19,0),0)</f>
        <v>6.1000000000000004E-3</v>
      </c>
      <c r="Y19" s="1738">
        <f t="shared" ref="Y19:Y24" ca="1" si="7">W19*V19</f>
        <v>219.99999999999997</v>
      </c>
      <c r="Z19" s="1752">
        <f t="shared" ref="Z19:Z24" ca="1" si="8">$X19*Y19</f>
        <v>1.3419999999999999</v>
      </c>
      <c r="AA19" s="1753">
        <f ca="1">Y19*IF(S19&gt;0,OFFSET('A1. Submodels &amp; data'!Z$18,S19,0),0)</f>
        <v>0.87999999999999989</v>
      </c>
      <c r="AB19" s="1753" t="e">
        <f ca="1">Y19*EXP(IF(S19&gt;0,SUM(AB$9:AB$16)+OFFSET('A1. Submodels &amp; data'!AA$18,S19,0)+OFFSET('A1. Submodels &amp; data'!B$92,0,T19)))</f>
        <v>#VALUE!</v>
      </c>
      <c r="AC19" s="1757">
        <f t="shared" ref="AC19:AC24" ca="1" si="9">$Y19</f>
        <v>219.99999999999997</v>
      </c>
      <c r="AD19" s="188">
        <f>SUMIF('A1. Submodels &amp; data'!T$15:W$15,K19,'A1. Submodels &amp; data'!T$17:W$17)</f>
        <v>1</v>
      </c>
      <c r="AE19" s="229">
        <f ca="1">IF(E19&lt;&gt;AR$155,IF(E19&lt;&gt;"",V19*OFFSET('A1. Submodels &amp; data'!S$18,$S19,AD19),0),0)</f>
        <v>1345.1428571428571</v>
      </c>
      <c r="AF19" s="188"/>
      <c r="AG19" s="229">
        <f t="shared" ref="AG19:AG24" si="10">IF($E19&lt;&gt;"",IF(SUMIF($AR$156:$AR$194,$E19,$AV$156:$AV$194)=1,V19,0),0)</f>
        <v>0</v>
      </c>
      <c r="AH19" s="229">
        <f t="shared" ref="AH19:AH24" si="11">IF($E19&lt;&gt;"",IF(SUMIF($AR$156:$AR$194,$E19,$AV$156:$AV$194)=2,V19,0),0)</f>
        <v>0</v>
      </c>
      <c r="AI19" s="229">
        <f ca="1">IF($E19&lt;&gt;"",IF(SUMIF($AR$156:$AR$194,$E19,AV$156:AV$194)=3,V19*OFFSET('A1. Submodels &amp; data'!R$18,S19,0),0),0)</f>
        <v>0</v>
      </c>
      <c r="AJ19" s="1376">
        <f t="shared" ref="AJ19:AJ24" si="12">IF(E19=AR$176,V19,IF(E19=AR$177,V19*(0.25/0.73),0))</f>
        <v>0</v>
      </c>
      <c r="AK19" s="229">
        <f ca="1">44/12*'A1. Submodels &amp; data'!$C$391*'2.CropManagement'!AI19</f>
        <v>0</v>
      </c>
      <c r="AL19" s="229">
        <f>44/12*'A1. Submodels &amp; data'!$C$392*'2.CropManagement'!AJ19</f>
        <v>0</v>
      </c>
      <c r="AM19" s="229">
        <f t="shared" ref="AM19:AN24" ca="1" si="13">P19*$Y19</f>
        <v>219.99999999999997</v>
      </c>
      <c r="AN19" s="229">
        <f t="shared" ca="1" si="13"/>
        <v>219.99999999999997</v>
      </c>
      <c r="AO19" s="1130"/>
      <c r="AP19" s="149"/>
      <c r="AQ19" s="2"/>
      <c r="AR19" s="2"/>
      <c r="AS19" s="2"/>
      <c r="AT19" s="2"/>
      <c r="AU19" s="2"/>
      <c r="AV19" s="2"/>
      <c r="AW19" s="149"/>
      <c r="AX19" s="149"/>
      <c r="AY19" s="166"/>
      <c r="AZ19" s="166"/>
      <c r="BA19" s="166"/>
      <c r="BB19" s="166"/>
      <c r="BC19" s="166"/>
      <c r="BD19" s="166"/>
      <c r="BE19" s="1129"/>
      <c r="BF19" s="188"/>
      <c r="BG19" s="188"/>
      <c r="BH19" s="188"/>
      <c r="BI19" s="188"/>
      <c r="BJ19" s="188"/>
      <c r="BK19" s="188"/>
      <c r="BL19" s="188"/>
      <c r="BM19" s="188"/>
      <c r="BN19" s="188"/>
      <c r="BO19" s="188"/>
      <c r="BP19" s="188"/>
      <c r="BQ19" s="188"/>
      <c r="BR19" s="188"/>
      <c r="BS19" s="188"/>
      <c r="BT19" s="188" t="s">
        <v>1234</v>
      </c>
      <c r="BU19" s="1130" t="s">
        <v>1234</v>
      </c>
      <c r="BV19" s="166"/>
      <c r="BW19" s="2"/>
      <c r="CM19" s="60"/>
      <c r="CN19" s="60"/>
      <c r="CO19" s="60"/>
      <c r="CP19" s="60"/>
      <c r="CQ19" s="60"/>
    </row>
    <row r="20" spans="1:95" ht="25.5" customHeight="1" x14ac:dyDescent="0.25">
      <c r="A20" s="166"/>
      <c r="B20" s="2284" t="s">
        <v>934</v>
      </c>
      <c r="C20" s="226"/>
      <c r="D20" s="1224" t="s">
        <v>816</v>
      </c>
      <c r="E20" s="1184" t="str">
        <f>IF(ISBLANK(Import!D33), "[Select]", Import!D33)</f>
        <v>[Select]</v>
      </c>
      <c r="F20" s="1184">
        <f>IF(ISBLANK(Import!E33), "", Import!E33)</f>
        <v>0</v>
      </c>
      <c r="G20" s="1184">
        <f>IF(ISBLANK(Import!F33), "", Import!F33)</f>
        <v>0</v>
      </c>
      <c r="H20" s="1184" t="str">
        <f ca="1">IF(ISBLANK(Import!G33), OFFSET(Z$182,SUMIF(W$183:W$184,'1.GeneralInfo'!$E$8,X$183:X$184),0), Import!G33)</f>
        <v>kg/ha</v>
      </c>
      <c r="I20" s="1184">
        <f>IF(ISBLANK(Import!H33), "", Import!H33)</f>
        <v>0</v>
      </c>
      <c r="J20" s="1184" t="str">
        <f>IF(ISBLANK(Import!I33), "[None]", Import!I33)</f>
        <v>None</v>
      </c>
      <c r="K20" s="2242" t="str">
        <f>IF(ISBLANK(Import!J33), "Current tech", Import!J33)</f>
        <v>Current tech</v>
      </c>
      <c r="L20" s="1083" t="str">
        <f t="shared" ca="1" si="0"/>
        <v/>
      </c>
      <c r="M20" s="228"/>
      <c r="N20" s="219"/>
      <c r="O20" s="1713">
        <f>SUMIF(BR$34:BR$35,BP35,BS$34:BS$36)</f>
        <v>1</v>
      </c>
      <c r="P20" s="1714">
        <f t="shared" ca="1" si="1"/>
        <v>1</v>
      </c>
      <c r="Q20" s="1701">
        <f t="shared" ca="1" si="2"/>
        <v>1</v>
      </c>
      <c r="R20" s="1701">
        <f t="shared" ca="1" si="3"/>
        <v>0</v>
      </c>
      <c r="S20" s="1715">
        <f t="shared" si="4"/>
        <v>0</v>
      </c>
      <c r="T20" s="1701">
        <f t="shared" si="5"/>
        <v>0</v>
      </c>
      <c r="U20" s="1701">
        <f t="shared" si="6"/>
        <v>0</v>
      </c>
      <c r="V20" s="1721">
        <f ca="1">IF(U20&lt;&gt;0,IF(U20&lt;&gt;$BG$183,R20/OFFSET('A1. Submodels &amp; data'!H$18,'2.CropManagement'!S20,'2.CropManagement'!U20),R20),0)</f>
        <v>0</v>
      </c>
      <c r="W20" s="1723">
        <f ca="1">IF(E20&lt;&gt;$AR$155,IF(E20&lt;&gt;"",OFFSET('A1. Submodels &amp; data'!I$18,S20,0),0),0)</f>
        <v>0</v>
      </c>
      <c r="X20" s="1735">
        <f ca="1">IF(S20&gt;0,OFFSET('A1. Submodels &amp; data'!Y$18,S20,0),0)</f>
        <v>0</v>
      </c>
      <c r="Y20" s="1738">
        <f t="shared" ca="1" si="7"/>
        <v>0</v>
      </c>
      <c r="Z20" s="1752">
        <f t="shared" ca="1" si="8"/>
        <v>0</v>
      </c>
      <c r="AA20" s="1753">
        <f ca="1">Y20*IF(S20&gt;0,OFFSET('A1. Submodels &amp; data'!Z$18,S20,0),0)</f>
        <v>0</v>
      </c>
      <c r="AB20" s="1753">
        <f ca="1">Y20*EXP(IF(S20&gt;0,SUM(AB$9:AB$16)+OFFSET('A1. Submodels &amp; data'!AA$18,S20,0)+OFFSET('A1. Submodels &amp; data'!B$92,0,T20)))</f>
        <v>0</v>
      </c>
      <c r="AC20" s="1757">
        <f t="shared" ca="1" si="9"/>
        <v>0</v>
      </c>
      <c r="AD20" s="188">
        <f>SUMIF('A1. Submodels &amp; data'!T$15:W$15,K20,'A1. Submodels &amp; data'!T$17:W$17)</f>
        <v>1</v>
      </c>
      <c r="AE20" s="229">
        <f ca="1">IF(E20&lt;&gt;AR$155,IF(E20&lt;&gt;"",V20*OFFSET('A1. Submodels &amp; data'!S$18,$S20,AD20),0),0)</f>
        <v>0</v>
      </c>
      <c r="AF20" s="188"/>
      <c r="AG20" s="229">
        <f t="shared" si="10"/>
        <v>0</v>
      </c>
      <c r="AH20" s="229">
        <f t="shared" si="11"/>
        <v>0</v>
      </c>
      <c r="AI20" s="229">
        <f ca="1">IF($E20&lt;&gt;"",IF(SUMIF($AR$156:$AR$194,$E20,AV$156:AV$194)=3,V20*OFFSET('A1. Submodels &amp; data'!R$18,S20,0),0),0)</f>
        <v>0</v>
      </c>
      <c r="AJ20" s="1376">
        <f t="shared" si="12"/>
        <v>0</v>
      </c>
      <c r="AK20" s="229">
        <f ca="1">44/12*'A1. Submodels &amp; data'!$C$391*'2.CropManagement'!AI20</f>
        <v>0</v>
      </c>
      <c r="AL20" s="229">
        <f>44/12*'A1. Submodels &amp; data'!$C$392*'2.CropManagement'!AJ20</f>
        <v>0</v>
      </c>
      <c r="AM20" s="229">
        <f t="shared" ca="1" si="13"/>
        <v>0</v>
      </c>
      <c r="AN20" s="229">
        <f t="shared" ca="1" si="13"/>
        <v>0</v>
      </c>
      <c r="AO20" s="1130"/>
      <c r="AP20" s="149"/>
      <c r="AQ20" s="2"/>
      <c r="AR20" s="2"/>
      <c r="AS20" s="2"/>
      <c r="AT20" s="2"/>
      <c r="AU20" s="2"/>
      <c r="AV20" s="2"/>
      <c r="AW20" s="149"/>
      <c r="AX20" s="149"/>
      <c r="AY20" s="166"/>
      <c r="AZ20" s="166"/>
      <c r="BA20" s="166"/>
      <c r="BB20" s="166"/>
      <c r="BC20" s="166"/>
      <c r="BD20" s="166"/>
      <c r="BE20" s="1129"/>
      <c r="BF20" s="188"/>
      <c r="BG20" s="188"/>
      <c r="BH20" s="188"/>
      <c r="BI20" s="188"/>
      <c r="BJ20" s="188"/>
      <c r="BK20" s="188"/>
      <c r="BL20" s="188"/>
      <c r="BM20" s="188"/>
      <c r="BN20" s="188"/>
      <c r="BO20" s="188"/>
      <c r="BP20" s="188" t="b">
        <f>IF(E5&lt;&gt;"Select",IF(E5&lt;&gt;"",TRUE,FALSE),FALSE)</f>
        <v>1</v>
      </c>
      <c r="BQ20" s="188"/>
      <c r="BR20" s="188"/>
      <c r="BS20" s="188"/>
      <c r="BT20" s="188" t="s">
        <v>1221</v>
      </c>
      <c r="BU20" s="1130" t="s">
        <v>1215</v>
      </c>
      <c r="BV20" s="166"/>
      <c r="BW20" s="2"/>
      <c r="CM20" s="60"/>
      <c r="CN20" s="60"/>
      <c r="CO20" s="60"/>
      <c r="CP20" s="60"/>
      <c r="CQ20" s="60"/>
    </row>
    <row r="21" spans="1:95" ht="25.5" customHeight="1" x14ac:dyDescent="0.25">
      <c r="A21" s="166"/>
      <c r="B21" s="2285"/>
      <c r="C21" s="226"/>
      <c r="D21" s="1224" t="s">
        <v>817</v>
      </c>
      <c r="E21" s="1184" t="str">
        <f>IF(ISBLANK(Import!D34), "[Select]", Import!D34)</f>
        <v>[Select]</v>
      </c>
      <c r="F21" s="1184">
        <f>IF(ISBLANK(Import!E34), "", Import!E34)</f>
        <v>0</v>
      </c>
      <c r="G21" s="1184">
        <f>IF(ISBLANK(Import!F34), "", Import!F34)</f>
        <v>0</v>
      </c>
      <c r="H21" s="1184" t="str">
        <f ca="1">IF(ISBLANK(Import!G34), OFFSET(Z$182,SUMIF(W$183:W$184,'1.GeneralInfo'!$E$8,X$183:X$184),0), Import!G34)</f>
        <v>kg/ha</v>
      </c>
      <c r="I21" s="1184">
        <f>IF(ISBLANK(Import!H34), "", Import!H34)</f>
        <v>0</v>
      </c>
      <c r="J21" s="1184" t="str">
        <f>IF(ISBLANK(Import!I34), "[None]", Import!I34)</f>
        <v>None</v>
      </c>
      <c r="K21" s="2242" t="str">
        <f>IF(ISBLANK(Import!J34), "Current tech", Import!J34)</f>
        <v>Current tech</v>
      </c>
      <c r="L21" s="1083" t="str">
        <f t="shared" ca="1" si="0"/>
        <v/>
      </c>
      <c r="M21" s="228"/>
      <c r="N21" s="219"/>
      <c r="O21" s="1713">
        <f>SUMIF(BR$34:BR$35,BP36,BS$34:BS$36)</f>
        <v>1</v>
      </c>
      <c r="P21" s="1714">
        <f t="shared" ca="1" si="1"/>
        <v>1</v>
      </c>
      <c r="Q21" s="1701">
        <f t="shared" ca="1" si="2"/>
        <v>1</v>
      </c>
      <c r="R21" s="1701">
        <f t="shared" ca="1" si="3"/>
        <v>0</v>
      </c>
      <c r="S21" s="1715">
        <f t="shared" si="4"/>
        <v>0</v>
      </c>
      <c r="T21" s="1701">
        <f t="shared" si="5"/>
        <v>0</v>
      </c>
      <c r="U21" s="1701">
        <f t="shared" si="6"/>
        <v>0</v>
      </c>
      <c r="V21" s="1721">
        <f ca="1">IF(U21&lt;&gt;0,IF(U21&lt;&gt;$BG$183,R21/OFFSET('A1. Submodels &amp; data'!H$18,'2.CropManagement'!S21,'2.CropManagement'!U21),R21),0)</f>
        <v>0</v>
      </c>
      <c r="W21" s="1723">
        <f ca="1">IF(E21&lt;&gt;$AR$155,IF(E21&lt;&gt;"",OFFSET('A1. Submodels &amp; data'!I$18,S21,0),0),0)</f>
        <v>0</v>
      </c>
      <c r="X21" s="1735">
        <f ca="1">IF(S21&gt;0,OFFSET('A1. Submodels &amp; data'!Y$18,S21,0),0)</f>
        <v>0</v>
      </c>
      <c r="Y21" s="1738">
        <f t="shared" ca="1" si="7"/>
        <v>0</v>
      </c>
      <c r="Z21" s="1752">
        <f t="shared" ca="1" si="8"/>
        <v>0</v>
      </c>
      <c r="AA21" s="1753">
        <f ca="1">Y21*IF(S21&gt;0,OFFSET('A1. Submodels &amp; data'!Z$18,S21,0),0)</f>
        <v>0</v>
      </c>
      <c r="AB21" s="1753">
        <f ca="1">Y21*EXP(IF(S21&gt;0,SUM(AB$9:AB$16)+OFFSET('A1. Submodels &amp; data'!AA$18,S21,0)+OFFSET('A1. Submodels &amp; data'!B$92,0,T21)))</f>
        <v>0</v>
      </c>
      <c r="AC21" s="1757">
        <f t="shared" ca="1" si="9"/>
        <v>0</v>
      </c>
      <c r="AD21" s="188">
        <f>SUMIF('A1. Submodels &amp; data'!T$15:W$15,K21,'A1. Submodels &amp; data'!T$17:W$17)</f>
        <v>1</v>
      </c>
      <c r="AE21" s="229">
        <f ca="1">IF(E21&lt;&gt;AR$155,IF(E21&lt;&gt;"",V21*OFFSET('A1. Submodels &amp; data'!S$18,$S21,AD21),0),0)</f>
        <v>0</v>
      </c>
      <c r="AF21" s="188"/>
      <c r="AG21" s="229">
        <f t="shared" si="10"/>
        <v>0</v>
      </c>
      <c r="AH21" s="229">
        <f t="shared" si="11"/>
        <v>0</v>
      </c>
      <c r="AI21" s="229">
        <f ca="1">IF($E21&lt;&gt;"",IF(SUMIF($AR$156:$AR$194,$E21,AV$156:AV$194)=3,V21*OFFSET('A1. Submodels &amp; data'!R$18,S21,0),0),0)</f>
        <v>0</v>
      </c>
      <c r="AJ21" s="1376">
        <f t="shared" si="12"/>
        <v>0</v>
      </c>
      <c r="AK21" s="229">
        <f ca="1">44/12*'A1. Submodels &amp; data'!$C$391*'2.CropManagement'!AI21</f>
        <v>0</v>
      </c>
      <c r="AL21" s="229">
        <f>44/12*'A1. Submodels &amp; data'!$C$392*'2.CropManagement'!AJ21</f>
        <v>0</v>
      </c>
      <c r="AM21" s="229">
        <f t="shared" ca="1" si="13"/>
        <v>0</v>
      </c>
      <c r="AN21" s="229">
        <f t="shared" ca="1" si="13"/>
        <v>0</v>
      </c>
      <c r="AO21" s="1130"/>
      <c r="AP21" s="149"/>
      <c r="AQ21" s="2"/>
      <c r="AR21" s="2"/>
      <c r="AS21" s="2"/>
      <c r="AT21" s="2"/>
      <c r="AU21" s="2"/>
      <c r="AV21" s="2"/>
      <c r="AW21" s="149"/>
      <c r="AX21" s="149"/>
      <c r="AY21" s="166"/>
      <c r="AZ21" s="166"/>
      <c r="BA21" s="166"/>
      <c r="BB21" s="166"/>
      <c r="BC21" s="166"/>
      <c r="BD21" s="166"/>
      <c r="BE21" s="1129"/>
      <c r="BF21" s="188"/>
      <c r="BG21" s="188"/>
      <c r="BH21" s="188"/>
      <c r="BI21" s="188"/>
      <c r="BJ21" s="188"/>
      <c r="BK21" s="188"/>
      <c r="BL21" s="188"/>
      <c r="BM21" s="188"/>
      <c r="BN21" s="188"/>
      <c r="BO21" s="188"/>
      <c r="BP21" s="188" t="b">
        <f>IF(E12&lt;&gt;"Select",IF(E12&lt;&gt;"",TRUE,FALSE),FALSE)</f>
        <v>1</v>
      </c>
      <c r="BQ21" s="188"/>
      <c r="BR21" s="188"/>
      <c r="BS21" s="188"/>
      <c r="BT21" s="188"/>
      <c r="BU21" s="1130"/>
      <c r="BV21" s="166"/>
      <c r="BW21" s="2"/>
      <c r="CM21" s="60"/>
      <c r="CN21" s="60"/>
      <c r="CO21" s="60"/>
      <c r="CP21" s="60"/>
      <c r="CQ21" s="60"/>
    </row>
    <row r="22" spans="1:95" ht="25.5" customHeight="1" x14ac:dyDescent="0.25">
      <c r="A22" s="166"/>
      <c r="B22" s="2285"/>
      <c r="C22" s="226"/>
      <c r="D22" s="1224" t="s">
        <v>818</v>
      </c>
      <c r="E22" s="1184" t="str">
        <f>IF(ISBLANK(Import!D35), "[Select]", Import!D35)</f>
        <v>[Select]</v>
      </c>
      <c r="F22" s="1184">
        <f>IF(ISBLANK(Import!E35), "", Import!E35)</f>
        <v>0</v>
      </c>
      <c r="G22" s="1184">
        <f>IF(ISBLANK(Import!F35), "", Import!F35)</f>
        <v>0</v>
      </c>
      <c r="H22" s="1184" t="str">
        <f ca="1">IF(ISBLANK(Import!G35), OFFSET(Z$182,SUMIF(W$183:W$184,'1.GeneralInfo'!$E$8,X$183:X$184),0), Import!G35)</f>
        <v>kg/ha</v>
      </c>
      <c r="I22" s="1184">
        <f>IF(ISBLANK(Import!H35), "", Import!H35)</f>
        <v>0</v>
      </c>
      <c r="J22" s="1184" t="str">
        <f>IF(ISBLANK(Import!I35), "[None]", Import!I35)</f>
        <v>None</v>
      </c>
      <c r="K22" s="2242" t="str">
        <f>IF(ISBLANK(Import!J35), "Current tech", Import!J35)</f>
        <v>Current tech</v>
      </c>
      <c r="L22" s="1083" t="str">
        <f t="shared" ca="1" si="0"/>
        <v/>
      </c>
      <c r="M22" s="228"/>
      <c r="N22" s="219"/>
      <c r="O22" s="1713">
        <f>SUMIF(BR$34:BR$35,BP37,BS$34:BS$36)</f>
        <v>1</v>
      </c>
      <c r="P22" s="1714">
        <f t="shared" ca="1" si="1"/>
        <v>1</v>
      </c>
      <c r="Q22" s="1701">
        <f t="shared" ca="1" si="2"/>
        <v>1</v>
      </c>
      <c r="R22" s="1701">
        <f t="shared" ca="1" si="3"/>
        <v>0</v>
      </c>
      <c r="S22" s="1715">
        <f t="shared" si="4"/>
        <v>0</v>
      </c>
      <c r="T22" s="1701">
        <f t="shared" si="5"/>
        <v>0</v>
      </c>
      <c r="U22" s="1701">
        <f t="shared" si="6"/>
        <v>0</v>
      </c>
      <c r="V22" s="1721">
        <f ca="1">IF(U22&lt;&gt;0,IF(U22&lt;&gt;$BG$183,R22/OFFSET('A1. Submodels &amp; data'!H$18,'2.CropManagement'!S22,'2.CropManagement'!U22),R22),0)</f>
        <v>0</v>
      </c>
      <c r="W22" s="1723">
        <f ca="1">IF(E22&lt;&gt;$AR$155,IF(E22&lt;&gt;"",OFFSET('A1. Submodels &amp; data'!I$18,S22,0),0),0)</f>
        <v>0</v>
      </c>
      <c r="X22" s="1735">
        <f ca="1">IF(S22&gt;0,OFFSET('A1. Submodels &amp; data'!Y$18,S22,0),0)</f>
        <v>0</v>
      </c>
      <c r="Y22" s="1738">
        <f t="shared" ca="1" si="7"/>
        <v>0</v>
      </c>
      <c r="Z22" s="1752">
        <f t="shared" ca="1" si="8"/>
        <v>0</v>
      </c>
      <c r="AA22" s="1753">
        <f ca="1">Y22*IF(S22&gt;0,OFFSET('A1. Submodels &amp; data'!Z$18,S22,0),0)</f>
        <v>0</v>
      </c>
      <c r="AB22" s="1753">
        <f ca="1">Y22*EXP(IF(S22&gt;0,SUM(AB$9:AB$16)+OFFSET('A1. Submodels &amp; data'!AA$18,S22,0)+OFFSET('A1. Submodels &amp; data'!B$92,0,T22)))</f>
        <v>0</v>
      </c>
      <c r="AC22" s="1757">
        <f t="shared" ca="1" si="9"/>
        <v>0</v>
      </c>
      <c r="AD22" s="188">
        <f>SUMIF('A1. Submodels &amp; data'!T$15:W$15,K22,'A1. Submodels &amp; data'!T$17:W$17)</f>
        <v>1</v>
      </c>
      <c r="AE22" s="229">
        <f ca="1">IF(E22&lt;&gt;AR$155,IF(E22&lt;&gt;"",V22*OFFSET('A1. Submodels &amp; data'!S$18,$S22,AD22),0),0)</f>
        <v>0</v>
      </c>
      <c r="AF22" s="188"/>
      <c r="AG22" s="229">
        <f t="shared" si="10"/>
        <v>0</v>
      </c>
      <c r="AH22" s="229">
        <f t="shared" si="11"/>
        <v>0</v>
      </c>
      <c r="AI22" s="229">
        <f ca="1">IF($E22&lt;&gt;"",IF(SUMIF($AR$156:$AR$194,$E22,AV$156:AV$194)=3,V22*OFFSET('A1. Submodels &amp; data'!R$18,S22,0),0),0)</f>
        <v>0</v>
      </c>
      <c r="AJ22" s="1376">
        <f t="shared" si="12"/>
        <v>0</v>
      </c>
      <c r="AK22" s="229">
        <f ca="1">44/12*'A1. Submodels &amp; data'!$C$391*'2.CropManagement'!AI22</f>
        <v>0</v>
      </c>
      <c r="AL22" s="229">
        <f>44/12*'A1. Submodels &amp; data'!$C$392*'2.CropManagement'!AJ22</f>
        <v>0</v>
      </c>
      <c r="AM22" s="229">
        <f t="shared" ca="1" si="13"/>
        <v>0</v>
      </c>
      <c r="AN22" s="229">
        <f t="shared" ca="1" si="13"/>
        <v>0</v>
      </c>
      <c r="AO22" s="1130"/>
      <c r="AP22" s="149"/>
      <c r="AQ22" s="2"/>
      <c r="AR22" s="2"/>
      <c r="AS22" s="2"/>
      <c r="AT22" s="2"/>
      <c r="AU22" s="2"/>
      <c r="AV22" s="2"/>
      <c r="AW22" s="149"/>
      <c r="AX22" s="149"/>
      <c r="AY22" s="166"/>
      <c r="AZ22" s="166"/>
      <c r="BA22" s="166"/>
      <c r="BB22" s="166"/>
      <c r="BC22" s="166"/>
      <c r="BD22" s="166"/>
      <c r="BE22" s="1129"/>
      <c r="BF22" s="188"/>
      <c r="BG22" s="188"/>
      <c r="BH22" s="188"/>
      <c r="BI22" s="188"/>
      <c r="BJ22" s="188"/>
      <c r="BK22" s="188"/>
      <c r="BL22" s="188"/>
      <c r="BM22" s="188"/>
      <c r="BN22" s="188"/>
      <c r="BO22" s="188"/>
      <c r="BP22" s="188" t="b">
        <f>IF(E13&lt;&gt;"Select",IF(E13&lt;&gt;"",TRUE,FALSE),FALSE)</f>
        <v>1</v>
      </c>
      <c r="BQ22" s="188"/>
      <c r="BR22" s="188"/>
      <c r="BS22" s="188"/>
      <c r="BT22" s="188"/>
      <c r="BU22" s="1130"/>
      <c r="BV22" s="166"/>
      <c r="BW22" s="2"/>
      <c r="CM22" s="60"/>
      <c r="CN22" s="60"/>
      <c r="CO22" s="60"/>
      <c r="CP22" s="60"/>
      <c r="CQ22" s="60"/>
    </row>
    <row r="23" spans="1:95" ht="25.5" customHeight="1" x14ac:dyDescent="0.25">
      <c r="A23" s="166"/>
      <c r="B23" s="2285"/>
      <c r="C23" s="226"/>
      <c r="D23" s="1224" t="s">
        <v>819</v>
      </c>
      <c r="E23" s="1184" t="str">
        <f>IF(ISBLANK(Import!D36), "[Select]", Import!D36)</f>
        <v>[Select]</v>
      </c>
      <c r="F23" s="1184">
        <f>IF(ISBLANK(Import!E36), "", Import!E36)</f>
        <v>0</v>
      </c>
      <c r="G23" s="1184">
        <f>IF(ISBLANK(Import!F36), "", Import!F36)</f>
        <v>0</v>
      </c>
      <c r="H23" s="1184" t="str">
        <f ca="1">IF(ISBLANK(Import!G36), OFFSET(Z$182,SUMIF(W$183:W$184,'1.GeneralInfo'!$E$8,X$183:X$184),0), Import!G36)</f>
        <v>kg/ha</v>
      </c>
      <c r="I23" s="1184">
        <f>IF(ISBLANK(Import!H36), "", Import!H36)</f>
        <v>0</v>
      </c>
      <c r="J23" s="1184" t="str">
        <f>IF(ISBLANK(Import!I36), "[None]", Import!I36)</f>
        <v>None</v>
      </c>
      <c r="K23" s="2242" t="str">
        <f>IF(ISBLANK(Import!J36), "Current tech", Import!J36)</f>
        <v>Current tech</v>
      </c>
      <c r="L23" s="1083" t="str">
        <f t="shared" ca="1" si="0"/>
        <v/>
      </c>
      <c r="M23" s="228"/>
      <c r="N23" s="219"/>
      <c r="O23" s="1713">
        <f>SUMIF(BR$34:BR$35,BP38,BS$34:BS$36)</f>
        <v>1</v>
      </c>
      <c r="P23" s="1714">
        <f t="shared" ca="1" si="1"/>
        <v>1</v>
      </c>
      <c r="Q23" s="1701">
        <f t="shared" ca="1" si="2"/>
        <v>1</v>
      </c>
      <c r="R23" s="1701">
        <f t="shared" ca="1" si="3"/>
        <v>0</v>
      </c>
      <c r="S23" s="1715">
        <f t="shared" si="4"/>
        <v>0</v>
      </c>
      <c r="T23" s="1701">
        <f t="shared" si="5"/>
        <v>0</v>
      </c>
      <c r="U23" s="1701">
        <f t="shared" si="6"/>
        <v>0</v>
      </c>
      <c r="V23" s="1721">
        <f ca="1">IF(U23&lt;&gt;0,IF(U23&lt;&gt;$BG$183,R23/OFFSET('A1. Submodels &amp; data'!H$18,'2.CropManagement'!S23,'2.CropManagement'!U23),R23),0)</f>
        <v>0</v>
      </c>
      <c r="W23" s="1723">
        <f ca="1">IF(E23&lt;&gt;$AR$155,IF(E23&lt;&gt;"",OFFSET('A1. Submodels &amp; data'!I$18,S23,0),0),0)</f>
        <v>0</v>
      </c>
      <c r="X23" s="1735">
        <f ca="1">IF(S23&gt;0,OFFSET('A1. Submodels &amp; data'!Y$18,S23,0),0)</f>
        <v>0</v>
      </c>
      <c r="Y23" s="1738">
        <f t="shared" ca="1" si="7"/>
        <v>0</v>
      </c>
      <c r="Z23" s="1752">
        <f t="shared" ca="1" si="8"/>
        <v>0</v>
      </c>
      <c r="AA23" s="1753">
        <f ca="1">Y23*IF(S23&gt;0,OFFSET('A1. Submodels &amp; data'!Z$18,S23,0),0)</f>
        <v>0</v>
      </c>
      <c r="AB23" s="1753">
        <f ca="1">Y23*EXP(IF(S23&gt;0,SUM(AB$9:AB$16)+OFFSET('A1. Submodels &amp; data'!AA$18,S23,0)+OFFSET('A1. Submodels &amp; data'!B$92,0,T23)))</f>
        <v>0</v>
      </c>
      <c r="AC23" s="1757">
        <f t="shared" ca="1" si="9"/>
        <v>0</v>
      </c>
      <c r="AD23" s="188">
        <f>SUMIF('A1. Submodels &amp; data'!T$15:W$15,K23,'A1. Submodels &amp; data'!T$17:W$17)</f>
        <v>1</v>
      </c>
      <c r="AE23" s="229">
        <f ca="1">IF(E23&lt;&gt;AR$155,IF(E23&lt;&gt;"",V23*OFFSET('A1. Submodels &amp; data'!S$18,$S23,AD23),0),0)</f>
        <v>0</v>
      </c>
      <c r="AF23" s="188"/>
      <c r="AG23" s="229">
        <f t="shared" si="10"/>
        <v>0</v>
      </c>
      <c r="AH23" s="229">
        <f t="shared" si="11"/>
        <v>0</v>
      </c>
      <c r="AI23" s="229">
        <f ca="1">IF($E23&lt;&gt;"",IF(SUMIF($AR$156:$AR$194,$E23,AV$156:AV$194)=3,V23*OFFSET('A1. Submodels &amp; data'!R$18,S23,0),0),0)</f>
        <v>0</v>
      </c>
      <c r="AJ23" s="1376">
        <f t="shared" si="12"/>
        <v>0</v>
      </c>
      <c r="AK23" s="229">
        <f ca="1">44/12*'A1. Submodels &amp; data'!$C$391*'2.CropManagement'!AI23</f>
        <v>0</v>
      </c>
      <c r="AL23" s="229">
        <f>44/12*'A1. Submodels &amp; data'!$C$392*'2.CropManagement'!AJ23</f>
        <v>0</v>
      </c>
      <c r="AM23" s="229">
        <f t="shared" ca="1" si="13"/>
        <v>0</v>
      </c>
      <c r="AN23" s="229">
        <f t="shared" ca="1" si="13"/>
        <v>0</v>
      </c>
      <c r="AO23" s="1130"/>
      <c r="AP23" s="149"/>
      <c r="AQ23" s="2"/>
      <c r="AR23" s="2"/>
      <c r="AS23" s="2"/>
      <c r="AT23" s="2"/>
      <c r="AU23" s="2"/>
      <c r="AV23" s="2"/>
      <c r="AW23" s="149"/>
      <c r="AX23" s="149"/>
      <c r="AY23" s="166"/>
      <c r="AZ23" s="166"/>
      <c r="BA23" s="166"/>
      <c r="BB23" s="166"/>
      <c r="BC23" s="166"/>
      <c r="BD23" s="166"/>
      <c r="BE23" s="1129"/>
      <c r="BF23" s="188"/>
      <c r="BG23" s="188"/>
      <c r="BH23" s="188"/>
      <c r="BI23" s="188"/>
      <c r="BJ23" s="188"/>
      <c r="BK23" s="188"/>
      <c r="BL23" s="188"/>
      <c r="BM23" s="188"/>
      <c r="BN23" s="188"/>
      <c r="BO23" s="188"/>
      <c r="BP23" s="188"/>
      <c r="BQ23" s="188"/>
      <c r="BR23" s="188"/>
      <c r="BS23" s="188"/>
      <c r="BT23" s="188"/>
      <c r="BU23" s="1130"/>
      <c r="BV23" s="166"/>
      <c r="BW23" s="2"/>
      <c r="CM23" s="60"/>
      <c r="CN23" s="60"/>
      <c r="CO23" s="60"/>
      <c r="CP23" s="60"/>
      <c r="CQ23" s="60"/>
    </row>
    <row r="24" spans="1:95" ht="25.5" customHeight="1" thickBot="1" x14ac:dyDescent="0.3">
      <c r="A24" s="166"/>
      <c r="B24" s="2285"/>
      <c r="C24" s="226"/>
      <c r="D24" s="1224" t="s">
        <v>820</v>
      </c>
      <c r="E24" s="1184" t="str">
        <f>IF(ISBLANK(Import!D37), "[Select]", Import!D37)</f>
        <v>[Select]</v>
      </c>
      <c r="F24" s="1184">
        <f>IF(ISBLANK(Import!E37), "", Import!E37)</f>
        <v>0</v>
      </c>
      <c r="G24" s="1184">
        <f>IF(ISBLANK(Import!F37), "", Import!F37)</f>
        <v>0</v>
      </c>
      <c r="H24" s="1184" t="str">
        <f ca="1">IF(ISBLANK(Import!G37), OFFSET(Z$182,SUMIF(W$183:W$184,'1.GeneralInfo'!$E$8,X$183:X$184),0), Import!G37)</f>
        <v>kg/ha</v>
      </c>
      <c r="I24" s="1184">
        <f>IF(ISBLANK(Import!H37), "", Import!H37)</f>
        <v>0</v>
      </c>
      <c r="J24" s="1184" t="str">
        <f>IF(ISBLANK(Import!I37), "[None]", Import!I37)</f>
        <v>None</v>
      </c>
      <c r="K24" s="2242" t="str">
        <f>IF(ISBLANK(Import!J37), "Current tech", Import!J37)</f>
        <v>Current tech</v>
      </c>
      <c r="L24" s="1083" t="str">
        <f t="shared" ca="1" si="0"/>
        <v/>
      </c>
      <c r="M24" s="228"/>
      <c r="N24" s="231"/>
      <c r="O24" s="1716">
        <f>SUMIF(BR$34:BR$35,BP39,BS$34:BS$36)</f>
        <v>1</v>
      </c>
      <c r="P24" s="1717">
        <f t="shared" ca="1" si="1"/>
        <v>1</v>
      </c>
      <c r="Q24" s="1718">
        <f t="shared" ca="1" si="2"/>
        <v>1</v>
      </c>
      <c r="R24" s="1704">
        <f t="shared" ca="1" si="3"/>
        <v>0</v>
      </c>
      <c r="S24" s="1715">
        <f t="shared" si="4"/>
        <v>0</v>
      </c>
      <c r="T24" s="1701">
        <f t="shared" si="5"/>
        <v>0</v>
      </c>
      <c r="U24" s="1704">
        <f t="shared" si="6"/>
        <v>0</v>
      </c>
      <c r="V24" s="1722">
        <f ca="1">IF(U24&lt;&gt;0,IF(U24&lt;&gt;$BG$183,R24/OFFSET('A1. Submodels &amp; data'!H$18,'2.CropManagement'!S24,'2.CropManagement'!U24),R24),0)</f>
        <v>0</v>
      </c>
      <c r="W24" s="1724">
        <f ca="1">IF(E24&lt;&gt;$AR$155,IF(E24&lt;&gt;"",OFFSET('A1. Submodels &amp; data'!I$18,S24,0),0),0)</f>
        <v>0</v>
      </c>
      <c r="X24" s="1736">
        <f ca="1">IF(S24&gt;0,OFFSET('A1. Submodels &amp; data'!Y$18,S24,0),0)</f>
        <v>0</v>
      </c>
      <c r="Y24" s="1739">
        <f t="shared" ca="1" si="7"/>
        <v>0</v>
      </c>
      <c r="Z24" s="1761">
        <f t="shared" ca="1" si="8"/>
        <v>0</v>
      </c>
      <c r="AA24" s="1762">
        <f ca="1">Y24*IF(S24&gt;0,OFFSET('A1. Submodels &amp; data'!Z$18,S24,0),0)</f>
        <v>0</v>
      </c>
      <c r="AB24" s="1753">
        <f ca="1">Y24*EXP(IF(S24&gt;0,SUM(AB$9:AB$16)+OFFSET('A1. Submodels &amp; data'!AA$18,S24,0)+OFFSET('A1. Submodels &amp; data'!B$92,0,T24)))</f>
        <v>0</v>
      </c>
      <c r="AC24" s="1763">
        <f t="shared" ca="1" si="9"/>
        <v>0</v>
      </c>
      <c r="AD24" s="188">
        <f>SUMIF('A1. Submodels &amp; data'!T$15:W$15,K24,'A1. Submodels &amp; data'!T$17:W$17)</f>
        <v>1</v>
      </c>
      <c r="AE24" s="229">
        <f ca="1">IF(E24&lt;&gt;AR$155,IF(E24&lt;&gt;"",V24*OFFSET('A1. Submodels &amp; data'!S$18,$S24,AD24),0),0)</f>
        <v>0</v>
      </c>
      <c r="AF24" s="188"/>
      <c r="AG24" s="229">
        <f t="shared" si="10"/>
        <v>0</v>
      </c>
      <c r="AH24" s="229">
        <f t="shared" si="11"/>
        <v>0</v>
      </c>
      <c r="AI24" s="229">
        <f ca="1">IF($E24&lt;&gt;"",IF(SUMIF($AR$156:$AR$194,$E24,AV$156:AV$194)=3,V24*OFFSET('A1. Submodels &amp; data'!R$18,S24,0),0),0)</f>
        <v>0</v>
      </c>
      <c r="AJ24" s="1376">
        <f t="shared" si="12"/>
        <v>0</v>
      </c>
      <c r="AK24" s="229">
        <f ca="1">44/12*'A1. Submodels &amp; data'!$C$391*'2.CropManagement'!AI24</f>
        <v>0</v>
      </c>
      <c r="AL24" s="229">
        <f>44/12*'A1. Submodels &amp; data'!$C$392*'2.CropManagement'!AJ24</f>
        <v>0</v>
      </c>
      <c r="AM24" s="229">
        <f t="shared" ca="1" si="13"/>
        <v>0</v>
      </c>
      <c r="AN24" s="229">
        <f t="shared" ca="1" si="13"/>
        <v>0</v>
      </c>
      <c r="AO24" s="1130"/>
      <c r="AP24" s="149"/>
      <c r="AQ24" s="2"/>
      <c r="AR24" s="2"/>
      <c r="AS24" s="2"/>
      <c r="AT24" s="2"/>
      <c r="AU24" s="2"/>
      <c r="AV24" s="2"/>
      <c r="AW24" s="149"/>
      <c r="AX24" s="149"/>
      <c r="AY24" s="166"/>
      <c r="AZ24" s="166"/>
      <c r="BA24" s="166"/>
      <c r="BB24" s="166"/>
      <c r="BC24" s="166"/>
      <c r="BD24" s="166"/>
      <c r="BE24" s="1129"/>
      <c r="BF24" s="188"/>
      <c r="BG24" s="188"/>
      <c r="BH24" s="188"/>
      <c r="BI24" s="188"/>
      <c r="BJ24" s="188"/>
      <c r="BK24" s="188"/>
      <c r="BL24" s="188"/>
      <c r="BM24" s="188"/>
      <c r="BN24" s="188"/>
      <c r="BO24" s="188"/>
      <c r="BP24" s="188" t="b">
        <f>IF(E15&lt;&gt;"Select",IF(E15&lt;&gt;"",TRUE,FALSE),FALSE)</f>
        <v>1</v>
      </c>
      <c r="BQ24" s="188"/>
      <c r="BR24" s="188"/>
      <c r="BS24" s="188"/>
      <c r="BT24" s="188"/>
      <c r="BU24" s="1130"/>
      <c r="BV24" s="166"/>
      <c r="BW24" s="2"/>
      <c r="CM24" s="60"/>
      <c r="CN24" s="60"/>
      <c r="CO24" s="60"/>
      <c r="CP24" s="60"/>
      <c r="CQ24" s="60"/>
    </row>
    <row r="25" spans="1:95" ht="28.55" customHeight="1" thickBot="1" x14ac:dyDescent="0.3">
      <c r="A25" s="166"/>
      <c r="B25" s="2286"/>
      <c r="C25" s="232"/>
      <c r="D25" s="233"/>
      <c r="E25" s="2287" t="str">
        <f>IF(BG41&gt;0,"If you use compost or manure as fertiliser, and this practice started less than 20 years ago, be sure to add this in the sequestration tab.","")</f>
        <v/>
      </c>
      <c r="F25" s="2287"/>
      <c r="G25" s="2287"/>
      <c r="H25" s="2287"/>
      <c r="I25" s="2287"/>
      <c r="J25" s="2287"/>
      <c r="K25" s="234"/>
      <c r="L25" s="234"/>
      <c r="M25" s="228"/>
      <c r="N25" s="171"/>
      <c r="O25" s="1707" t="s">
        <v>1055</v>
      </c>
      <c r="P25" s="1706">
        <f ca="1">IF(SUM($Y19:$Y24)&lt;&gt;0,AM25/SUM($Y19:$Y24),1)</f>
        <v>1</v>
      </c>
      <c r="Q25" s="1705">
        <f ca="1">IF(SUM($Y19:$Y24)&lt;&gt;0,AN25/SUM($Y19:$Y24),1)</f>
        <v>1</v>
      </c>
      <c r="R25" s="763"/>
      <c r="S25" s="763"/>
      <c r="T25" s="763"/>
      <c r="U25" s="187"/>
      <c r="V25" s="188"/>
      <c r="W25" s="1748" t="s">
        <v>59</v>
      </c>
      <c r="X25" s="1749"/>
      <c r="Y25" s="1749"/>
      <c r="Z25" s="1764">
        <f ca="1">EXP(SUM(Z9:Z16))*'1.GeneralInfo'!S12*Q25</f>
        <v>2.5019765162813896</v>
      </c>
      <c r="AA25" s="1765">
        <f ca="1">0.01*EXP(SUM(AA9:AA16))*'1.GeneralInfo'!$S12*P25</f>
        <v>4.0272389859940333E-2</v>
      </c>
      <c r="AB25" s="1766"/>
      <c r="AC25" s="1767"/>
      <c r="AD25" s="1622"/>
      <c r="AE25" s="229">
        <f ca="1">SUM(AE19:AE24)*'1.GeneralInfo'!S12</f>
        <v>9685.028571428571</v>
      </c>
      <c r="AF25" s="188"/>
      <c r="AG25" s="229">
        <f>SUM(AG19:AG24)*'1.GeneralInfo'!$S12</f>
        <v>0</v>
      </c>
      <c r="AH25" s="229">
        <f>SUM(AH19:AH24)*'1.GeneralInfo'!$S12</f>
        <v>0</v>
      </c>
      <c r="AI25" s="229">
        <f ca="1">SUM(AI19:AI24)*'1.GeneralInfo'!$S12</f>
        <v>0</v>
      </c>
      <c r="AJ25" s="229">
        <f>SUM(AJ19:AJ24)*'1.GeneralInfo'!$S12</f>
        <v>0</v>
      </c>
      <c r="AK25" s="229">
        <f ca="1">SUM(AK19:AK24)*'1.GeneralInfo'!$S12</f>
        <v>0</v>
      </c>
      <c r="AL25" s="229">
        <f>SUM(AL19:AL24)*'1.GeneralInfo'!$S12</f>
        <v>0</v>
      </c>
      <c r="AM25" s="229">
        <f ca="1">SUM(AM19:AM24)</f>
        <v>219.99999999999997</v>
      </c>
      <c r="AN25" s="229">
        <f ca="1">SUM(AN19:AN24)</f>
        <v>219.99999999999997</v>
      </c>
      <c r="AO25" s="1130"/>
      <c r="AP25" s="149"/>
      <c r="AQ25" s="2"/>
      <c r="AR25" s="2"/>
      <c r="AS25" s="2"/>
      <c r="AT25" s="2"/>
      <c r="AU25" s="2"/>
      <c r="AV25" s="2"/>
      <c r="AW25" s="149"/>
      <c r="AX25" s="149"/>
      <c r="AY25" s="166"/>
      <c r="AZ25" s="166"/>
      <c r="BA25" s="166"/>
      <c r="BB25" s="166"/>
      <c r="BC25" s="166"/>
      <c r="BD25" s="166"/>
      <c r="BE25" s="1129"/>
      <c r="BF25" s="188"/>
      <c r="BG25" s="188"/>
      <c r="BH25" s="188"/>
      <c r="BI25" s="188"/>
      <c r="BJ25" s="188"/>
      <c r="BK25" s="188"/>
      <c r="BL25" s="188"/>
      <c r="BM25" s="188"/>
      <c r="BN25" s="188"/>
      <c r="BO25" s="188"/>
      <c r="BP25" s="188" t="b">
        <f>IF(E16&lt;&gt;"Select",IF(E16&lt;&gt;"",TRUE,FALSE),FALSE)</f>
        <v>1</v>
      </c>
      <c r="BQ25" s="188"/>
      <c r="BR25" s="188"/>
      <c r="BS25" s="188"/>
      <c r="BT25" s="188"/>
      <c r="BU25" s="1130"/>
      <c r="BV25" s="166"/>
      <c r="BW25" s="2"/>
      <c r="CM25" s="60"/>
      <c r="CN25" s="60"/>
      <c r="CO25" s="60"/>
      <c r="CP25" s="60"/>
      <c r="CQ25" s="60"/>
    </row>
    <row r="26" spans="1:95" ht="20.3" customHeight="1" x14ac:dyDescent="0.25">
      <c r="A26" s="166"/>
      <c r="B26" s="2281" t="s">
        <v>1439</v>
      </c>
      <c r="C26" s="237"/>
      <c r="D26" s="238"/>
      <c r="E26" s="172"/>
      <c r="F26" s="172"/>
      <c r="G26" s="172"/>
      <c r="H26" s="172"/>
      <c r="I26" s="172"/>
      <c r="J26" s="172"/>
      <c r="K26" s="172"/>
      <c r="L26" s="172"/>
      <c r="M26" s="239"/>
      <c r="N26" s="171"/>
      <c r="O26" s="1624"/>
      <c r="P26" s="187"/>
      <c r="Q26" s="187"/>
      <c r="R26" s="187"/>
      <c r="S26" s="187"/>
      <c r="T26" s="187"/>
      <c r="U26" s="187"/>
      <c r="V26" s="188"/>
      <c r="W26" s="1670" t="s">
        <v>60</v>
      </c>
      <c r="X26" s="1523"/>
      <c r="Y26" s="1523"/>
      <c r="Z26" s="1768">
        <f ca="1">(EXP(SUM(Z9:Z24))*'1.GeneralInfo'!S12*Q25-Z25)</f>
        <v>7.0723100861932213</v>
      </c>
      <c r="AA26" s="1769">
        <f ca="1">(0.01*EXP(SUM(AA9:AA24))*'1.GeneralInfo'!$S12*P25-AA25)</f>
        <v>5.6820303030109237E-2</v>
      </c>
      <c r="AB26" s="1770" t="e">
        <f ca="1">'A1. Submodels &amp; data'!C390*SUM(AB19:AB24)*'1.GeneralInfo'!$S12</f>
        <v>#VALUE!</v>
      </c>
      <c r="AC26" s="1771">
        <f ca="1">'A1. Submodels &amp; data'!C390*SUMIF(BB155:BB158,T10,BD155:BD158)*SUM(AC19:AC24)*'1.GeneralInfo'!S12</f>
        <v>4.7519999999999998</v>
      </c>
      <c r="AD26" s="188"/>
      <c r="AE26" s="188"/>
      <c r="AF26" s="188"/>
      <c r="AG26" s="188"/>
      <c r="AH26" s="188"/>
      <c r="AI26" s="188"/>
      <c r="AJ26" s="188"/>
      <c r="AK26" s="188"/>
      <c r="AL26" s="188"/>
      <c r="AM26" s="188"/>
      <c r="AN26" s="188"/>
      <c r="AO26" s="1130"/>
      <c r="AP26" s="149"/>
      <c r="AQ26" s="2"/>
      <c r="AR26" s="2"/>
      <c r="AS26" s="2"/>
      <c r="AT26" s="2"/>
      <c r="AU26" s="2"/>
      <c r="AV26" s="2"/>
      <c r="AW26" s="149"/>
      <c r="AX26" s="149"/>
      <c r="AY26" s="166"/>
      <c r="AZ26" s="166"/>
      <c r="BA26" s="166"/>
      <c r="BB26" s="166"/>
      <c r="BC26" s="166"/>
      <c r="BD26" s="166"/>
      <c r="BE26" s="1129"/>
      <c r="BF26" s="188"/>
      <c r="BG26" s="188"/>
      <c r="BH26" s="188"/>
      <c r="BI26" s="188"/>
      <c r="BJ26" s="188"/>
      <c r="BK26" s="188"/>
      <c r="BL26" s="188"/>
      <c r="BM26" s="188"/>
      <c r="BN26" s="188"/>
      <c r="BO26" s="188"/>
      <c r="BP26" s="188"/>
      <c r="BQ26" s="188"/>
      <c r="BR26" s="188"/>
      <c r="BS26" s="188"/>
      <c r="BT26" s="188"/>
      <c r="BU26" s="1130"/>
      <c r="BV26" s="166"/>
      <c r="BW26" s="2"/>
      <c r="CM26" s="60"/>
      <c r="CN26" s="60"/>
      <c r="CO26" s="60"/>
      <c r="CP26" s="60"/>
      <c r="CQ26" s="60"/>
    </row>
    <row r="27" spans="1:95" ht="20.3" customHeight="1" thickBot="1" x14ac:dyDescent="0.3">
      <c r="A27" s="166"/>
      <c r="B27" s="2282"/>
      <c r="C27" s="241"/>
      <c r="D27" s="1225" t="s">
        <v>681</v>
      </c>
      <c r="E27" s="1193">
        <v>10.257999999999999</v>
      </c>
      <c r="F27" s="242"/>
      <c r="G27" s="172"/>
      <c r="H27" s="242"/>
      <c r="I27" s="242"/>
      <c r="J27" s="242"/>
      <c r="K27" s="172"/>
      <c r="L27" s="172"/>
      <c r="M27" s="239"/>
      <c r="N27" s="171"/>
      <c r="O27" s="1624"/>
      <c r="P27" s="187"/>
      <c r="Q27" s="187"/>
      <c r="R27" s="187"/>
      <c r="S27" s="187"/>
      <c r="T27" s="187"/>
      <c r="U27" s="188"/>
      <c r="V27" s="188"/>
      <c r="W27" s="1670" t="s">
        <v>1390</v>
      </c>
      <c r="X27" s="188"/>
      <c r="Y27" s="188"/>
      <c r="Z27" s="1772">
        <f ca="1">Z25+Z26</f>
        <v>9.5742866024746114</v>
      </c>
      <c r="AA27" s="1773">
        <f ca="1">AA25+AA26</f>
        <v>9.709269289004957E-2</v>
      </c>
      <c r="AB27" s="1773" t="e">
        <f ca="1">AB26</f>
        <v>#VALUE!</v>
      </c>
      <c r="AC27" s="1774">
        <f ca="1">AC26</f>
        <v>4.7519999999999998</v>
      </c>
      <c r="AD27" s="188"/>
      <c r="AE27" s="188"/>
      <c r="AF27" s="188"/>
      <c r="AG27" s="188"/>
      <c r="AH27" s="188"/>
      <c r="AI27" s="188"/>
      <c r="AJ27" s="188"/>
      <c r="AK27" s="188"/>
      <c r="AL27" s="188"/>
      <c r="AM27" s="188"/>
      <c r="AN27" s="188"/>
      <c r="AO27" s="1130"/>
      <c r="AP27" s="149"/>
      <c r="AQ27" s="2"/>
      <c r="AR27" s="2"/>
      <c r="AS27" s="2"/>
      <c r="AT27" s="2"/>
      <c r="AU27" s="2"/>
      <c r="AV27" s="2"/>
      <c r="AW27" s="149"/>
      <c r="AX27" s="149"/>
      <c r="AY27" s="166"/>
      <c r="AZ27" s="166"/>
      <c r="BA27" s="166"/>
      <c r="BB27" s="166"/>
      <c r="BC27" s="166"/>
      <c r="BD27" s="166"/>
      <c r="BE27" s="1129"/>
      <c r="BF27" s="188"/>
      <c r="BG27" s="188"/>
      <c r="BH27" s="188"/>
      <c r="BI27" s="188"/>
      <c r="BJ27" s="188"/>
      <c r="BK27" s="188"/>
      <c r="BL27" s="188"/>
      <c r="BM27" s="188"/>
      <c r="BN27" s="188"/>
      <c r="BO27" s="188"/>
      <c r="BP27" s="188"/>
      <c r="BQ27" s="188"/>
      <c r="BR27" s="188"/>
      <c r="BS27" s="188"/>
      <c r="BT27" s="188"/>
      <c r="BU27" s="1130"/>
      <c r="BV27" s="166"/>
      <c r="BW27" s="2"/>
      <c r="CM27" s="60"/>
      <c r="CN27" s="60"/>
      <c r="CO27" s="60"/>
      <c r="CP27" s="60"/>
      <c r="CQ27" s="60"/>
    </row>
    <row r="28" spans="1:95" ht="12.85" customHeight="1" thickBot="1" x14ac:dyDescent="0.3">
      <c r="A28" s="166"/>
      <c r="B28" s="2283"/>
      <c r="C28" s="244"/>
      <c r="D28" s="245"/>
      <c r="E28" s="242"/>
      <c r="F28" s="246"/>
      <c r="G28" s="247"/>
      <c r="H28" s="248"/>
      <c r="I28" s="248"/>
      <c r="J28" s="248"/>
      <c r="K28" s="248"/>
      <c r="L28" s="248"/>
      <c r="M28" s="1186"/>
      <c r="N28" s="171"/>
      <c r="O28" s="1624"/>
      <c r="P28" s="187"/>
      <c r="Q28" s="187"/>
      <c r="R28" s="188"/>
      <c r="S28" s="188"/>
      <c r="T28" s="188"/>
      <c r="U28" s="188"/>
      <c r="V28" s="188"/>
      <c r="W28" s="1750" t="s">
        <v>1391</v>
      </c>
      <c r="X28" s="240"/>
      <c r="Y28" s="240"/>
      <c r="Z28" s="1775"/>
      <c r="AA28" s="1776"/>
      <c r="AB28" s="1777"/>
      <c r="AC28" s="1751" t="e">
        <f ca="1">'A1. Submodels &amp; data'!B380*SUM(Z27:AC27)</f>
        <v>#VALUE!</v>
      </c>
      <c r="AD28" s="188"/>
      <c r="AE28" s="188"/>
      <c r="AF28" s="188"/>
      <c r="AG28" s="188"/>
      <c r="AH28" s="188"/>
      <c r="AI28" s="188"/>
      <c r="AJ28" s="188"/>
      <c r="AK28" s="188"/>
      <c r="AL28" s="188"/>
      <c r="AM28" s="188"/>
      <c r="AN28" s="188"/>
      <c r="AO28" s="1130"/>
      <c r="AP28" s="149"/>
      <c r="AQ28" s="2"/>
      <c r="AR28" s="2"/>
      <c r="AS28" s="2"/>
      <c r="AT28" s="2"/>
      <c r="AU28" s="2"/>
      <c r="AV28" s="2"/>
      <c r="AW28" s="149"/>
      <c r="AX28" s="149"/>
      <c r="AY28" s="149"/>
      <c r="AZ28" s="149"/>
      <c r="BA28" s="149"/>
      <c r="BB28" s="149"/>
      <c r="BC28" s="149"/>
      <c r="BD28" s="149"/>
      <c r="BE28" s="1129"/>
      <c r="BF28" s="188"/>
      <c r="BG28" s="188"/>
      <c r="BH28" s="188"/>
      <c r="BI28" s="188"/>
      <c r="BJ28" s="188"/>
      <c r="BK28" s="188"/>
      <c r="BL28" s="188"/>
      <c r="BM28" s="188"/>
      <c r="BN28" s="188"/>
      <c r="BO28" s="188"/>
      <c r="BP28" s="188"/>
      <c r="BQ28" s="188"/>
      <c r="BR28" s="188"/>
      <c r="BS28" s="188"/>
      <c r="BT28" s="188"/>
      <c r="BU28" s="1130"/>
      <c r="BV28" s="166"/>
      <c r="BW28" s="2"/>
      <c r="CM28" s="60"/>
      <c r="CN28" s="60"/>
      <c r="CO28" s="60"/>
      <c r="CP28" s="60"/>
      <c r="CQ28" s="60"/>
    </row>
    <row r="29" spans="1:95" ht="37.450000000000003" customHeight="1" x14ac:dyDescent="0.25">
      <c r="A29" s="166"/>
      <c r="B29" s="2272" t="s">
        <v>1132</v>
      </c>
      <c r="C29" s="249"/>
      <c r="D29" s="250"/>
      <c r="E29" s="169"/>
      <c r="F29" s="251" t="s">
        <v>1264</v>
      </c>
      <c r="G29" s="98"/>
      <c r="H29" s="169"/>
      <c r="I29" s="169"/>
      <c r="J29" s="169"/>
      <c r="K29" s="169"/>
      <c r="L29" s="170"/>
      <c r="M29" s="252" t="str">
        <f ca="1">"default residue " &amp; Z54</f>
        <v>default residue tonnes/ha</v>
      </c>
      <c r="N29" s="171"/>
      <c r="O29" s="1624"/>
      <c r="P29" s="187"/>
      <c r="Q29" s="187"/>
      <c r="R29" s="188"/>
      <c r="S29" s="188"/>
      <c r="T29" s="188"/>
      <c r="U29" s="188"/>
      <c r="V29" s="188"/>
      <c r="W29" s="1746" t="s">
        <v>61</v>
      </c>
      <c r="X29" s="1618"/>
      <c r="Y29" s="1618"/>
      <c r="Z29" s="1778">
        <f ca="1">EXP(SUM(Z9:Z24))*'1.GeneralInfo'!S12*Q25</f>
        <v>9.5742866024746114</v>
      </c>
      <c r="AA29" s="1778">
        <f ca="1">0.01*EXP(SUM(AA9:AA24))*'1.GeneralInfo'!$S12*P25</f>
        <v>9.709269289004957E-2</v>
      </c>
      <c r="AB29" s="1778"/>
      <c r="AC29" s="1780">
        <f ca="1">IF(E5&lt;&gt;"[Select]",'A1. Submodels &amp; data'!B380*SUM(Z25:AC25),0)</f>
        <v>3.994962566793518</v>
      </c>
      <c r="AD29" s="188"/>
      <c r="AE29" s="188"/>
      <c r="AF29" s="188"/>
      <c r="AG29" s="188"/>
      <c r="AH29" s="188"/>
      <c r="AI29" s="188"/>
      <c r="AJ29" s="188"/>
      <c r="AK29" s="188"/>
      <c r="AL29" s="188"/>
      <c r="AM29" s="188"/>
      <c r="AN29" s="188"/>
      <c r="AO29" s="1130"/>
      <c r="AP29" s="149"/>
      <c r="AQ29" s="149"/>
      <c r="AR29" s="149"/>
      <c r="AS29" s="149"/>
      <c r="AT29" s="149"/>
      <c r="AU29" s="149"/>
      <c r="AV29" s="149"/>
      <c r="AW29" s="149"/>
      <c r="AX29" s="149"/>
      <c r="AY29" s="149"/>
      <c r="AZ29" s="149"/>
      <c r="BA29" s="149"/>
      <c r="BB29" s="149"/>
      <c r="BC29" s="149"/>
      <c r="BD29" s="149"/>
      <c r="BE29" s="1129"/>
      <c r="BF29" s="188"/>
      <c r="BG29" s="188"/>
      <c r="BH29" s="188"/>
      <c r="BI29" s="188"/>
      <c r="BJ29" s="188"/>
      <c r="BK29" s="188"/>
      <c r="BL29" s="188"/>
      <c r="BM29" s="188"/>
      <c r="BN29" s="188"/>
      <c r="BO29" s="188"/>
      <c r="BP29" s="188"/>
      <c r="BQ29" s="188"/>
      <c r="BR29" s="188"/>
      <c r="BS29" s="188"/>
      <c r="BT29" s="188"/>
      <c r="BU29" s="1130"/>
      <c r="BV29" s="166"/>
      <c r="BW29" s="2"/>
      <c r="CM29" s="60"/>
      <c r="CN29" s="60"/>
      <c r="CO29" s="60"/>
      <c r="CP29" s="60"/>
      <c r="CQ29" s="60"/>
    </row>
    <row r="30" spans="1:95" ht="31.55" customHeight="1" thickBot="1" x14ac:dyDescent="0.3">
      <c r="A30" s="253"/>
      <c r="B30" s="2273"/>
      <c r="C30" s="195"/>
      <c r="D30" s="1225" t="s">
        <v>356</v>
      </c>
      <c r="E30" s="1199"/>
      <c r="F30" s="1193" t="s">
        <v>1360</v>
      </c>
      <c r="G30" s="186"/>
      <c r="H30" s="255" t="s">
        <v>699</v>
      </c>
      <c r="I30" s="2276" t="str">
        <f>IF(ISBLANK(Import!D50),IF(U72=E5,X72,V72), Import!D50)</f>
        <v>Rice</v>
      </c>
      <c r="J30" s="2276"/>
      <c r="K30" s="179"/>
      <c r="L30" s="256"/>
      <c r="M30" s="257">
        <f ca="1">S40/(SUMIF(X169:X179,OFFSET(AC182,SUMIF(W183:W184,'1.GeneralInfo'!E8,X183:X184),),Y169:Y179)/1000)</f>
        <v>0.4</v>
      </c>
      <c r="N30" s="171"/>
      <c r="O30" s="1627"/>
      <c r="P30" s="1628"/>
      <c r="Q30" s="1629"/>
      <c r="R30" s="240"/>
      <c r="S30" s="240"/>
      <c r="T30" s="240"/>
      <c r="U30" s="240"/>
      <c r="V30" s="240"/>
      <c r="W30" s="1747" t="s">
        <v>62</v>
      </c>
      <c r="X30" s="1703"/>
      <c r="Y30" s="1703"/>
      <c r="Z30" s="1779"/>
      <c r="AA30" s="1779"/>
      <c r="AB30" s="1779"/>
      <c r="AC30" s="1781" t="e">
        <f ca="1">'A1. Submodels &amp; data'!B380*SUM(Z26:AC26)</f>
        <v>#VALUE!</v>
      </c>
      <c r="AD30" s="240"/>
      <c r="AE30" s="1630"/>
      <c r="AF30" s="1630"/>
      <c r="AG30" s="1630"/>
      <c r="AH30" s="1630"/>
      <c r="AI30" s="1630"/>
      <c r="AJ30" s="1630"/>
      <c r="AK30" s="1630"/>
      <c r="AL30" s="1630"/>
      <c r="AM30" s="1630"/>
      <c r="AN30" s="1630"/>
      <c r="AO30" s="1631"/>
      <c r="AP30" s="149"/>
      <c r="AQ30" s="149"/>
      <c r="AR30" s="149"/>
      <c r="AS30" s="149"/>
      <c r="AT30" s="149"/>
      <c r="AU30" s="149"/>
      <c r="AV30" s="149"/>
      <c r="AW30" s="149"/>
      <c r="AX30" s="149"/>
      <c r="AY30" s="149"/>
      <c r="AZ30" s="149"/>
      <c r="BA30" s="149"/>
      <c r="BB30" s="149"/>
      <c r="BC30" s="149"/>
      <c r="BD30" s="149"/>
      <c r="BE30" s="1129"/>
      <c r="BF30" s="188"/>
      <c r="BG30" s="188"/>
      <c r="BH30" s="188"/>
      <c r="BI30" s="188"/>
      <c r="BJ30" s="188"/>
      <c r="BK30" s="188"/>
      <c r="BL30" s="188"/>
      <c r="BM30" s="188"/>
      <c r="BN30" s="188"/>
      <c r="BO30" s="188"/>
      <c r="BP30" s="188"/>
      <c r="BQ30" s="188"/>
      <c r="BR30" s="188"/>
      <c r="BS30" s="188"/>
      <c r="BT30" s="188"/>
      <c r="BU30" s="1130"/>
      <c r="BV30" s="166"/>
      <c r="BW30" s="2"/>
      <c r="CM30" s="60"/>
      <c r="CN30" s="60"/>
      <c r="CO30" s="60"/>
      <c r="CP30" s="60"/>
      <c r="CQ30" s="60"/>
    </row>
    <row r="31" spans="1:95" ht="28.55" customHeight="1" x14ac:dyDescent="0.25">
      <c r="A31" s="166"/>
      <c r="B31" s="2273"/>
      <c r="C31" s="195"/>
      <c r="D31" s="1225" t="s">
        <v>357</v>
      </c>
      <c r="E31" s="1424" t="s">
        <v>1563</v>
      </c>
      <c r="F31" s="186"/>
      <c r="G31" s="186"/>
      <c r="H31" s="186"/>
      <c r="I31" s="260"/>
      <c r="J31" s="260"/>
      <c r="K31" s="242"/>
      <c r="L31" s="261"/>
      <c r="M31" s="262"/>
      <c r="N31" s="263"/>
      <c r="O31" s="263"/>
      <c r="P31" s="263"/>
      <c r="Q31" s="173"/>
      <c r="R31" s="166"/>
      <c r="S31" s="166"/>
      <c r="T31" s="166"/>
      <c r="U31" s="166"/>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66"/>
      <c r="AU31" s="166"/>
      <c r="AV31" s="166"/>
      <c r="AW31" s="166"/>
      <c r="AX31" s="166"/>
      <c r="AY31" s="166"/>
      <c r="AZ31" s="166"/>
      <c r="BA31" s="166"/>
      <c r="BB31" s="166"/>
      <c r="BC31" s="149"/>
      <c r="BD31" s="149"/>
      <c r="BE31" s="1129"/>
      <c r="BF31" s="1523"/>
      <c r="BG31" s="1523"/>
      <c r="BH31" s="188"/>
      <c r="BI31" s="188"/>
      <c r="BJ31" s="188"/>
      <c r="BK31" s="188"/>
      <c r="BL31" s="188"/>
      <c r="BM31" s="188"/>
      <c r="BN31" s="188"/>
      <c r="BO31" s="188"/>
      <c r="BP31" s="188"/>
      <c r="BQ31" s="188"/>
      <c r="BR31" s="188"/>
      <c r="BS31" s="188"/>
      <c r="BT31" s="188"/>
      <c r="BU31" s="1130"/>
      <c r="BV31" s="166"/>
      <c r="BW31" s="2"/>
      <c r="CM31" s="60"/>
      <c r="CN31" s="60"/>
      <c r="CO31" s="60"/>
      <c r="CP31" s="60"/>
      <c r="CQ31" s="60"/>
    </row>
    <row r="32" spans="1:95" ht="37.450000000000003" customHeight="1" thickBot="1" x14ac:dyDescent="0.3">
      <c r="A32" s="166"/>
      <c r="B32" s="2274"/>
      <c r="C32" s="596"/>
      <c r="D32" s="493"/>
      <c r="E32" s="493"/>
      <c r="F32" s="493"/>
      <c r="G32" s="493"/>
      <c r="H32" s="493"/>
      <c r="I32" s="265"/>
      <c r="J32" s="265"/>
      <c r="K32" s="266"/>
      <c r="L32" s="267"/>
      <c r="M32" s="268"/>
      <c r="N32" s="173"/>
      <c r="O32" s="173"/>
      <c r="P32" s="173"/>
      <c r="Q32" s="269"/>
      <c r="R32" s="166"/>
      <c r="S32" s="166"/>
      <c r="T32" s="166"/>
      <c r="U32" s="166"/>
      <c r="V32" s="149"/>
      <c r="W32" s="149"/>
      <c r="X32" s="149"/>
      <c r="Y32" s="149"/>
      <c r="Z32" s="149"/>
      <c r="AA32" s="149"/>
      <c r="AB32" s="149"/>
      <c r="AC32" s="149"/>
      <c r="AD32" s="149"/>
      <c r="AE32" s="149"/>
      <c r="AF32" s="149"/>
      <c r="AG32" s="149"/>
      <c r="AH32" s="149"/>
      <c r="AI32" s="149"/>
      <c r="AJ32" s="149"/>
      <c r="AK32" s="149"/>
      <c r="AL32" s="149"/>
      <c r="AM32" s="149"/>
      <c r="AN32" s="149"/>
      <c r="AO32" s="149"/>
      <c r="AP32" s="149"/>
      <c r="AQ32" s="2"/>
      <c r="AR32" s="2"/>
      <c r="AS32" s="2"/>
      <c r="AT32" s="2"/>
      <c r="AU32" s="2"/>
      <c r="AV32" s="2"/>
      <c r="AW32" s="2"/>
      <c r="AX32" s="2"/>
      <c r="AY32" s="2"/>
      <c r="AZ32" s="2"/>
      <c r="BA32" s="2"/>
      <c r="BB32" s="2"/>
      <c r="BC32" s="2"/>
      <c r="BD32" s="2"/>
      <c r="BE32" s="1129" t="s">
        <v>1278</v>
      </c>
      <c r="BF32" s="188" t="s">
        <v>1911</v>
      </c>
      <c r="BG32" s="188" t="s">
        <v>1904</v>
      </c>
      <c r="BH32" s="188"/>
      <c r="BI32" s="188"/>
      <c r="BJ32" s="188"/>
      <c r="BK32" s="188"/>
      <c r="BL32" s="188"/>
      <c r="BM32" s="188"/>
      <c r="BN32" s="188"/>
      <c r="BO32" s="188"/>
      <c r="BP32" s="188"/>
      <c r="BQ32" s="188"/>
      <c r="BR32" s="188"/>
      <c r="BS32" s="188"/>
      <c r="BT32" s="188"/>
      <c r="BU32" s="1130"/>
      <c r="BV32" s="166"/>
      <c r="BW32" s="2"/>
      <c r="CM32" s="60"/>
      <c r="CN32" s="60"/>
      <c r="CO32" s="60"/>
      <c r="CP32" s="60"/>
      <c r="CQ32" s="60"/>
    </row>
    <row r="33" spans="1:95" ht="19.45" customHeight="1" x14ac:dyDescent="0.25">
      <c r="A33" s="166"/>
      <c r="B33" s="166"/>
      <c r="C33" s="166"/>
      <c r="D33" s="166"/>
      <c r="E33" s="166"/>
      <c r="F33" s="166"/>
      <c r="G33" s="166"/>
      <c r="H33" s="166"/>
      <c r="I33" s="271"/>
      <c r="J33" s="272"/>
      <c r="K33" s="272"/>
      <c r="L33" s="272"/>
      <c r="M33" s="269"/>
      <c r="N33" s="272"/>
      <c r="O33" s="272"/>
      <c r="P33" s="272"/>
      <c r="Q33" s="2296" t="s">
        <v>1156</v>
      </c>
      <c r="R33" s="2297"/>
      <c r="S33" s="2297"/>
      <c r="T33" s="1127"/>
      <c r="U33" s="1127"/>
      <c r="V33" s="1127"/>
      <c r="W33" s="1127"/>
      <c r="X33" s="1127"/>
      <c r="Y33" s="1127"/>
      <c r="Z33" s="1127"/>
      <c r="AA33" s="1127"/>
      <c r="AB33" s="1127"/>
      <c r="AC33" s="1127"/>
      <c r="AD33" s="1128"/>
      <c r="AE33" s="149"/>
      <c r="AF33" s="149"/>
      <c r="AG33" s="149"/>
      <c r="AH33" s="149"/>
      <c r="AI33" s="149"/>
      <c r="AJ33" s="149"/>
      <c r="AK33" s="149"/>
      <c r="AL33" s="149"/>
      <c r="AM33" s="149"/>
      <c r="AN33" s="149"/>
      <c r="AO33" s="149"/>
      <c r="AP33" s="149"/>
      <c r="AQ33" s="2"/>
      <c r="AR33" s="2"/>
      <c r="AS33" s="2"/>
      <c r="AT33" s="2"/>
      <c r="AU33" s="2"/>
      <c r="AV33" s="2"/>
      <c r="AW33" s="2"/>
      <c r="AX33" s="2"/>
      <c r="AY33" s="2"/>
      <c r="AZ33" s="2"/>
      <c r="BA33" s="2"/>
      <c r="BB33" s="2"/>
      <c r="BC33" s="2"/>
      <c r="BD33" s="2"/>
      <c r="BE33" s="1129">
        <f t="shared" ref="BE33:BE38" si="14">IF(E19=AR$178,1,0)</f>
        <v>0</v>
      </c>
      <c r="BF33" s="188"/>
      <c r="BG33" s="188"/>
      <c r="BH33" s="188"/>
      <c r="BI33" s="230" t="s">
        <v>1320</v>
      </c>
      <c r="BJ33" s="230"/>
      <c r="BK33" s="230"/>
      <c r="BL33" s="230"/>
      <c r="BM33" s="230"/>
      <c r="BN33" s="230" t="s">
        <v>1321</v>
      </c>
      <c r="BO33" s="230" t="s">
        <v>1017</v>
      </c>
      <c r="BP33" s="230" t="s">
        <v>1233</v>
      </c>
      <c r="BQ33" s="230"/>
      <c r="BR33" s="188"/>
      <c r="BS33" s="188"/>
      <c r="BT33" s="188"/>
      <c r="BU33" s="1130"/>
      <c r="BV33" s="166"/>
      <c r="BW33" s="2"/>
      <c r="CM33" s="60"/>
      <c r="CN33" s="60"/>
      <c r="CO33" s="60"/>
      <c r="CP33" s="60"/>
      <c r="CQ33" s="60"/>
    </row>
    <row r="34" spans="1:95" ht="24.8" customHeight="1" thickBot="1" x14ac:dyDescent="0.3">
      <c r="A34" s="166"/>
      <c r="B34" s="166"/>
      <c r="C34" s="166"/>
      <c r="D34" s="166"/>
      <c r="E34" s="166"/>
      <c r="F34" s="166"/>
      <c r="G34" s="166"/>
      <c r="H34" s="166"/>
      <c r="I34" s="271"/>
      <c r="J34" s="272"/>
      <c r="K34" s="272"/>
      <c r="L34" s="272"/>
      <c r="M34" s="272"/>
      <c r="N34" s="272"/>
      <c r="O34" s="272"/>
      <c r="P34" s="272"/>
      <c r="Q34" s="2298"/>
      <c r="R34" s="2299"/>
      <c r="S34" s="2299"/>
      <c r="T34" s="187"/>
      <c r="U34" s="187"/>
      <c r="V34" s="188"/>
      <c r="W34" s="188"/>
      <c r="X34" s="188"/>
      <c r="Y34" s="188"/>
      <c r="Z34" s="188"/>
      <c r="AA34" s="188"/>
      <c r="AB34" s="188"/>
      <c r="AC34" s="188"/>
      <c r="AD34" s="1130"/>
      <c r="AE34" s="149"/>
      <c r="AF34" s="149"/>
      <c r="AG34" s="149"/>
      <c r="AH34" s="149"/>
      <c r="AI34" s="149"/>
      <c r="AJ34" s="149"/>
      <c r="AK34" s="149"/>
      <c r="AL34" s="149"/>
      <c r="AM34" s="149"/>
      <c r="AN34" s="149"/>
      <c r="AO34" s="149"/>
      <c r="AP34" s="149"/>
      <c r="AQ34" s="2"/>
      <c r="AR34" s="2"/>
      <c r="AS34" s="2"/>
      <c r="AT34" s="2"/>
      <c r="AU34" s="2"/>
      <c r="AV34" s="2"/>
      <c r="AW34" s="2"/>
      <c r="AX34" s="2"/>
      <c r="AY34" s="2"/>
      <c r="AZ34" s="2"/>
      <c r="BA34" s="2"/>
      <c r="BB34" s="2"/>
      <c r="BC34" s="2"/>
      <c r="BD34" s="2"/>
      <c r="BE34" s="1129">
        <f t="shared" si="14"/>
        <v>0</v>
      </c>
      <c r="BF34" s="188">
        <f t="shared" ref="BF34:BF39" si="15">SUMIF($AR$156:$AR$195,E19,$AX$156:$AX$195)</f>
        <v>0</v>
      </c>
      <c r="BG34" s="188">
        <f t="shared" ref="BG34:BG39" si="16">SUMIF($AR$156:$AR$195,E19,$AW$156:$AW$195)</f>
        <v>0</v>
      </c>
      <c r="BH34" s="188"/>
      <c r="BI34" s="188" t="b">
        <f t="shared" ref="BI34:BI39" si="17">IF(E19="[Select]",FALSE,IF(E19="",FALSE,TRUE))</f>
        <v>1</v>
      </c>
      <c r="BJ34" s="188" t="b">
        <f t="shared" ref="BJ34:BM39" si="18">(F19&lt;&gt;"")</f>
        <v>1</v>
      </c>
      <c r="BK34" s="188" t="b">
        <f t="shared" si="18"/>
        <v>1</v>
      </c>
      <c r="BL34" s="188" t="b">
        <f t="shared" ca="1" si="18"/>
        <v>1</v>
      </c>
      <c r="BM34" s="188" t="b">
        <f t="shared" si="18"/>
        <v>1</v>
      </c>
      <c r="BN34" s="188" t="b">
        <f t="shared" ref="BN34:BN39" si="19">IF(BI34,IF(BJ34,IF(BK34,IF(BM34,TRUE))))</f>
        <v>1</v>
      </c>
      <c r="BO34" s="188" t="b">
        <f t="shared" ref="BO34:BO39" si="20">IF(BI34=FALSE,IF(BJ34=FALSE,IF(BK34=FALSE,IF(BM34=FALSE,TRUE))))</f>
        <v>0</v>
      </c>
      <c r="BP34" s="188" t="b">
        <f t="shared" ref="BP34:BP39" si="21">IF(BN34,TRUE,IF(BO34,TRUE,FALSE))</f>
        <v>1</v>
      </c>
      <c r="BQ34" s="188"/>
      <c r="BR34" s="188" t="b">
        <v>1</v>
      </c>
      <c r="BS34" s="188">
        <v>0</v>
      </c>
      <c r="BT34" s="188"/>
      <c r="BU34" s="1130"/>
      <c r="BV34" s="166"/>
      <c r="BW34" s="2"/>
      <c r="CM34" s="60"/>
      <c r="CN34" s="60"/>
      <c r="CO34" s="60"/>
      <c r="CP34" s="60"/>
      <c r="CQ34" s="60"/>
    </row>
    <row r="35" spans="1:95" ht="32.25" customHeight="1" thickBot="1" x14ac:dyDescent="0.3">
      <c r="A35" s="166"/>
      <c r="B35" s="1103" t="s">
        <v>309</v>
      </c>
      <c r="C35" s="273"/>
      <c r="D35" s="1451" t="s">
        <v>252</v>
      </c>
      <c r="E35" s="1451" t="s">
        <v>253</v>
      </c>
      <c r="F35" s="1452" t="s">
        <v>254</v>
      </c>
      <c r="G35" s="1453" t="s">
        <v>1479</v>
      </c>
      <c r="H35" s="253"/>
      <c r="I35" s="190"/>
      <c r="J35" s="272"/>
      <c r="K35" s="272"/>
      <c r="L35" s="166"/>
      <c r="M35" s="272"/>
      <c r="N35" s="272"/>
      <c r="O35" s="1695" t="s">
        <v>1401</v>
      </c>
      <c r="P35" s="2"/>
      <c r="Q35" s="1633"/>
      <c r="R35" s="1802" t="s">
        <v>1042</v>
      </c>
      <c r="S35" s="1705">
        <f>SUMIF(AS200:AS231,E5,AR200:AR231)</f>
        <v>24</v>
      </c>
      <c r="T35" s="187"/>
      <c r="U35" s="187"/>
      <c r="V35" s="188"/>
      <c r="W35" s="188"/>
      <c r="X35" s="188"/>
      <c r="Y35" s="188"/>
      <c r="Z35" s="188"/>
      <c r="AA35" s="188"/>
      <c r="AB35" s="188"/>
      <c r="AC35" s="188"/>
      <c r="AD35" s="1648"/>
      <c r="AE35" s="253"/>
      <c r="AF35" s="253"/>
      <c r="AG35" s="253"/>
      <c r="AH35" s="253"/>
      <c r="AI35" s="253"/>
      <c r="AJ35" s="253"/>
      <c r="AK35" s="253"/>
      <c r="AL35" s="149"/>
      <c r="AM35" s="149"/>
      <c r="AN35" s="149"/>
      <c r="AO35" s="149"/>
      <c r="AP35" s="149"/>
      <c r="AQ35" s="2"/>
      <c r="AR35" s="2"/>
      <c r="AS35" s="2"/>
      <c r="AT35" s="2"/>
      <c r="AU35" s="2"/>
      <c r="AV35" s="2"/>
      <c r="AW35" s="2"/>
      <c r="AX35" s="2"/>
      <c r="AY35" s="2"/>
      <c r="AZ35" s="2"/>
      <c r="BA35" s="2"/>
      <c r="BB35" s="2"/>
      <c r="BC35" s="2"/>
      <c r="BD35" s="2"/>
      <c r="BE35" s="1129">
        <f t="shared" si="14"/>
        <v>0</v>
      </c>
      <c r="BF35" s="188">
        <f t="shared" si="15"/>
        <v>0</v>
      </c>
      <c r="BG35" s="188">
        <f t="shared" si="16"/>
        <v>0</v>
      </c>
      <c r="BH35" s="188"/>
      <c r="BI35" s="188" t="b">
        <f t="shared" si="17"/>
        <v>0</v>
      </c>
      <c r="BJ35" s="188" t="b">
        <f t="shared" si="18"/>
        <v>1</v>
      </c>
      <c r="BK35" s="188" t="b">
        <f t="shared" si="18"/>
        <v>1</v>
      </c>
      <c r="BL35" s="188" t="b">
        <f t="shared" ca="1" si="18"/>
        <v>1</v>
      </c>
      <c r="BM35" s="188" t="b">
        <f t="shared" si="18"/>
        <v>1</v>
      </c>
      <c r="BN35" s="188" t="b">
        <f t="shared" si="19"/>
        <v>0</v>
      </c>
      <c r="BO35" s="188" t="b">
        <f t="shared" si="20"/>
        <v>0</v>
      </c>
      <c r="BP35" s="188" t="b">
        <f t="shared" si="21"/>
        <v>0</v>
      </c>
      <c r="BQ35" s="188"/>
      <c r="BR35" s="188" t="b">
        <v>0</v>
      </c>
      <c r="BS35" s="188">
        <v>1</v>
      </c>
      <c r="BT35" s="188"/>
      <c r="BU35" s="1130"/>
      <c r="BV35" s="166"/>
      <c r="BW35" s="2"/>
      <c r="CM35" s="60"/>
      <c r="CN35" s="60"/>
      <c r="CO35" s="60"/>
      <c r="CP35" s="60"/>
      <c r="CQ35" s="60"/>
    </row>
    <row r="36" spans="1:95" ht="47.25" customHeight="1" thickBot="1" x14ac:dyDescent="0.3">
      <c r="A36" s="166"/>
      <c r="B36" s="1519" t="s">
        <v>1433</v>
      </c>
      <c r="C36" s="98"/>
      <c r="D36" s="1466">
        <f ca="1">AE25</f>
        <v>9685.028571428571</v>
      </c>
      <c r="E36" s="1467"/>
      <c r="F36" s="1467"/>
      <c r="G36" s="1469">
        <f t="shared" ref="G36:G42" ca="1" si="22">SUMIF(X$194:X$197,G$35,Y$194:Y$197)*O36</f>
        <v>9685.028571428571</v>
      </c>
      <c r="H36" s="166"/>
      <c r="I36" s="277"/>
      <c r="J36" s="278"/>
      <c r="K36" s="278"/>
      <c r="L36" s="166"/>
      <c r="M36" s="272"/>
      <c r="N36" s="272"/>
      <c r="O36" s="1699">
        <f ca="1">D36+'A1. Submodels &amp; data'!$B$379*E36+'A1. Submodels &amp; data'!$B$378*F36</f>
        <v>9685.028571428571</v>
      </c>
      <c r="P36" s="2"/>
      <c r="Q36" s="1129"/>
      <c r="R36" s="1799" t="s">
        <v>1043</v>
      </c>
      <c r="S36" s="1797" t="str">
        <f>'A1. Submodels &amp; data'!E425</f>
        <v>Dry matter fraction harvested</v>
      </c>
      <c r="T36" s="1797" t="str">
        <f>'A1. Submodels &amp; data'!F425</f>
        <v>slope</v>
      </c>
      <c r="U36" s="1797" t="str">
        <f>'A1. Submodels &amp; data'!G425</f>
        <v>intercept</v>
      </c>
      <c r="V36" s="1797" t="str">
        <f>'A1. Submodels &amp; data'!H425</f>
        <v>N content - above ground</v>
      </c>
      <c r="W36" s="1797" t="str">
        <f>'A1. Submodels &amp; data'!I425</f>
        <v>below:above ratio</v>
      </c>
      <c r="X36" s="1798" t="str">
        <f>'A1. Submodels &amp; data'!J425</f>
        <v>N content below</v>
      </c>
      <c r="Y36" s="258"/>
      <c r="Z36" s="188"/>
      <c r="AA36" s="188"/>
      <c r="AB36" s="188"/>
      <c r="AC36" s="188"/>
      <c r="AD36" s="1130"/>
      <c r="AE36" s="149"/>
      <c r="AF36" s="149"/>
      <c r="AG36" s="149"/>
      <c r="AH36" s="149"/>
      <c r="AI36" s="149"/>
      <c r="AJ36" s="149"/>
      <c r="AK36" s="149"/>
      <c r="AL36" s="149"/>
      <c r="AM36" s="149"/>
      <c r="AN36" s="149"/>
      <c r="AO36" s="149"/>
      <c r="AP36" s="149"/>
      <c r="AQ36" s="2"/>
      <c r="AR36" s="2"/>
      <c r="AS36" s="2"/>
      <c r="AT36" s="2"/>
      <c r="AU36" s="2"/>
      <c r="AV36" s="2"/>
      <c r="AW36" s="2"/>
      <c r="AX36" s="2"/>
      <c r="AY36" s="2"/>
      <c r="AZ36" s="2"/>
      <c r="BA36" s="2"/>
      <c r="BB36" s="2"/>
      <c r="BC36" s="2"/>
      <c r="BD36" s="2"/>
      <c r="BE36" s="1129">
        <f t="shared" si="14"/>
        <v>0</v>
      </c>
      <c r="BF36" s="188">
        <f t="shared" si="15"/>
        <v>0</v>
      </c>
      <c r="BG36" s="188">
        <f t="shared" si="16"/>
        <v>0</v>
      </c>
      <c r="BH36" s="188"/>
      <c r="BI36" s="188" t="b">
        <f t="shared" si="17"/>
        <v>0</v>
      </c>
      <c r="BJ36" s="188" t="b">
        <f t="shared" si="18"/>
        <v>1</v>
      </c>
      <c r="BK36" s="188" t="b">
        <f t="shared" si="18"/>
        <v>1</v>
      </c>
      <c r="BL36" s="188" t="b">
        <f t="shared" ca="1" si="18"/>
        <v>1</v>
      </c>
      <c r="BM36" s="188" t="b">
        <f t="shared" si="18"/>
        <v>1</v>
      </c>
      <c r="BN36" s="188" t="b">
        <f t="shared" si="19"/>
        <v>0</v>
      </c>
      <c r="BO36" s="188" t="b">
        <f t="shared" si="20"/>
        <v>0</v>
      </c>
      <c r="BP36" s="188" t="b">
        <f t="shared" si="21"/>
        <v>0</v>
      </c>
      <c r="BQ36" s="188"/>
      <c r="BR36" s="188"/>
      <c r="BS36" s="188"/>
      <c r="BT36" s="188"/>
      <c r="BU36" s="1130"/>
      <c r="BV36" s="166"/>
      <c r="BW36" s="2"/>
      <c r="BX36" s="1616"/>
      <c r="BY36" s="1616"/>
      <c r="BZ36" s="1616"/>
      <c r="CA36" s="1616"/>
      <c r="CB36" s="1616"/>
      <c r="CC36" s="1616"/>
      <c r="CD36" s="1616"/>
      <c r="CE36" s="1616"/>
      <c r="CF36" s="1616"/>
      <c r="CG36" s="1616"/>
      <c r="CH36" s="1616"/>
      <c r="CI36" s="1616"/>
      <c r="CJ36" s="1616"/>
      <c r="CK36" s="1616"/>
      <c r="CL36" s="1616"/>
      <c r="CM36" s="159"/>
      <c r="CN36" s="159"/>
      <c r="CO36" s="60"/>
      <c r="CP36" s="60"/>
      <c r="CQ36" s="60"/>
    </row>
    <row r="37" spans="1:95" ht="40.5" customHeight="1" thickBot="1" x14ac:dyDescent="0.3">
      <c r="A37" s="166"/>
      <c r="B37" s="2240" t="s">
        <v>1514</v>
      </c>
      <c r="C37" s="11"/>
      <c r="D37" s="11"/>
      <c r="E37" s="1470">
        <f ca="1">IF(ISERROR(AC29),0,AC29)</f>
        <v>3.994962566793518</v>
      </c>
      <c r="F37" s="11"/>
      <c r="G37" s="1472">
        <f t="shared" ca="1" si="22"/>
        <v>1182.5089197708812</v>
      </c>
      <c r="H37" s="2277" t="str">
        <f ca="1">IF(Q25*P25&lt;1,AR248,"")</f>
        <v/>
      </c>
      <c r="I37" s="2278"/>
      <c r="J37" s="2278"/>
      <c r="K37" s="2"/>
      <c r="L37" s="2"/>
      <c r="M37" s="2"/>
      <c r="N37" s="2"/>
      <c r="O37" s="1698">
        <f ca="1">D37+'A1. Submodels &amp; data'!$B$379*E37+'A1. Submodels &amp; data'!$B$378*F37</f>
        <v>1182.5089197708812</v>
      </c>
      <c r="P37" s="2"/>
      <c r="Q37" s="1129"/>
      <c r="R37" s="1803"/>
      <c r="S37" s="1794">
        <f ca="1">OFFSET('A1. Submodels &amp; data'!E425,'2.CropManagement'!$S35,0)</f>
        <v>0.89</v>
      </c>
      <c r="T37" s="1792">
        <f ca="1">OFFSET('A1. Submodels &amp; data'!F425,'2.CropManagement'!$S35,0)</f>
        <v>1.61</v>
      </c>
      <c r="U37" s="1792">
        <f ca="1">OFFSET('A1. Submodels &amp; data'!G425,'2.CropManagement'!$S35,0)</f>
        <v>0.4</v>
      </c>
      <c r="V37" s="1792">
        <f ca="1">OFFSET('A1. Submodels &amp; data'!H425,'2.CropManagement'!$S35,0)</f>
        <v>6.0000000000000001E-3</v>
      </c>
      <c r="W37" s="1792">
        <f ca="1">OFFSET('A1. Submodels &amp; data'!I425,'2.CropManagement'!$S35,0)</f>
        <v>0.23</v>
      </c>
      <c r="X37" s="1793">
        <f ca="1">OFFSET('A1. Submodels &amp; data'!J425,'2.CropManagement'!$S35,0)</f>
        <v>8.9999999999999993E-3</v>
      </c>
      <c r="Y37" s="188"/>
      <c r="Z37" s="188"/>
      <c r="AA37" s="188"/>
      <c r="AB37" s="188"/>
      <c r="AC37" s="188"/>
      <c r="AD37" s="1130"/>
      <c r="AE37" s="149"/>
      <c r="AF37" s="149"/>
      <c r="AG37" s="149"/>
      <c r="AH37" s="149"/>
      <c r="AI37" s="149"/>
      <c r="AJ37" s="149"/>
      <c r="AK37" s="149"/>
      <c r="AL37" s="149"/>
      <c r="AM37" s="149"/>
      <c r="AN37" s="149"/>
      <c r="AO37" s="149"/>
      <c r="AP37" s="149"/>
      <c r="AQ37" s="2"/>
      <c r="AR37" s="2"/>
      <c r="AS37" s="2"/>
      <c r="AT37" s="2"/>
      <c r="AU37" s="2"/>
      <c r="AV37" s="2"/>
      <c r="AW37" s="2"/>
      <c r="AX37" s="2"/>
      <c r="AY37" s="2"/>
      <c r="AZ37" s="2"/>
      <c r="BA37" s="2"/>
      <c r="BB37" s="2"/>
      <c r="BC37" s="2"/>
      <c r="BD37" s="2"/>
      <c r="BE37" s="1129">
        <f t="shared" si="14"/>
        <v>0</v>
      </c>
      <c r="BF37" s="188">
        <f t="shared" si="15"/>
        <v>0</v>
      </c>
      <c r="BG37" s="188">
        <f t="shared" si="16"/>
        <v>0</v>
      </c>
      <c r="BH37" s="188"/>
      <c r="BI37" s="188" t="b">
        <f t="shared" si="17"/>
        <v>0</v>
      </c>
      <c r="BJ37" s="188" t="b">
        <f t="shared" si="18"/>
        <v>1</v>
      </c>
      <c r="BK37" s="188" t="b">
        <f t="shared" si="18"/>
        <v>1</v>
      </c>
      <c r="BL37" s="188" t="b">
        <f t="shared" ca="1" si="18"/>
        <v>1</v>
      </c>
      <c r="BM37" s="188" t="b">
        <f t="shared" si="18"/>
        <v>1</v>
      </c>
      <c r="BN37" s="188" t="b">
        <f t="shared" si="19"/>
        <v>0</v>
      </c>
      <c r="BO37" s="188" t="b">
        <f t="shared" si="20"/>
        <v>0</v>
      </c>
      <c r="BP37" s="188" t="b">
        <f t="shared" si="21"/>
        <v>0</v>
      </c>
      <c r="BQ37" s="188"/>
      <c r="BR37" s="188"/>
      <c r="BS37" s="188"/>
      <c r="BT37" s="188"/>
      <c r="BU37" s="1130"/>
      <c r="BV37" s="166"/>
      <c r="BW37" s="2"/>
      <c r="BX37" s="1616"/>
      <c r="BY37" s="1616"/>
      <c r="BZ37" s="1616"/>
      <c r="CA37" s="1616"/>
      <c r="CB37" s="1616"/>
      <c r="CC37" s="1616"/>
      <c r="CD37" s="1616"/>
      <c r="CE37" s="1616"/>
      <c r="CF37" s="1616"/>
      <c r="CG37" s="1616"/>
      <c r="CH37" s="1616"/>
      <c r="CI37" s="1616"/>
      <c r="CJ37" s="1616"/>
      <c r="CK37" s="1616"/>
      <c r="CL37" s="1616"/>
      <c r="CM37" s="159"/>
      <c r="CN37" s="159"/>
      <c r="CO37" s="60"/>
      <c r="CP37" s="60"/>
      <c r="CQ37" s="60"/>
    </row>
    <row r="38" spans="1:95" ht="41.2" customHeight="1" x14ac:dyDescent="0.25">
      <c r="A38" s="166"/>
      <c r="B38" s="1520" t="s">
        <v>1038</v>
      </c>
      <c r="C38" s="1036"/>
      <c r="D38" s="1470">
        <f ca="1">AK25+AL25</f>
        <v>0</v>
      </c>
      <c r="E38" s="1470">
        <f ca="1">IF(ISERROR(AC30),0,AC30)</f>
        <v>0</v>
      </c>
      <c r="F38" s="1470"/>
      <c r="G38" s="1472">
        <f t="shared" ca="1" si="22"/>
        <v>0</v>
      </c>
      <c r="H38" s="2277"/>
      <c r="I38" s="2278"/>
      <c r="J38" s="2278"/>
      <c r="K38" s="166"/>
      <c r="L38" s="166"/>
      <c r="M38" s="272"/>
      <c r="N38" s="272"/>
      <c r="O38" s="1698">
        <f ca="1">D38+'A1. Submodels &amp; data'!$B$379*E38+'A1. Submodels &amp; data'!$B$378*F38</f>
        <v>0</v>
      </c>
      <c r="P38" s="2"/>
      <c r="Q38" s="1129"/>
      <c r="R38" s="1800"/>
      <c r="S38" s="1784"/>
      <c r="T38" s="189"/>
      <c r="U38" s="444"/>
      <c r="V38" s="188"/>
      <c r="W38" s="188"/>
      <c r="X38" s="188"/>
      <c r="Y38" s="188"/>
      <c r="Z38" s="188"/>
      <c r="AA38" s="188"/>
      <c r="AB38" s="188"/>
      <c r="AC38" s="188"/>
      <c r="AD38" s="1130"/>
      <c r="AE38" s="166"/>
      <c r="AF38" s="166"/>
      <c r="AG38" s="166"/>
      <c r="AH38" s="166"/>
      <c r="AI38" s="149"/>
      <c r="AJ38" s="166"/>
      <c r="AK38" s="166"/>
      <c r="AL38" s="149"/>
      <c r="AM38" s="149"/>
      <c r="AN38" s="149"/>
      <c r="AO38" s="149"/>
      <c r="AP38" s="149"/>
      <c r="AQ38" s="2"/>
      <c r="AR38" s="2"/>
      <c r="AS38" s="2"/>
      <c r="AT38" s="2"/>
      <c r="AU38" s="2"/>
      <c r="AV38" s="2"/>
      <c r="AW38" s="2"/>
      <c r="AX38" s="2"/>
      <c r="AY38" s="2"/>
      <c r="AZ38" s="2"/>
      <c r="BA38" s="2"/>
      <c r="BB38" s="2"/>
      <c r="BC38" s="2"/>
      <c r="BD38" s="2"/>
      <c r="BE38" s="1129">
        <f t="shared" si="14"/>
        <v>0</v>
      </c>
      <c r="BF38" s="188">
        <f t="shared" si="15"/>
        <v>0</v>
      </c>
      <c r="BG38" s="188">
        <f t="shared" si="16"/>
        <v>0</v>
      </c>
      <c r="BH38" s="188"/>
      <c r="BI38" s="188" t="b">
        <f t="shared" si="17"/>
        <v>0</v>
      </c>
      <c r="BJ38" s="188" t="b">
        <f t="shared" si="18"/>
        <v>1</v>
      </c>
      <c r="BK38" s="188" t="b">
        <f t="shared" si="18"/>
        <v>1</v>
      </c>
      <c r="BL38" s="188" t="b">
        <f t="shared" ca="1" si="18"/>
        <v>1</v>
      </c>
      <c r="BM38" s="188" t="b">
        <f t="shared" si="18"/>
        <v>1</v>
      </c>
      <c r="BN38" s="188" t="b">
        <f t="shared" si="19"/>
        <v>0</v>
      </c>
      <c r="BO38" s="188" t="b">
        <f t="shared" si="20"/>
        <v>0</v>
      </c>
      <c r="BP38" s="188" t="b">
        <f t="shared" si="21"/>
        <v>0</v>
      </c>
      <c r="BQ38" s="188"/>
      <c r="BR38" s="188"/>
      <c r="BS38" s="188"/>
      <c r="BT38" s="188"/>
      <c r="BU38" s="1130"/>
      <c r="BV38" s="166"/>
      <c r="BW38" s="2"/>
      <c r="BX38" s="1616"/>
      <c r="BY38" s="1616"/>
      <c r="BZ38" s="1616"/>
      <c r="CA38" s="1616"/>
      <c r="CB38" s="1616"/>
      <c r="CC38" s="1616"/>
      <c r="CD38" s="1616"/>
      <c r="CE38" s="1616"/>
      <c r="CF38" s="1616"/>
      <c r="CG38" s="1616"/>
      <c r="CH38" s="1616"/>
      <c r="CI38" s="1616"/>
      <c r="CJ38" s="1616"/>
      <c r="CK38" s="1616"/>
      <c r="CL38" s="1616"/>
      <c r="CM38" s="159"/>
      <c r="CN38" s="159"/>
      <c r="CO38" s="60"/>
      <c r="CP38" s="60"/>
      <c r="CQ38" s="60"/>
    </row>
    <row r="39" spans="1:95" ht="28.55" customHeight="1" thickBot="1" x14ac:dyDescent="0.3">
      <c r="A39" s="166"/>
      <c r="B39" s="1520" t="s">
        <v>684</v>
      </c>
      <c r="C39" s="172"/>
      <c r="D39" s="1470"/>
      <c r="E39" s="1470"/>
      <c r="F39" s="1470">
        <f>W93</f>
        <v>0</v>
      </c>
      <c r="G39" s="1472">
        <f t="shared" si="22"/>
        <v>0</v>
      </c>
      <c r="H39" s="166"/>
      <c r="I39" s="281"/>
      <c r="J39" s="166"/>
      <c r="K39" s="166"/>
      <c r="L39" s="166"/>
      <c r="M39" s="272"/>
      <c r="N39" s="282"/>
      <c r="O39" s="1697">
        <f>D39+'A1. Submodels &amp; data'!$B$379*E39+'A1. Submodels &amp; data'!$B$378*F39</f>
        <v>0</v>
      </c>
      <c r="P39" s="2"/>
      <c r="Q39" s="1129"/>
      <c r="R39" s="1804" t="s">
        <v>1035</v>
      </c>
      <c r="S39" s="1785">
        <f>'1.GeneralInfo'!S13/'1.GeneralInfo'!S12</f>
        <v>0</v>
      </c>
      <c r="T39" s="444"/>
      <c r="U39" s="188"/>
      <c r="V39" s="188"/>
      <c r="W39" s="188"/>
      <c r="X39" s="188"/>
      <c r="Y39" s="188"/>
      <c r="Z39" s="188"/>
      <c r="AA39" s="188"/>
      <c r="AB39" s="188"/>
      <c r="AC39" s="188"/>
      <c r="AD39" s="1130"/>
      <c r="AE39" s="166"/>
      <c r="AF39" s="166"/>
      <c r="AG39" s="166"/>
      <c r="AH39" s="166"/>
      <c r="AI39" s="149"/>
      <c r="AJ39" s="166"/>
      <c r="AK39" s="166"/>
      <c r="AL39" s="149"/>
      <c r="AM39" s="149"/>
      <c r="AN39" s="149"/>
      <c r="AO39" s="149"/>
      <c r="AP39" s="149"/>
      <c r="AQ39" s="2"/>
      <c r="AR39" s="2"/>
      <c r="AS39" s="2"/>
      <c r="AT39" s="2"/>
      <c r="AU39" s="2"/>
      <c r="AV39" s="2"/>
      <c r="AW39" s="2"/>
      <c r="AX39" s="2"/>
      <c r="AY39" s="2"/>
      <c r="AZ39" s="2"/>
      <c r="BA39" s="2"/>
      <c r="BB39" s="2"/>
      <c r="BC39" s="2"/>
      <c r="BD39" s="2"/>
      <c r="BE39" s="1129">
        <f>SUM(BE33:BE38)</f>
        <v>0</v>
      </c>
      <c r="BF39" s="188">
        <f t="shared" si="15"/>
        <v>0</v>
      </c>
      <c r="BG39" s="188">
        <f t="shared" si="16"/>
        <v>0</v>
      </c>
      <c r="BH39" s="188"/>
      <c r="BI39" s="188" t="b">
        <f t="shared" si="17"/>
        <v>0</v>
      </c>
      <c r="BJ39" s="188" t="b">
        <f t="shared" si="18"/>
        <v>1</v>
      </c>
      <c r="BK39" s="188" t="b">
        <f t="shared" si="18"/>
        <v>1</v>
      </c>
      <c r="BL39" s="188" t="b">
        <f t="shared" ca="1" si="18"/>
        <v>1</v>
      </c>
      <c r="BM39" s="188" t="b">
        <f t="shared" si="18"/>
        <v>1</v>
      </c>
      <c r="BN39" s="188" t="b">
        <f t="shared" si="19"/>
        <v>0</v>
      </c>
      <c r="BO39" s="188" t="b">
        <f t="shared" si="20"/>
        <v>0</v>
      </c>
      <c r="BP39" s="188" t="b">
        <f t="shared" si="21"/>
        <v>0</v>
      </c>
      <c r="BQ39" s="188"/>
      <c r="BR39" s="188"/>
      <c r="BS39" s="188"/>
      <c r="BT39" s="188"/>
      <c r="BU39" s="1130"/>
      <c r="BV39" s="166"/>
      <c r="BW39" s="2"/>
      <c r="BX39" s="1616"/>
      <c r="BY39" s="1616"/>
      <c r="BZ39" s="1616"/>
      <c r="CA39" s="1616"/>
      <c r="CB39" s="1616"/>
      <c r="CC39" s="1616"/>
      <c r="CD39" s="1616"/>
      <c r="CE39" s="1616"/>
      <c r="CF39" s="1616"/>
      <c r="CG39" s="1616"/>
      <c r="CH39" s="1616"/>
      <c r="CI39" s="1616"/>
      <c r="CJ39" s="1616"/>
      <c r="CK39" s="1616"/>
      <c r="CL39" s="1616"/>
      <c r="CM39" s="159"/>
      <c r="CN39" s="159"/>
      <c r="CO39" s="60"/>
      <c r="CP39" s="60"/>
      <c r="CQ39" s="60"/>
    </row>
    <row r="40" spans="1:95" ht="55.45" customHeight="1" thickBot="1" x14ac:dyDescent="0.3">
      <c r="A40" s="166"/>
      <c r="B40" s="1520" t="s">
        <v>1809</v>
      </c>
      <c r="C40" s="179"/>
      <c r="D40" s="1470">
        <f ca="1">E27*'9.DefaultFactors'!R8*'1.GeneralInfo'!S12</f>
        <v>1514.0808</v>
      </c>
      <c r="E40" s="1470"/>
      <c r="F40" s="1470"/>
      <c r="G40" s="1472">
        <f t="shared" ca="1" si="22"/>
        <v>1514.0808</v>
      </c>
      <c r="H40" s="166"/>
      <c r="I40" s="281"/>
      <c r="J40" s="284"/>
      <c r="K40" s="284"/>
      <c r="L40" s="166"/>
      <c r="M40" s="272"/>
      <c r="N40" s="166"/>
      <c r="O40" s="1698">
        <f ca="1">D40+'A1. Submodels &amp; data'!$B$379*E40+'A1. Submodels &amp; data'!$B$378*F40</f>
        <v>1514.0808</v>
      </c>
      <c r="P40" s="2"/>
      <c r="Q40" s="1129"/>
      <c r="R40" s="1800" t="s">
        <v>888</v>
      </c>
      <c r="S40" s="1786">
        <f ca="1">S39*S37*T37+U37</f>
        <v>0.4</v>
      </c>
      <c r="T40" s="188">
        <f>SUMIF(X157:X164,'1.GeneralInfo'!F13,Y157:Y164)</f>
        <v>0</v>
      </c>
      <c r="U40" s="188"/>
      <c r="V40" s="188"/>
      <c r="W40" s="188"/>
      <c r="X40" s="188"/>
      <c r="Y40" s="1809" t="s">
        <v>1061</v>
      </c>
      <c r="Z40" s="1813" t="str">
        <f>'A1. Submodels &amp; data'!C401</f>
        <v>Methane emissions (for untreated, use IPCC method for small heaps)</v>
      </c>
      <c r="AA40" s="1814" t="s">
        <v>1059</v>
      </c>
      <c r="AB40" s="188"/>
      <c r="AC40" s="188"/>
      <c r="AD40" s="1130"/>
      <c r="AE40" s="166"/>
      <c r="AF40" s="166"/>
      <c r="AG40" s="166"/>
      <c r="AH40" s="166"/>
      <c r="AI40" s="149"/>
      <c r="AJ40" s="166"/>
      <c r="AK40" s="166"/>
      <c r="AL40" s="149"/>
      <c r="AM40" s="149"/>
      <c r="AN40" s="149"/>
      <c r="AO40" s="149"/>
      <c r="AP40" s="149"/>
      <c r="AQ40" s="2"/>
      <c r="AR40" s="2"/>
      <c r="AS40" s="2"/>
      <c r="AT40" s="2"/>
      <c r="AU40" s="2"/>
      <c r="AV40" s="2"/>
      <c r="AW40" s="2"/>
      <c r="AX40" s="2"/>
      <c r="AY40" s="2"/>
      <c r="AZ40" s="2"/>
      <c r="BA40" s="2"/>
      <c r="BB40" s="2"/>
      <c r="BC40" s="2"/>
      <c r="BD40" s="2"/>
      <c r="BE40" s="1129"/>
      <c r="BF40" s="230">
        <f>SUM(BF34:BF39)</f>
        <v>0</v>
      </c>
      <c r="BG40" s="230">
        <f>SUM(BG34:BG39)</f>
        <v>0</v>
      </c>
      <c r="BH40" s="188"/>
      <c r="BI40" s="188"/>
      <c r="BJ40" s="188"/>
      <c r="BK40" s="188"/>
      <c r="BL40" s="188"/>
      <c r="BM40" s="188"/>
      <c r="BN40" s="188"/>
      <c r="BO40" s="188"/>
      <c r="BP40" s="188"/>
      <c r="BQ40" s="188"/>
      <c r="BR40" s="188"/>
      <c r="BS40" s="188"/>
      <c r="BT40" s="188"/>
      <c r="BU40" s="1130"/>
      <c r="BV40" s="166"/>
      <c r="BW40" s="2"/>
      <c r="BX40" s="1616"/>
      <c r="BY40" s="1616"/>
      <c r="BZ40" s="1616"/>
      <c r="CA40" s="1616"/>
      <c r="CB40" s="1616"/>
      <c r="CC40" s="1616"/>
      <c r="CD40" s="1616"/>
      <c r="CE40" s="1616"/>
      <c r="CF40" s="1616"/>
      <c r="CG40" s="1616"/>
      <c r="CH40" s="1616"/>
      <c r="CI40" s="1616"/>
      <c r="CJ40" s="1616"/>
      <c r="CK40" s="1616"/>
      <c r="CL40" s="1616"/>
      <c r="CM40" s="159"/>
      <c r="CN40" s="159"/>
      <c r="CO40" s="60"/>
      <c r="CP40" s="60"/>
      <c r="CQ40" s="60"/>
    </row>
    <row r="41" spans="1:95" ht="65.25" customHeight="1" thickBot="1" x14ac:dyDescent="0.3">
      <c r="A41" s="166"/>
      <c r="B41" s="1521" t="s">
        <v>355</v>
      </c>
      <c r="C41" s="184"/>
      <c r="D41" s="1473"/>
      <c r="E41" s="1473">
        <f ca="1">T53</f>
        <v>0</v>
      </c>
      <c r="F41" s="1473">
        <f>S53</f>
        <v>0</v>
      </c>
      <c r="G41" s="1474">
        <f t="shared" ca="1" si="22"/>
        <v>0</v>
      </c>
      <c r="H41" s="1518" t="str">
        <f>IF(BE39=1,IF(BE44=0,"Warning - zero emissions compost option should generally only be used if you have also accounted for emissions from producing your own compost",""),"")</f>
        <v/>
      </c>
      <c r="I41" s="1518"/>
      <c r="J41" s="1518"/>
      <c r="K41" s="284"/>
      <c r="L41" s="284"/>
      <c r="M41" s="166"/>
      <c r="N41" s="166"/>
      <c r="O41" s="1700">
        <f ca="1">D41+'A1. Submodels &amp; data'!$B$379*E41+'A1. Submodels &amp; data'!$B$378*F41</f>
        <v>0</v>
      </c>
      <c r="P41" s="2"/>
      <c r="Q41" s="1129"/>
      <c r="R41" s="1801" t="s">
        <v>1057</v>
      </c>
      <c r="S41" s="1787">
        <f ca="1">V37*T48</f>
        <v>0</v>
      </c>
      <c r="T41" s="258"/>
      <c r="U41" s="258"/>
      <c r="V41" s="258"/>
      <c r="W41" s="258"/>
      <c r="X41" s="258"/>
      <c r="Y41" s="1810" t="str">
        <f>'A1. Submodels &amp; data'!B403</f>
        <v>Removed; left untreated in heaps or pits</v>
      </c>
      <c r="Z41" s="1816">
        <f>'A1. Submodels &amp; data'!C403</f>
        <v>6.533333333333334E-2</v>
      </c>
      <c r="AA41" s="1712">
        <f>'A1. Submodels &amp; data'!D403</f>
        <v>5.0674999999999993E-4</v>
      </c>
      <c r="AB41" s="188"/>
      <c r="AC41" s="258"/>
      <c r="AD41" s="1130"/>
      <c r="AE41" s="166"/>
      <c r="AF41" s="166"/>
      <c r="AG41" s="166"/>
      <c r="AH41" s="166"/>
      <c r="AI41" s="149"/>
      <c r="AJ41" s="166"/>
      <c r="AK41" s="166"/>
      <c r="AL41" s="149"/>
      <c r="AM41" s="149"/>
      <c r="AN41" s="149"/>
      <c r="AO41" s="149"/>
      <c r="AP41" s="149"/>
      <c r="AQ41" s="2"/>
      <c r="AR41" s="2"/>
      <c r="AS41" s="2"/>
      <c r="AT41" s="2"/>
      <c r="AU41" s="2"/>
      <c r="AV41" s="2"/>
      <c r="AW41" s="2"/>
      <c r="AX41" s="2"/>
      <c r="AY41" s="2"/>
      <c r="AZ41" s="2"/>
      <c r="BA41" s="2"/>
      <c r="BB41" s="2"/>
      <c r="BC41" s="2"/>
      <c r="BD41" s="2"/>
      <c r="BE41" s="1129" t="s">
        <v>1279</v>
      </c>
      <c r="BF41" s="258" t="s">
        <v>2077</v>
      </c>
      <c r="BG41" s="230">
        <f>BF40+BG40</f>
        <v>0</v>
      </c>
      <c r="BH41" s="1523"/>
      <c r="BI41" s="1523"/>
      <c r="BJ41" s="1523"/>
      <c r="BK41" s="1523"/>
      <c r="BL41" s="1523"/>
      <c r="BM41" s="1523"/>
      <c r="BN41" s="188"/>
      <c r="BO41" s="188"/>
      <c r="BP41" s="188"/>
      <c r="BQ41" s="188"/>
      <c r="BR41" s="188"/>
      <c r="BS41" s="188"/>
      <c r="BT41" s="188"/>
      <c r="BU41" s="1130"/>
      <c r="BV41" s="166"/>
      <c r="BW41" s="166"/>
      <c r="BX41" s="159"/>
      <c r="BY41" s="159"/>
      <c r="BZ41" s="159"/>
      <c r="CA41" s="159"/>
      <c r="CB41" s="159"/>
      <c r="CC41" s="159"/>
      <c r="CD41" s="159"/>
      <c r="CE41" s="159"/>
      <c r="CF41" s="159"/>
      <c r="CG41" s="159"/>
      <c r="CH41" s="159"/>
      <c r="CI41" s="159"/>
      <c r="CJ41" s="159"/>
      <c r="CK41" s="159"/>
      <c r="CL41" s="159"/>
      <c r="CM41" s="159"/>
      <c r="CN41" s="159"/>
      <c r="CO41" s="60"/>
      <c r="CP41" s="60"/>
      <c r="CQ41" s="60"/>
    </row>
    <row r="42" spans="1:95" ht="40.5" customHeight="1" thickBot="1" x14ac:dyDescent="0.3">
      <c r="A42" s="166"/>
      <c r="B42" s="1522" t="s">
        <v>619</v>
      </c>
      <c r="C42" s="856"/>
      <c r="D42" s="1475">
        <f ca="1">SUM(D36:D41)</f>
        <v>11199.109371428571</v>
      </c>
      <c r="E42" s="1475">
        <f ca="1">SUM(E36:E41)</f>
        <v>3.994962566793518</v>
      </c>
      <c r="F42" s="1476">
        <f>SUM(F36:F41)</f>
        <v>0</v>
      </c>
      <c r="G42" s="1477">
        <f t="shared" ca="1" si="22"/>
        <v>12381.618291199451</v>
      </c>
      <c r="H42" s="166"/>
      <c r="I42" s="166"/>
      <c r="J42" s="166"/>
      <c r="K42" s="166"/>
      <c r="L42" s="166"/>
      <c r="M42" s="166"/>
      <c r="N42" s="284"/>
      <c r="O42" s="1696">
        <f ca="1">SUM(O36:O41)</f>
        <v>12381.618291199451</v>
      </c>
      <c r="P42" s="2"/>
      <c r="Q42" s="1129"/>
      <c r="R42" s="1801" t="s">
        <v>1044</v>
      </c>
      <c r="S42" s="1788">
        <f ca="1">T48*W37</f>
        <v>0</v>
      </c>
      <c r="T42" s="188"/>
      <c r="U42" s="188"/>
      <c r="V42" s="188"/>
      <c r="W42" s="188"/>
      <c r="X42" s="188"/>
      <c r="Y42" s="1811" t="str">
        <f>'A1. Submodels &amp; data'!B404</f>
        <v xml:space="preserve">Removed; non-Forced Aeration Compost </v>
      </c>
      <c r="Z42" s="1730">
        <f>'A1. Submodels &amp; data'!C404</f>
        <v>5.0000000000000001E-3</v>
      </c>
      <c r="AA42" s="368">
        <f>'A1. Submodels &amp; data'!D404</f>
        <v>5.0674999999999993E-4</v>
      </c>
      <c r="AB42" s="188"/>
      <c r="AC42" s="188"/>
      <c r="AD42" s="1130"/>
      <c r="AE42" s="166"/>
      <c r="AF42" s="166"/>
      <c r="AG42" s="166"/>
      <c r="AH42" s="166"/>
      <c r="AI42" s="149"/>
      <c r="AJ42" s="166"/>
      <c r="AK42" s="166"/>
      <c r="AL42" s="149"/>
      <c r="AM42" s="149"/>
      <c r="AN42" s="149"/>
      <c r="AO42" s="149"/>
      <c r="AP42" s="149"/>
      <c r="AQ42" s="2"/>
      <c r="AR42" s="2"/>
      <c r="AS42" s="2"/>
      <c r="AT42" s="2"/>
      <c r="AU42" s="2"/>
      <c r="AV42" s="2"/>
      <c r="AW42" s="2"/>
      <c r="AX42" s="2"/>
      <c r="AY42" s="2"/>
      <c r="AZ42" s="2"/>
      <c r="BA42" s="2"/>
      <c r="BB42" s="2"/>
      <c r="BC42" s="2"/>
      <c r="BD42" s="2"/>
      <c r="BE42" s="1129">
        <f>IF(E$31=Y42,1,0)</f>
        <v>0</v>
      </c>
      <c r="BF42" s="258"/>
      <c r="BG42" s="188"/>
      <c r="BH42" s="1523"/>
      <c r="BI42" s="1523"/>
      <c r="BJ42" s="1523"/>
      <c r="BK42" s="1523"/>
      <c r="BL42" s="1523"/>
      <c r="BM42" s="1523"/>
      <c r="BN42" s="188"/>
      <c r="BO42" s="188"/>
      <c r="BP42" s="188"/>
      <c r="BQ42" s="188"/>
      <c r="BR42" s="188"/>
      <c r="BS42" s="188"/>
      <c r="BT42" s="188"/>
      <c r="BU42" s="1130"/>
      <c r="BV42" s="166"/>
      <c r="BW42" s="166"/>
      <c r="BX42" s="159"/>
      <c r="BY42" s="159"/>
      <c r="BZ42" s="159"/>
      <c r="CA42" s="159"/>
      <c r="CB42" s="159"/>
      <c r="CC42" s="159"/>
      <c r="CD42" s="159"/>
      <c r="CE42" s="159"/>
      <c r="CF42" s="159"/>
      <c r="CG42" s="159"/>
      <c r="CH42" s="159"/>
      <c r="CI42" s="159"/>
      <c r="CJ42" s="159"/>
      <c r="CK42" s="159"/>
      <c r="CL42" s="159"/>
      <c r="CM42" s="159"/>
      <c r="CN42" s="159"/>
      <c r="CO42" s="60"/>
      <c r="CP42" s="60"/>
      <c r="CQ42" s="60"/>
    </row>
    <row r="43" spans="1:95" ht="13.55" customHeight="1" thickBot="1" x14ac:dyDescent="0.3">
      <c r="A43" s="166"/>
      <c r="B43" s="166"/>
      <c r="C43" s="166"/>
      <c r="D43" s="166"/>
      <c r="E43" s="166"/>
      <c r="F43" s="166"/>
      <c r="G43" s="166"/>
      <c r="H43" s="166"/>
      <c r="I43" s="166"/>
      <c r="J43" s="166"/>
      <c r="K43" s="166"/>
      <c r="L43" s="166"/>
      <c r="M43" s="284"/>
      <c r="N43" s="166"/>
      <c r="O43" s="166"/>
      <c r="P43" s="166"/>
      <c r="Q43" s="1129"/>
      <c r="R43" s="1805" t="s">
        <v>1058</v>
      </c>
      <c r="S43" s="1789">
        <f ca="1">X37*S42</f>
        <v>0</v>
      </c>
      <c r="T43" s="188"/>
      <c r="U43" s="188"/>
      <c r="V43" s="188"/>
      <c r="W43" s="188"/>
      <c r="X43" s="188"/>
      <c r="Y43" s="1811" t="str">
        <f>'A1. Submodels &amp; data'!B405</f>
        <v xml:space="preserve">Removed; Forced Aeration Compost </v>
      </c>
      <c r="Z43" s="1730">
        <f>'A1. Submodels &amp; data'!C405</f>
        <v>3.0000000000000001E-3</v>
      </c>
      <c r="AA43" s="368">
        <f>'A1. Submodels &amp; data'!D405</f>
        <v>3.3783333333333332E-4</v>
      </c>
      <c r="AB43" s="188"/>
      <c r="AC43" s="188"/>
      <c r="AD43" s="1130"/>
      <c r="AE43" s="166"/>
      <c r="AF43" s="166"/>
      <c r="AG43" s="166"/>
      <c r="AH43" s="166"/>
      <c r="AI43" s="149"/>
      <c r="AJ43" s="166"/>
      <c r="AK43" s="166"/>
      <c r="AL43" s="149"/>
      <c r="AM43" s="149"/>
      <c r="AN43" s="149"/>
      <c r="AO43" s="149"/>
      <c r="AP43" s="149"/>
      <c r="AQ43" s="2"/>
      <c r="AR43" s="2"/>
      <c r="AS43" s="2"/>
      <c r="AT43" s="2"/>
      <c r="AU43" s="2"/>
      <c r="AV43" s="2"/>
      <c r="AW43" s="2"/>
      <c r="AX43" s="2"/>
      <c r="AY43" s="2"/>
      <c r="AZ43" s="2"/>
      <c r="BA43" s="2"/>
      <c r="BB43" s="2"/>
      <c r="BC43" s="2"/>
      <c r="BD43" s="2"/>
      <c r="BE43" s="1129">
        <f>IF(E$31=Y43,1,0)</f>
        <v>0</v>
      </c>
      <c r="BF43" s="188"/>
      <c r="BG43" s="1523"/>
      <c r="BH43" s="1523"/>
      <c r="BI43" s="1523"/>
      <c r="BJ43" s="1523"/>
      <c r="BK43" s="1523"/>
      <c r="BL43" s="1523"/>
      <c r="BM43" s="1523"/>
      <c r="BN43" s="188"/>
      <c r="BO43" s="188"/>
      <c r="BP43" s="188"/>
      <c r="BQ43" s="188"/>
      <c r="BR43" s="188"/>
      <c r="BS43" s="188"/>
      <c r="BT43" s="188"/>
      <c r="BU43" s="1130"/>
      <c r="BV43" s="166"/>
      <c r="BW43" s="166"/>
      <c r="BX43" s="159"/>
      <c r="BY43" s="159"/>
      <c r="BZ43" s="159"/>
      <c r="CA43" s="159"/>
      <c r="CB43" s="159"/>
      <c r="CC43" s="159"/>
      <c r="CD43" s="159"/>
      <c r="CE43" s="159"/>
      <c r="CF43" s="159"/>
      <c r="CG43" s="159"/>
      <c r="CH43" s="159"/>
      <c r="CI43" s="159"/>
      <c r="CJ43" s="159"/>
      <c r="CK43" s="159"/>
      <c r="CL43" s="159"/>
      <c r="CM43" s="159"/>
      <c r="CN43" s="159"/>
      <c r="CO43" s="60"/>
      <c r="CP43" s="60"/>
      <c r="CQ43" s="60"/>
    </row>
    <row r="44" spans="1:95" ht="13.55" customHeight="1" x14ac:dyDescent="0.25">
      <c r="A44" s="166"/>
      <c r="B44" s="166"/>
      <c r="C44" s="166"/>
      <c r="D44" s="166"/>
      <c r="E44" s="166"/>
      <c r="F44" s="166"/>
      <c r="G44" s="166"/>
      <c r="H44" s="166"/>
      <c r="I44" s="166"/>
      <c r="J44" s="166"/>
      <c r="K44" s="166"/>
      <c r="L44" s="166"/>
      <c r="M44" s="166"/>
      <c r="N44" s="166"/>
      <c r="O44" s="166"/>
      <c r="P44" s="166"/>
      <c r="Q44" s="1129"/>
      <c r="R44" s="1806"/>
      <c r="S44" s="188"/>
      <c r="T44" s="188"/>
      <c r="U44" s="230"/>
      <c r="V44" s="188"/>
      <c r="W44" s="188"/>
      <c r="X44" s="188"/>
      <c r="Y44" s="1811" t="str">
        <f>'A1. Submodels &amp; data'!B406</f>
        <v>Left on field; Incorporated or mulch</v>
      </c>
      <c r="Z44" s="1730">
        <f>'A1. Submodels &amp; data'!C406</f>
        <v>0</v>
      </c>
      <c r="AA44" s="368" t="e">
        <f>'A1. Submodels &amp; data'!D406</f>
        <v>#N/A</v>
      </c>
      <c r="AB44" s="188"/>
      <c r="AC44" s="188"/>
      <c r="AD44" s="1130"/>
      <c r="AE44" s="166"/>
      <c r="AF44" s="166"/>
      <c r="AG44" s="166"/>
      <c r="AH44" s="166"/>
      <c r="AI44" s="149"/>
      <c r="AJ44" s="166"/>
      <c r="AK44" s="166"/>
      <c r="AL44" s="149"/>
      <c r="AM44" s="149"/>
      <c r="AN44" s="149"/>
      <c r="AO44" s="149"/>
      <c r="AP44" s="149"/>
      <c r="AQ44" s="2"/>
      <c r="AR44" s="2"/>
      <c r="AS44" s="2"/>
      <c r="AT44" s="2"/>
      <c r="AU44" s="2"/>
      <c r="AV44" s="2"/>
      <c r="AW44" s="2"/>
      <c r="AX44" s="2"/>
      <c r="AY44" s="2"/>
      <c r="AZ44" s="2"/>
      <c r="BA44" s="2"/>
      <c r="BB44" s="2"/>
      <c r="BC44" s="2"/>
      <c r="BD44" s="2"/>
      <c r="BE44" s="1129">
        <f>SUM(BE42:BE43)</f>
        <v>0</v>
      </c>
      <c r="BF44" s="188"/>
      <c r="BG44" s="1523"/>
      <c r="BH44" s="1523"/>
      <c r="BI44" s="1523"/>
      <c r="BJ44" s="1523"/>
      <c r="BK44" s="1523"/>
      <c r="BL44" s="1523"/>
      <c r="BM44" s="1523"/>
      <c r="BN44" s="188"/>
      <c r="BO44" s="188"/>
      <c r="BP44" s="188"/>
      <c r="BQ44" s="188"/>
      <c r="BR44" s="188"/>
      <c r="BS44" s="188"/>
      <c r="BT44" s="188"/>
      <c r="BU44" s="1130"/>
      <c r="BV44" s="166"/>
      <c r="BW44" s="166"/>
      <c r="BX44" s="159"/>
      <c r="BY44" s="159"/>
      <c r="BZ44" s="159"/>
      <c r="CA44" s="159"/>
      <c r="CB44" s="159"/>
      <c r="CC44" s="159"/>
      <c r="CD44" s="159"/>
      <c r="CE44" s="159"/>
      <c r="CF44" s="159"/>
      <c r="CG44" s="159"/>
      <c r="CH44" s="159"/>
      <c r="CI44" s="159"/>
      <c r="CJ44" s="159"/>
      <c r="CK44" s="159"/>
      <c r="CL44" s="159"/>
      <c r="CM44" s="159"/>
      <c r="CN44" s="159"/>
      <c r="CO44" s="60"/>
      <c r="CP44" s="60"/>
      <c r="CQ44" s="60"/>
    </row>
    <row r="45" spans="1:95" ht="13.55" customHeight="1" thickBot="1" x14ac:dyDescent="0.3">
      <c r="A45" s="166"/>
      <c r="B45" s="149"/>
      <c r="C45" s="149"/>
      <c r="D45" s="149"/>
      <c r="E45" s="149"/>
      <c r="F45" s="149"/>
      <c r="G45" s="149"/>
      <c r="H45" s="166"/>
      <c r="I45" s="166"/>
      <c r="J45" s="166"/>
      <c r="K45" s="166"/>
      <c r="L45" s="166"/>
      <c r="M45" s="166"/>
      <c r="N45" s="166"/>
      <c r="O45" s="166"/>
      <c r="P45" s="166"/>
      <c r="Q45" s="1129"/>
      <c r="R45" s="1806"/>
      <c r="S45" s="188"/>
      <c r="T45" s="188"/>
      <c r="U45" s="188"/>
      <c r="V45" s="188"/>
      <c r="W45" s="188"/>
      <c r="X45" s="188"/>
      <c r="Y45" s="1811" t="str">
        <f>'A1. Submodels &amp; data'!B407</f>
        <v>Burned</v>
      </c>
      <c r="Z45" s="1730">
        <f>'A1. Submodels &amp; data'!C407</f>
        <v>2.7000000000000001E-3</v>
      </c>
      <c r="AA45" s="368">
        <f>'A1. Submodels &amp; data'!D407</f>
        <v>6.9999999999999994E-5</v>
      </c>
      <c r="AB45" s="188"/>
      <c r="AC45" s="188"/>
      <c r="AD45" s="1130"/>
      <c r="AE45" s="166"/>
      <c r="AF45" s="166"/>
      <c r="AG45" s="166"/>
      <c r="AH45" s="166"/>
      <c r="AI45" s="149"/>
      <c r="AJ45" s="166"/>
      <c r="AK45" s="166"/>
      <c r="AL45" s="149"/>
      <c r="AM45" s="149"/>
      <c r="AN45" s="149"/>
      <c r="AO45" s="149"/>
      <c r="AP45" s="149"/>
      <c r="AQ45" s="2"/>
      <c r="AR45" s="2"/>
      <c r="AS45" s="2"/>
      <c r="AT45" s="2"/>
      <c r="AU45" s="2"/>
      <c r="AV45" s="2"/>
      <c r="AW45" s="2"/>
      <c r="AX45" s="2"/>
      <c r="AY45" s="2"/>
      <c r="AZ45" s="2"/>
      <c r="BA45" s="2"/>
      <c r="BB45" s="2"/>
      <c r="BC45" s="2"/>
      <c r="BD45" s="2"/>
      <c r="BE45" s="1649"/>
      <c r="BF45" s="240"/>
      <c r="BG45" s="1634"/>
      <c r="BH45" s="1634"/>
      <c r="BI45" s="1634"/>
      <c r="BJ45" s="1634"/>
      <c r="BK45" s="1634"/>
      <c r="BL45" s="1634"/>
      <c r="BM45" s="1634"/>
      <c r="BN45" s="240"/>
      <c r="BO45" s="240"/>
      <c r="BP45" s="240"/>
      <c r="BQ45" s="240"/>
      <c r="BR45" s="240"/>
      <c r="BS45" s="240"/>
      <c r="BT45" s="240"/>
      <c r="BU45" s="1132"/>
      <c r="BV45" s="166"/>
      <c r="BW45" s="166"/>
      <c r="BX45" s="159"/>
      <c r="BY45" s="159"/>
      <c r="BZ45" s="159"/>
      <c r="CA45" s="159"/>
      <c r="CB45" s="159"/>
      <c r="CC45" s="159"/>
      <c r="CD45" s="159"/>
      <c r="CE45" s="159"/>
      <c r="CF45" s="159"/>
      <c r="CG45" s="159"/>
      <c r="CH45" s="159"/>
      <c r="CI45" s="159"/>
      <c r="CJ45" s="159"/>
      <c r="CK45" s="159"/>
      <c r="CL45" s="159"/>
      <c r="CM45" s="159"/>
      <c r="CN45" s="159"/>
      <c r="CO45" s="60"/>
      <c r="CP45" s="60"/>
      <c r="CQ45" s="60"/>
    </row>
    <row r="46" spans="1:95" ht="13.55" customHeight="1" thickBot="1" x14ac:dyDescent="0.3">
      <c r="A46" s="166"/>
      <c r="B46" s="171"/>
      <c r="C46" s="149"/>
      <c r="D46" s="149"/>
      <c r="E46" s="149"/>
      <c r="F46" s="149"/>
      <c r="G46" s="149"/>
      <c r="H46" s="166"/>
      <c r="I46" s="166"/>
      <c r="J46" s="166"/>
      <c r="K46" s="166"/>
      <c r="L46" s="166"/>
      <c r="M46" s="166"/>
      <c r="N46" s="166"/>
      <c r="O46" s="166"/>
      <c r="P46" s="166"/>
      <c r="Q46" s="1129"/>
      <c r="R46" s="1806"/>
      <c r="S46" s="188"/>
      <c r="T46" s="188"/>
      <c r="U46" s="188"/>
      <c r="V46" s="188"/>
      <c r="W46" s="188"/>
      <c r="X46" s="188"/>
      <c r="Y46" s="1812" t="str">
        <f>'A1. Submodels &amp; data'!B408</f>
        <v>Exported off farm</v>
      </c>
      <c r="Z46" s="1783">
        <v>0</v>
      </c>
      <c r="AA46" s="1719">
        <v>0</v>
      </c>
      <c r="AB46" s="188"/>
      <c r="AC46" s="188"/>
      <c r="AD46" s="1130"/>
      <c r="AE46" s="166"/>
      <c r="AF46" s="166"/>
      <c r="AG46" s="166"/>
      <c r="AH46" s="166"/>
      <c r="AI46" s="149"/>
      <c r="AJ46" s="166"/>
      <c r="AK46" s="166"/>
      <c r="AL46" s="149"/>
      <c r="AM46" s="149"/>
      <c r="AN46" s="149"/>
      <c r="AO46" s="149"/>
      <c r="AP46" s="149"/>
      <c r="AQ46" s="2"/>
      <c r="AR46" s="2"/>
      <c r="AS46" s="2"/>
      <c r="AT46" s="2"/>
      <c r="AU46" s="2"/>
      <c r="AV46" s="2"/>
      <c r="AW46" s="2"/>
      <c r="AX46" s="2"/>
      <c r="AY46" s="2"/>
      <c r="AZ46" s="2"/>
      <c r="BA46" s="2"/>
      <c r="BB46" s="2"/>
      <c r="BC46" s="2"/>
      <c r="BD46" s="2"/>
      <c r="BE46" s="2"/>
      <c r="BF46" s="166"/>
      <c r="BG46" s="2"/>
      <c r="BH46" s="2"/>
      <c r="BI46" s="2"/>
      <c r="BJ46" s="2"/>
      <c r="BK46" s="2"/>
      <c r="BL46" s="2"/>
      <c r="BM46" s="2"/>
      <c r="BN46" s="166"/>
      <c r="BO46" s="166"/>
      <c r="BP46" s="166"/>
      <c r="BQ46" s="166"/>
      <c r="BR46" s="166"/>
      <c r="BS46" s="166"/>
      <c r="BT46" s="166"/>
      <c r="BU46" s="166"/>
      <c r="BV46" s="166"/>
      <c r="BW46" s="166"/>
      <c r="BX46" s="1616"/>
      <c r="BY46" s="1616"/>
      <c r="BZ46" s="1616"/>
      <c r="CA46" s="1616"/>
      <c r="CB46" s="1616"/>
      <c r="CC46" s="1616"/>
      <c r="CD46" s="1616"/>
      <c r="CE46" s="1616"/>
      <c r="CF46" s="1616"/>
      <c r="CG46" s="1616"/>
      <c r="CH46" s="1616"/>
      <c r="CI46" s="1616"/>
      <c r="CJ46" s="1616"/>
      <c r="CK46" s="1616"/>
      <c r="CL46" s="159"/>
      <c r="CM46" s="159"/>
      <c r="CN46" s="159"/>
      <c r="CO46" s="60"/>
      <c r="CP46" s="60"/>
      <c r="CQ46" s="60"/>
    </row>
    <row r="47" spans="1:95" ht="13.25" thickBot="1" x14ac:dyDescent="0.3">
      <c r="A47" s="166"/>
      <c r="B47" s="193"/>
      <c r="C47" s="149"/>
      <c r="D47" s="149"/>
      <c r="E47" s="149"/>
      <c r="F47" s="149"/>
      <c r="G47" s="149"/>
      <c r="H47" s="166"/>
      <c r="I47" s="166"/>
      <c r="J47" s="166"/>
      <c r="K47" s="166"/>
      <c r="L47" s="166"/>
      <c r="M47" s="166"/>
      <c r="N47" s="166"/>
      <c r="O47" s="166"/>
      <c r="P47" s="166"/>
      <c r="Q47" s="1129"/>
      <c r="R47" s="1807"/>
      <c r="S47" s="2019" t="s">
        <v>2073</v>
      </c>
      <c r="T47" s="2022" t="s">
        <v>774</v>
      </c>
      <c r="U47" s="188"/>
      <c r="V47" s="188"/>
      <c r="W47" s="188"/>
      <c r="X47" s="188"/>
      <c r="Y47" s="188"/>
      <c r="Z47" s="188"/>
      <c r="AA47" s="188"/>
      <c r="AB47" s="188"/>
      <c r="AC47" s="188"/>
      <c r="AD47" s="1130"/>
      <c r="AE47" s="166"/>
      <c r="AF47" s="166"/>
      <c r="AG47" s="166"/>
      <c r="AH47" s="166"/>
      <c r="AI47" s="149"/>
      <c r="AJ47" s="166"/>
      <c r="AK47" s="166"/>
      <c r="AL47" s="149"/>
      <c r="AM47" s="149"/>
      <c r="AN47" s="149"/>
      <c r="AO47" s="149"/>
      <c r="AP47" s="259"/>
      <c r="AQ47" s="2"/>
      <c r="AR47" s="2"/>
      <c r="AS47" s="2"/>
      <c r="AT47" s="2"/>
      <c r="AU47" s="2"/>
      <c r="AV47" s="2"/>
      <c r="AW47" s="2"/>
      <c r="AX47" s="2"/>
      <c r="AY47" s="2"/>
      <c r="AZ47" s="2"/>
      <c r="BA47" s="2"/>
      <c r="BB47" s="2"/>
      <c r="BC47" s="2"/>
      <c r="BD47" s="2"/>
      <c r="BE47" s="2"/>
      <c r="BF47" s="166"/>
      <c r="BG47" s="2"/>
      <c r="BH47" s="2"/>
      <c r="BI47" s="2"/>
      <c r="BJ47" s="2"/>
      <c r="BK47" s="2"/>
      <c r="BL47" s="2"/>
      <c r="BM47" s="2"/>
      <c r="BN47" s="166"/>
      <c r="BO47" s="166"/>
      <c r="BP47" s="166"/>
      <c r="BQ47" s="166"/>
      <c r="BR47" s="166"/>
      <c r="BS47" s="166"/>
      <c r="BT47" s="166"/>
      <c r="BU47" s="166"/>
      <c r="BV47" s="166"/>
      <c r="BW47" s="166"/>
      <c r="BX47" s="1616"/>
      <c r="BY47" s="1616"/>
      <c r="BZ47" s="1616"/>
      <c r="CA47" s="1616"/>
      <c r="CB47" s="1616"/>
      <c r="CC47" s="1616"/>
      <c r="CD47" s="1616"/>
      <c r="CE47" s="1616"/>
      <c r="CF47" s="1616"/>
      <c r="CG47" s="1616"/>
      <c r="CH47" s="1616"/>
      <c r="CI47" s="1616"/>
      <c r="CJ47" s="1616"/>
      <c r="CK47" s="1616"/>
      <c r="CL47" s="159"/>
      <c r="CM47" s="159"/>
      <c r="CN47" s="159"/>
      <c r="CO47" s="60"/>
      <c r="CP47" s="60"/>
      <c r="CQ47" s="60"/>
    </row>
    <row r="48" spans="1:95" x14ac:dyDescent="0.25">
      <c r="A48" s="166"/>
      <c r="B48" s="166"/>
      <c r="C48" s="166"/>
      <c r="D48" s="166"/>
      <c r="E48" s="166"/>
      <c r="F48" s="166"/>
      <c r="G48" s="166"/>
      <c r="H48" s="166"/>
      <c r="I48" s="166"/>
      <c r="J48" s="166"/>
      <c r="K48" s="166"/>
      <c r="L48" s="166"/>
      <c r="M48" s="166"/>
      <c r="N48" s="166"/>
      <c r="O48" s="166"/>
      <c r="P48" s="166"/>
      <c r="Q48" s="1129"/>
      <c r="R48" s="1800" t="s">
        <v>1045</v>
      </c>
      <c r="S48" s="2020">
        <f>IF(E30="",0,E30*SUMIF(X169:X179,F30,Y169:Y179)/1000)*'1.GeneralInfo'!S12</f>
        <v>0</v>
      </c>
      <c r="T48" s="1791">
        <f>S48</f>
        <v>0</v>
      </c>
      <c r="U48" s="188"/>
      <c r="V48" s="188"/>
      <c r="W48" s="188"/>
      <c r="X48" s="188"/>
      <c r="Y48" s="188"/>
      <c r="Z48" s="188"/>
      <c r="AA48" s="188"/>
      <c r="AB48" s="188"/>
      <c r="AC48" s="188"/>
      <c r="AD48" s="1130"/>
      <c r="AE48" s="166"/>
      <c r="AF48" s="166"/>
      <c r="AG48" s="166"/>
      <c r="AH48" s="166"/>
      <c r="AI48" s="149"/>
      <c r="AJ48" s="166"/>
      <c r="AK48" s="166"/>
      <c r="AL48" s="149"/>
      <c r="AM48" s="149"/>
      <c r="AN48" s="149"/>
      <c r="AO48" s="149"/>
      <c r="AP48" s="149"/>
      <c r="AQ48" s="2"/>
      <c r="AR48" s="2"/>
      <c r="AS48" s="2"/>
      <c r="AT48" s="2"/>
      <c r="AU48" s="2"/>
      <c r="AV48" s="2"/>
      <c r="AW48" s="2"/>
      <c r="AX48" s="2"/>
      <c r="AY48" s="2"/>
      <c r="AZ48" s="2"/>
      <c r="BA48" s="2"/>
      <c r="BB48" s="2"/>
      <c r="BC48" s="2"/>
      <c r="BD48" s="2"/>
      <c r="BE48" s="2"/>
      <c r="BF48" s="166"/>
      <c r="BG48" s="2"/>
      <c r="BH48" s="2"/>
      <c r="BI48" s="2"/>
      <c r="BJ48" s="2"/>
      <c r="BK48" s="2"/>
      <c r="BL48" s="2"/>
      <c r="BM48" s="2"/>
      <c r="BN48" s="166"/>
      <c r="BO48" s="166"/>
      <c r="BP48" s="166"/>
      <c r="BQ48" s="166"/>
      <c r="BR48" s="166"/>
      <c r="BS48" s="166"/>
      <c r="BT48" s="166"/>
      <c r="BU48" s="166"/>
      <c r="BV48" s="166"/>
      <c r="BW48" s="166"/>
      <c r="BX48" s="1616"/>
      <c r="BY48" s="1616"/>
      <c r="BZ48" s="1616"/>
      <c r="CA48" s="1616"/>
      <c r="CB48" s="1616"/>
      <c r="CC48" s="1616"/>
      <c r="CD48" s="1616"/>
      <c r="CE48" s="1616"/>
      <c r="CF48" s="1616"/>
      <c r="CG48" s="1616"/>
      <c r="CH48" s="1616"/>
      <c r="CI48" s="1616"/>
      <c r="CJ48" s="1616"/>
      <c r="CK48" s="1616"/>
      <c r="CL48" s="159"/>
      <c r="CM48" s="159"/>
      <c r="CN48" s="159"/>
      <c r="CO48" s="60"/>
      <c r="CP48" s="60"/>
      <c r="CQ48" s="60"/>
    </row>
    <row r="49" spans="1:95" x14ac:dyDescent="0.25">
      <c r="A49" s="166"/>
      <c r="B49" s="166"/>
      <c r="C49" s="166"/>
      <c r="D49" s="166"/>
      <c r="E49" s="166"/>
      <c r="F49" s="166"/>
      <c r="G49" s="166"/>
      <c r="H49" s="166"/>
      <c r="I49" s="166"/>
      <c r="J49" s="166"/>
      <c r="K49" s="166"/>
      <c r="L49" s="166"/>
      <c r="M49" s="166"/>
      <c r="N49" s="166"/>
      <c r="O49" s="166"/>
      <c r="P49" s="166"/>
      <c r="Q49" s="1129"/>
      <c r="R49" s="1801" t="s">
        <v>468</v>
      </c>
      <c r="S49" s="2021">
        <v>1</v>
      </c>
      <c r="T49" s="1790">
        <v>1</v>
      </c>
      <c r="U49" s="188"/>
      <c r="V49" s="188"/>
      <c r="W49" s="188"/>
      <c r="X49" s="188"/>
      <c r="Y49" s="188"/>
      <c r="Z49" s="188"/>
      <c r="AA49" s="188"/>
      <c r="AB49" s="188"/>
      <c r="AC49" s="188"/>
      <c r="AD49" s="1130"/>
      <c r="AE49" s="166"/>
      <c r="AF49" s="166"/>
      <c r="AG49" s="166"/>
      <c r="AH49" s="166"/>
      <c r="AI49" s="149"/>
      <c r="AJ49" s="166"/>
      <c r="AK49" s="166"/>
      <c r="AL49" s="149"/>
      <c r="AM49" s="149"/>
      <c r="AN49" s="149"/>
      <c r="AO49" s="149"/>
      <c r="AP49" s="149"/>
      <c r="AQ49" s="2"/>
      <c r="AR49" s="2"/>
      <c r="AS49" s="2"/>
      <c r="AT49" s="2"/>
      <c r="AU49" s="2"/>
      <c r="AV49" s="2"/>
      <c r="AW49" s="2"/>
      <c r="AX49" s="2"/>
      <c r="AY49" s="2"/>
      <c r="AZ49" s="2"/>
      <c r="BA49" s="2"/>
      <c r="BB49" s="2"/>
      <c r="BC49" s="2"/>
      <c r="BD49" s="2"/>
      <c r="BE49" s="2"/>
      <c r="BF49" s="2"/>
      <c r="BG49" s="2"/>
      <c r="BH49" s="2"/>
      <c r="BI49" s="2"/>
      <c r="BJ49" s="2"/>
      <c r="BK49" s="2"/>
      <c r="BL49" s="2"/>
      <c r="BM49" s="2"/>
      <c r="BN49" s="166"/>
      <c r="BO49" s="166"/>
      <c r="BP49" s="166"/>
      <c r="BQ49" s="166"/>
      <c r="BR49" s="166"/>
      <c r="BS49" s="166"/>
      <c r="BT49" s="166"/>
      <c r="BU49" s="166"/>
      <c r="BV49" s="166"/>
      <c r="BW49" s="166"/>
      <c r="BX49" s="1616"/>
      <c r="BY49" s="1616"/>
      <c r="BZ49" s="1616"/>
      <c r="CA49" s="1616"/>
      <c r="CB49" s="1616"/>
      <c r="CC49" s="1616"/>
      <c r="CD49" s="1616"/>
      <c r="CE49" s="1616"/>
      <c r="CF49" s="1616"/>
      <c r="CG49" s="1616"/>
      <c r="CH49" s="1616"/>
      <c r="CI49" s="1616"/>
      <c r="CJ49" s="1616"/>
      <c r="CK49" s="1616"/>
      <c r="CL49" s="159"/>
      <c r="CM49" s="159"/>
      <c r="CN49" s="159"/>
      <c r="CO49" s="60"/>
      <c r="CP49" s="60"/>
      <c r="CQ49" s="60"/>
    </row>
    <row r="50" spans="1:95" ht="25.35" x14ac:dyDescent="0.25">
      <c r="A50" s="166"/>
      <c r="B50" s="166"/>
      <c r="C50" s="166"/>
      <c r="D50" s="166"/>
      <c r="E50" s="166"/>
      <c r="F50" s="166"/>
      <c r="G50" s="166"/>
      <c r="H50" s="166"/>
      <c r="I50" s="166"/>
      <c r="J50" s="166"/>
      <c r="K50" s="166"/>
      <c r="L50" s="166"/>
      <c r="M50" s="166"/>
      <c r="N50" s="166"/>
      <c r="O50" s="166"/>
      <c r="P50" s="166"/>
      <c r="Q50" s="1129"/>
      <c r="R50" s="1801" t="s">
        <v>452</v>
      </c>
      <c r="S50" s="2020">
        <f>IF(E31&lt;&gt;"",SUMIF(Y41:Y46,E31,Z41:Z46),Z41)</f>
        <v>0</v>
      </c>
      <c r="T50" s="1791">
        <f ca="1">IF(ISERROR(S60),0,IF(E31&lt;&gt;"",IF(E31&lt;&gt;Y44,SUMIF(Y41:Y46,E31,AA41:AA46),S60),AA41))</f>
        <v>0</v>
      </c>
      <c r="U50" s="188"/>
      <c r="V50" s="188"/>
      <c r="W50" s="188"/>
      <c r="X50" s="188"/>
      <c r="Y50" s="188"/>
      <c r="Z50" s="188"/>
      <c r="AA50" s="188"/>
      <c r="AB50" s="188"/>
      <c r="AC50" s="188"/>
      <c r="AD50" s="1130"/>
      <c r="AE50" s="166"/>
      <c r="AF50" s="166"/>
      <c r="AG50" s="166"/>
      <c r="AH50" s="166"/>
      <c r="AI50" s="149"/>
      <c r="AJ50" s="166"/>
      <c r="AK50" s="166"/>
      <c r="AL50" s="149"/>
      <c r="AM50" s="149"/>
      <c r="AN50" s="149"/>
      <c r="AO50" s="149"/>
      <c r="AP50" s="149"/>
      <c r="AQ50" s="2"/>
      <c r="AR50" s="2"/>
      <c r="AS50" s="2"/>
      <c r="AT50" s="2"/>
      <c r="AU50" s="2"/>
      <c r="AV50" s="2"/>
      <c r="AW50" s="2"/>
      <c r="AX50" s="2"/>
      <c r="AY50" s="2"/>
      <c r="AZ50" s="2"/>
      <c r="BA50" s="2"/>
      <c r="BB50" s="2"/>
      <c r="BC50" s="2"/>
      <c r="BD50" s="2"/>
      <c r="BE50" s="2"/>
      <c r="BF50" s="2"/>
      <c r="BG50" s="2"/>
      <c r="BH50" s="2"/>
      <c r="BI50" s="2"/>
      <c r="BJ50" s="2"/>
      <c r="BK50" s="2"/>
      <c r="BL50" s="2"/>
      <c r="BM50" s="2"/>
      <c r="BN50" s="166"/>
      <c r="BO50" s="166"/>
      <c r="BP50" s="166"/>
      <c r="BQ50" s="166"/>
      <c r="BR50" s="166"/>
      <c r="BS50" s="166"/>
      <c r="BT50" s="166"/>
      <c r="BU50" s="166"/>
      <c r="BV50" s="166"/>
      <c r="BW50" s="166"/>
      <c r="BX50" s="1616"/>
      <c r="BY50" s="1616"/>
      <c r="BZ50" s="1616"/>
      <c r="CA50" s="1616"/>
      <c r="CB50" s="1616"/>
      <c r="CC50" s="1616"/>
      <c r="CD50" s="1616"/>
      <c r="CE50" s="1616"/>
      <c r="CF50" s="1616"/>
      <c r="CG50" s="1616"/>
      <c r="CH50" s="1616"/>
      <c r="CI50" s="1616"/>
      <c r="CJ50" s="1616"/>
      <c r="CK50" s="1616"/>
      <c r="CL50" s="159"/>
      <c r="CM50" s="159"/>
      <c r="CN50" s="159"/>
      <c r="CO50" s="60"/>
      <c r="CP50" s="60"/>
      <c r="CQ50" s="60"/>
    </row>
    <row r="51" spans="1:95" x14ac:dyDescent="0.25">
      <c r="A51" s="166"/>
      <c r="B51" s="166"/>
      <c r="C51" s="166"/>
      <c r="D51" s="166"/>
      <c r="E51" s="166"/>
      <c r="F51" s="166"/>
      <c r="G51" s="166"/>
      <c r="H51" s="166"/>
      <c r="I51" s="166"/>
      <c r="J51" s="166"/>
      <c r="K51" s="166"/>
      <c r="L51" s="166"/>
      <c r="M51" s="166"/>
      <c r="N51" s="166"/>
      <c r="O51" s="166"/>
      <c r="P51" s="166"/>
      <c r="Q51" s="1129"/>
      <c r="R51" s="1801" t="s">
        <v>468</v>
      </c>
      <c r="S51" s="2020">
        <v>1</v>
      </c>
      <c r="T51" s="1791">
        <v>1</v>
      </c>
      <c r="U51" s="188"/>
      <c r="V51" s="188"/>
      <c r="W51" s="188"/>
      <c r="X51" s="188"/>
      <c r="Y51" s="188"/>
      <c r="Z51" s="188"/>
      <c r="AA51" s="188"/>
      <c r="AB51" s="188"/>
      <c r="AC51" s="188"/>
      <c r="AD51" s="1130"/>
      <c r="AE51" s="166"/>
      <c r="AF51" s="166"/>
      <c r="AG51" s="166"/>
      <c r="AH51" s="166"/>
      <c r="AI51" s="149"/>
      <c r="AJ51" s="149"/>
      <c r="AK51" s="149"/>
      <c r="AL51" s="149"/>
      <c r="AM51" s="149"/>
      <c r="AN51" s="149"/>
      <c r="AO51" s="149"/>
      <c r="AP51" s="149"/>
      <c r="AQ51" s="2"/>
      <c r="AR51" s="2"/>
      <c r="AS51" s="2"/>
      <c r="AT51" s="2"/>
      <c r="AU51" s="2"/>
      <c r="AV51" s="2"/>
      <c r="AW51" s="2"/>
      <c r="AX51" s="2"/>
      <c r="AY51" s="2"/>
      <c r="AZ51" s="2"/>
      <c r="BA51" s="2"/>
      <c r="BB51" s="2"/>
      <c r="BC51" s="2"/>
      <c r="BD51" s="2"/>
      <c r="BE51" s="2"/>
      <c r="BF51" s="2"/>
      <c r="BG51" s="2"/>
      <c r="BH51" s="2"/>
      <c r="BI51" s="2"/>
      <c r="BJ51" s="2"/>
      <c r="BK51" s="2"/>
      <c r="BL51" s="2"/>
      <c r="BM51" s="2"/>
      <c r="BN51" s="166"/>
      <c r="BO51" s="166"/>
      <c r="BP51" s="166"/>
      <c r="BQ51" s="166"/>
      <c r="BR51" s="166"/>
      <c r="BS51" s="166"/>
      <c r="BT51" s="166"/>
      <c r="BU51" s="166"/>
      <c r="BV51" s="166"/>
      <c r="BW51" s="166"/>
      <c r="BX51" s="1616"/>
      <c r="BY51" s="1616"/>
      <c r="BZ51" s="1616"/>
      <c r="CA51" s="1616"/>
      <c r="CB51" s="1616"/>
      <c r="CC51" s="1616"/>
      <c r="CD51" s="1616"/>
      <c r="CE51" s="1616"/>
      <c r="CF51" s="1616"/>
      <c r="CG51" s="1616"/>
      <c r="CH51" s="1616"/>
      <c r="CI51" s="1616"/>
      <c r="CJ51" s="1616"/>
      <c r="CK51" s="1616"/>
      <c r="CL51" s="159"/>
      <c r="CM51" s="159"/>
      <c r="CN51" s="159"/>
      <c r="CO51" s="60"/>
      <c r="CP51" s="60"/>
      <c r="CQ51" s="60"/>
    </row>
    <row r="52" spans="1:95" x14ac:dyDescent="0.25">
      <c r="A52" s="166"/>
      <c r="B52" s="166"/>
      <c r="C52" s="166"/>
      <c r="D52" s="166"/>
      <c r="E52" s="166"/>
      <c r="F52" s="166"/>
      <c r="G52" s="166"/>
      <c r="H52" s="166"/>
      <c r="I52" s="166"/>
      <c r="J52" s="166"/>
      <c r="K52" s="166"/>
      <c r="L52" s="166"/>
      <c r="M52" s="166"/>
      <c r="N52" s="166"/>
      <c r="O52" s="2"/>
      <c r="P52" s="166"/>
      <c r="Q52" s="1129"/>
      <c r="R52" s="1801" t="s">
        <v>468</v>
      </c>
      <c r="S52" s="2020">
        <v>1</v>
      </c>
      <c r="T52" s="1791">
        <v>1</v>
      </c>
      <c r="U52" s="188"/>
      <c r="V52" s="188"/>
      <c r="W52" s="188"/>
      <c r="X52" s="188"/>
      <c r="Y52" s="188"/>
      <c r="Z52" s="188"/>
      <c r="AA52" s="188"/>
      <c r="AB52" s="188"/>
      <c r="AC52" s="188"/>
      <c r="AD52" s="1130"/>
      <c r="AE52" s="166"/>
      <c r="AF52" s="166"/>
      <c r="AG52" s="166"/>
      <c r="AH52" s="166"/>
      <c r="AI52" s="149"/>
      <c r="AJ52" s="149"/>
      <c r="AK52" s="149"/>
      <c r="AL52" s="149"/>
      <c r="AM52" s="149"/>
      <c r="AN52" s="149"/>
      <c r="AO52" s="149"/>
      <c r="AP52" s="149"/>
      <c r="AQ52" s="2"/>
      <c r="AR52" s="2"/>
      <c r="AS52" s="2"/>
      <c r="AT52" s="2"/>
      <c r="AU52" s="2"/>
      <c r="AV52" s="2"/>
      <c r="AW52" s="2"/>
      <c r="AX52" s="2"/>
      <c r="AY52" s="2"/>
      <c r="AZ52" s="2"/>
      <c r="BA52" s="2"/>
      <c r="BB52" s="2"/>
      <c r="BC52" s="2"/>
      <c r="BD52" s="2"/>
      <c r="BE52" s="2"/>
      <c r="BF52" s="2"/>
      <c r="BG52" s="2"/>
      <c r="BH52" s="2"/>
      <c r="BI52" s="2"/>
      <c r="BJ52" s="2"/>
      <c r="BK52" s="166"/>
      <c r="BL52" s="2"/>
      <c r="BM52" s="2"/>
      <c r="BN52" s="166"/>
      <c r="BO52" s="166"/>
      <c r="BP52" s="166"/>
      <c r="BQ52" s="166"/>
      <c r="BR52" s="166"/>
      <c r="BS52" s="166"/>
      <c r="BT52" s="166"/>
      <c r="BU52" s="166"/>
      <c r="BV52" s="166"/>
      <c r="BW52" s="166"/>
      <c r="BX52" s="1616"/>
      <c r="BY52" s="1616"/>
      <c r="BZ52" s="1616"/>
      <c r="CA52" s="1616"/>
      <c r="CB52" s="1616"/>
      <c r="CC52" s="1616"/>
      <c r="CD52" s="1616"/>
      <c r="CE52" s="1616"/>
      <c r="CF52" s="1616"/>
      <c r="CG52" s="1616"/>
      <c r="CH52" s="1616"/>
      <c r="CI52" s="1616"/>
      <c r="CJ52" s="1616"/>
      <c r="CK52" s="1616"/>
      <c r="CL52" s="159"/>
      <c r="CM52" s="159"/>
      <c r="CN52" s="159"/>
      <c r="CO52" s="60"/>
      <c r="CP52" s="60"/>
      <c r="CQ52" s="60"/>
    </row>
    <row r="53" spans="1:95" ht="13.25" thickBot="1" x14ac:dyDescent="0.3">
      <c r="A53" s="166"/>
      <c r="B53" s="166"/>
      <c r="C53" s="166"/>
      <c r="D53" s="166"/>
      <c r="E53" s="166"/>
      <c r="F53" s="166"/>
      <c r="G53" s="166"/>
      <c r="H53" s="166"/>
      <c r="I53" s="166"/>
      <c r="J53" s="166"/>
      <c r="K53" s="166"/>
      <c r="L53" s="166"/>
      <c r="M53" s="166"/>
      <c r="N53" s="166"/>
      <c r="O53" s="2"/>
      <c r="P53" s="166"/>
      <c r="Q53" s="1129"/>
      <c r="R53" s="1801" t="s">
        <v>1170</v>
      </c>
      <c r="S53" s="2024">
        <f>IF(ISERROR(S48),0,PRODUCT(S48:S52)*1000)</f>
        <v>0</v>
      </c>
      <c r="T53" s="2025">
        <f ca="1">IF(ISERROR(S48),0,PRODUCT(T48:T52)*1000)</f>
        <v>0</v>
      </c>
      <c r="U53" s="188"/>
      <c r="V53" s="188"/>
      <c r="W53" s="188"/>
      <c r="X53" s="188"/>
      <c r="Y53" s="188"/>
      <c r="Z53" s="188"/>
      <c r="AA53" s="188"/>
      <c r="AB53" s="188"/>
      <c r="AC53" s="188"/>
      <c r="AD53" s="1130"/>
      <c r="AE53" s="166"/>
      <c r="AF53" s="166"/>
      <c r="AG53" s="166"/>
      <c r="AH53" s="166"/>
      <c r="AI53" s="149"/>
      <c r="AJ53" s="149"/>
      <c r="AK53" s="149"/>
      <c r="AL53" s="149"/>
      <c r="AM53" s="2"/>
      <c r="AN53" s="2"/>
      <c r="AO53" s="2"/>
      <c r="AP53" s="2"/>
      <c r="AQ53" s="2"/>
      <c r="AR53" s="2"/>
      <c r="AS53" s="2"/>
      <c r="AT53" s="2"/>
      <c r="AU53" s="2"/>
      <c r="AV53" s="2"/>
      <c r="AW53" s="2"/>
      <c r="AX53" s="2"/>
      <c r="AY53" s="2"/>
      <c r="AZ53" s="2"/>
      <c r="BA53" s="2"/>
      <c r="BB53" s="2"/>
      <c r="BC53" s="2"/>
      <c r="BD53" s="2"/>
      <c r="BE53" s="2"/>
      <c r="BF53" s="2"/>
      <c r="BG53" s="2"/>
      <c r="BH53" s="2"/>
      <c r="BI53" s="2"/>
      <c r="BJ53" s="2"/>
      <c r="BK53" s="166"/>
      <c r="BL53" s="2"/>
      <c r="BM53" s="2"/>
      <c r="BN53" s="166"/>
      <c r="BO53" s="166"/>
      <c r="BP53" s="166"/>
      <c r="BQ53" s="166"/>
      <c r="BR53" s="166"/>
      <c r="BS53" s="166"/>
      <c r="BT53" s="166"/>
      <c r="BU53" s="166"/>
      <c r="BV53" s="166"/>
      <c r="BW53" s="166"/>
      <c r="BX53" s="1616"/>
      <c r="BY53" s="1616"/>
      <c r="BZ53" s="1616"/>
      <c r="CA53" s="1616"/>
      <c r="CB53" s="1616"/>
      <c r="CC53" s="1616"/>
      <c r="CD53" s="1616"/>
      <c r="CE53" s="1616"/>
      <c r="CF53" s="1616"/>
      <c r="CG53" s="1616"/>
      <c r="CH53" s="1616"/>
      <c r="CI53" s="1616"/>
      <c r="CJ53" s="1616"/>
      <c r="CK53" s="1616"/>
      <c r="CL53" s="159"/>
      <c r="CM53" s="159"/>
      <c r="CN53" s="159"/>
      <c r="CO53" s="60"/>
      <c r="CP53" s="60"/>
      <c r="CQ53" s="60"/>
    </row>
    <row r="54" spans="1:95" ht="13.25" thickBot="1" x14ac:dyDescent="0.3">
      <c r="A54" s="166"/>
      <c r="B54" s="166"/>
      <c r="C54" s="166"/>
      <c r="D54" s="166"/>
      <c r="E54" s="166"/>
      <c r="F54" s="166"/>
      <c r="G54" s="166"/>
      <c r="H54" s="166"/>
      <c r="I54" s="166"/>
      <c r="J54" s="166"/>
      <c r="K54" s="166"/>
      <c r="L54" s="166"/>
      <c r="M54" s="166"/>
      <c r="N54" s="166"/>
      <c r="O54" s="2"/>
      <c r="P54" s="166"/>
      <c r="Q54" s="1129"/>
      <c r="R54" s="1808" t="s">
        <v>1062</v>
      </c>
      <c r="S54" s="1131">
        <f>PRODUCT(S49:S52)</f>
        <v>0</v>
      </c>
      <c r="T54" s="2023"/>
      <c r="U54" s="188"/>
      <c r="V54" s="188"/>
      <c r="W54" s="188"/>
      <c r="X54" s="188"/>
      <c r="Y54" s="1796" t="s">
        <v>1154</v>
      </c>
      <c r="Z54" s="1815" t="str">
        <f ca="1">OFFSET(AC182,SUMIF(W183:W184,'1.GeneralInfo'!E8,X183:X184),)</f>
        <v>tonnes/ha</v>
      </c>
      <c r="AA54" s="188"/>
      <c r="AB54" s="188"/>
      <c r="AC54" s="188"/>
      <c r="AD54" s="1130"/>
      <c r="AE54" s="166"/>
      <c r="AF54" s="166"/>
      <c r="AG54" s="166"/>
      <c r="AH54" s="166"/>
      <c r="AI54" s="149"/>
      <c r="AJ54" s="149"/>
      <c r="AK54" s="149"/>
      <c r="AL54" s="149"/>
      <c r="AM54" s="149"/>
      <c r="AN54" s="2"/>
      <c r="AO54" s="2"/>
      <c r="AP54" s="2"/>
      <c r="AQ54" s="2"/>
      <c r="AR54" s="2"/>
      <c r="AS54" s="2"/>
      <c r="AT54" s="2"/>
      <c r="AU54" s="2"/>
      <c r="AV54" s="2"/>
      <c r="AW54" s="2"/>
      <c r="AX54" s="2"/>
      <c r="AY54" s="2"/>
      <c r="AZ54" s="2"/>
      <c r="BA54" s="2"/>
      <c r="BB54" s="2"/>
      <c r="BC54" s="2"/>
      <c r="BD54" s="2"/>
      <c r="BE54" s="2"/>
      <c r="BF54" s="2"/>
      <c r="BG54" s="2"/>
      <c r="BH54" s="2"/>
      <c r="BI54" s="2"/>
      <c r="BJ54" s="2"/>
      <c r="BK54" s="166"/>
      <c r="BL54" s="2"/>
      <c r="BM54" s="2"/>
      <c r="BN54" s="166"/>
      <c r="BO54" s="166"/>
      <c r="BP54" s="166"/>
      <c r="BQ54" s="166"/>
      <c r="BR54" s="166"/>
      <c r="BS54" s="166"/>
      <c r="BT54" s="166"/>
      <c r="BU54" s="166"/>
      <c r="BV54" s="166"/>
      <c r="BW54" s="166"/>
      <c r="BX54" s="1616"/>
      <c r="BY54" s="1616"/>
      <c r="BZ54" s="1616"/>
      <c r="CA54" s="1616"/>
      <c r="CB54" s="1616"/>
      <c r="CC54" s="1616"/>
      <c r="CD54" s="1616"/>
      <c r="CE54" s="1616"/>
      <c r="CF54" s="1616"/>
      <c r="CG54" s="1616"/>
      <c r="CH54" s="1616"/>
      <c r="CI54" s="1616"/>
      <c r="CJ54" s="1616"/>
      <c r="CK54" s="1616"/>
      <c r="CL54" s="159"/>
      <c r="CM54" s="159"/>
      <c r="CN54" s="159"/>
      <c r="CO54" s="60"/>
      <c r="CP54" s="60"/>
      <c r="CQ54" s="60"/>
    </row>
    <row r="55" spans="1:95" x14ac:dyDescent="0.25">
      <c r="A55" s="166"/>
      <c r="B55" s="166"/>
      <c r="C55" s="166"/>
      <c r="D55" s="166"/>
      <c r="E55" s="166"/>
      <c r="F55" s="166"/>
      <c r="G55" s="166"/>
      <c r="H55" s="166"/>
      <c r="I55" s="166"/>
      <c r="J55" s="166"/>
      <c r="K55" s="166"/>
      <c r="L55" s="166"/>
      <c r="M55" s="166"/>
      <c r="N55" s="166"/>
      <c r="O55" s="2"/>
      <c r="P55" s="166"/>
      <c r="Q55" s="1129"/>
      <c r="R55" s="188"/>
      <c r="S55" s="188"/>
      <c r="T55" s="188"/>
      <c r="U55" s="188"/>
      <c r="V55" s="188"/>
      <c r="W55" s="188"/>
      <c r="X55" s="188"/>
      <c r="Y55" s="188"/>
      <c r="Z55" s="188"/>
      <c r="AA55" s="188"/>
      <c r="AB55" s="188"/>
      <c r="AC55" s="188"/>
      <c r="AD55" s="1130"/>
      <c r="AE55" s="166"/>
      <c r="AF55" s="166"/>
      <c r="AG55" s="166"/>
      <c r="AH55" s="166"/>
      <c r="AI55" s="149"/>
      <c r="AJ55" s="149"/>
      <c r="AK55" s="149"/>
      <c r="AL55" s="149"/>
      <c r="AM55" s="149"/>
      <c r="AN55" s="2"/>
      <c r="AO55" s="2"/>
      <c r="AP55" s="2"/>
      <c r="AQ55" s="2"/>
      <c r="AR55" s="2"/>
      <c r="AS55" s="2"/>
      <c r="AT55" s="2"/>
      <c r="AU55" s="2"/>
      <c r="AV55" s="2"/>
      <c r="AW55" s="2"/>
      <c r="AX55" s="2"/>
      <c r="AY55" s="2"/>
      <c r="AZ55" s="2"/>
      <c r="BA55" s="2"/>
      <c r="BB55" s="2"/>
      <c r="BC55" s="2"/>
      <c r="BD55" s="2"/>
      <c r="BE55" s="2"/>
      <c r="BF55" s="2"/>
      <c r="BG55" s="2"/>
      <c r="BH55" s="2"/>
      <c r="BI55" s="2"/>
      <c r="BJ55" s="2"/>
      <c r="BK55" s="166"/>
      <c r="BL55" s="2"/>
      <c r="BM55" s="2"/>
      <c r="BN55" s="166"/>
      <c r="BO55" s="166"/>
      <c r="BP55" s="166"/>
      <c r="BQ55" s="166"/>
      <c r="BR55" s="166"/>
      <c r="BS55" s="166"/>
      <c r="BT55" s="166"/>
      <c r="BU55" s="166"/>
      <c r="BV55" s="166"/>
      <c r="BW55" s="166"/>
      <c r="BX55" s="1616"/>
      <c r="BY55" s="1616"/>
      <c r="BZ55" s="1616"/>
      <c r="CA55" s="1616"/>
      <c r="CB55" s="1616"/>
      <c r="CC55" s="1616"/>
      <c r="CD55" s="1616"/>
      <c r="CE55" s="1616"/>
      <c r="CF55" s="1616"/>
      <c r="CG55" s="1616"/>
      <c r="CH55" s="1616"/>
      <c r="CI55" s="1616"/>
      <c r="CJ55" s="1616"/>
      <c r="CK55" s="1616"/>
      <c r="CL55" s="159"/>
      <c r="CM55" s="159"/>
      <c r="CN55" s="159"/>
      <c r="CO55" s="60"/>
      <c r="CP55" s="60"/>
      <c r="CQ55" s="60"/>
    </row>
    <row r="56" spans="1:95" ht="13.25" thickBot="1" x14ac:dyDescent="0.3">
      <c r="A56" s="166"/>
      <c r="B56" s="166"/>
      <c r="C56" s="166"/>
      <c r="D56" s="166"/>
      <c r="E56" s="166"/>
      <c r="F56" s="166"/>
      <c r="G56" s="166"/>
      <c r="H56" s="166"/>
      <c r="I56" s="166"/>
      <c r="J56" s="166"/>
      <c r="K56" s="166"/>
      <c r="L56" s="166"/>
      <c r="M56" s="166"/>
      <c r="N56" s="166"/>
      <c r="O56" s="2"/>
      <c r="P56" s="166"/>
      <c r="Q56" s="1129"/>
      <c r="R56" s="188"/>
      <c r="S56" s="188"/>
      <c r="T56" s="188"/>
      <c r="U56" s="188"/>
      <c r="V56" s="188"/>
      <c r="W56" s="188"/>
      <c r="X56" s="188"/>
      <c r="Y56" s="188"/>
      <c r="Z56" s="188"/>
      <c r="AA56" s="188"/>
      <c r="AB56" s="188"/>
      <c r="AC56" s="188"/>
      <c r="AD56" s="1130"/>
      <c r="AE56" s="166"/>
      <c r="AF56" s="166"/>
      <c r="AG56" s="166"/>
      <c r="AH56" s="166"/>
      <c r="AI56" s="149"/>
      <c r="AJ56" s="149"/>
      <c r="AK56" s="149"/>
      <c r="AL56" s="149"/>
      <c r="AM56" s="149"/>
      <c r="AN56" s="2"/>
      <c r="AO56" s="2"/>
      <c r="AP56" s="2"/>
      <c r="AQ56" s="2"/>
      <c r="AR56" s="2"/>
      <c r="AS56" s="2"/>
      <c r="AT56" s="2"/>
      <c r="AU56" s="2"/>
      <c r="AV56" s="2"/>
      <c r="AW56" s="2"/>
      <c r="AX56" s="2"/>
      <c r="AY56" s="2"/>
      <c r="AZ56" s="2"/>
      <c r="BA56" s="2"/>
      <c r="BB56" s="2"/>
      <c r="BC56" s="2"/>
      <c r="BD56" s="2"/>
      <c r="BE56" s="2"/>
      <c r="BF56" s="2"/>
      <c r="BG56" s="2"/>
      <c r="BH56" s="2"/>
      <c r="BI56" s="2"/>
      <c r="BJ56" s="2"/>
      <c r="BK56" s="166"/>
      <c r="BL56" s="2"/>
      <c r="BM56" s="2"/>
      <c r="BN56" s="166"/>
      <c r="BO56" s="166"/>
      <c r="BP56" s="166"/>
      <c r="BQ56" s="166"/>
      <c r="BR56" s="166"/>
      <c r="BS56" s="166"/>
      <c r="BT56" s="166"/>
      <c r="BU56" s="166"/>
      <c r="BV56" s="166"/>
      <c r="BW56" s="253"/>
      <c r="BX56" s="1615"/>
      <c r="BY56" s="1615"/>
      <c r="BZ56" s="1615"/>
      <c r="CA56" s="1615"/>
      <c r="CB56" s="1615"/>
      <c r="CC56" s="1615"/>
      <c r="CD56" s="1615"/>
      <c r="CE56" s="1615"/>
      <c r="CF56" s="1615"/>
      <c r="CG56" s="1615"/>
      <c r="CH56" s="1615"/>
      <c r="CI56" s="1615"/>
      <c r="CJ56" s="1615"/>
      <c r="CK56" s="1615"/>
      <c r="CL56" s="1615"/>
      <c r="CM56" s="1615"/>
      <c r="CN56" s="1615"/>
      <c r="CO56" s="274"/>
      <c r="CP56" s="274"/>
      <c r="CQ56" s="274"/>
    </row>
    <row r="57" spans="1:95" ht="27.8" customHeight="1" thickBot="1" x14ac:dyDescent="0.3">
      <c r="A57" s="166"/>
      <c r="B57" s="166"/>
      <c r="C57" s="166"/>
      <c r="D57" s="166"/>
      <c r="E57" s="166"/>
      <c r="F57" s="166"/>
      <c r="G57" s="166"/>
      <c r="H57" s="166"/>
      <c r="I57" s="166"/>
      <c r="J57" s="166"/>
      <c r="K57" s="166"/>
      <c r="L57" s="166"/>
      <c r="M57" s="166"/>
      <c r="N57" s="166"/>
      <c r="O57" s="2"/>
      <c r="P57" s="166"/>
      <c r="Q57" s="1129"/>
      <c r="R57" s="1731"/>
      <c r="S57" s="1817" t="s">
        <v>1046</v>
      </c>
      <c r="T57" s="188"/>
      <c r="U57" s="188"/>
      <c r="V57" s="188"/>
      <c r="W57" s="188"/>
      <c r="X57" s="188"/>
      <c r="Y57" s="188"/>
      <c r="Z57" s="188"/>
      <c r="AA57" s="188"/>
      <c r="AB57" s="188"/>
      <c r="AC57" s="188"/>
      <c r="AD57" s="1130"/>
      <c r="AE57" s="166"/>
      <c r="AF57" s="166"/>
      <c r="AG57" s="166"/>
      <c r="AH57" s="166"/>
      <c r="AI57" s="149"/>
      <c r="AJ57" s="149"/>
      <c r="AK57" s="149"/>
      <c r="AL57" s="149"/>
      <c r="AM57" s="149"/>
      <c r="AN57" s="2"/>
      <c r="AO57" s="2"/>
      <c r="AP57" s="2"/>
      <c r="AQ57" s="2"/>
      <c r="AR57" s="2"/>
      <c r="AS57" s="2"/>
      <c r="AT57" s="2"/>
      <c r="AU57" s="2"/>
      <c r="AV57" s="2"/>
      <c r="AW57" s="2"/>
      <c r="AX57" s="2"/>
      <c r="AY57" s="2"/>
      <c r="AZ57" s="2"/>
      <c r="BA57" s="2"/>
      <c r="BB57" s="2"/>
      <c r="BC57" s="2"/>
      <c r="BD57" s="2"/>
      <c r="BE57" s="2"/>
      <c r="BF57" s="2"/>
      <c r="BG57" s="2"/>
      <c r="BH57" s="2"/>
      <c r="BI57" s="2"/>
      <c r="BJ57" s="2"/>
      <c r="BK57" s="166"/>
      <c r="BL57" s="2"/>
      <c r="BM57" s="2"/>
      <c r="BN57" s="166"/>
      <c r="BO57" s="166"/>
      <c r="BP57" s="166"/>
      <c r="BQ57" s="166"/>
      <c r="BR57" s="166"/>
      <c r="BS57" s="166"/>
      <c r="BT57" s="166"/>
      <c r="BU57" s="166"/>
      <c r="BV57" s="166"/>
      <c r="BW57" s="166"/>
      <c r="BX57" s="159"/>
      <c r="BY57" s="159"/>
      <c r="BZ57" s="159"/>
      <c r="CA57" s="159"/>
      <c r="CB57" s="159"/>
      <c r="CC57" s="159"/>
      <c r="CD57" s="159"/>
      <c r="CE57" s="159"/>
      <c r="CF57" s="159"/>
      <c r="CG57" s="159"/>
      <c r="CH57" s="159"/>
      <c r="CI57" s="159"/>
      <c r="CJ57" s="159"/>
      <c r="CK57" s="159"/>
      <c r="CL57" s="159"/>
      <c r="CM57" s="159"/>
      <c r="CN57" s="159"/>
      <c r="CO57" s="60"/>
      <c r="CP57" s="60"/>
      <c r="CQ57" s="60"/>
    </row>
    <row r="58" spans="1:95" ht="27.8" customHeight="1" x14ac:dyDescent="0.25">
      <c r="A58" s="166"/>
      <c r="B58" s="166"/>
      <c r="C58" s="166"/>
      <c r="D58" s="166"/>
      <c r="E58" s="166"/>
      <c r="F58" s="166"/>
      <c r="G58" s="166"/>
      <c r="H58" s="166"/>
      <c r="I58" s="166"/>
      <c r="J58" s="166"/>
      <c r="K58" s="166"/>
      <c r="L58" s="166"/>
      <c r="M58" s="166"/>
      <c r="N58" s="166"/>
      <c r="O58" s="2"/>
      <c r="P58" s="166"/>
      <c r="Q58" s="1129"/>
      <c r="R58" s="1800" t="s">
        <v>1171</v>
      </c>
      <c r="S58" s="1818">
        <f ca="1">0.01*S43</f>
        <v>0</v>
      </c>
      <c r="T58" s="188"/>
      <c r="U58" s="188"/>
      <c r="V58" s="188"/>
      <c r="W58" s="188"/>
      <c r="X58" s="188"/>
      <c r="Y58" s="188"/>
      <c r="Z58" s="188"/>
      <c r="AA58" s="188"/>
      <c r="AB58" s="188"/>
      <c r="AC58" s="188"/>
      <c r="AD58" s="1130"/>
      <c r="AE58" s="166"/>
      <c r="AF58" s="166"/>
      <c r="AG58" s="166"/>
      <c r="AH58" s="166"/>
      <c r="AI58" s="149"/>
      <c r="AJ58" s="149"/>
      <c r="AK58" s="149"/>
      <c r="AL58" s="149"/>
      <c r="AM58" s="149"/>
      <c r="AN58" s="2"/>
      <c r="AO58" s="2"/>
      <c r="AP58" s="2"/>
      <c r="AQ58" s="2"/>
      <c r="AR58" s="2"/>
      <c r="AS58" s="2"/>
      <c r="AT58" s="2"/>
      <c r="AU58" s="2"/>
      <c r="AV58" s="2"/>
      <c r="AW58" s="2"/>
      <c r="AX58" s="2"/>
      <c r="AY58" s="2"/>
      <c r="AZ58" s="2"/>
      <c r="BA58" s="2"/>
      <c r="BB58" s="2"/>
      <c r="BC58" s="2"/>
      <c r="BD58" s="2"/>
      <c r="BE58" s="2"/>
      <c r="BF58" s="2"/>
      <c r="BG58" s="2"/>
      <c r="BH58" s="2"/>
      <c r="BI58" s="2"/>
      <c r="BJ58" s="2"/>
      <c r="BK58" s="166"/>
      <c r="BL58" s="2"/>
      <c r="BM58" s="2"/>
      <c r="BN58" s="166"/>
      <c r="BO58" s="166"/>
      <c r="BP58" s="166"/>
      <c r="BQ58" s="166"/>
      <c r="BR58" s="166"/>
      <c r="BS58" s="166"/>
      <c r="BT58" s="166"/>
      <c r="BU58" s="166"/>
      <c r="BV58" s="166"/>
      <c r="BW58" s="166"/>
      <c r="BX58" s="159"/>
      <c r="BY58" s="159"/>
      <c r="BZ58" s="159"/>
      <c r="CA58" s="159"/>
      <c r="CB58" s="159"/>
      <c r="CC58" s="159"/>
      <c r="CD58" s="159"/>
      <c r="CE58" s="159"/>
      <c r="CF58" s="159"/>
      <c r="CG58" s="159"/>
      <c r="CH58" s="159"/>
      <c r="CI58" s="159"/>
      <c r="CJ58" s="159"/>
      <c r="CK58" s="159"/>
      <c r="CL58" s="159"/>
      <c r="CM58" s="159"/>
      <c r="CN58" s="159"/>
      <c r="CO58" s="60"/>
      <c r="CP58" s="60"/>
      <c r="CQ58" s="60"/>
    </row>
    <row r="59" spans="1:95" ht="39.75" customHeight="1" x14ac:dyDescent="0.25">
      <c r="A59" s="166"/>
      <c r="B59" s="166"/>
      <c r="C59" s="166"/>
      <c r="D59" s="166"/>
      <c r="E59" s="166"/>
      <c r="F59" s="166"/>
      <c r="G59" s="166"/>
      <c r="H59" s="166"/>
      <c r="I59" s="166"/>
      <c r="J59" s="166"/>
      <c r="K59" s="166"/>
      <c r="L59" s="166"/>
      <c r="M59" s="166"/>
      <c r="N59" s="166"/>
      <c r="O59" s="2"/>
      <c r="P59" s="166"/>
      <c r="Q59" s="1129"/>
      <c r="R59" s="1801" t="s">
        <v>1172</v>
      </c>
      <c r="S59" s="1788">
        <f ca="1">0.01*S41</f>
        <v>0</v>
      </c>
      <c r="T59" s="188"/>
      <c r="U59" s="188"/>
      <c r="V59" s="188"/>
      <c r="W59" s="188"/>
      <c r="X59" s="188"/>
      <c r="Y59" s="188"/>
      <c r="Z59" s="188"/>
      <c r="AA59" s="188"/>
      <c r="AB59" s="188"/>
      <c r="AC59" s="188"/>
      <c r="AD59" s="1130"/>
      <c r="AE59" s="166"/>
      <c r="AF59" s="166"/>
      <c r="AG59" s="166"/>
      <c r="AH59" s="166"/>
      <c r="AI59" s="149"/>
      <c r="AJ59" s="149"/>
      <c r="AK59" s="149"/>
      <c r="AL59" s="149"/>
      <c r="AM59" s="149"/>
      <c r="AN59" s="2"/>
      <c r="AO59" s="2"/>
      <c r="AP59" s="2"/>
      <c r="AQ59" s="2"/>
      <c r="AR59" s="2"/>
      <c r="AS59" s="2"/>
      <c r="AT59" s="2"/>
      <c r="AU59" s="2"/>
      <c r="AV59" s="2"/>
      <c r="AW59" s="2"/>
      <c r="AX59" s="2"/>
      <c r="AY59" s="2"/>
      <c r="AZ59" s="2"/>
      <c r="BA59" s="2"/>
      <c r="BB59" s="2"/>
      <c r="BC59" s="2"/>
      <c r="BD59" s="2"/>
      <c r="BE59" s="2"/>
      <c r="BF59" s="2"/>
      <c r="BG59" s="2"/>
      <c r="BH59" s="2"/>
      <c r="BI59" s="2"/>
      <c r="BJ59" s="2"/>
      <c r="BK59" s="166"/>
      <c r="BL59" s="2"/>
      <c r="BM59" s="2"/>
      <c r="BN59" s="166"/>
      <c r="BO59" s="166"/>
      <c r="BP59" s="166"/>
      <c r="BQ59" s="166"/>
      <c r="BR59" s="166"/>
      <c r="BS59" s="166"/>
      <c r="BT59" s="166"/>
      <c r="BU59" s="166"/>
      <c r="BV59" s="166"/>
      <c r="BW59" s="166"/>
      <c r="BX59" s="159"/>
      <c r="BY59" s="159"/>
      <c r="BZ59" s="159"/>
      <c r="CA59" s="159"/>
      <c r="CB59" s="159"/>
      <c r="CC59" s="159"/>
      <c r="CD59" s="159"/>
      <c r="CE59" s="159"/>
      <c r="CF59" s="159"/>
      <c r="CG59" s="159"/>
      <c r="CH59" s="159"/>
      <c r="CI59" s="159"/>
      <c r="CJ59" s="159"/>
      <c r="CK59" s="159"/>
      <c r="CL59" s="159"/>
      <c r="CM59" s="159"/>
      <c r="CN59" s="159"/>
      <c r="CO59" s="146"/>
      <c r="CP59" s="146"/>
      <c r="CQ59" s="146"/>
    </row>
    <row r="60" spans="1:95" ht="27.8" customHeight="1" thickBot="1" x14ac:dyDescent="0.3">
      <c r="A60" s="166"/>
      <c r="B60" s="166"/>
      <c r="C60" s="166"/>
      <c r="D60" s="166"/>
      <c r="E60" s="166"/>
      <c r="F60" s="166"/>
      <c r="G60" s="166"/>
      <c r="H60" s="166"/>
      <c r="I60" s="166"/>
      <c r="J60" s="166"/>
      <c r="K60" s="166"/>
      <c r="L60" s="166"/>
      <c r="M60" s="166"/>
      <c r="N60" s="166"/>
      <c r="O60" s="2"/>
      <c r="P60" s="166"/>
      <c r="Q60" s="1129"/>
      <c r="R60" s="1805" t="s">
        <v>104</v>
      </c>
      <c r="S60" s="1820" t="e">
        <f ca="1">SUM(S58:S59)/S48*'A1. Submodels &amp; data'!B380</f>
        <v>#DIV/0!</v>
      </c>
      <c r="T60" s="189"/>
      <c r="U60" s="188"/>
      <c r="V60" s="188"/>
      <c r="W60" s="188"/>
      <c r="X60" s="188"/>
      <c r="Y60" s="188"/>
      <c r="Z60" s="188"/>
      <c r="AA60" s="188"/>
      <c r="AB60" s="188"/>
      <c r="AC60" s="188"/>
      <c r="AD60" s="1130"/>
      <c r="AE60" s="166"/>
      <c r="AF60" s="166"/>
      <c r="AG60" s="166"/>
      <c r="AH60" s="166"/>
      <c r="AI60" s="149"/>
      <c r="AJ60" s="149"/>
      <c r="AK60" s="149"/>
      <c r="AL60" s="149"/>
      <c r="AM60" s="149"/>
      <c r="AN60" s="2"/>
      <c r="AO60" s="2"/>
      <c r="AP60" s="2"/>
      <c r="AQ60" s="2"/>
      <c r="AR60" s="2"/>
      <c r="AS60" s="2"/>
      <c r="AT60" s="2"/>
      <c r="AU60" s="2"/>
      <c r="AV60" s="2"/>
      <c r="AW60" s="2"/>
      <c r="AX60" s="2"/>
      <c r="AY60" s="2"/>
      <c r="AZ60" s="2"/>
      <c r="BA60" s="2"/>
      <c r="BB60" s="2"/>
      <c r="BC60" s="2"/>
      <c r="BD60" s="2"/>
      <c r="BE60" s="2"/>
      <c r="BF60" s="2"/>
      <c r="BG60" s="2"/>
      <c r="BH60" s="2"/>
      <c r="BI60" s="2"/>
      <c r="BJ60" s="2"/>
      <c r="BK60" s="166"/>
      <c r="BL60" s="2"/>
      <c r="BM60" s="2"/>
      <c r="BN60" s="166"/>
      <c r="BO60" s="166"/>
      <c r="BP60" s="166"/>
      <c r="BQ60" s="166"/>
      <c r="BR60" s="166"/>
      <c r="BS60" s="166"/>
      <c r="BT60" s="166"/>
      <c r="BU60" s="166"/>
      <c r="BV60" s="166"/>
      <c r="BW60" s="166"/>
      <c r="BX60" s="159"/>
      <c r="BY60" s="159"/>
      <c r="BZ60" s="159"/>
      <c r="CA60" s="159"/>
      <c r="CB60" s="159"/>
      <c r="CC60" s="159"/>
      <c r="CD60" s="159"/>
      <c r="CE60" s="159"/>
      <c r="CF60" s="159"/>
      <c r="CG60" s="159"/>
      <c r="CH60" s="159"/>
      <c r="CI60" s="159"/>
      <c r="CJ60" s="159"/>
      <c r="CK60" s="159"/>
      <c r="CL60" s="159"/>
      <c r="CM60" s="159"/>
      <c r="CN60" s="159"/>
      <c r="CO60" s="146"/>
      <c r="CP60" s="146"/>
      <c r="CQ60" s="146"/>
    </row>
    <row r="61" spans="1:95" x14ac:dyDescent="0.25">
      <c r="A61" s="166"/>
      <c r="B61" s="166"/>
      <c r="C61" s="166"/>
      <c r="D61" s="166"/>
      <c r="E61" s="166"/>
      <c r="F61" s="166"/>
      <c r="G61" s="166"/>
      <c r="H61" s="166"/>
      <c r="I61" s="166"/>
      <c r="J61" s="166"/>
      <c r="K61" s="166"/>
      <c r="L61" s="166"/>
      <c r="M61" s="166"/>
      <c r="N61" s="166"/>
      <c r="O61" s="2"/>
      <c r="P61" s="166"/>
      <c r="Q61" s="1129"/>
      <c r="R61" s="188"/>
      <c r="S61" s="188"/>
      <c r="T61" s="230"/>
      <c r="U61" s="188"/>
      <c r="V61" s="188"/>
      <c r="W61" s="188"/>
      <c r="X61" s="188"/>
      <c r="Y61" s="188"/>
      <c r="Z61" s="188"/>
      <c r="AA61" s="188"/>
      <c r="AB61" s="188"/>
      <c r="AC61" s="188"/>
      <c r="AD61" s="1130"/>
      <c r="AE61" s="166"/>
      <c r="AF61" s="166"/>
      <c r="AG61" s="166"/>
      <c r="AH61" s="166"/>
      <c r="AI61" s="149"/>
      <c r="AJ61" s="149"/>
      <c r="AK61" s="149"/>
      <c r="AL61" s="149"/>
      <c r="AM61" s="149"/>
      <c r="AN61" s="2"/>
      <c r="AO61" s="2"/>
      <c r="AP61" s="2"/>
      <c r="AQ61" s="2"/>
      <c r="AR61" s="2"/>
      <c r="AS61" s="2"/>
      <c r="AT61" s="2"/>
      <c r="AU61" s="2"/>
      <c r="AV61" s="2"/>
      <c r="AW61" s="2"/>
      <c r="AX61" s="2"/>
      <c r="AY61" s="2"/>
      <c r="AZ61" s="2"/>
      <c r="BA61" s="2"/>
      <c r="BB61" s="2"/>
      <c r="BC61" s="2"/>
      <c r="BD61" s="2"/>
      <c r="BE61" s="2"/>
      <c r="BF61" s="2"/>
      <c r="BG61" s="2"/>
      <c r="BH61" s="2"/>
      <c r="BI61" s="2"/>
      <c r="BJ61" s="2"/>
      <c r="BK61" s="166"/>
      <c r="BL61" s="2"/>
      <c r="BM61" s="2"/>
      <c r="BN61" s="166"/>
      <c r="BO61" s="166"/>
      <c r="BP61" s="166"/>
      <c r="BQ61" s="166"/>
      <c r="BR61" s="166"/>
      <c r="BS61" s="166"/>
      <c r="BT61" s="166"/>
      <c r="BU61" s="166"/>
      <c r="BV61" s="166"/>
      <c r="BW61" s="166"/>
      <c r="BX61" s="159"/>
      <c r="BY61" s="159"/>
      <c r="BZ61" s="159"/>
      <c r="CA61" s="159"/>
      <c r="CB61" s="159"/>
      <c r="CC61" s="159"/>
      <c r="CD61" s="159"/>
      <c r="CE61" s="159"/>
      <c r="CF61" s="159"/>
      <c r="CG61" s="159"/>
      <c r="CH61" s="159"/>
      <c r="CI61" s="159"/>
      <c r="CJ61" s="159"/>
      <c r="CK61" s="159"/>
      <c r="CL61" s="159"/>
      <c r="CM61" s="159"/>
      <c r="CN61" s="159"/>
      <c r="CO61" s="146"/>
      <c r="CP61" s="146"/>
      <c r="CQ61" s="146"/>
    </row>
    <row r="62" spans="1:95" ht="13.25" thickBot="1" x14ac:dyDescent="0.3">
      <c r="A62" s="166"/>
      <c r="B62" s="166"/>
      <c r="C62" s="166"/>
      <c r="D62" s="166"/>
      <c r="E62" s="166"/>
      <c r="F62" s="166"/>
      <c r="G62" s="166"/>
      <c r="H62" s="166"/>
      <c r="I62" s="166"/>
      <c r="J62" s="166"/>
      <c r="K62" s="166"/>
      <c r="L62" s="166"/>
      <c r="M62" s="166"/>
      <c r="N62" s="166"/>
      <c r="O62" s="2"/>
      <c r="P62" s="166"/>
      <c r="Q62" s="1131"/>
      <c r="R62" s="1634"/>
      <c r="S62" s="240"/>
      <c r="T62" s="240"/>
      <c r="U62" s="240"/>
      <c r="V62" s="240"/>
      <c r="W62" s="240"/>
      <c r="X62" s="240"/>
      <c r="Y62" s="240"/>
      <c r="Z62" s="240"/>
      <c r="AA62" s="240"/>
      <c r="AB62" s="240"/>
      <c r="AC62" s="240"/>
      <c r="AD62" s="1132"/>
      <c r="AE62" s="166"/>
      <c r="AF62" s="166"/>
      <c r="AG62" s="166"/>
      <c r="AH62" s="166"/>
      <c r="AI62" s="149"/>
      <c r="AJ62" s="149"/>
      <c r="AK62" s="149"/>
      <c r="AL62" s="149"/>
      <c r="AM62" s="149"/>
      <c r="AN62" s="2"/>
      <c r="AO62" s="2"/>
      <c r="AP62" s="2"/>
      <c r="AQ62" s="2"/>
      <c r="AR62" s="2"/>
      <c r="AS62" s="2"/>
      <c r="AT62" s="2"/>
      <c r="AU62" s="2"/>
      <c r="AV62" s="2"/>
      <c r="AW62" s="2"/>
      <c r="AX62" s="2"/>
      <c r="AY62" s="2"/>
      <c r="AZ62" s="2"/>
      <c r="BA62" s="2"/>
      <c r="BB62" s="2"/>
      <c r="BC62" s="2"/>
      <c r="BD62" s="2"/>
      <c r="BE62" s="2"/>
      <c r="BF62" s="2"/>
      <c r="BG62" s="2"/>
      <c r="BH62" s="2"/>
      <c r="BI62" s="2"/>
      <c r="BJ62" s="2"/>
      <c r="BK62" s="166"/>
      <c r="BL62" s="2"/>
      <c r="BM62" s="2"/>
      <c r="BN62" s="166"/>
      <c r="BO62" s="166"/>
      <c r="BP62" s="166"/>
      <c r="BQ62" s="166"/>
      <c r="BR62" s="166"/>
      <c r="BS62" s="166"/>
      <c r="BT62" s="166"/>
      <c r="BU62" s="166"/>
      <c r="BV62" s="166"/>
      <c r="BW62" s="166"/>
      <c r="BX62" s="159"/>
      <c r="BY62" s="159"/>
      <c r="BZ62" s="159"/>
      <c r="CA62" s="159"/>
      <c r="CB62" s="159"/>
      <c r="CC62" s="159"/>
      <c r="CD62" s="159"/>
      <c r="CE62" s="159"/>
      <c r="CF62" s="159"/>
      <c r="CG62" s="159"/>
      <c r="CH62" s="159"/>
      <c r="CI62" s="159"/>
      <c r="CJ62" s="159"/>
      <c r="CK62" s="159"/>
      <c r="CL62" s="159"/>
      <c r="CM62" s="159"/>
      <c r="CN62" s="159"/>
      <c r="CO62" s="146"/>
      <c r="CP62" s="146"/>
      <c r="CQ62" s="146"/>
    </row>
    <row r="63" spans="1:95" x14ac:dyDescent="0.25">
      <c r="A63" s="166"/>
      <c r="B63" s="166"/>
      <c r="C63" s="166"/>
      <c r="D63" s="166"/>
      <c r="E63" s="166"/>
      <c r="F63" s="166"/>
      <c r="G63" s="166"/>
      <c r="H63" s="166"/>
      <c r="I63" s="166"/>
      <c r="J63" s="166"/>
      <c r="K63" s="166"/>
      <c r="L63" s="166"/>
      <c r="M63" s="166"/>
      <c r="N63" s="166"/>
      <c r="O63" s="2"/>
      <c r="P63" s="166"/>
      <c r="Q63" s="166"/>
      <c r="R63" s="166"/>
      <c r="S63" s="166"/>
      <c r="T63" s="166"/>
      <c r="U63" s="166"/>
      <c r="V63" s="166"/>
      <c r="W63" s="166"/>
      <c r="X63" s="149"/>
      <c r="Y63" s="149"/>
      <c r="Z63" s="149"/>
      <c r="AA63" s="149"/>
      <c r="AB63" s="149"/>
      <c r="AC63" s="149"/>
      <c r="AD63" s="166"/>
      <c r="AE63" s="166"/>
      <c r="AF63" s="166"/>
      <c r="AG63" s="166"/>
      <c r="AH63" s="166"/>
      <c r="AI63" s="149"/>
      <c r="AJ63" s="149"/>
      <c r="AK63" s="149"/>
      <c r="AL63" s="149"/>
      <c r="AM63" s="149"/>
      <c r="AN63" s="2"/>
      <c r="AO63" s="2"/>
      <c r="AP63" s="2"/>
      <c r="AQ63" s="2"/>
      <c r="AR63" s="2"/>
      <c r="AS63" s="2"/>
      <c r="AT63" s="2"/>
      <c r="AU63" s="2"/>
      <c r="AV63" s="2"/>
      <c r="AW63" s="2"/>
      <c r="AX63" s="2"/>
      <c r="AY63" s="2"/>
      <c r="AZ63" s="2"/>
      <c r="BA63" s="2"/>
      <c r="BB63" s="2"/>
      <c r="BC63" s="2"/>
      <c r="BD63" s="2"/>
      <c r="BE63" s="2"/>
      <c r="BF63" s="2"/>
      <c r="BG63" s="2"/>
      <c r="BH63" s="2"/>
      <c r="BI63" s="2"/>
      <c r="BJ63" s="2"/>
      <c r="BK63" s="166"/>
      <c r="BL63" s="2"/>
      <c r="BM63" s="2"/>
      <c r="BN63" s="166"/>
      <c r="BO63" s="166"/>
      <c r="BP63" s="166"/>
      <c r="BQ63" s="166"/>
      <c r="BR63" s="166"/>
      <c r="BS63" s="166"/>
      <c r="BT63" s="166"/>
      <c r="BU63" s="166"/>
      <c r="BV63" s="166"/>
      <c r="BW63" s="166"/>
      <c r="BX63" s="159"/>
      <c r="BY63" s="159"/>
      <c r="BZ63" s="159"/>
      <c r="CA63" s="159"/>
      <c r="CB63" s="159"/>
      <c r="CC63" s="159"/>
      <c r="CD63" s="159"/>
      <c r="CE63" s="159"/>
      <c r="CF63" s="159"/>
      <c r="CG63" s="159"/>
      <c r="CH63" s="159"/>
      <c r="CI63" s="159"/>
      <c r="CJ63" s="159"/>
      <c r="CK63" s="159"/>
      <c r="CL63" s="159"/>
      <c r="CM63" s="159"/>
      <c r="CN63" s="159"/>
      <c r="CO63" s="146"/>
      <c r="CP63" s="146"/>
      <c r="CQ63" s="146"/>
    </row>
    <row r="64" spans="1:95" x14ac:dyDescent="0.25">
      <c r="A64" s="166"/>
      <c r="B64" s="166"/>
      <c r="C64" s="166"/>
      <c r="D64" s="166"/>
      <c r="E64" s="166"/>
      <c r="F64" s="166"/>
      <c r="G64" s="166"/>
      <c r="H64" s="166"/>
      <c r="I64" s="166"/>
      <c r="J64" s="166"/>
      <c r="K64" s="166"/>
      <c r="L64" s="166"/>
      <c r="M64" s="166"/>
      <c r="N64" s="166"/>
      <c r="O64" s="2"/>
      <c r="P64" s="166"/>
      <c r="Q64" s="166"/>
      <c r="R64" s="166"/>
      <c r="S64" s="166"/>
      <c r="T64" s="166"/>
      <c r="U64" s="166"/>
      <c r="V64" s="166"/>
      <c r="W64" s="166"/>
      <c r="X64" s="149"/>
      <c r="Y64" s="149"/>
      <c r="Z64" s="149"/>
      <c r="AA64" s="149"/>
      <c r="AB64" s="149"/>
      <c r="AC64" s="149"/>
      <c r="AD64" s="166"/>
      <c r="AE64" s="166"/>
      <c r="AF64" s="166"/>
      <c r="AG64" s="166"/>
      <c r="AH64" s="166"/>
      <c r="AI64" s="149"/>
      <c r="AJ64" s="149"/>
      <c r="AK64" s="149"/>
      <c r="AL64" s="149"/>
      <c r="AM64" s="149"/>
      <c r="AN64" s="2"/>
      <c r="AO64" s="2"/>
      <c r="AP64" s="2"/>
      <c r="AQ64" s="2"/>
      <c r="AR64" s="2"/>
      <c r="AS64" s="2"/>
      <c r="AT64" s="2"/>
      <c r="AU64" s="2"/>
      <c r="AV64" s="2"/>
      <c r="AW64" s="2"/>
      <c r="AX64" s="2"/>
      <c r="AY64" s="2"/>
      <c r="AZ64" s="2"/>
      <c r="BA64" s="2"/>
      <c r="BB64" s="2"/>
      <c r="BC64" s="2"/>
      <c r="BD64" s="2"/>
      <c r="BE64" s="2"/>
      <c r="BF64" s="2"/>
      <c r="BG64" s="2"/>
      <c r="BH64" s="2"/>
      <c r="BI64" s="2"/>
      <c r="BJ64" s="2"/>
      <c r="BK64" s="166"/>
      <c r="BL64" s="2"/>
      <c r="BM64" s="2"/>
      <c r="BN64" s="166"/>
      <c r="BO64" s="166"/>
      <c r="BP64" s="166"/>
      <c r="BQ64" s="166"/>
      <c r="BR64" s="166"/>
      <c r="BS64" s="166"/>
      <c r="BT64" s="166"/>
      <c r="BU64" s="166"/>
      <c r="BV64" s="166"/>
      <c r="BW64" s="166"/>
      <c r="BX64" s="159"/>
      <c r="BY64" s="159"/>
      <c r="BZ64" s="159"/>
      <c r="CA64" s="159"/>
      <c r="CB64" s="159"/>
      <c r="CC64" s="159"/>
      <c r="CD64" s="159"/>
      <c r="CE64" s="159"/>
      <c r="CF64" s="159"/>
      <c r="CG64" s="159"/>
      <c r="CH64" s="159"/>
      <c r="CI64" s="159"/>
      <c r="CJ64" s="159"/>
      <c r="CK64" s="159"/>
      <c r="CL64" s="159"/>
      <c r="CM64" s="159"/>
      <c r="CN64" s="159"/>
      <c r="CO64" s="146"/>
      <c r="CP64" s="146"/>
      <c r="CQ64" s="146"/>
    </row>
    <row r="65" spans="1:95" x14ac:dyDescent="0.25">
      <c r="A65" s="166"/>
      <c r="B65" s="166"/>
      <c r="C65" s="166"/>
      <c r="D65" s="166"/>
      <c r="E65" s="166"/>
      <c r="F65" s="166"/>
      <c r="G65" s="166"/>
      <c r="H65" s="166"/>
      <c r="I65" s="166"/>
      <c r="J65" s="166"/>
      <c r="K65" s="166"/>
      <c r="L65" s="166"/>
      <c r="M65" s="166"/>
      <c r="N65" s="166"/>
      <c r="O65" s="166"/>
      <c r="P65" s="166"/>
      <c r="Q65" s="166"/>
      <c r="R65" s="166"/>
      <c r="S65" s="166"/>
      <c r="T65" s="166"/>
      <c r="U65" s="166"/>
      <c r="V65" s="166"/>
      <c r="W65" s="166"/>
      <c r="X65" s="149"/>
      <c r="Y65" s="166"/>
      <c r="Z65" s="166"/>
      <c r="AA65" s="166"/>
      <c r="AB65" s="149"/>
      <c r="AC65" s="149"/>
      <c r="AD65" s="166"/>
      <c r="AE65" s="166"/>
      <c r="AF65" s="166"/>
      <c r="AG65" s="166"/>
      <c r="AH65" s="166"/>
      <c r="AI65" s="149"/>
      <c r="AJ65" s="149"/>
      <c r="AK65" s="149"/>
      <c r="AL65" s="149"/>
      <c r="AM65" s="149"/>
      <c r="AN65" s="149"/>
      <c r="AO65" s="149"/>
      <c r="AP65" s="2"/>
      <c r="AQ65" s="2"/>
      <c r="AR65" s="2"/>
      <c r="AS65" s="2"/>
      <c r="AT65" s="2"/>
      <c r="AU65" s="2"/>
      <c r="AV65" s="2"/>
      <c r="AW65" s="2"/>
      <c r="AX65" s="2"/>
      <c r="AY65" s="2"/>
      <c r="AZ65" s="2"/>
      <c r="BA65" s="2"/>
      <c r="BB65" s="2"/>
      <c r="BC65" s="2"/>
      <c r="BD65" s="2"/>
      <c r="BE65" s="2"/>
      <c r="BF65" s="2"/>
      <c r="BG65" s="2"/>
      <c r="BH65" s="2"/>
      <c r="BI65" s="2"/>
      <c r="BJ65" s="2"/>
      <c r="BK65" s="166"/>
      <c r="BL65" s="2"/>
      <c r="BM65" s="2"/>
      <c r="BN65" s="166"/>
      <c r="BO65" s="166"/>
      <c r="BP65" s="166"/>
      <c r="BQ65" s="166"/>
      <c r="BR65" s="166"/>
      <c r="BS65" s="166"/>
      <c r="BT65" s="166"/>
      <c r="BU65" s="166"/>
      <c r="BV65" s="166"/>
      <c r="BW65" s="166"/>
      <c r="BX65" s="159"/>
      <c r="BY65" s="159"/>
      <c r="BZ65" s="159"/>
      <c r="CA65" s="159"/>
      <c r="CB65" s="159"/>
      <c r="CC65" s="159"/>
      <c r="CD65" s="159"/>
      <c r="CE65" s="159"/>
      <c r="CF65" s="159"/>
      <c r="CG65" s="159"/>
      <c r="CH65" s="159"/>
      <c r="CI65" s="159"/>
      <c r="CJ65" s="159"/>
      <c r="CK65" s="159"/>
      <c r="CL65" s="159"/>
      <c r="CM65" s="159"/>
      <c r="CN65" s="159"/>
      <c r="CO65" s="146"/>
      <c r="CP65" s="146"/>
      <c r="CQ65" s="146"/>
    </row>
    <row r="66" spans="1:95" x14ac:dyDescent="0.25">
      <c r="A66" s="166"/>
      <c r="B66" s="166"/>
      <c r="C66" s="166"/>
      <c r="D66" s="166"/>
      <c r="E66" s="166"/>
      <c r="F66" s="166"/>
      <c r="G66" s="166"/>
      <c r="H66" s="166"/>
      <c r="I66" s="166"/>
      <c r="J66" s="166"/>
      <c r="K66" s="166"/>
      <c r="L66" s="166"/>
      <c r="M66" s="166"/>
      <c r="N66" s="166"/>
      <c r="O66" s="166"/>
      <c r="P66" s="166"/>
      <c r="Q66" s="166"/>
      <c r="R66" s="166"/>
      <c r="S66" s="166"/>
      <c r="T66" s="166"/>
      <c r="U66" s="166"/>
      <c r="V66" s="166"/>
      <c r="W66" s="166"/>
      <c r="X66" s="149"/>
      <c r="Y66" s="166"/>
      <c r="Z66" s="166"/>
      <c r="AA66" s="166"/>
      <c r="AB66" s="149"/>
      <c r="AC66" s="149"/>
      <c r="AD66" s="166"/>
      <c r="AE66" s="166"/>
      <c r="AF66" s="166"/>
      <c r="AG66" s="166"/>
      <c r="AH66" s="166"/>
      <c r="AI66" s="149"/>
      <c r="AJ66" s="149"/>
      <c r="AK66" s="149"/>
      <c r="AL66" s="149"/>
      <c r="AM66" s="149"/>
      <c r="AN66" s="149"/>
      <c r="AO66" s="149"/>
      <c r="AP66" s="2"/>
      <c r="AQ66" s="2"/>
      <c r="AR66" s="2"/>
      <c r="AS66" s="2"/>
      <c r="AT66" s="2"/>
      <c r="AU66" s="2"/>
      <c r="AV66" s="2"/>
      <c r="AW66" s="2"/>
      <c r="AX66" s="2"/>
      <c r="AY66" s="2"/>
      <c r="AZ66" s="2"/>
      <c r="BA66" s="2"/>
      <c r="BB66" s="2"/>
      <c r="BC66" s="2"/>
      <c r="BD66" s="2"/>
      <c r="BE66" s="2"/>
      <c r="BF66" s="2"/>
      <c r="BG66" s="2"/>
      <c r="BH66" s="2"/>
      <c r="BI66" s="2"/>
      <c r="BJ66" s="2"/>
      <c r="BK66" s="166"/>
      <c r="BL66" s="2"/>
      <c r="BM66" s="2"/>
      <c r="BN66" s="166"/>
      <c r="BO66" s="166"/>
      <c r="BP66" s="166"/>
      <c r="BQ66" s="166"/>
      <c r="BR66" s="166"/>
      <c r="BS66" s="166"/>
      <c r="BT66" s="166"/>
      <c r="BU66" s="166"/>
      <c r="BV66" s="166"/>
      <c r="BW66" s="166"/>
      <c r="BX66" s="159"/>
      <c r="BY66" s="159"/>
      <c r="BZ66" s="159"/>
      <c r="CA66" s="159"/>
      <c r="CB66" s="159"/>
      <c r="CC66" s="159"/>
      <c r="CD66" s="159"/>
      <c r="CE66" s="159"/>
      <c r="CF66" s="159"/>
      <c r="CG66" s="159"/>
      <c r="CH66" s="159"/>
      <c r="CI66" s="159"/>
      <c r="CJ66" s="159"/>
      <c r="CK66" s="159"/>
      <c r="CL66" s="159"/>
      <c r="CM66" s="159"/>
      <c r="CN66" s="159"/>
      <c r="CO66" s="146"/>
      <c r="CP66" s="146"/>
      <c r="CQ66" s="146"/>
    </row>
    <row r="67" spans="1:95" x14ac:dyDescent="0.25">
      <c r="A67" s="166"/>
      <c r="B67" s="166"/>
      <c r="C67" s="166"/>
      <c r="D67" s="166"/>
      <c r="E67" s="166"/>
      <c r="F67" s="166"/>
      <c r="G67" s="166"/>
      <c r="H67" s="166"/>
      <c r="I67" s="166"/>
      <c r="J67" s="166"/>
      <c r="K67" s="166"/>
      <c r="L67" s="166"/>
      <c r="M67" s="166"/>
      <c r="N67" s="166"/>
      <c r="O67" s="166"/>
      <c r="P67" s="166"/>
      <c r="Q67" s="166"/>
      <c r="R67" s="166"/>
      <c r="S67" s="166"/>
      <c r="T67" s="166"/>
      <c r="U67" s="166"/>
      <c r="V67" s="166"/>
      <c r="W67" s="166"/>
      <c r="X67" s="149"/>
      <c r="Y67" s="166"/>
      <c r="Z67" s="166"/>
      <c r="AA67" s="166"/>
      <c r="AB67" s="149"/>
      <c r="AC67" s="149"/>
      <c r="AD67" s="166"/>
      <c r="AE67" s="166"/>
      <c r="AF67" s="166"/>
      <c r="AG67" s="166"/>
      <c r="AH67" s="166"/>
      <c r="AI67" s="149"/>
      <c r="AJ67" s="149"/>
      <c r="AK67" s="149"/>
      <c r="AL67" s="149"/>
      <c r="AM67" s="149"/>
      <c r="AN67" s="149"/>
      <c r="AO67" s="149"/>
      <c r="AP67" s="2"/>
      <c r="AQ67" s="2"/>
      <c r="AR67" s="2"/>
      <c r="AS67" s="2"/>
      <c r="AT67" s="2"/>
      <c r="AU67" s="2"/>
      <c r="AV67" s="2"/>
      <c r="AW67" s="2"/>
      <c r="AX67" s="2"/>
      <c r="AY67" s="2"/>
      <c r="AZ67" s="2"/>
      <c r="BA67" s="2"/>
      <c r="BB67" s="2"/>
      <c r="BC67" s="2"/>
      <c r="BD67" s="2"/>
      <c r="BE67" s="2"/>
      <c r="BF67" s="2"/>
      <c r="BG67" s="2"/>
      <c r="BH67" s="2"/>
      <c r="BI67" s="2"/>
      <c r="BJ67" s="2"/>
      <c r="BK67" s="166"/>
      <c r="BL67" s="2"/>
      <c r="BM67" s="2"/>
      <c r="BN67" s="166"/>
      <c r="BO67" s="166"/>
      <c r="BP67" s="166"/>
      <c r="BQ67" s="166"/>
      <c r="BR67" s="166"/>
      <c r="BS67" s="166"/>
      <c r="BT67" s="166"/>
      <c r="BU67" s="166"/>
      <c r="BV67" s="166"/>
      <c r="BW67" s="166"/>
      <c r="BX67" s="159"/>
      <c r="BY67" s="159"/>
      <c r="BZ67" s="159"/>
      <c r="CA67" s="159"/>
      <c r="CB67" s="159"/>
      <c r="CC67" s="159"/>
      <c r="CD67" s="159"/>
      <c r="CE67" s="159"/>
      <c r="CF67" s="159"/>
      <c r="CG67" s="159"/>
      <c r="CH67" s="159"/>
      <c r="CI67" s="159"/>
      <c r="CJ67" s="159"/>
      <c r="CK67" s="159"/>
      <c r="CL67" s="159"/>
      <c r="CM67" s="159"/>
      <c r="CN67" s="159"/>
      <c r="CO67" s="146"/>
      <c r="CP67" s="146"/>
      <c r="CQ67" s="146"/>
    </row>
    <row r="68" spans="1:95" x14ac:dyDescent="0.25">
      <c r="A68" s="166"/>
      <c r="B68" s="166"/>
      <c r="C68" s="166"/>
      <c r="D68" s="166"/>
      <c r="E68" s="166"/>
      <c r="F68" s="166"/>
      <c r="G68" s="166"/>
      <c r="H68" s="166"/>
      <c r="I68" s="166"/>
      <c r="J68" s="166"/>
      <c r="K68" s="166"/>
      <c r="L68" s="166"/>
      <c r="M68" s="166"/>
      <c r="N68" s="166"/>
      <c r="O68" s="166"/>
      <c r="P68" s="166"/>
      <c r="Q68" s="166"/>
      <c r="R68" s="166"/>
      <c r="S68" s="166"/>
      <c r="T68" s="166"/>
      <c r="U68" s="166"/>
      <c r="V68" s="166"/>
      <c r="W68" s="166"/>
      <c r="X68" s="149"/>
      <c r="Y68" s="166"/>
      <c r="Z68" s="166"/>
      <c r="AA68" s="166"/>
      <c r="AB68" s="149"/>
      <c r="AC68" s="149"/>
      <c r="AD68" s="166"/>
      <c r="AE68" s="166"/>
      <c r="AF68" s="166"/>
      <c r="AG68" s="166"/>
      <c r="AH68" s="166"/>
      <c r="AI68" s="149"/>
      <c r="AJ68" s="149"/>
      <c r="AK68" s="149"/>
      <c r="AL68" s="149"/>
      <c r="AM68" s="149"/>
      <c r="AN68" s="149"/>
      <c r="AO68" s="149"/>
      <c r="AP68" s="2"/>
      <c r="AQ68" s="2"/>
      <c r="AR68" s="2"/>
      <c r="AS68" s="2"/>
      <c r="AT68" s="2"/>
      <c r="AU68" s="2"/>
      <c r="AV68" s="2"/>
      <c r="AW68" s="2"/>
      <c r="AX68" s="2"/>
      <c r="AY68" s="2"/>
      <c r="AZ68" s="2"/>
      <c r="BA68" s="2"/>
      <c r="BB68" s="2"/>
      <c r="BC68" s="2"/>
      <c r="BD68" s="2"/>
      <c r="BE68" s="2"/>
      <c r="BF68" s="2"/>
      <c r="BG68" s="2"/>
      <c r="BH68" s="2"/>
      <c r="BI68" s="2"/>
      <c r="BJ68" s="2"/>
      <c r="BK68" s="166"/>
      <c r="BL68" s="2"/>
      <c r="BM68" s="2"/>
      <c r="BN68" s="166"/>
      <c r="BO68" s="166"/>
      <c r="BP68" s="166"/>
      <c r="BQ68" s="166"/>
      <c r="BR68" s="166"/>
      <c r="BS68" s="166"/>
      <c r="BT68" s="166"/>
      <c r="BU68" s="166"/>
      <c r="BV68" s="166"/>
      <c r="BW68" s="166"/>
      <c r="BX68" s="159"/>
      <c r="BY68" s="159"/>
      <c r="BZ68" s="159"/>
      <c r="CA68" s="159"/>
      <c r="CB68" s="159"/>
      <c r="CC68" s="159"/>
      <c r="CD68" s="159"/>
      <c r="CE68" s="159"/>
      <c r="CF68" s="159"/>
      <c r="CG68" s="159"/>
      <c r="CH68" s="159"/>
      <c r="CI68" s="159"/>
      <c r="CJ68" s="159"/>
      <c r="CK68" s="159"/>
      <c r="CL68" s="159"/>
      <c r="CM68" s="159"/>
      <c r="CN68" s="159"/>
      <c r="CO68" s="146"/>
      <c r="CP68" s="146"/>
      <c r="CQ68" s="146"/>
    </row>
    <row r="69" spans="1:95" ht="13.25" thickBot="1" x14ac:dyDescent="0.3">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49"/>
      <c r="Y69" s="166"/>
      <c r="Z69" s="166"/>
      <c r="AA69" s="166"/>
      <c r="AB69" s="149"/>
      <c r="AC69" s="149"/>
      <c r="AD69" s="166"/>
      <c r="AE69" s="166"/>
      <c r="AF69" s="166"/>
      <c r="AG69" s="166"/>
      <c r="AH69" s="166"/>
      <c r="AI69" s="149"/>
      <c r="AJ69" s="149"/>
      <c r="AK69" s="149"/>
      <c r="AL69" s="149"/>
      <c r="AM69" s="149"/>
      <c r="AN69" s="149"/>
      <c r="AO69" s="149"/>
      <c r="AP69" s="2"/>
      <c r="AQ69" s="2"/>
      <c r="AR69" s="2"/>
      <c r="AS69" s="2"/>
      <c r="AT69" s="2"/>
      <c r="AU69" s="2"/>
      <c r="AV69" s="2"/>
      <c r="AW69" s="2"/>
      <c r="AX69" s="2"/>
      <c r="AY69" s="2"/>
      <c r="AZ69" s="2"/>
      <c r="BA69" s="2"/>
      <c r="BB69" s="2"/>
      <c r="BC69" s="2"/>
      <c r="BD69" s="2"/>
      <c r="BE69" s="2"/>
      <c r="BF69" s="2"/>
      <c r="BG69" s="2"/>
      <c r="BH69" s="2"/>
      <c r="BI69" s="2"/>
      <c r="BJ69" s="2"/>
      <c r="BK69" s="166"/>
      <c r="BL69" s="2"/>
      <c r="BM69" s="2"/>
      <c r="BN69" s="166"/>
      <c r="BO69" s="166"/>
      <c r="BP69" s="166"/>
      <c r="BQ69" s="166"/>
      <c r="BR69" s="166"/>
      <c r="BS69" s="166"/>
      <c r="BT69" s="166"/>
      <c r="BU69" s="166"/>
      <c r="BV69" s="166"/>
      <c r="BW69" s="166"/>
      <c r="BX69" s="159"/>
      <c r="BY69" s="159"/>
      <c r="BZ69" s="159"/>
      <c r="CA69" s="159"/>
      <c r="CB69" s="159"/>
      <c r="CC69" s="159"/>
      <c r="CD69" s="159"/>
      <c r="CE69" s="159"/>
      <c r="CF69" s="159"/>
      <c r="CG69" s="159"/>
      <c r="CH69" s="159"/>
      <c r="CI69" s="159"/>
      <c r="CJ69" s="159"/>
      <c r="CK69" s="159"/>
      <c r="CL69" s="159"/>
      <c r="CM69" s="159"/>
      <c r="CN69" s="159"/>
      <c r="CO69" s="146"/>
      <c r="CP69" s="146"/>
      <c r="CQ69" s="146"/>
    </row>
    <row r="70" spans="1:95" ht="32.25" x14ac:dyDescent="0.55000000000000004">
      <c r="A70" s="166"/>
      <c r="B70" s="166"/>
      <c r="C70" s="166"/>
      <c r="D70" s="166"/>
      <c r="E70" s="166"/>
      <c r="F70" s="166"/>
      <c r="G70" s="166"/>
      <c r="H70" s="166"/>
      <c r="I70" s="166"/>
      <c r="J70" s="166"/>
      <c r="K70" s="166"/>
      <c r="L70" s="166"/>
      <c r="M70" s="166"/>
      <c r="N70" s="166"/>
      <c r="O70" s="166"/>
      <c r="P70" s="2"/>
      <c r="Q70" s="1644" t="s">
        <v>1155</v>
      </c>
      <c r="R70" s="1645"/>
      <c r="S70" s="1645"/>
      <c r="T70" s="1127"/>
      <c r="U70" s="1127"/>
      <c r="V70" s="1127"/>
      <c r="W70" s="1127"/>
      <c r="X70" s="1127"/>
      <c r="Y70" s="1127"/>
      <c r="Z70" s="1127"/>
      <c r="AA70" s="1127"/>
      <c r="AB70" s="1127"/>
      <c r="AC70" s="1127"/>
      <c r="AD70" s="1128"/>
      <c r="AE70" s="2"/>
      <c r="AF70" s="2"/>
      <c r="AG70" s="2"/>
      <c r="AH70" s="2"/>
      <c r="AI70" s="2"/>
      <c r="AJ70" s="149"/>
      <c r="AK70" s="149"/>
      <c r="AL70" s="149"/>
      <c r="AM70" s="149"/>
      <c r="AN70" s="149"/>
      <c r="AO70" s="149"/>
      <c r="AP70" s="2"/>
      <c r="AQ70" s="2"/>
      <c r="AR70" s="2"/>
      <c r="AS70" s="2"/>
      <c r="AT70" s="2"/>
      <c r="AU70" s="2"/>
      <c r="AV70" s="2"/>
      <c r="AW70" s="2"/>
      <c r="AX70" s="2"/>
      <c r="AY70" s="2"/>
      <c r="AZ70" s="2"/>
      <c r="BA70" s="2"/>
      <c r="BB70" s="2"/>
      <c r="BC70" s="2"/>
      <c r="BD70" s="2"/>
      <c r="BE70" s="2"/>
      <c r="BF70" s="2"/>
      <c r="BG70" s="2"/>
      <c r="BH70" s="2"/>
      <c r="BI70" s="2"/>
      <c r="BJ70" s="2"/>
      <c r="BK70" s="166"/>
      <c r="BL70" s="2"/>
      <c r="BM70" s="2"/>
      <c r="BN70" s="166"/>
      <c r="BO70" s="166"/>
      <c r="BP70" s="166"/>
      <c r="BQ70" s="166"/>
      <c r="BR70" s="166"/>
      <c r="BS70" s="166"/>
      <c r="BT70" s="166"/>
      <c r="BU70" s="166"/>
      <c r="BV70" s="166"/>
      <c r="BW70" s="166"/>
      <c r="BX70" s="159"/>
      <c r="BY70" s="159"/>
      <c r="BZ70" s="159"/>
      <c r="CA70" s="159"/>
      <c r="CB70" s="159"/>
      <c r="CC70" s="159"/>
      <c r="CD70" s="159"/>
      <c r="CE70" s="159"/>
      <c r="CF70" s="159"/>
      <c r="CG70" s="159"/>
      <c r="CH70" s="159"/>
      <c r="CI70" s="159"/>
      <c r="CJ70" s="159"/>
      <c r="CK70" s="159"/>
      <c r="CL70" s="159"/>
      <c r="CM70" s="159"/>
      <c r="CN70" s="159"/>
      <c r="CO70" s="146"/>
      <c r="CP70" s="146"/>
      <c r="CQ70" s="146"/>
    </row>
    <row r="71" spans="1:95" ht="19.45" customHeight="1" x14ac:dyDescent="0.55000000000000004">
      <c r="A71" s="166"/>
      <c r="B71" s="166"/>
      <c r="C71" s="166"/>
      <c r="D71" s="166"/>
      <c r="E71" s="166"/>
      <c r="F71" s="166"/>
      <c r="G71" s="166"/>
      <c r="H71" s="166"/>
      <c r="I71" s="166"/>
      <c r="J71" s="166"/>
      <c r="K71" s="166"/>
      <c r="L71" s="166"/>
      <c r="M71" s="166"/>
      <c r="N71" s="166"/>
      <c r="O71" s="166"/>
      <c r="P71" s="2"/>
      <c r="Q71" s="1646"/>
      <c r="R71" s="1647"/>
      <c r="S71" s="1647"/>
      <c r="T71" s="188"/>
      <c r="U71" s="188"/>
      <c r="V71" s="188"/>
      <c r="W71" s="188"/>
      <c r="X71" s="188"/>
      <c r="Y71" s="188"/>
      <c r="Z71" s="188"/>
      <c r="AA71" s="1819" t="s">
        <v>1063</v>
      </c>
      <c r="AB71" s="188"/>
      <c r="AC71" s="188"/>
      <c r="AD71" s="1130"/>
      <c r="AE71" s="2"/>
      <c r="AF71" s="2"/>
      <c r="AG71" s="2"/>
      <c r="AH71" s="2"/>
      <c r="AI71" s="2"/>
      <c r="AJ71" s="149"/>
      <c r="AK71" s="149"/>
      <c r="AL71" s="149"/>
      <c r="AM71" s="149"/>
      <c r="AN71" s="149"/>
      <c r="AO71" s="149"/>
      <c r="AP71" s="2"/>
      <c r="AQ71" s="2"/>
      <c r="AR71" s="2"/>
      <c r="AS71" s="2"/>
      <c r="AT71" s="2"/>
      <c r="AU71" s="2"/>
      <c r="AV71" s="2"/>
      <c r="AW71" s="2"/>
      <c r="AX71" s="2"/>
      <c r="AY71" s="2"/>
      <c r="AZ71" s="2"/>
      <c r="BA71" s="2"/>
      <c r="BB71" s="2"/>
      <c r="BC71" s="2"/>
      <c r="BD71" s="2"/>
      <c r="BE71" s="2"/>
      <c r="BF71" s="2"/>
      <c r="BG71" s="2"/>
      <c r="BH71" s="2"/>
      <c r="BI71" s="2"/>
      <c r="BJ71" s="2"/>
      <c r="BK71" s="166"/>
      <c r="BL71" s="2"/>
      <c r="BM71" s="2"/>
      <c r="BN71" s="166"/>
      <c r="BO71" s="166"/>
      <c r="BP71" s="166"/>
      <c r="BQ71" s="166"/>
      <c r="BR71" s="166"/>
      <c r="BS71" s="166"/>
      <c r="BT71" s="166"/>
      <c r="BU71" s="166"/>
      <c r="BV71" s="166"/>
      <c r="BW71" s="166"/>
      <c r="BX71" s="159"/>
      <c r="BY71" s="159"/>
      <c r="BZ71" s="159"/>
      <c r="CA71" s="159"/>
      <c r="CB71" s="159"/>
      <c r="CC71" s="159"/>
      <c r="CD71" s="159"/>
      <c r="CE71" s="159"/>
      <c r="CF71" s="159"/>
      <c r="CG71" s="159"/>
      <c r="CH71" s="159"/>
      <c r="CI71" s="159"/>
      <c r="CJ71" s="159"/>
      <c r="CK71" s="159"/>
      <c r="CL71" s="159"/>
      <c r="CM71" s="159"/>
      <c r="CN71" s="159"/>
      <c r="CO71" s="146"/>
      <c r="CP71" s="146"/>
      <c r="CQ71" s="146"/>
    </row>
    <row r="72" spans="1:95" x14ac:dyDescent="0.25">
      <c r="A72" s="166"/>
      <c r="B72" s="166"/>
      <c r="C72" s="166"/>
      <c r="D72" s="166"/>
      <c r="E72" s="166"/>
      <c r="F72" s="166"/>
      <c r="G72" s="166"/>
      <c r="H72" s="166"/>
      <c r="I72" s="166"/>
      <c r="J72" s="166"/>
      <c r="K72" s="166"/>
      <c r="L72" s="166"/>
      <c r="M72" s="166"/>
      <c r="N72" s="166"/>
      <c r="O72" s="166"/>
      <c r="P72" s="2"/>
      <c r="Q72" s="1782" t="s">
        <v>1064</v>
      </c>
      <c r="R72" s="188">
        <f>SUMIF(AS200:AS231,E5,AV200:AV231)</f>
        <v>0</v>
      </c>
      <c r="S72" s="188"/>
      <c r="T72" s="188"/>
      <c r="U72" s="188" t="s">
        <v>1383</v>
      </c>
      <c r="V72" s="188" t="s">
        <v>1383</v>
      </c>
      <c r="W72" s="188"/>
      <c r="X72" s="188" t="s">
        <v>1946</v>
      </c>
      <c r="Y72" s="188"/>
      <c r="Z72" s="188"/>
      <c r="AA72" s="188"/>
      <c r="AB72" s="188"/>
      <c r="AC72" s="188"/>
      <c r="AD72" s="1130"/>
      <c r="AE72" s="2"/>
      <c r="AF72" s="2"/>
      <c r="AG72" s="2"/>
      <c r="AH72" s="2"/>
      <c r="AI72" s="2"/>
      <c r="AJ72" s="149"/>
      <c r="AK72" s="149"/>
      <c r="AL72" s="149"/>
      <c r="AM72" s="149"/>
      <c r="AN72" s="149"/>
      <c r="AO72" s="149"/>
      <c r="AP72" s="2"/>
      <c r="AQ72" s="2"/>
      <c r="AR72" s="2"/>
      <c r="AS72" s="2"/>
      <c r="AT72" s="2"/>
      <c r="AU72" s="2"/>
      <c r="AV72" s="2"/>
      <c r="AW72" s="2"/>
      <c r="AX72" s="2"/>
      <c r="AY72" s="2"/>
      <c r="AZ72" s="2"/>
      <c r="BA72" s="2"/>
      <c r="BB72" s="2"/>
      <c r="BC72" s="2"/>
      <c r="BD72" s="2"/>
      <c r="BE72" s="2"/>
      <c r="BF72" s="2"/>
      <c r="BG72" s="2"/>
      <c r="BH72" s="2"/>
      <c r="BI72" s="2"/>
      <c r="BJ72" s="2"/>
      <c r="BK72" s="166"/>
      <c r="BL72" s="2"/>
      <c r="BM72" s="2"/>
      <c r="BN72" s="166"/>
      <c r="BO72" s="166"/>
      <c r="BP72" s="166"/>
      <c r="BQ72" s="166"/>
      <c r="BR72" s="166"/>
      <c r="BS72" s="166"/>
      <c r="BT72" s="166"/>
      <c r="BU72" s="166"/>
      <c r="BV72" s="166"/>
      <c r="BW72" s="166"/>
      <c r="BX72" s="159"/>
      <c r="BY72" s="159"/>
      <c r="BZ72" s="159"/>
      <c r="CA72" s="159"/>
      <c r="CB72" s="159"/>
      <c r="CC72" s="159"/>
      <c r="CD72" s="159"/>
      <c r="CE72" s="159"/>
      <c r="CF72" s="159"/>
      <c r="CG72" s="159"/>
      <c r="CH72" s="159"/>
      <c r="CI72" s="159"/>
      <c r="CJ72" s="159"/>
      <c r="CK72" s="159"/>
      <c r="CL72" s="159"/>
      <c r="CM72" s="159"/>
      <c r="CN72" s="159"/>
      <c r="CO72" s="146"/>
      <c r="CP72" s="146"/>
      <c r="CQ72" s="146"/>
    </row>
    <row r="73" spans="1:95" x14ac:dyDescent="0.25">
      <c r="A73" s="166"/>
      <c r="B73" s="166"/>
      <c r="C73" s="166"/>
      <c r="D73" s="166"/>
      <c r="E73" s="166"/>
      <c r="F73" s="166"/>
      <c r="G73" s="166"/>
      <c r="H73" s="166"/>
      <c r="I73" s="166"/>
      <c r="J73" s="166"/>
      <c r="K73" s="166"/>
      <c r="L73" s="166"/>
      <c r="M73" s="166"/>
      <c r="N73" s="166"/>
      <c r="O73" s="166"/>
      <c r="P73" s="2"/>
      <c r="Q73" s="1129"/>
      <c r="R73" s="188"/>
      <c r="S73" s="188"/>
      <c r="T73" s="188"/>
      <c r="U73" s="188"/>
      <c r="V73" s="188"/>
      <c r="W73" s="188"/>
      <c r="X73" s="188"/>
      <c r="Y73" s="188"/>
      <c r="Z73" s="188"/>
      <c r="AA73" s="188"/>
      <c r="AB73" s="188"/>
      <c r="AC73" s="188"/>
      <c r="AD73" s="1130"/>
      <c r="AE73" s="2"/>
      <c r="AF73" s="2"/>
      <c r="AG73" s="2"/>
      <c r="AH73" s="2"/>
      <c r="AI73" s="2"/>
      <c r="AJ73" s="149"/>
      <c r="AK73" s="149"/>
      <c r="AL73" s="149"/>
      <c r="AM73" s="149"/>
      <c r="AN73" s="149"/>
      <c r="AO73" s="149"/>
      <c r="AP73" s="2"/>
      <c r="AQ73" s="2"/>
      <c r="AR73" s="2"/>
      <c r="AS73" s="2"/>
      <c r="AT73" s="2"/>
      <c r="AU73" s="2"/>
      <c r="AV73" s="2"/>
      <c r="AW73" s="2"/>
      <c r="AX73" s="2"/>
      <c r="AY73" s="2"/>
      <c r="AZ73" s="2"/>
      <c r="BA73" s="2"/>
      <c r="BB73" s="2"/>
      <c r="BC73" s="2"/>
      <c r="BD73" s="2"/>
      <c r="BE73" s="2"/>
      <c r="BF73" s="2"/>
      <c r="BG73" s="2"/>
      <c r="BH73" s="2"/>
      <c r="BI73" s="2"/>
      <c r="BJ73" s="2"/>
      <c r="BK73" s="166"/>
      <c r="BL73" s="2"/>
      <c r="BM73" s="2"/>
      <c r="BN73" s="166"/>
      <c r="BO73" s="166"/>
      <c r="BP73" s="166"/>
      <c r="BQ73" s="166"/>
      <c r="BR73" s="166"/>
      <c r="BS73" s="166"/>
      <c r="BT73" s="166"/>
      <c r="BU73" s="166"/>
      <c r="BV73" s="166"/>
      <c r="BW73" s="166"/>
      <c r="BX73" s="159"/>
      <c r="BY73" s="159"/>
      <c r="BZ73" s="159"/>
      <c r="CA73" s="159"/>
      <c r="CB73" s="159"/>
      <c r="CC73" s="159"/>
      <c r="CD73" s="159"/>
      <c r="CE73" s="159"/>
      <c r="CF73" s="159"/>
      <c r="CG73" s="159"/>
      <c r="CH73" s="159"/>
      <c r="CI73" s="159"/>
      <c r="CJ73" s="159"/>
      <c r="CK73" s="159"/>
      <c r="CL73" s="159"/>
      <c r="CM73" s="159"/>
      <c r="CN73" s="159"/>
      <c r="CO73" s="146"/>
      <c r="CP73" s="146"/>
      <c r="CQ73" s="146"/>
    </row>
    <row r="74" spans="1:95" x14ac:dyDescent="0.25">
      <c r="A74" s="166"/>
      <c r="B74" s="166"/>
      <c r="C74" s="166"/>
      <c r="D74" s="166"/>
      <c r="E74" s="166"/>
      <c r="F74" s="166"/>
      <c r="G74" s="166"/>
      <c r="H74" s="166"/>
      <c r="I74" s="166"/>
      <c r="J74" s="166"/>
      <c r="K74" s="166"/>
      <c r="L74" s="166"/>
      <c r="M74" s="166"/>
      <c r="N74" s="166"/>
      <c r="O74" s="166"/>
      <c r="P74" s="2"/>
      <c r="Q74" s="1129"/>
      <c r="R74" s="1731"/>
      <c r="S74" s="188"/>
      <c r="T74" s="188"/>
      <c r="U74" s="188"/>
      <c r="V74" s="188"/>
      <c r="W74" s="188"/>
      <c r="X74" s="188"/>
      <c r="Y74" s="188"/>
      <c r="Z74" s="188"/>
      <c r="AA74" s="188"/>
      <c r="AB74" s="188"/>
      <c r="AC74" s="188"/>
      <c r="AD74" s="1130"/>
      <c r="AE74" s="2"/>
      <c r="AF74" s="2"/>
      <c r="AG74" s="2"/>
      <c r="AH74" s="2"/>
      <c r="AI74" s="2"/>
      <c r="AJ74" s="149"/>
      <c r="AK74" s="149"/>
      <c r="AL74" s="149"/>
      <c r="AM74" s="149"/>
      <c r="AN74" s="149"/>
      <c r="AO74" s="149"/>
      <c r="AP74" s="2"/>
      <c r="AQ74" s="2"/>
      <c r="AR74" s="2"/>
      <c r="AS74" s="2"/>
      <c r="AT74" s="2"/>
      <c r="AU74" s="2"/>
      <c r="AV74" s="2"/>
      <c r="AW74" s="2"/>
      <c r="AX74" s="2"/>
      <c r="AY74" s="2"/>
      <c r="AZ74" s="2"/>
      <c r="BA74" s="2"/>
      <c r="BB74" s="2"/>
      <c r="BC74" s="2"/>
      <c r="BD74" s="2"/>
      <c r="BE74" s="2"/>
      <c r="BF74" s="2"/>
      <c r="BG74" s="2"/>
      <c r="BH74" s="2"/>
      <c r="BI74" s="2"/>
      <c r="BJ74" s="2"/>
      <c r="BK74" s="166"/>
      <c r="BL74" s="2"/>
      <c r="BM74" s="2"/>
      <c r="BN74" s="166"/>
      <c r="BO74" s="166"/>
      <c r="BP74" s="166"/>
      <c r="BQ74" s="166"/>
      <c r="BR74" s="166"/>
      <c r="BS74" s="166"/>
      <c r="BT74" s="166"/>
      <c r="BU74" s="166"/>
      <c r="BV74" s="166"/>
      <c r="BW74" s="166"/>
      <c r="BX74" s="159"/>
      <c r="BY74" s="159"/>
      <c r="BZ74" s="159"/>
      <c r="CA74" s="159"/>
      <c r="CB74" s="159"/>
      <c r="CC74" s="159"/>
      <c r="CD74" s="159"/>
      <c r="CE74" s="159"/>
      <c r="CF74" s="159"/>
      <c r="CG74" s="159"/>
      <c r="CH74" s="159"/>
      <c r="CI74" s="159"/>
      <c r="CJ74" s="159"/>
      <c r="CK74" s="159"/>
      <c r="CL74" s="159"/>
      <c r="CM74" s="159"/>
      <c r="CN74" s="159"/>
      <c r="CO74" s="146"/>
      <c r="CP74" s="146"/>
      <c r="CQ74" s="146"/>
    </row>
    <row r="75" spans="1:95" x14ac:dyDescent="0.25">
      <c r="A75" s="166"/>
      <c r="B75" s="166"/>
      <c r="C75" s="166"/>
      <c r="D75" s="166"/>
      <c r="E75" s="166"/>
      <c r="F75" s="166"/>
      <c r="G75" s="166"/>
      <c r="H75" s="166"/>
      <c r="I75" s="166"/>
      <c r="J75" s="166"/>
      <c r="K75" s="166"/>
      <c r="L75" s="166"/>
      <c r="M75" s="166"/>
      <c r="N75" s="166"/>
      <c r="O75" s="166"/>
      <c r="P75" s="2"/>
      <c r="Q75" s="1129"/>
      <c r="R75" s="188"/>
      <c r="S75" s="188"/>
      <c r="T75" s="188"/>
      <c r="U75" s="188"/>
      <c r="V75" s="188"/>
      <c r="W75" s="188"/>
      <c r="X75" s="188"/>
      <c r="Y75" s="188"/>
      <c r="Z75" s="188"/>
      <c r="AA75" s="180" t="s">
        <v>1946</v>
      </c>
      <c r="AB75" s="180"/>
      <c r="AC75" s="180" t="s">
        <v>929</v>
      </c>
      <c r="AD75" s="1130"/>
      <c r="AE75" s="2"/>
      <c r="AF75" s="2"/>
      <c r="AG75" s="2"/>
      <c r="AH75" s="2"/>
      <c r="AI75" s="2"/>
      <c r="AJ75" s="149"/>
      <c r="AK75" s="149"/>
      <c r="AL75" s="149"/>
      <c r="AM75" s="149"/>
      <c r="AN75" s="149"/>
      <c r="AO75" s="149"/>
      <c r="AP75" s="2"/>
      <c r="AQ75" s="2"/>
      <c r="AR75" s="2"/>
      <c r="AS75" s="2"/>
      <c r="AT75" s="2"/>
      <c r="AU75" s="2"/>
      <c r="AV75" s="2"/>
      <c r="AW75" s="2"/>
      <c r="AX75" s="2"/>
      <c r="AY75" s="2"/>
      <c r="AZ75" s="2"/>
      <c r="BA75" s="2"/>
      <c r="BB75" s="2"/>
      <c r="BC75" s="2"/>
      <c r="BD75" s="2"/>
      <c r="BE75" s="2"/>
      <c r="BF75" s="2"/>
      <c r="BG75" s="2"/>
      <c r="BH75" s="2"/>
      <c r="BI75" s="2"/>
      <c r="BJ75" s="2"/>
      <c r="BK75" s="166"/>
      <c r="BL75" s="2"/>
      <c r="BM75" s="2"/>
      <c r="BN75" s="166"/>
      <c r="BO75" s="166"/>
      <c r="BP75" s="166"/>
      <c r="BQ75" s="166"/>
      <c r="BR75" s="166"/>
      <c r="BS75" s="166"/>
      <c r="BT75" s="166"/>
      <c r="BU75" s="166"/>
      <c r="BV75" s="166"/>
      <c r="BW75" s="166"/>
      <c r="BX75" s="159"/>
      <c r="BY75" s="159"/>
      <c r="BZ75" s="159"/>
      <c r="CA75" s="159"/>
      <c r="CB75" s="159"/>
      <c r="CC75" s="159"/>
      <c r="CD75" s="159"/>
      <c r="CE75" s="159"/>
      <c r="CF75" s="159"/>
      <c r="CG75" s="159"/>
      <c r="CH75" s="159"/>
      <c r="CI75" s="159"/>
      <c r="CJ75" s="159"/>
      <c r="CK75" s="159"/>
      <c r="CL75" s="159"/>
      <c r="CM75" s="159"/>
      <c r="CN75" s="159"/>
      <c r="CO75" s="146"/>
      <c r="CP75" s="146"/>
      <c r="CQ75" s="146"/>
    </row>
    <row r="76" spans="1:95" x14ac:dyDescent="0.25">
      <c r="A76" s="166"/>
      <c r="B76" s="166"/>
      <c r="C76" s="166"/>
      <c r="D76" s="166"/>
      <c r="E76" s="166"/>
      <c r="F76" s="166"/>
      <c r="G76" s="166"/>
      <c r="H76" s="166"/>
      <c r="I76" s="166"/>
      <c r="J76" s="166"/>
      <c r="K76" s="166"/>
      <c r="L76" s="166"/>
      <c r="M76" s="166"/>
      <c r="N76" s="166"/>
      <c r="O76" s="166"/>
      <c r="P76" s="2"/>
      <c r="Q76" s="1129"/>
      <c r="R76" s="180" t="s">
        <v>928</v>
      </c>
      <c r="S76" s="180"/>
      <c r="T76" s="180" t="str">
        <f>H5</f>
        <v>Rice</v>
      </c>
      <c r="U76" s="180"/>
      <c r="V76" s="180"/>
      <c r="W76" s="1701"/>
      <c r="X76" s="188"/>
      <c r="Y76" s="188"/>
      <c r="Z76" s="188"/>
      <c r="AA76" s="180" t="s">
        <v>927</v>
      </c>
      <c r="AB76" s="180"/>
      <c r="AC76" s="180">
        <v>0</v>
      </c>
      <c r="AD76" s="1130"/>
      <c r="AE76" s="2"/>
      <c r="AF76" s="2"/>
      <c r="AG76" s="2"/>
      <c r="AH76" s="2"/>
      <c r="AI76" s="2"/>
      <c r="AJ76" s="149"/>
      <c r="AK76" s="149"/>
      <c r="AL76" s="149"/>
      <c r="AM76" s="149"/>
      <c r="AN76" s="149"/>
      <c r="AO76" s="149"/>
      <c r="AP76" s="2"/>
      <c r="AQ76" s="2"/>
      <c r="AR76" s="2"/>
      <c r="AS76" s="2"/>
      <c r="AT76" s="2"/>
      <c r="AU76" s="2"/>
      <c r="AV76" s="2"/>
      <c r="AW76" s="2"/>
      <c r="AX76" s="2"/>
      <c r="AY76" s="2"/>
      <c r="AZ76" s="2"/>
      <c r="BA76" s="2"/>
      <c r="BB76" s="2"/>
      <c r="BC76" s="2"/>
      <c r="BD76" s="2"/>
      <c r="BE76" s="2"/>
      <c r="BF76" s="2"/>
      <c r="BG76" s="2"/>
      <c r="BH76" s="2"/>
      <c r="BI76" s="2"/>
      <c r="BJ76" s="2"/>
      <c r="BK76" s="166"/>
      <c r="BL76" s="2"/>
      <c r="BM76" s="2"/>
      <c r="BN76" s="166"/>
      <c r="BO76" s="166"/>
      <c r="BP76" s="166"/>
      <c r="BQ76" s="166"/>
      <c r="BR76" s="166"/>
      <c r="BS76" s="166"/>
      <c r="BT76" s="166"/>
      <c r="BU76" s="166"/>
      <c r="BV76" s="166"/>
      <c r="BW76" s="166"/>
      <c r="BX76" s="159"/>
      <c r="BY76" s="159"/>
      <c r="BZ76" s="159"/>
      <c r="CA76" s="159"/>
      <c r="CB76" s="159"/>
      <c r="CC76" s="159"/>
      <c r="CD76" s="159"/>
      <c r="CE76" s="159"/>
      <c r="CF76" s="159"/>
      <c r="CG76" s="159"/>
      <c r="CH76" s="159"/>
      <c r="CI76" s="159"/>
      <c r="CJ76" s="159"/>
      <c r="CK76" s="159"/>
      <c r="CL76" s="159"/>
      <c r="CM76" s="159"/>
      <c r="CN76" s="159"/>
      <c r="CO76" s="146"/>
      <c r="CP76" s="146"/>
      <c r="CQ76" s="146"/>
    </row>
    <row r="77" spans="1:95" x14ac:dyDescent="0.25">
      <c r="A77" s="166"/>
      <c r="B77" s="166"/>
      <c r="C77" s="166"/>
      <c r="D77" s="166"/>
      <c r="E77" s="166"/>
      <c r="F77" s="166"/>
      <c r="G77" s="166"/>
      <c r="H77" s="166"/>
      <c r="I77" s="166"/>
      <c r="J77" s="166"/>
      <c r="K77" s="166"/>
      <c r="L77" s="166"/>
      <c r="M77" s="166"/>
      <c r="N77" s="166"/>
      <c r="O77" s="166"/>
      <c r="P77" s="2"/>
      <c r="Q77" s="1129"/>
      <c r="R77" s="180" t="s">
        <v>926</v>
      </c>
      <c r="S77" s="180"/>
      <c r="T77" s="180" t="str">
        <f>H6</f>
        <v>Rice</v>
      </c>
      <c r="U77" s="180"/>
      <c r="V77" s="1795"/>
      <c r="W77" s="1701">
        <f>SUMIF(AA87:AA89,T77,AC87:AC89)</f>
        <v>0</v>
      </c>
      <c r="X77" s="188"/>
      <c r="Y77" s="188"/>
      <c r="Z77" s="188"/>
      <c r="AA77" s="180" t="s">
        <v>925</v>
      </c>
      <c r="AB77" s="180"/>
      <c r="AC77" s="180">
        <v>1</v>
      </c>
      <c r="AD77" s="1130"/>
      <c r="AE77" s="2"/>
      <c r="AF77" s="2"/>
      <c r="AG77" s="2"/>
      <c r="AH77" s="2"/>
      <c r="AI77" s="2"/>
      <c r="AJ77" s="149"/>
      <c r="AK77" s="149"/>
      <c r="AL77" s="149"/>
      <c r="AM77" s="149"/>
      <c r="AN77" s="149"/>
      <c r="AO77" s="149"/>
      <c r="AP77" s="2"/>
      <c r="AQ77" s="2"/>
      <c r="AR77" s="2"/>
      <c r="AS77" s="2"/>
      <c r="AT77" s="2"/>
      <c r="AU77" s="2"/>
      <c r="AV77" s="2"/>
      <c r="AW77" s="2"/>
      <c r="AX77" s="2"/>
      <c r="AY77" s="2"/>
      <c r="AZ77" s="2"/>
      <c r="BA77" s="2"/>
      <c r="BB77" s="2"/>
      <c r="BC77" s="2"/>
      <c r="BD77" s="2"/>
      <c r="BE77" s="2"/>
      <c r="BF77" s="2"/>
      <c r="BG77" s="2"/>
      <c r="BH77" s="2"/>
      <c r="BI77" s="2"/>
      <c r="BJ77" s="2"/>
      <c r="BK77" s="166"/>
      <c r="BL77" s="2"/>
      <c r="BM77" s="2"/>
      <c r="BN77" s="166"/>
      <c r="BO77" s="166"/>
      <c r="BP77" s="166"/>
      <c r="BQ77" s="166"/>
      <c r="BR77" s="166"/>
      <c r="BS77" s="166"/>
      <c r="BT77" s="166"/>
      <c r="BU77" s="166"/>
      <c r="BV77" s="166"/>
      <c r="BW77" s="166"/>
      <c r="BX77" s="159"/>
      <c r="BY77" s="159"/>
      <c r="BZ77" s="159"/>
      <c r="CA77" s="159"/>
      <c r="CB77" s="159"/>
      <c r="CC77" s="159"/>
      <c r="CD77" s="159"/>
      <c r="CE77" s="159"/>
      <c r="CF77" s="159"/>
      <c r="CG77" s="159"/>
      <c r="CH77" s="159"/>
      <c r="CI77" s="159"/>
      <c r="CJ77" s="159"/>
      <c r="CK77" s="159"/>
      <c r="CL77" s="159"/>
      <c r="CM77" s="159"/>
      <c r="CN77" s="159"/>
      <c r="CO77" s="146"/>
      <c r="CP77" s="146"/>
      <c r="CQ77" s="146"/>
    </row>
    <row r="78" spans="1:95" x14ac:dyDescent="0.25">
      <c r="A78" s="166"/>
      <c r="B78" s="166"/>
      <c r="C78" s="166"/>
      <c r="D78" s="166"/>
      <c r="E78" s="166"/>
      <c r="F78" s="166"/>
      <c r="G78" s="166"/>
      <c r="H78" s="166"/>
      <c r="I78" s="166"/>
      <c r="J78" s="166"/>
      <c r="K78" s="166"/>
      <c r="L78" s="166"/>
      <c r="M78" s="166"/>
      <c r="N78" s="166"/>
      <c r="O78" s="2"/>
      <c r="P78" s="2"/>
      <c r="Q78" s="1129"/>
      <c r="R78" s="180" t="s">
        <v>924</v>
      </c>
      <c r="S78" s="180"/>
      <c r="T78" s="180" t="str">
        <f>H7</f>
        <v>Rice</v>
      </c>
      <c r="U78" s="180"/>
      <c r="V78" s="1795"/>
      <c r="W78" s="1701">
        <f>SUMIF(AA76:AA82,T78,AC76:AC82)</f>
        <v>0</v>
      </c>
      <c r="X78" s="188"/>
      <c r="Y78" s="188"/>
      <c r="Z78" s="188"/>
      <c r="AA78" s="180" t="s">
        <v>923</v>
      </c>
      <c r="AB78" s="180"/>
      <c r="AC78" s="180">
        <v>0.6</v>
      </c>
      <c r="AD78" s="1130"/>
      <c r="AE78" s="2"/>
      <c r="AF78" s="2"/>
      <c r="AG78" s="2"/>
      <c r="AH78" s="2"/>
      <c r="AI78" s="2"/>
      <c r="AJ78" s="149"/>
      <c r="AK78" s="149"/>
      <c r="AL78" s="149"/>
      <c r="AM78" s="149"/>
      <c r="AN78" s="149"/>
      <c r="AO78" s="149"/>
      <c r="AP78" s="2"/>
      <c r="AQ78" s="2"/>
      <c r="AR78" s="2"/>
      <c r="AS78" s="2"/>
      <c r="AT78" s="2"/>
      <c r="AU78" s="2"/>
      <c r="AV78" s="2"/>
      <c r="AW78" s="2"/>
      <c r="AX78" s="2"/>
      <c r="AY78" s="2"/>
      <c r="AZ78" s="2"/>
      <c r="BA78" s="2"/>
      <c r="BB78" s="2"/>
      <c r="BC78" s="2"/>
      <c r="BD78" s="2"/>
      <c r="BE78" s="2"/>
      <c r="BF78" s="2"/>
      <c r="BG78" s="2"/>
      <c r="BH78" s="2"/>
      <c r="BI78" s="2"/>
      <c r="BJ78" s="2"/>
      <c r="BK78" s="166"/>
      <c r="BL78" s="2"/>
      <c r="BM78" s="2"/>
      <c r="BN78" s="166"/>
      <c r="BO78" s="166"/>
      <c r="BP78" s="166"/>
      <c r="BQ78" s="166"/>
      <c r="BR78" s="166"/>
      <c r="BS78" s="166"/>
      <c r="BT78" s="166"/>
      <c r="BU78" s="166"/>
      <c r="BV78" s="166"/>
      <c r="BW78" s="166"/>
      <c r="BX78" s="159"/>
      <c r="BY78" s="159"/>
      <c r="BZ78" s="159"/>
      <c r="CA78" s="159"/>
      <c r="CB78" s="159"/>
      <c r="CC78" s="159"/>
      <c r="CD78" s="159"/>
      <c r="CE78" s="159"/>
      <c r="CF78" s="159"/>
      <c r="CG78" s="159"/>
      <c r="CH78" s="159"/>
      <c r="CI78" s="159"/>
      <c r="CJ78" s="159"/>
      <c r="CK78" s="159"/>
      <c r="CL78" s="159"/>
      <c r="CM78" s="159"/>
      <c r="CN78" s="159"/>
      <c r="CO78" s="146"/>
      <c r="CP78" s="146"/>
      <c r="CQ78" s="146"/>
    </row>
    <row r="79" spans="1:95" x14ac:dyDescent="0.25">
      <c r="A79" s="166"/>
      <c r="B79" s="166"/>
      <c r="C79" s="166"/>
      <c r="D79" s="166"/>
      <c r="E79" s="166"/>
      <c r="F79" s="166"/>
      <c r="G79" s="166"/>
      <c r="H79" s="166"/>
      <c r="I79" s="166"/>
      <c r="J79" s="166"/>
      <c r="K79" s="166"/>
      <c r="L79" s="166"/>
      <c r="M79" s="166"/>
      <c r="N79" s="166"/>
      <c r="O79" s="166"/>
      <c r="P79" s="2"/>
      <c r="Q79" s="1129"/>
      <c r="R79" s="1731"/>
      <c r="S79" s="1731"/>
      <c r="T79" s="1731"/>
      <c r="U79" s="1731"/>
      <c r="V79" s="1731"/>
      <c r="W79" s="1821"/>
      <c r="X79" s="188"/>
      <c r="Y79" s="188"/>
      <c r="Z79" s="188"/>
      <c r="AA79" s="180" t="s">
        <v>921</v>
      </c>
      <c r="AB79" s="180"/>
      <c r="AC79" s="180">
        <v>0.52</v>
      </c>
      <c r="AD79" s="1130"/>
      <c r="AE79" s="2"/>
      <c r="AF79" s="2"/>
      <c r="AG79" s="2"/>
      <c r="AH79" s="2"/>
      <c r="AI79" s="2"/>
      <c r="AJ79" s="149"/>
      <c r="AK79" s="149"/>
      <c r="AL79" s="149"/>
      <c r="AM79" s="149"/>
      <c r="AN79" s="149"/>
      <c r="AO79" s="149"/>
      <c r="AP79" s="2"/>
      <c r="AQ79" s="2"/>
      <c r="AR79" s="2"/>
      <c r="AS79" s="2"/>
      <c r="AT79" s="2"/>
      <c r="AU79" s="2"/>
      <c r="AV79" s="2"/>
      <c r="AW79" s="2"/>
      <c r="AX79" s="2"/>
      <c r="AY79" s="2"/>
      <c r="AZ79" s="2"/>
      <c r="BA79" s="2"/>
      <c r="BB79" s="2"/>
      <c r="BC79" s="2"/>
      <c r="BD79" s="2"/>
      <c r="BE79" s="2"/>
      <c r="BF79" s="2"/>
      <c r="BG79" s="2"/>
      <c r="BH79" s="2"/>
      <c r="BI79" s="2"/>
      <c r="BJ79" s="2"/>
      <c r="BK79" s="166"/>
      <c r="BL79" s="2"/>
      <c r="BM79" s="2"/>
      <c r="BN79" s="166"/>
      <c r="BO79" s="166"/>
      <c r="BP79" s="166"/>
      <c r="BQ79" s="166"/>
      <c r="BR79" s="166"/>
      <c r="BS79" s="166"/>
      <c r="BT79" s="166"/>
      <c r="BU79" s="166"/>
      <c r="BV79" s="166"/>
      <c r="BW79" s="166"/>
      <c r="BX79" s="159"/>
      <c r="BY79" s="159"/>
      <c r="BZ79" s="159"/>
      <c r="CA79" s="159"/>
      <c r="CB79" s="159"/>
      <c r="CC79" s="159"/>
      <c r="CD79" s="159"/>
      <c r="CE79" s="159"/>
      <c r="CF79" s="159"/>
      <c r="CG79" s="159"/>
      <c r="CH79" s="159"/>
      <c r="CI79" s="159"/>
      <c r="CJ79" s="159"/>
      <c r="CK79" s="159"/>
      <c r="CL79" s="159"/>
      <c r="CM79" s="159"/>
      <c r="CN79" s="159"/>
      <c r="CO79" s="146"/>
      <c r="CP79" s="146"/>
      <c r="CQ79" s="146"/>
    </row>
    <row r="80" spans="1:95" x14ac:dyDescent="0.25">
      <c r="A80" s="166"/>
      <c r="B80" s="166"/>
      <c r="C80" s="166"/>
      <c r="D80" s="166"/>
      <c r="E80" s="166"/>
      <c r="F80" s="166"/>
      <c r="G80" s="166"/>
      <c r="H80" s="166"/>
      <c r="I80" s="166"/>
      <c r="J80" s="166"/>
      <c r="K80" s="166"/>
      <c r="L80" s="166"/>
      <c r="M80" s="166"/>
      <c r="N80" s="166"/>
      <c r="O80" s="166"/>
      <c r="P80" s="2"/>
      <c r="Q80" s="1129"/>
      <c r="R80" s="188"/>
      <c r="S80" s="188"/>
      <c r="T80" s="188"/>
      <c r="U80" s="188"/>
      <c r="V80" s="188"/>
      <c r="W80" s="1701"/>
      <c r="X80" s="188"/>
      <c r="Y80" s="188"/>
      <c r="Z80" s="188"/>
      <c r="AA80" s="180" t="s">
        <v>786</v>
      </c>
      <c r="AB80" s="180"/>
      <c r="AC80" s="180">
        <v>0.28000000000000003</v>
      </c>
      <c r="AD80" s="1130"/>
      <c r="AE80" s="2"/>
      <c r="AF80" s="2"/>
      <c r="AG80" s="2"/>
      <c r="AH80" s="2"/>
      <c r="AI80" s="2"/>
      <c r="AJ80" s="149"/>
      <c r="AK80" s="149"/>
      <c r="AL80" s="149"/>
      <c r="AM80" s="149"/>
      <c r="AN80" s="149"/>
      <c r="AO80" s="149"/>
      <c r="AP80" s="2"/>
      <c r="AQ80" s="2"/>
      <c r="AR80" s="2"/>
      <c r="AS80" s="2"/>
      <c r="AT80" s="2"/>
      <c r="AU80" s="2"/>
      <c r="AV80" s="2"/>
      <c r="AW80" s="2"/>
      <c r="AX80" s="2"/>
      <c r="AY80" s="2"/>
      <c r="AZ80" s="2"/>
      <c r="BA80" s="2"/>
      <c r="BB80" s="2"/>
      <c r="BC80" s="2"/>
      <c r="BD80" s="2"/>
      <c r="BE80" s="2"/>
      <c r="BF80" s="2"/>
      <c r="BG80" s="2"/>
      <c r="BH80" s="2"/>
      <c r="BI80" s="2"/>
      <c r="BJ80" s="2"/>
      <c r="BK80" s="166"/>
      <c r="BL80" s="2"/>
      <c r="BM80" s="2"/>
      <c r="BN80" s="166"/>
      <c r="BO80" s="166"/>
      <c r="BP80" s="166"/>
      <c r="BQ80" s="166"/>
      <c r="BR80" s="166"/>
      <c r="BS80" s="166"/>
      <c r="BT80" s="166"/>
      <c r="BU80" s="166"/>
      <c r="BV80" s="166"/>
      <c r="BW80" s="166"/>
      <c r="BX80" s="159"/>
      <c r="BY80" s="159"/>
      <c r="BZ80" s="159"/>
      <c r="CA80" s="159"/>
      <c r="CB80" s="159"/>
      <c r="CC80" s="159"/>
      <c r="CD80" s="159"/>
      <c r="CE80" s="159"/>
      <c r="CF80" s="159"/>
      <c r="CG80" s="159"/>
      <c r="CH80" s="159"/>
      <c r="CI80" s="159"/>
      <c r="CJ80" s="159"/>
      <c r="CK80" s="159"/>
      <c r="CL80" s="159"/>
      <c r="CM80" s="159"/>
      <c r="CN80" s="159"/>
      <c r="CO80" s="146"/>
      <c r="CP80" s="146"/>
      <c r="CQ80" s="146"/>
    </row>
    <row r="81" spans="1:95" x14ac:dyDescent="0.25">
      <c r="A81" s="166"/>
      <c r="B81" s="166"/>
      <c r="C81" s="166"/>
      <c r="D81" s="166"/>
      <c r="E81" s="166"/>
      <c r="F81" s="166"/>
      <c r="G81" s="166"/>
      <c r="H81" s="166"/>
      <c r="I81" s="166"/>
      <c r="J81" s="166"/>
      <c r="K81" s="166"/>
      <c r="L81" s="166"/>
      <c r="M81" s="166"/>
      <c r="N81" s="166"/>
      <c r="O81" s="166"/>
      <c r="P81" s="2"/>
      <c r="Q81" s="1129"/>
      <c r="R81" s="188"/>
      <c r="S81" s="188"/>
      <c r="T81" s="188" t="s">
        <v>920</v>
      </c>
      <c r="U81" s="188">
        <f>AH25/1000</f>
        <v>0</v>
      </c>
      <c r="V81" s="188"/>
      <c r="W81" s="1701">
        <f>U81*AC95</f>
        <v>0</v>
      </c>
      <c r="X81" s="188"/>
      <c r="Y81" s="188"/>
      <c r="Z81" s="188"/>
      <c r="AA81" s="180" t="s">
        <v>785</v>
      </c>
      <c r="AB81" s="180"/>
      <c r="AC81" s="180">
        <v>0.25</v>
      </c>
      <c r="AD81" s="1130"/>
      <c r="AE81" s="2"/>
      <c r="AF81" s="2"/>
      <c r="AG81" s="2"/>
      <c r="AH81" s="2"/>
      <c r="AI81" s="2"/>
      <c r="AJ81" s="149"/>
      <c r="AK81" s="149"/>
      <c r="AL81" s="149"/>
      <c r="AM81" s="149"/>
      <c r="AN81" s="149"/>
      <c r="AO81" s="149"/>
      <c r="AP81" s="2"/>
      <c r="AQ81" s="2"/>
      <c r="AR81" s="2"/>
      <c r="AS81" s="2"/>
      <c r="AT81" s="2"/>
      <c r="AU81" s="2"/>
      <c r="AV81" s="2"/>
      <c r="AW81" s="2"/>
      <c r="AX81" s="2"/>
      <c r="AY81" s="2"/>
      <c r="AZ81" s="2"/>
      <c r="BA81" s="2"/>
      <c r="BB81" s="2"/>
      <c r="BC81" s="2"/>
      <c r="BD81" s="2"/>
      <c r="BE81" s="2"/>
      <c r="BF81" s="2"/>
      <c r="BG81" s="2"/>
      <c r="BH81" s="2"/>
      <c r="BI81" s="2"/>
      <c r="BJ81" s="2"/>
      <c r="BK81" s="166"/>
      <c r="BL81" s="2"/>
      <c r="BM81" s="2"/>
      <c r="BN81" s="166"/>
      <c r="BO81" s="166"/>
      <c r="BP81" s="166"/>
      <c r="BQ81" s="166"/>
      <c r="BR81" s="166"/>
      <c r="BS81" s="166"/>
      <c r="BT81" s="166"/>
      <c r="BU81" s="166"/>
      <c r="BV81" s="166"/>
      <c r="BW81" s="166"/>
      <c r="BX81" s="159"/>
      <c r="BY81" s="159"/>
      <c r="BZ81" s="159"/>
      <c r="CA81" s="159"/>
      <c r="CB81" s="159"/>
      <c r="CC81" s="159"/>
      <c r="CD81" s="159"/>
      <c r="CE81" s="159"/>
      <c r="CF81" s="159"/>
      <c r="CG81" s="159"/>
      <c r="CH81" s="159"/>
      <c r="CI81" s="159"/>
      <c r="CJ81" s="159"/>
      <c r="CK81" s="159"/>
      <c r="CL81" s="159"/>
      <c r="CM81" s="159"/>
      <c r="CN81" s="159"/>
      <c r="CO81" s="146"/>
      <c r="CP81" s="146"/>
      <c r="CQ81" s="146"/>
    </row>
    <row r="82" spans="1:95" x14ac:dyDescent="0.25">
      <c r="A82" s="166"/>
      <c r="B82" s="166"/>
      <c r="C82" s="166"/>
      <c r="D82" s="166"/>
      <c r="E82" s="166"/>
      <c r="F82" s="166"/>
      <c r="G82" s="166"/>
      <c r="H82" s="166"/>
      <c r="I82" s="166"/>
      <c r="J82" s="166"/>
      <c r="K82" s="166"/>
      <c r="L82" s="166"/>
      <c r="M82" s="166"/>
      <c r="N82" s="166"/>
      <c r="O82" s="166"/>
      <c r="P82" s="2"/>
      <c r="Q82" s="1129"/>
      <c r="R82" s="188"/>
      <c r="S82" s="188"/>
      <c r="T82" s="188" t="s">
        <v>919</v>
      </c>
      <c r="U82" s="188">
        <f>AG25/1000</f>
        <v>0</v>
      </c>
      <c r="V82" s="188"/>
      <c r="W82" s="1701">
        <f>U82*AC96</f>
        <v>0</v>
      </c>
      <c r="X82" s="188"/>
      <c r="Y82" s="188"/>
      <c r="Z82" s="188"/>
      <c r="AA82" s="180" t="s">
        <v>784</v>
      </c>
      <c r="AB82" s="180"/>
      <c r="AC82" s="180">
        <v>0.31</v>
      </c>
      <c r="AD82" s="1130"/>
      <c r="AE82" s="2"/>
      <c r="AF82" s="2"/>
      <c r="AG82" s="2"/>
      <c r="AH82" s="2"/>
      <c r="AI82" s="2"/>
      <c r="AJ82" s="149"/>
      <c r="AK82" s="149"/>
      <c r="AL82" s="149"/>
      <c r="AM82" s="149"/>
      <c r="AN82" s="149"/>
      <c r="AO82" s="149"/>
      <c r="AP82" s="2"/>
      <c r="AQ82" s="2"/>
      <c r="AR82" s="2"/>
      <c r="AS82" s="2"/>
      <c r="AT82" s="2"/>
      <c r="AU82" s="2"/>
      <c r="AV82" s="2"/>
      <c r="AW82" s="2"/>
      <c r="AX82" s="2"/>
      <c r="AY82" s="2"/>
      <c r="AZ82" s="2"/>
      <c r="BA82" s="2"/>
      <c r="BB82" s="2"/>
      <c r="BC82" s="2"/>
      <c r="BD82" s="2"/>
      <c r="BE82" s="2"/>
      <c r="BF82" s="2"/>
      <c r="BG82" s="2"/>
      <c r="BH82" s="2"/>
      <c r="BI82" s="2"/>
      <c r="BJ82" s="2"/>
      <c r="BK82" s="166"/>
      <c r="BL82" s="2"/>
      <c r="BM82" s="2"/>
      <c r="BN82" s="166"/>
      <c r="BO82" s="166"/>
      <c r="BP82" s="166"/>
      <c r="BQ82" s="166"/>
      <c r="BR82" s="166"/>
      <c r="BS82" s="166"/>
      <c r="BT82" s="166"/>
      <c r="BU82" s="166"/>
      <c r="BV82" s="166"/>
      <c r="BW82" s="166"/>
      <c r="BX82" s="159"/>
      <c r="BY82" s="159"/>
      <c r="BZ82" s="159"/>
      <c r="CA82" s="159"/>
      <c r="CB82" s="159"/>
      <c r="CC82" s="159"/>
      <c r="CD82" s="159"/>
      <c r="CE82" s="159"/>
      <c r="CF82" s="159"/>
      <c r="CG82" s="159"/>
      <c r="CH82" s="159"/>
      <c r="CI82" s="159"/>
      <c r="CJ82" s="159"/>
      <c r="CK82" s="159"/>
      <c r="CL82" s="159"/>
      <c r="CM82" s="159"/>
      <c r="CN82" s="159"/>
      <c r="CO82" s="146"/>
      <c r="CP82" s="146"/>
      <c r="CQ82" s="146"/>
    </row>
    <row r="83" spans="1:95" x14ac:dyDescent="0.25">
      <c r="A83" s="166"/>
      <c r="B83" s="166"/>
      <c r="C83" s="166"/>
      <c r="D83" s="166"/>
      <c r="E83" s="166"/>
      <c r="F83" s="166"/>
      <c r="G83" s="166"/>
      <c r="H83" s="166"/>
      <c r="I83" s="166"/>
      <c r="J83" s="166"/>
      <c r="K83" s="166"/>
      <c r="L83" s="166"/>
      <c r="M83" s="166"/>
      <c r="N83" s="166"/>
      <c r="O83" s="166"/>
      <c r="P83" s="2"/>
      <c r="Q83" s="1129"/>
      <c r="R83" s="1731"/>
      <c r="S83" s="1731"/>
      <c r="T83" s="1731" t="s">
        <v>1946</v>
      </c>
      <c r="U83" s="188"/>
      <c r="V83" s="188"/>
      <c r="W83" s="1701"/>
      <c r="X83" s="188"/>
      <c r="Y83" s="188"/>
      <c r="Z83" s="188"/>
      <c r="AA83" s="188"/>
      <c r="AB83" s="188"/>
      <c r="AC83" s="188"/>
      <c r="AD83" s="1130"/>
      <c r="AE83" s="2"/>
      <c r="AF83" s="2"/>
      <c r="AG83" s="2"/>
      <c r="AH83" s="2"/>
      <c r="AI83" s="2"/>
      <c r="AJ83" s="149"/>
      <c r="AK83" s="149"/>
      <c r="AL83" s="149"/>
      <c r="AM83" s="149"/>
      <c r="AN83" s="149"/>
      <c r="AO83" s="149"/>
      <c r="AP83" s="2"/>
      <c r="AQ83" s="2"/>
      <c r="AR83" s="2"/>
      <c r="AS83" s="2"/>
      <c r="AT83" s="2"/>
      <c r="AU83" s="2"/>
      <c r="AV83" s="2"/>
      <c r="AW83" s="2"/>
      <c r="AX83" s="2"/>
      <c r="AY83" s="2"/>
      <c r="AZ83" s="2"/>
      <c r="BA83" s="2"/>
      <c r="BB83" s="2"/>
      <c r="BC83" s="2"/>
      <c r="BD83" s="2"/>
      <c r="BE83" s="2"/>
      <c r="BF83" s="2"/>
      <c r="BG83" s="2"/>
      <c r="BH83" s="2"/>
      <c r="BI83" s="2"/>
      <c r="BJ83" s="2"/>
      <c r="BK83" s="166"/>
      <c r="BL83" s="2"/>
      <c r="BM83" s="2"/>
      <c r="BN83" s="166"/>
      <c r="BO83" s="166"/>
      <c r="BP83" s="166"/>
      <c r="BQ83" s="166"/>
      <c r="BR83" s="166"/>
      <c r="BS83" s="166"/>
      <c r="BT83" s="166"/>
      <c r="BU83" s="166"/>
      <c r="BV83" s="166"/>
      <c r="BW83" s="166"/>
      <c r="BX83" s="159"/>
      <c r="BY83" s="159"/>
      <c r="BZ83" s="159"/>
      <c r="CA83" s="159"/>
      <c r="CB83" s="159"/>
      <c r="CC83" s="159"/>
      <c r="CD83" s="159"/>
      <c r="CE83" s="159"/>
      <c r="CF83" s="159"/>
      <c r="CG83" s="159"/>
      <c r="CH83" s="159"/>
      <c r="CI83" s="159"/>
      <c r="CJ83" s="159"/>
      <c r="CK83" s="159"/>
      <c r="CL83" s="159"/>
      <c r="CM83" s="159"/>
      <c r="CN83" s="159"/>
      <c r="CO83" s="146"/>
      <c r="CP83" s="146"/>
      <c r="CQ83" s="146"/>
    </row>
    <row r="84" spans="1:95" x14ac:dyDescent="0.25">
      <c r="A84" s="166"/>
      <c r="B84" s="166"/>
      <c r="C84" s="166"/>
      <c r="D84" s="166"/>
      <c r="E84" s="166"/>
      <c r="F84" s="166"/>
      <c r="G84" s="166"/>
      <c r="H84" s="166"/>
      <c r="I84" s="166"/>
      <c r="J84" s="166"/>
      <c r="K84" s="166"/>
      <c r="L84" s="166"/>
      <c r="M84" s="166"/>
      <c r="N84" s="166"/>
      <c r="O84" s="166"/>
      <c r="P84" s="2"/>
      <c r="Q84" s="1129"/>
      <c r="R84" s="180" t="s">
        <v>1065</v>
      </c>
      <c r="S84" s="180"/>
      <c r="T84" s="180" t="s">
        <v>1972</v>
      </c>
      <c r="U84" s="180">
        <f>IF(T84=I30,IF(S48&gt;0,S48,0),0)</f>
        <v>0</v>
      </c>
      <c r="V84" s="1795"/>
      <c r="W84" s="1701">
        <f>U84*SUMIF(AA$93:AA$97,I30,AC$93:AC$97)</f>
        <v>0</v>
      </c>
      <c r="X84" s="188"/>
      <c r="Y84" s="188"/>
      <c r="Z84" s="188"/>
      <c r="AA84" s="188"/>
      <c r="AB84" s="188"/>
      <c r="AC84" s="188"/>
      <c r="AD84" s="1130"/>
      <c r="AE84" s="2"/>
      <c r="AF84" s="2"/>
      <c r="AG84" s="2"/>
      <c r="AH84" s="2"/>
      <c r="AI84" s="2"/>
      <c r="AJ84" s="149"/>
      <c r="AK84" s="149"/>
      <c r="AL84" s="149"/>
      <c r="AM84" s="149"/>
      <c r="AN84" s="149"/>
      <c r="AO84" s="149"/>
      <c r="AP84" s="2"/>
      <c r="AQ84" s="2"/>
      <c r="AR84" s="2"/>
      <c r="AS84" s="2"/>
      <c r="AT84" s="2"/>
      <c r="AU84" s="2"/>
      <c r="AV84" s="2"/>
      <c r="AW84" s="2"/>
      <c r="AX84" s="2"/>
      <c r="AY84" s="2"/>
      <c r="AZ84" s="2"/>
      <c r="BA84" s="2"/>
      <c r="BB84" s="2"/>
      <c r="BC84" s="2"/>
      <c r="BD84" s="2"/>
      <c r="BE84" s="2"/>
      <c r="BF84" s="2"/>
      <c r="BG84" s="2"/>
      <c r="BH84" s="2"/>
      <c r="BI84" s="2"/>
      <c r="BJ84" s="2"/>
      <c r="BK84" s="149"/>
      <c r="BL84" s="2"/>
      <c r="BM84" s="2"/>
      <c r="BN84" s="166"/>
      <c r="BO84" s="166"/>
      <c r="BP84" s="166"/>
      <c r="BQ84" s="166"/>
      <c r="BR84" s="166"/>
      <c r="BS84" s="166"/>
      <c r="BT84" s="166"/>
      <c r="BU84" s="166"/>
      <c r="BV84" s="166"/>
      <c r="BW84" s="166"/>
      <c r="BX84" s="159"/>
      <c r="BY84" s="159"/>
      <c r="BZ84" s="159"/>
      <c r="CA84" s="159"/>
      <c r="CB84" s="159"/>
      <c r="CC84" s="159"/>
      <c r="CD84" s="159"/>
      <c r="CE84" s="159"/>
      <c r="CF84" s="159"/>
      <c r="CG84" s="159"/>
      <c r="CH84" s="159"/>
      <c r="CI84" s="159"/>
      <c r="CJ84" s="159"/>
      <c r="CK84" s="159"/>
      <c r="CL84" s="159"/>
      <c r="CM84" s="159"/>
      <c r="CN84" s="159"/>
      <c r="CO84" s="146"/>
      <c r="CP84" s="146"/>
      <c r="CQ84" s="146"/>
    </row>
    <row r="85" spans="1:95" x14ac:dyDescent="0.25">
      <c r="A85" s="166"/>
      <c r="B85" s="166"/>
      <c r="C85" s="166"/>
      <c r="D85" s="166"/>
      <c r="E85" s="166"/>
      <c r="F85" s="166"/>
      <c r="G85" s="166"/>
      <c r="H85" s="166"/>
      <c r="I85" s="166"/>
      <c r="J85" s="166"/>
      <c r="K85" s="166"/>
      <c r="L85" s="166"/>
      <c r="M85" s="166"/>
      <c r="N85" s="166"/>
      <c r="O85" s="166"/>
      <c r="P85" s="2"/>
      <c r="Q85" s="1129"/>
      <c r="R85" s="180"/>
      <c r="S85" s="180"/>
      <c r="T85" s="180" t="s">
        <v>965</v>
      </c>
      <c r="U85" s="180">
        <f>IF(T85=I30,IF(S48&gt;0,S48,0),0)</f>
        <v>0</v>
      </c>
      <c r="V85" s="1795"/>
      <c r="W85" s="1701">
        <f>U85*SUMIF(AA$93:AA$97,I30,AC$93:AC$97)</f>
        <v>0</v>
      </c>
      <c r="X85" s="188"/>
      <c r="Y85" s="188"/>
      <c r="Z85" s="188"/>
      <c r="AA85" s="188"/>
      <c r="AB85" s="188"/>
      <c r="AC85" s="188"/>
      <c r="AD85" s="1130"/>
      <c r="AE85" s="2"/>
      <c r="AF85" s="2"/>
      <c r="AG85" s="2"/>
      <c r="AH85" s="2"/>
      <c r="AI85" s="2"/>
      <c r="AJ85" s="149"/>
      <c r="AK85" s="149"/>
      <c r="AL85" s="149"/>
      <c r="AM85" s="149"/>
      <c r="AN85" s="149"/>
      <c r="AO85" s="149"/>
      <c r="AP85" s="2"/>
      <c r="AQ85" s="2"/>
      <c r="AR85" s="2"/>
      <c r="AS85" s="2"/>
      <c r="AT85" s="2"/>
      <c r="AU85" s="2"/>
      <c r="AV85" s="2"/>
      <c r="AW85" s="2"/>
      <c r="AX85" s="2"/>
      <c r="AY85" s="2"/>
      <c r="AZ85" s="2"/>
      <c r="BA85" s="2"/>
      <c r="BB85" s="2"/>
      <c r="BC85" s="2"/>
      <c r="BD85" s="2"/>
      <c r="BE85" s="2"/>
      <c r="BF85" s="2"/>
      <c r="BG85" s="2"/>
      <c r="BH85" s="2"/>
      <c r="BI85" s="2"/>
      <c r="BJ85" s="2"/>
      <c r="BK85" s="149"/>
      <c r="BL85" s="2"/>
      <c r="BM85" s="2"/>
      <c r="BN85" s="166"/>
      <c r="BO85" s="166"/>
      <c r="BP85" s="166"/>
      <c r="BQ85" s="166"/>
      <c r="BR85" s="166"/>
      <c r="BS85" s="166"/>
      <c r="BT85" s="166"/>
      <c r="BU85" s="166"/>
      <c r="BV85" s="166"/>
      <c r="BW85" s="166"/>
      <c r="BX85" s="159"/>
      <c r="BY85" s="159"/>
      <c r="BZ85" s="159"/>
      <c r="CA85" s="159"/>
      <c r="CB85" s="159"/>
      <c r="CC85" s="159"/>
      <c r="CD85" s="159"/>
      <c r="CE85" s="159"/>
      <c r="CF85" s="159"/>
      <c r="CG85" s="159"/>
      <c r="CH85" s="159"/>
      <c r="CI85" s="159"/>
      <c r="CJ85" s="159"/>
      <c r="CK85" s="159"/>
      <c r="CL85" s="159"/>
      <c r="CM85" s="159"/>
      <c r="CN85" s="159"/>
      <c r="CO85" s="146"/>
      <c r="CP85" s="146"/>
      <c r="CQ85" s="146"/>
    </row>
    <row r="86" spans="1:95" x14ac:dyDescent="0.25">
      <c r="A86" s="166" t="s">
        <v>1234</v>
      </c>
      <c r="B86" s="166"/>
      <c r="C86" s="166"/>
      <c r="D86" s="166"/>
      <c r="E86" s="166"/>
      <c r="F86" s="166"/>
      <c r="G86" s="166"/>
      <c r="H86" s="166"/>
      <c r="I86" s="166"/>
      <c r="J86" s="166"/>
      <c r="K86" s="166"/>
      <c r="L86" s="166"/>
      <c r="M86" s="166"/>
      <c r="N86" s="166"/>
      <c r="O86" s="166"/>
      <c r="P86" s="2"/>
      <c r="Q86" s="1129"/>
      <c r="R86" s="180"/>
      <c r="S86" s="180"/>
      <c r="T86" s="180"/>
      <c r="U86" s="180"/>
      <c r="V86" s="1795"/>
      <c r="W86" s="1701">
        <f>POWER(1+SUM(W82:W85),0.59)</f>
        <v>1</v>
      </c>
      <c r="X86" s="188"/>
      <c r="Y86" s="188"/>
      <c r="Z86" s="188"/>
      <c r="AA86" s="180" t="s">
        <v>1946</v>
      </c>
      <c r="AB86" s="180"/>
      <c r="AC86" s="180" t="s">
        <v>783</v>
      </c>
      <c r="AD86" s="1130"/>
      <c r="AE86" s="2"/>
      <c r="AF86" s="2"/>
      <c r="AG86" s="2"/>
      <c r="AH86" s="2"/>
      <c r="AI86" s="2"/>
      <c r="AJ86" s="149"/>
      <c r="AK86" s="149"/>
      <c r="AL86" s="149"/>
      <c r="AM86" s="149"/>
      <c r="AN86" s="149"/>
      <c r="AO86" s="149"/>
      <c r="AP86" s="2"/>
      <c r="AQ86" s="2"/>
      <c r="AR86" s="2"/>
      <c r="AS86" s="2"/>
      <c r="AT86" s="2"/>
      <c r="AU86" s="2"/>
      <c r="AV86" s="2"/>
      <c r="AW86" s="2"/>
      <c r="AX86" s="2"/>
      <c r="AY86" s="2"/>
      <c r="AZ86" s="2"/>
      <c r="BA86" s="2"/>
      <c r="BB86" s="2"/>
      <c r="BC86" s="2"/>
      <c r="BD86" s="2"/>
      <c r="BE86" s="2"/>
      <c r="BF86" s="2"/>
      <c r="BG86" s="2"/>
      <c r="BH86" s="2"/>
      <c r="BI86" s="2"/>
      <c r="BJ86" s="2"/>
      <c r="BK86" s="149"/>
      <c r="BL86" s="2"/>
      <c r="BM86" s="2"/>
      <c r="BN86" s="166"/>
      <c r="BO86" s="166"/>
      <c r="BP86" s="166"/>
      <c r="BQ86" s="166"/>
      <c r="BR86" s="166"/>
      <c r="BS86" s="166"/>
      <c r="BT86" s="166"/>
      <c r="BU86" s="166"/>
      <c r="BV86" s="166"/>
      <c r="BW86" s="166"/>
      <c r="BX86" s="159"/>
      <c r="BY86" s="159"/>
      <c r="BZ86" s="159"/>
      <c r="CA86" s="159"/>
      <c r="CB86" s="159"/>
      <c r="CC86" s="159"/>
      <c r="CD86" s="159"/>
      <c r="CE86" s="159"/>
      <c r="CF86" s="159"/>
      <c r="CG86" s="159"/>
      <c r="CH86" s="159"/>
      <c r="CI86" s="159"/>
      <c r="CJ86" s="159"/>
      <c r="CK86" s="159"/>
      <c r="CL86" s="159"/>
      <c r="CM86" s="159"/>
      <c r="CN86" s="159"/>
      <c r="CO86" s="146"/>
      <c r="CP86" s="146"/>
      <c r="CQ86" s="146"/>
    </row>
    <row r="87" spans="1:95" x14ac:dyDescent="0.25">
      <c r="A87" s="166"/>
      <c r="B87" s="166"/>
      <c r="C87" s="166"/>
      <c r="D87" s="166"/>
      <c r="E87" s="166"/>
      <c r="F87" s="166"/>
      <c r="G87" s="166"/>
      <c r="H87" s="166"/>
      <c r="I87" s="166"/>
      <c r="J87" s="166"/>
      <c r="K87" s="166"/>
      <c r="L87" s="166"/>
      <c r="M87" s="166"/>
      <c r="N87" s="166"/>
      <c r="O87" s="166"/>
      <c r="P87" s="2"/>
      <c r="Q87" s="1129"/>
      <c r="R87" s="188"/>
      <c r="S87" s="188"/>
      <c r="T87" s="188"/>
      <c r="U87" s="188"/>
      <c r="V87" s="188"/>
      <c r="W87" s="1701"/>
      <c r="X87" s="188"/>
      <c r="Y87" s="188"/>
      <c r="Z87" s="188"/>
      <c r="AA87" s="180" t="s">
        <v>495</v>
      </c>
      <c r="AB87" s="180"/>
      <c r="AC87" s="180">
        <v>1</v>
      </c>
      <c r="AD87" s="1130"/>
      <c r="AE87" s="2"/>
      <c r="AF87" s="2"/>
      <c r="AG87" s="2"/>
      <c r="AH87" s="2"/>
      <c r="AI87" s="2"/>
      <c r="AJ87" s="149"/>
      <c r="AK87" s="149"/>
      <c r="AL87" s="149"/>
      <c r="AM87" s="149"/>
      <c r="AN87" s="149"/>
      <c r="AO87" s="149"/>
      <c r="AP87" s="2"/>
      <c r="AQ87" s="2"/>
      <c r="AR87" s="2"/>
      <c r="AS87" s="2"/>
      <c r="AT87" s="2"/>
      <c r="AU87" s="2"/>
      <c r="AV87" s="2"/>
      <c r="AW87" s="2"/>
      <c r="AX87" s="2"/>
      <c r="AY87" s="2"/>
      <c r="AZ87" s="2"/>
      <c r="BA87" s="2"/>
      <c r="BB87" s="2"/>
      <c r="BC87" s="2"/>
      <c r="BD87" s="2"/>
      <c r="BE87" s="2"/>
      <c r="BF87" s="2"/>
      <c r="BG87" s="2"/>
      <c r="BH87" s="2"/>
      <c r="BI87" s="2"/>
      <c r="BJ87" s="2"/>
      <c r="BK87" s="149"/>
      <c r="BL87" s="2"/>
      <c r="BM87" s="2"/>
      <c r="BN87" s="166"/>
      <c r="BO87" s="166"/>
      <c r="BP87" s="166"/>
      <c r="BQ87" s="166"/>
      <c r="BR87" s="166"/>
      <c r="BS87" s="166"/>
      <c r="BT87" s="166"/>
      <c r="BU87" s="166"/>
      <c r="BV87" s="166"/>
      <c r="BW87" s="166"/>
      <c r="BX87" s="159"/>
      <c r="BY87" s="159"/>
      <c r="BZ87" s="159"/>
      <c r="CA87" s="159"/>
      <c r="CB87" s="159"/>
      <c r="CC87" s="159"/>
      <c r="CD87" s="159"/>
      <c r="CE87" s="159"/>
      <c r="CF87" s="159"/>
      <c r="CG87" s="159"/>
      <c r="CH87" s="159"/>
      <c r="CI87" s="159"/>
      <c r="CJ87" s="159"/>
      <c r="CK87" s="159"/>
      <c r="CL87" s="159"/>
      <c r="CM87" s="159"/>
      <c r="CN87" s="159"/>
      <c r="CO87" s="146"/>
      <c r="CP87" s="146"/>
      <c r="CQ87" s="146"/>
    </row>
    <row r="88" spans="1:95" x14ac:dyDescent="0.25">
      <c r="A88" s="166"/>
      <c r="B88" s="166"/>
      <c r="C88" s="166"/>
      <c r="D88" s="166"/>
      <c r="E88" s="166"/>
      <c r="F88" s="166"/>
      <c r="G88" s="166"/>
      <c r="H88" s="166"/>
      <c r="I88" s="166"/>
      <c r="J88" s="166"/>
      <c r="K88" s="166"/>
      <c r="L88" s="166"/>
      <c r="M88" s="166"/>
      <c r="N88" s="166"/>
      <c r="O88" s="166"/>
      <c r="P88" s="2"/>
      <c r="Q88" s="1129"/>
      <c r="R88" s="188" t="s">
        <v>806</v>
      </c>
      <c r="S88" s="188"/>
      <c r="T88" s="1731"/>
      <c r="U88" s="1731"/>
      <c r="V88" s="188"/>
      <c r="W88" s="1701">
        <v>1.3</v>
      </c>
      <c r="X88" s="188" t="s">
        <v>805</v>
      </c>
      <c r="Y88" s="188"/>
      <c r="Z88" s="188"/>
      <c r="AA88" s="180" t="s">
        <v>781</v>
      </c>
      <c r="AB88" s="180"/>
      <c r="AC88" s="180">
        <v>0.68</v>
      </c>
      <c r="AD88" s="1130"/>
      <c r="AE88" s="2"/>
      <c r="AF88" s="2"/>
      <c r="AG88" s="2"/>
      <c r="AH88" s="2"/>
      <c r="AI88" s="2"/>
      <c r="AJ88" s="149"/>
      <c r="AK88" s="149"/>
      <c r="AL88" s="149"/>
      <c r="AM88" s="149"/>
      <c r="AN88" s="149"/>
      <c r="AO88" s="149"/>
      <c r="AP88" s="2"/>
      <c r="AQ88" s="2"/>
      <c r="AR88" s="2"/>
      <c r="AS88" s="2"/>
      <c r="AT88" s="2"/>
      <c r="AU88" s="2"/>
      <c r="AV88" s="2"/>
      <c r="AW88" s="2"/>
      <c r="AX88" s="2"/>
      <c r="AY88" s="2"/>
      <c r="AZ88" s="2"/>
      <c r="BA88" s="2"/>
      <c r="BB88" s="2"/>
      <c r="BC88" s="2"/>
      <c r="BD88" s="2"/>
      <c r="BE88" s="2"/>
      <c r="BF88" s="2"/>
      <c r="BG88" s="2"/>
      <c r="BH88" s="2"/>
      <c r="BI88" s="2"/>
      <c r="BJ88" s="2"/>
      <c r="BK88" s="149"/>
      <c r="BL88" s="2"/>
      <c r="BM88" s="2"/>
      <c r="BN88" s="166"/>
      <c r="BO88" s="166"/>
      <c r="BP88" s="166"/>
      <c r="BQ88" s="166"/>
      <c r="BR88" s="166"/>
      <c r="BS88" s="166"/>
      <c r="BT88" s="166"/>
      <c r="BU88" s="166"/>
      <c r="BV88" s="166"/>
      <c r="BW88" s="166"/>
      <c r="BX88" s="159"/>
      <c r="BY88" s="159"/>
      <c r="BZ88" s="159"/>
      <c r="CA88" s="159"/>
      <c r="CB88" s="159"/>
      <c r="CC88" s="159"/>
      <c r="CD88" s="159"/>
      <c r="CE88" s="159"/>
      <c r="CF88" s="159"/>
      <c r="CG88" s="159"/>
      <c r="CH88" s="159"/>
      <c r="CI88" s="159"/>
      <c r="CJ88" s="159"/>
      <c r="CK88" s="159"/>
      <c r="CL88" s="159"/>
      <c r="CM88" s="159"/>
      <c r="CN88" s="159"/>
      <c r="CO88" s="146"/>
      <c r="CP88" s="146"/>
      <c r="CQ88" s="146"/>
    </row>
    <row r="89" spans="1:95" x14ac:dyDescent="0.25">
      <c r="A89" s="166"/>
      <c r="B89" s="166"/>
      <c r="C89" s="166"/>
      <c r="D89" s="166"/>
      <c r="E89" s="166"/>
      <c r="F89" s="166"/>
      <c r="G89" s="166"/>
      <c r="H89" s="166"/>
      <c r="I89" s="166"/>
      <c r="J89" s="166"/>
      <c r="K89" s="166"/>
      <c r="L89" s="166"/>
      <c r="M89" s="166"/>
      <c r="N89" s="166"/>
      <c r="O89" s="166"/>
      <c r="P89" s="2"/>
      <c r="Q89" s="1129"/>
      <c r="R89" s="188"/>
      <c r="S89" s="188"/>
      <c r="T89" s="188"/>
      <c r="U89" s="188"/>
      <c r="V89" s="188"/>
      <c r="W89" s="1701"/>
      <c r="X89" s="188"/>
      <c r="Y89" s="188"/>
      <c r="Z89" s="188"/>
      <c r="AA89" s="180" t="s">
        <v>780</v>
      </c>
      <c r="AB89" s="180"/>
      <c r="AC89" s="180">
        <v>1.9</v>
      </c>
      <c r="AD89" s="1130"/>
      <c r="AE89" s="2"/>
      <c r="AF89" s="2"/>
      <c r="AG89" s="2"/>
      <c r="AH89" s="2"/>
      <c r="AI89" s="2"/>
      <c r="AJ89" s="149"/>
      <c r="AK89" s="149"/>
      <c r="AL89" s="149"/>
      <c r="AM89" s="149"/>
      <c r="AN89" s="149"/>
      <c r="AO89" s="149"/>
      <c r="AP89" s="2"/>
      <c r="AQ89" s="2"/>
      <c r="AR89" s="2"/>
      <c r="AS89" s="2"/>
      <c r="AT89" s="2"/>
      <c r="AU89" s="2"/>
      <c r="AV89" s="2"/>
      <c r="AW89" s="2"/>
      <c r="AX89" s="2"/>
      <c r="AY89" s="2"/>
      <c r="AZ89" s="2"/>
      <c r="BA89" s="2"/>
      <c r="BB89" s="2"/>
      <c r="BC89" s="2"/>
      <c r="BD89" s="2"/>
      <c r="BE89" s="2"/>
      <c r="BF89" s="2"/>
      <c r="BG89" s="2"/>
      <c r="BH89" s="2"/>
      <c r="BI89" s="2"/>
      <c r="BJ89" s="2"/>
      <c r="BK89" s="2"/>
      <c r="BL89" s="2"/>
      <c r="BM89" s="2"/>
      <c r="BN89" s="166"/>
      <c r="BO89" s="166"/>
      <c r="BP89" s="166"/>
      <c r="BQ89" s="166"/>
      <c r="BR89" s="166"/>
      <c r="BS89" s="166"/>
      <c r="BT89" s="166"/>
      <c r="BU89" s="166"/>
      <c r="BV89" s="166"/>
      <c r="BW89" s="166"/>
      <c r="BX89" s="159"/>
      <c r="BY89" s="159"/>
      <c r="BZ89" s="159"/>
      <c r="CA89" s="159"/>
      <c r="CB89" s="159"/>
      <c r="CC89" s="159"/>
      <c r="CD89" s="159"/>
      <c r="CE89" s="159"/>
      <c r="CF89" s="159"/>
      <c r="CG89" s="159"/>
      <c r="CH89" s="159"/>
      <c r="CI89" s="159"/>
      <c r="CJ89" s="159"/>
      <c r="CK89" s="159"/>
      <c r="CL89" s="159"/>
      <c r="CM89" s="159"/>
      <c r="CN89" s="159"/>
      <c r="CO89" s="146"/>
      <c r="CP89" s="146"/>
      <c r="CQ89" s="146"/>
    </row>
    <row r="90" spans="1:95" x14ac:dyDescent="0.25">
      <c r="A90" s="166"/>
      <c r="B90" s="166"/>
      <c r="C90" s="166"/>
      <c r="D90" s="166"/>
      <c r="E90" s="166"/>
      <c r="F90" s="166"/>
      <c r="G90" s="166"/>
      <c r="H90" s="166"/>
      <c r="I90" s="166"/>
      <c r="J90" s="166"/>
      <c r="K90" s="166"/>
      <c r="L90" s="166"/>
      <c r="M90" s="166"/>
      <c r="N90" s="166"/>
      <c r="O90" s="166"/>
      <c r="P90" s="2"/>
      <c r="Q90" s="1129"/>
      <c r="R90" s="188" t="s">
        <v>1066</v>
      </c>
      <c r="S90" s="188"/>
      <c r="T90" s="1731"/>
      <c r="U90" s="188"/>
      <c r="V90" s="188"/>
      <c r="W90" s="1701">
        <f>W77*W78*W86*W88</f>
        <v>0</v>
      </c>
      <c r="X90" s="188"/>
      <c r="Y90" s="188"/>
      <c r="Z90" s="188"/>
      <c r="AA90" s="188"/>
      <c r="AB90" s="188"/>
      <c r="AC90" s="188"/>
      <c r="AD90" s="1130"/>
      <c r="AE90" s="2"/>
      <c r="AF90" s="2"/>
      <c r="AG90" s="2"/>
      <c r="AH90" s="2"/>
      <c r="AI90" s="2"/>
      <c r="AJ90" s="149"/>
      <c r="AK90" s="149"/>
      <c r="AL90" s="149"/>
      <c r="AM90" s="149"/>
      <c r="AN90" s="149"/>
      <c r="AO90" s="149"/>
      <c r="AP90" s="2"/>
      <c r="AQ90" s="2"/>
      <c r="AR90" s="2"/>
      <c r="AS90" s="2"/>
      <c r="AT90" s="2"/>
      <c r="AU90" s="2"/>
      <c r="AV90" s="2"/>
      <c r="AW90" s="2"/>
      <c r="AX90" s="2"/>
      <c r="AY90" s="2"/>
      <c r="AZ90" s="2"/>
      <c r="BA90" s="2"/>
      <c r="BB90" s="2"/>
      <c r="BC90" s="2"/>
      <c r="BD90" s="2"/>
      <c r="BE90" s="2"/>
      <c r="BF90" s="2"/>
      <c r="BG90" s="2"/>
      <c r="BH90" s="2"/>
      <c r="BI90" s="2"/>
      <c r="BJ90" s="2"/>
      <c r="BK90" s="2"/>
      <c r="BL90" s="2"/>
      <c r="BM90" s="2"/>
      <c r="BN90" s="166"/>
      <c r="BO90" s="166"/>
      <c r="BP90" s="166"/>
      <c r="BQ90" s="166"/>
      <c r="BR90" s="166"/>
      <c r="BS90" s="166"/>
      <c r="BT90" s="166"/>
      <c r="BU90" s="166"/>
      <c r="BV90" s="166"/>
      <c r="BW90" s="166"/>
      <c r="BX90" s="159"/>
      <c r="BY90" s="159"/>
      <c r="BZ90" s="159"/>
      <c r="CA90" s="159"/>
      <c r="CB90" s="159"/>
      <c r="CC90" s="159"/>
      <c r="CD90" s="159"/>
      <c r="CE90" s="159"/>
      <c r="CF90" s="159"/>
      <c r="CG90" s="159"/>
      <c r="CH90" s="159"/>
      <c r="CI90" s="159"/>
      <c r="CJ90" s="159"/>
      <c r="CK90" s="159"/>
      <c r="CL90" s="159"/>
      <c r="CM90" s="159"/>
      <c r="CN90" s="159"/>
      <c r="CO90" s="146"/>
      <c r="CP90" s="146"/>
      <c r="CQ90" s="146"/>
    </row>
    <row r="91" spans="1:95" x14ac:dyDescent="0.25">
      <c r="A91" s="166"/>
      <c r="B91" s="166"/>
      <c r="C91" s="166"/>
      <c r="D91" s="166"/>
      <c r="E91" s="166"/>
      <c r="F91" s="166"/>
      <c r="G91" s="166"/>
      <c r="H91" s="166"/>
      <c r="I91" s="166"/>
      <c r="J91" s="166"/>
      <c r="K91" s="166"/>
      <c r="L91" s="166"/>
      <c r="M91" s="166"/>
      <c r="N91" s="166"/>
      <c r="O91" s="166"/>
      <c r="P91" s="2"/>
      <c r="Q91" s="1129"/>
      <c r="R91" s="188" t="s">
        <v>1067</v>
      </c>
      <c r="S91" s="188"/>
      <c r="T91" s="188"/>
      <c r="U91" s="1731"/>
      <c r="V91" s="188"/>
      <c r="W91" s="1701" t="e">
        <f>W90*T76*'1.GeneralInfo'!S12</f>
        <v>#VALUE!</v>
      </c>
      <c r="X91" s="188"/>
      <c r="Y91" s="188"/>
      <c r="Z91" s="188"/>
      <c r="AA91" s="188"/>
      <c r="AB91" s="188"/>
      <c r="AC91" s="188"/>
      <c r="AD91" s="1130"/>
      <c r="AE91" s="2"/>
      <c r="AF91" s="2"/>
      <c r="AG91" s="2"/>
      <c r="AH91" s="2"/>
      <c r="AI91" s="2"/>
      <c r="AJ91" s="149"/>
      <c r="AK91" s="149"/>
      <c r="AL91" s="149"/>
      <c r="AM91" s="149"/>
      <c r="AN91" s="149"/>
      <c r="AO91" s="149"/>
      <c r="AP91" s="2"/>
      <c r="AQ91" s="2"/>
      <c r="AR91" s="2"/>
      <c r="AS91" s="2"/>
      <c r="AT91" s="2"/>
      <c r="AU91" s="2"/>
      <c r="AV91" s="2"/>
      <c r="AW91" s="2"/>
      <c r="AX91" s="2"/>
      <c r="AY91" s="2"/>
      <c r="AZ91" s="2"/>
      <c r="BA91" s="2"/>
      <c r="BB91" s="2"/>
      <c r="BC91" s="2"/>
      <c r="BD91" s="2"/>
      <c r="BE91" s="2"/>
      <c r="BF91" s="2"/>
      <c r="BG91" s="2"/>
      <c r="BH91" s="2"/>
      <c r="BI91" s="2"/>
      <c r="BJ91" s="2"/>
      <c r="BK91" s="2"/>
      <c r="BL91" s="2"/>
      <c r="BM91" s="2"/>
      <c r="BN91" s="166"/>
      <c r="BO91" s="166"/>
      <c r="BP91" s="166"/>
      <c r="BQ91" s="166"/>
      <c r="BR91" s="166"/>
      <c r="BS91" s="166"/>
      <c r="BT91" s="166"/>
      <c r="BU91" s="166"/>
      <c r="BV91" s="166"/>
      <c r="BW91" s="166"/>
      <c r="BX91" s="159"/>
      <c r="BY91" s="159"/>
      <c r="BZ91" s="159"/>
      <c r="CA91" s="159"/>
      <c r="CB91" s="159"/>
      <c r="CC91" s="159"/>
      <c r="CD91" s="159"/>
      <c r="CE91" s="159"/>
      <c r="CF91" s="159"/>
      <c r="CG91" s="159"/>
      <c r="CH91" s="159"/>
      <c r="CI91" s="159"/>
      <c r="CJ91" s="159"/>
      <c r="CK91" s="159"/>
      <c r="CL91" s="159"/>
      <c r="CM91" s="159"/>
      <c r="CN91" s="159"/>
      <c r="CO91" s="146"/>
      <c r="CP91" s="146"/>
      <c r="CQ91" s="146"/>
    </row>
    <row r="92" spans="1:95" x14ac:dyDescent="0.25">
      <c r="A92" s="166"/>
      <c r="B92" s="166"/>
      <c r="C92" s="166"/>
      <c r="D92" s="166"/>
      <c r="E92" s="166"/>
      <c r="F92" s="166"/>
      <c r="G92" s="166"/>
      <c r="H92" s="166"/>
      <c r="I92" s="166"/>
      <c r="J92" s="166"/>
      <c r="K92" s="166"/>
      <c r="L92" s="166"/>
      <c r="M92" s="166"/>
      <c r="N92" s="166"/>
      <c r="O92" s="166"/>
      <c r="P92" s="2"/>
      <c r="Q92" s="1129"/>
      <c r="R92" s="188"/>
      <c r="S92" s="188"/>
      <c r="T92" s="188"/>
      <c r="U92" s="188"/>
      <c r="V92" s="188"/>
      <c r="W92" s="188"/>
      <c r="X92" s="188"/>
      <c r="Y92" s="188"/>
      <c r="Z92" s="188"/>
      <c r="AA92" s="180" t="s">
        <v>779</v>
      </c>
      <c r="AB92" s="180"/>
      <c r="AC92" s="180"/>
      <c r="AD92" s="1130"/>
      <c r="AE92" s="2"/>
      <c r="AF92" s="2"/>
      <c r="AG92" s="2"/>
      <c r="AH92" s="2"/>
      <c r="AI92" s="2"/>
      <c r="AJ92" s="149"/>
      <c r="AK92" s="149"/>
      <c r="AL92" s="149"/>
      <c r="AM92" s="149"/>
      <c r="AN92" s="149"/>
      <c r="AO92" s="149"/>
      <c r="AP92" s="2"/>
      <c r="AQ92" s="2"/>
      <c r="AR92" s="2"/>
      <c r="AS92" s="2"/>
      <c r="AT92" s="2"/>
      <c r="AU92" s="2"/>
      <c r="AV92" s="2"/>
      <c r="AW92" s="2"/>
      <c r="AX92" s="2"/>
      <c r="AY92" s="2"/>
      <c r="AZ92" s="2"/>
      <c r="BA92" s="2"/>
      <c r="BB92" s="2"/>
      <c r="BC92" s="2"/>
      <c r="BD92" s="2"/>
      <c r="BE92" s="2"/>
      <c r="BF92" s="2"/>
      <c r="BG92" s="2"/>
      <c r="BH92" s="2"/>
      <c r="BI92" s="2"/>
      <c r="BJ92" s="2"/>
      <c r="BK92" s="2"/>
      <c r="BL92" s="2"/>
      <c r="BM92" s="2"/>
      <c r="BN92" s="166"/>
      <c r="BO92" s="166"/>
      <c r="BP92" s="166"/>
      <c r="BQ92" s="166"/>
      <c r="BR92" s="166"/>
      <c r="BS92" s="166"/>
      <c r="BT92" s="166"/>
      <c r="BU92" s="166"/>
      <c r="BV92" s="166"/>
      <c r="BW92" s="166"/>
      <c r="BX92" s="159"/>
      <c r="BY92" s="159"/>
      <c r="BZ92" s="159"/>
      <c r="CA92" s="159"/>
      <c r="CB92" s="159"/>
      <c r="CC92" s="159"/>
      <c r="CD92" s="159"/>
      <c r="CE92" s="159"/>
      <c r="CF92" s="159"/>
      <c r="CG92" s="159"/>
      <c r="CH92" s="159"/>
      <c r="CI92" s="159"/>
      <c r="CJ92" s="159"/>
      <c r="CK92" s="159"/>
      <c r="CL92" s="159"/>
      <c r="CM92" s="159"/>
      <c r="CN92" s="159"/>
      <c r="CO92" s="146"/>
      <c r="CP92" s="146"/>
      <c r="CQ92" s="146"/>
    </row>
    <row r="93" spans="1:95" x14ac:dyDescent="0.25">
      <c r="A93" s="166"/>
      <c r="B93" s="166"/>
      <c r="C93" s="166"/>
      <c r="D93" s="166"/>
      <c r="E93" s="166"/>
      <c r="F93" s="166"/>
      <c r="G93" s="166"/>
      <c r="H93" s="166"/>
      <c r="I93" s="166"/>
      <c r="J93" s="166"/>
      <c r="K93" s="166"/>
      <c r="L93" s="166"/>
      <c r="M93" s="166"/>
      <c r="N93" s="166"/>
      <c r="O93" s="166"/>
      <c r="P93" s="2"/>
      <c r="Q93" s="1129"/>
      <c r="R93" s="188" t="s">
        <v>1068</v>
      </c>
      <c r="S93" s="188"/>
      <c r="T93" s="188"/>
      <c r="U93" s="188"/>
      <c r="V93" s="188"/>
      <c r="W93" s="289">
        <f>IF(E5=AS215,W91,0)</f>
        <v>0</v>
      </c>
      <c r="X93" s="188"/>
      <c r="Y93" s="188"/>
      <c r="Z93" s="188"/>
      <c r="AA93" s="180" t="str">
        <f>T85</f>
        <v>Straw incorporated shortly before cultivation</v>
      </c>
      <c r="AB93" s="180"/>
      <c r="AC93" s="180">
        <v>1</v>
      </c>
      <c r="AD93" s="1130"/>
      <c r="AE93" s="2"/>
      <c r="AF93" s="2"/>
      <c r="AG93" s="2"/>
      <c r="AH93" s="2"/>
      <c r="AI93" s="2"/>
      <c r="AJ93" s="149"/>
      <c r="AK93" s="149"/>
      <c r="AL93" s="149"/>
      <c r="AM93" s="149"/>
      <c r="AN93" s="149"/>
      <c r="AO93" s="149"/>
      <c r="AP93" s="2"/>
      <c r="AQ93" s="2"/>
      <c r="AR93" s="2"/>
      <c r="AS93" s="2"/>
      <c r="AT93" s="2"/>
      <c r="AU93" s="2"/>
      <c r="AV93" s="2"/>
      <c r="AW93" s="2"/>
      <c r="AX93" s="2"/>
      <c r="AY93" s="2"/>
      <c r="AZ93" s="2"/>
      <c r="BA93" s="2"/>
      <c r="BB93" s="2"/>
      <c r="BC93" s="2"/>
      <c r="BD93" s="2"/>
      <c r="BE93" s="2"/>
      <c r="BF93" s="2"/>
      <c r="BG93" s="2"/>
      <c r="BH93" s="2"/>
      <c r="BI93" s="2"/>
      <c r="BJ93" s="2"/>
      <c r="BK93" s="2"/>
      <c r="BL93" s="2"/>
      <c r="BM93" s="2"/>
      <c r="BN93" s="166"/>
      <c r="BO93" s="166"/>
      <c r="BP93" s="166"/>
      <c r="BQ93" s="166"/>
      <c r="BR93" s="166"/>
      <c r="BS93" s="166"/>
      <c r="BT93" s="166"/>
      <c r="BU93" s="166"/>
      <c r="BV93" s="166"/>
      <c r="BW93" s="166"/>
      <c r="BX93" s="159"/>
      <c r="BY93" s="159"/>
      <c r="BZ93" s="159"/>
      <c r="CA93" s="159"/>
      <c r="CB93" s="159"/>
      <c r="CC93" s="159"/>
      <c r="CD93" s="159"/>
      <c r="CE93" s="159"/>
      <c r="CF93" s="159"/>
      <c r="CG93" s="159"/>
      <c r="CH93" s="159"/>
      <c r="CI93" s="159"/>
      <c r="CJ93" s="159"/>
      <c r="CK93" s="159"/>
      <c r="CL93" s="159"/>
      <c r="CM93" s="159"/>
      <c r="CN93" s="159"/>
      <c r="CO93" s="146"/>
      <c r="CP93" s="146"/>
      <c r="CQ93" s="146"/>
    </row>
    <row r="94" spans="1:95" x14ac:dyDescent="0.25">
      <c r="A94" s="166"/>
      <c r="B94" s="166"/>
      <c r="C94" s="166"/>
      <c r="D94" s="166"/>
      <c r="E94" s="166"/>
      <c r="F94" s="166"/>
      <c r="G94" s="166"/>
      <c r="H94" s="166"/>
      <c r="I94" s="166"/>
      <c r="J94" s="166"/>
      <c r="K94" s="166"/>
      <c r="L94" s="166"/>
      <c r="M94" s="166"/>
      <c r="N94" s="166"/>
      <c r="O94" s="166"/>
      <c r="P94" s="2"/>
      <c r="Q94" s="1129"/>
      <c r="R94" s="1731"/>
      <c r="S94" s="1731"/>
      <c r="T94" s="1731"/>
      <c r="U94" s="1731"/>
      <c r="V94" s="1731"/>
      <c r="W94" s="1731"/>
      <c r="X94" s="188"/>
      <c r="Y94" s="188"/>
      <c r="Z94" s="188"/>
      <c r="AA94" s="180" t="str">
        <f>T84</f>
        <v>Straw incorporated more than 30 days before cultivation</v>
      </c>
      <c r="AB94" s="180"/>
      <c r="AC94" s="180">
        <v>0.28999999999999998</v>
      </c>
      <c r="AD94" s="1130"/>
      <c r="AE94" s="2"/>
      <c r="AF94" s="2"/>
      <c r="AG94" s="2"/>
      <c r="AH94" s="2"/>
      <c r="AI94" s="2"/>
      <c r="AJ94" s="149"/>
      <c r="AK94" s="149"/>
      <c r="AL94" s="149"/>
      <c r="AM94" s="149"/>
      <c r="AN94" s="149"/>
      <c r="AO94" s="149"/>
      <c r="AP94" s="2"/>
      <c r="AQ94" s="2"/>
      <c r="AR94" s="2"/>
      <c r="AS94" s="2"/>
      <c r="AT94" s="2"/>
      <c r="AU94" s="2"/>
      <c r="AV94" s="2"/>
      <c r="AW94" s="2"/>
      <c r="AX94" s="2"/>
      <c r="AY94" s="2"/>
      <c r="AZ94" s="2"/>
      <c r="BA94" s="2"/>
      <c r="BB94" s="2"/>
      <c r="BC94" s="2"/>
      <c r="BD94" s="2"/>
      <c r="BE94" s="2"/>
      <c r="BF94" s="2"/>
      <c r="BG94" s="2"/>
      <c r="BH94" s="2"/>
      <c r="BI94" s="2"/>
      <c r="BJ94" s="2"/>
      <c r="BK94" s="2"/>
      <c r="BL94" s="2"/>
      <c r="BM94" s="2"/>
      <c r="BN94" s="166"/>
      <c r="BO94" s="166"/>
      <c r="BP94" s="166"/>
      <c r="BQ94" s="166"/>
      <c r="BR94" s="166"/>
      <c r="BS94" s="166"/>
      <c r="BT94" s="166"/>
      <c r="BU94" s="166"/>
      <c r="BV94" s="166"/>
      <c r="BW94" s="166"/>
      <c r="BX94" s="159"/>
      <c r="BY94" s="159"/>
      <c r="BZ94" s="159"/>
      <c r="CA94" s="159"/>
      <c r="CB94" s="159"/>
      <c r="CC94" s="159"/>
      <c r="CD94" s="159"/>
      <c r="CE94" s="159"/>
      <c r="CF94" s="159"/>
      <c r="CG94" s="159"/>
      <c r="CH94" s="159"/>
      <c r="CI94" s="159"/>
      <c r="CJ94" s="159"/>
      <c r="CK94" s="159"/>
      <c r="CL94" s="159"/>
      <c r="CM94" s="159"/>
      <c r="CN94" s="159"/>
      <c r="CO94" s="146"/>
      <c r="CP94" s="146"/>
      <c r="CQ94" s="146"/>
    </row>
    <row r="95" spans="1:95" x14ac:dyDescent="0.25">
      <c r="A95" s="166"/>
      <c r="B95" s="166"/>
      <c r="C95" s="166"/>
      <c r="D95" s="166"/>
      <c r="E95" s="166"/>
      <c r="F95" s="166"/>
      <c r="G95" s="166"/>
      <c r="H95" s="166"/>
      <c r="I95" s="166"/>
      <c r="J95" s="166"/>
      <c r="K95" s="166"/>
      <c r="L95" s="166"/>
      <c r="M95" s="166"/>
      <c r="N95" s="166"/>
      <c r="O95" s="166"/>
      <c r="P95" s="2"/>
      <c r="Q95" s="1129"/>
      <c r="R95" s="188"/>
      <c r="S95" s="188"/>
      <c r="T95" s="188"/>
      <c r="U95" s="188"/>
      <c r="V95" s="188"/>
      <c r="W95" s="188"/>
      <c r="X95" s="188"/>
      <c r="Y95" s="188"/>
      <c r="Z95" s="188"/>
      <c r="AA95" s="180" t="s">
        <v>920</v>
      </c>
      <c r="AB95" s="180"/>
      <c r="AC95" s="180">
        <v>0.05</v>
      </c>
      <c r="AD95" s="1130"/>
      <c r="AE95" s="2"/>
      <c r="AF95" s="2"/>
      <c r="AG95" s="2"/>
      <c r="AH95" s="2"/>
      <c r="AI95" s="2"/>
      <c r="AJ95" s="149"/>
      <c r="AK95" s="149"/>
      <c r="AL95" s="149"/>
      <c r="AM95" s="149"/>
      <c r="AN95" s="149"/>
      <c r="AO95" s="149"/>
      <c r="AP95" s="2"/>
      <c r="AQ95" s="2"/>
      <c r="AR95" s="2"/>
      <c r="AS95" s="2"/>
      <c r="AT95" s="2"/>
      <c r="AU95" s="2"/>
      <c r="AV95" s="2"/>
      <c r="AW95" s="2"/>
      <c r="AX95" s="2"/>
      <c r="AY95" s="2"/>
      <c r="AZ95" s="2"/>
      <c r="BA95" s="2"/>
      <c r="BB95" s="2"/>
      <c r="BC95" s="2"/>
      <c r="BD95" s="2"/>
      <c r="BE95" s="2"/>
      <c r="BF95" s="2"/>
      <c r="BG95" s="2"/>
      <c r="BH95" s="2"/>
      <c r="BI95" s="2"/>
      <c r="BJ95" s="2"/>
      <c r="BK95" s="2"/>
      <c r="BL95" s="2"/>
      <c r="BM95" s="2"/>
      <c r="BN95" s="166"/>
      <c r="BO95" s="166"/>
      <c r="BP95" s="166"/>
      <c r="BQ95" s="166"/>
      <c r="BR95" s="166"/>
      <c r="BS95" s="166"/>
      <c r="BT95" s="166"/>
      <c r="BU95" s="166"/>
      <c r="BV95" s="166"/>
      <c r="BW95" s="166"/>
      <c r="BX95" s="159"/>
      <c r="BY95" s="159"/>
      <c r="BZ95" s="159"/>
      <c r="CA95" s="159"/>
      <c r="CB95" s="159"/>
      <c r="CC95" s="159"/>
      <c r="CD95" s="159"/>
      <c r="CE95" s="159"/>
      <c r="CF95" s="159"/>
      <c r="CG95" s="159"/>
      <c r="CH95" s="159"/>
      <c r="CI95" s="159"/>
      <c r="CJ95" s="159"/>
      <c r="CK95" s="159"/>
      <c r="CL95" s="159"/>
      <c r="CM95" s="159"/>
      <c r="CN95" s="159"/>
      <c r="CO95" s="146"/>
      <c r="CP95" s="146"/>
      <c r="CQ95" s="146"/>
    </row>
    <row r="96" spans="1:95" x14ac:dyDescent="0.25">
      <c r="A96" s="166"/>
      <c r="B96" s="166"/>
      <c r="C96" s="166"/>
      <c r="D96" s="166"/>
      <c r="E96" s="166"/>
      <c r="F96" s="166"/>
      <c r="G96" s="166"/>
      <c r="H96" s="166"/>
      <c r="I96" s="166"/>
      <c r="J96" s="166"/>
      <c r="K96" s="166"/>
      <c r="L96" s="166"/>
      <c r="M96" s="166"/>
      <c r="N96" s="166"/>
      <c r="O96" s="166"/>
      <c r="P96" s="2"/>
      <c r="Q96" s="1129"/>
      <c r="R96" s="188"/>
      <c r="S96" s="188"/>
      <c r="T96" s="188"/>
      <c r="U96" s="188"/>
      <c r="V96" s="188"/>
      <c r="W96" s="188"/>
      <c r="X96" s="188"/>
      <c r="Y96" s="188"/>
      <c r="Z96" s="188"/>
      <c r="AA96" s="180" t="s">
        <v>919</v>
      </c>
      <c r="AB96" s="180"/>
      <c r="AC96" s="180">
        <v>0.14000000000000001</v>
      </c>
      <c r="AD96" s="1130"/>
      <c r="AE96" s="2"/>
      <c r="AF96" s="2"/>
      <c r="AG96" s="2"/>
      <c r="AH96" s="2"/>
      <c r="AI96" s="2"/>
      <c r="AJ96" s="149"/>
      <c r="AK96" s="149"/>
      <c r="AL96" s="149"/>
      <c r="AM96" s="149"/>
      <c r="AN96" s="149"/>
      <c r="AO96" s="149"/>
      <c r="AP96" s="149"/>
      <c r="AQ96" s="2"/>
      <c r="AR96" s="2"/>
      <c r="AS96" s="2"/>
      <c r="AT96" s="2"/>
      <c r="AU96" s="2"/>
      <c r="AV96" s="2"/>
      <c r="AW96" s="2"/>
      <c r="AX96" s="2"/>
      <c r="AY96" s="2"/>
      <c r="AZ96" s="2"/>
      <c r="BA96" s="2"/>
      <c r="BB96" s="2"/>
      <c r="BC96" s="2"/>
      <c r="BD96" s="2"/>
      <c r="BE96" s="2"/>
      <c r="BF96" s="2"/>
      <c r="BG96" s="2"/>
      <c r="BH96" s="2"/>
      <c r="BI96" s="2"/>
      <c r="BJ96" s="2"/>
      <c r="BK96" s="2"/>
      <c r="BL96" s="2"/>
      <c r="BM96" s="2"/>
      <c r="BN96" s="166"/>
      <c r="BO96" s="166"/>
      <c r="BP96" s="166"/>
      <c r="BQ96" s="166"/>
      <c r="BR96" s="166"/>
      <c r="BS96" s="166"/>
      <c r="BT96" s="166"/>
      <c r="BU96" s="166"/>
      <c r="BV96" s="166"/>
      <c r="BW96" s="166"/>
      <c r="BX96" s="159"/>
      <c r="BY96" s="159"/>
      <c r="BZ96" s="159"/>
      <c r="CA96" s="159"/>
      <c r="CB96" s="159"/>
      <c r="CC96" s="159"/>
      <c r="CD96" s="159"/>
      <c r="CE96" s="159"/>
      <c r="CF96" s="159"/>
      <c r="CG96" s="159"/>
      <c r="CH96" s="159"/>
      <c r="CI96" s="159"/>
      <c r="CJ96" s="159"/>
      <c r="CK96" s="159"/>
      <c r="CL96" s="159"/>
      <c r="CM96" s="159"/>
      <c r="CN96" s="159"/>
      <c r="CO96" s="146"/>
      <c r="CP96" s="146"/>
      <c r="CQ96" s="146"/>
    </row>
    <row r="97" spans="1:95" x14ac:dyDescent="0.25">
      <c r="A97" s="166"/>
      <c r="B97" s="166"/>
      <c r="C97" s="166"/>
      <c r="D97" s="166"/>
      <c r="E97" s="166"/>
      <c r="F97" s="166"/>
      <c r="G97" s="166"/>
      <c r="H97" s="166"/>
      <c r="I97" s="166"/>
      <c r="J97" s="166"/>
      <c r="K97" s="166"/>
      <c r="L97" s="166"/>
      <c r="M97" s="166"/>
      <c r="N97" s="166"/>
      <c r="O97" s="166"/>
      <c r="P97" s="2"/>
      <c r="Q97" s="1129"/>
      <c r="R97" s="188"/>
      <c r="S97" s="188"/>
      <c r="T97" s="188"/>
      <c r="U97" s="188"/>
      <c r="V97" s="188"/>
      <c r="W97" s="1731"/>
      <c r="X97" s="188"/>
      <c r="Y97" s="188"/>
      <c r="Z97" s="188"/>
      <c r="AA97" s="180" t="s">
        <v>918</v>
      </c>
      <c r="AB97" s="180"/>
      <c r="AC97" s="180">
        <v>0.5</v>
      </c>
      <c r="AD97" s="1130"/>
      <c r="AE97" s="2"/>
      <c r="AF97" s="2"/>
      <c r="AG97" s="2"/>
      <c r="AH97" s="2"/>
      <c r="AI97" s="2"/>
      <c r="AJ97" s="149"/>
      <c r="AK97" s="149"/>
      <c r="AL97" s="149"/>
      <c r="AM97" s="149"/>
      <c r="AN97" s="149"/>
      <c r="AO97" s="149"/>
      <c r="AP97" s="149"/>
      <c r="AQ97" s="2"/>
      <c r="AR97" s="2"/>
      <c r="AS97" s="2"/>
      <c r="AT97" s="2"/>
      <c r="AU97" s="2"/>
      <c r="AV97" s="2"/>
      <c r="AW97" s="2"/>
      <c r="AX97" s="2"/>
      <c r="AY97" s="2"/>
      <c r="AZ97" s="2"/>
      <c r="BA97" s="2"/>
      <c r="BB97" s="2"/>
      <c r="BC97" s="2"/>
      <c r="BD97" s="2"/>
      <c r="BE97" s="2"/>
      <c r="BF97" s="2"/>
      <c r="BG97" s="2"/>
      <c r="BH97" s="2"/>
      <c r="BI97" s="2"/>
      <c r="BJ97" s="2"/>
      <c r="BK97" s="2"/>
      <c r="BL97" s="2"/>
      <c r="BM97" s="2"/>
      <c r="BN97" s="166"/>
      <c r="BO97" s="166"/>
      <c r="BP97" s="166"/>
      <c r="BQ97" s="166"/>
      <c r="BR97" s="166"/>
      <c r="BS97" s="166"/>
      <c r="BT97" s="166"/>
      <c r="BU97" s="166"/>
      <c r="BV97" s="166"/>
      <c r="BW97" s="166"/>
      <c r="BX97" s="159"/>
      <c r="BY97" s="159"/>
      <c r="BZ97" s="159"/>
      <c r="CA97" s="159"/>
      <c r="CB97" s="159"/>
      <c r="CC97" s="159"/>
      <c r="CD97" s="159"/>
      <c r="CE97" s="159"/>
      <c r="CF97" s="159"/>
      <c r="CG97" s="159"/>
      <c r="CH97" s="159"/>
      <c r="CI97" s="159"/>
      <c r="CJ97" s="159"/>
      <c r="CK97" s="159"/>
      <c r="CL97" s="159"/>
      <c r="CM97" s="159"/>
      <c r="CN97" s="159"/>
      <c r="CO97" s="146"/>
      <c r="CP97" s="146"/>
      <c r="CQ97" s="146"/>
    </row>
    <row r="98" spans="1:95" x14ac:dyDescent="0.25">
      <c r="A98" s="166"/>
      <c r="B98" s="166"/>
      <c r="C98" s="166"/>
      <c r="D98" s="166"/>
      <c r="E98" s="166"/>
      <c r="F98" s="166"/>
      <c r="G98" s="166"/>
      <c r="H98" s="166"/>
      <c r="I98" s="166"/>
      <c r="J98" s="166"/>
      <c r="K98" s="166"/>
      <c r="L98" s="166"/>
      <c r="M98" s="166"/>
      <c r="N98" s="166"/>
      <c r="O98" s="166"/>
      <c r="P98" s="2"/>
      <c r="Q98" s="1129"/>
      <c r="R98" s="188"/>
      <c r="S98" s="188"/>
      <c r="T98" s="188"/>
      <c r="U98" s="188"/>
      <c r="V98" s="188"/>
      <c r="W98" s="188"/>
      <c r="X98" s="188"/>
      <c r="Y98" s="188"/>
      <c r="Z98" s="188"/>
      <c r="AA98" s="188"/>
      <c r="AB98" s="188"/>
      <c r="AC98" s="188"/>
      <c r="AD98" s="1130"/>
      <c r="AE98" s="2"/>
      <c r="AF98" s="2"/>
      <c r="AG98" s="2"/>
      <c r="AH98" s="2"/>
      <c r="AI98" s="2"/>
      <c r="AJ98" s="149"/>
      <c r="AK98" s="149"/>
      <c r="AL98" s="149"/>
      <c r="AM98" s="149"/>
      <c r="AN98" s="149"/>
      <c r="AO98" s="149"/>
      <c r="AP98" s="149"/>
      <c r="AQ98" s="2"/>
      <c r="AR98" s="2"/>
      <c r="AS98" s="2"/>
      <c r="AT98" s="2"/>
      <c r="AU98" s="2"/>
      <c r="AV98" s="2"/>
      <c r="AW98" s="2"/>
      <c r="AX98" s="2"/>
      <c r="AY98" s="2"/>
      <c r="AZ98" s="2"/>
      <c r="BA98" s="2"/>
      <c r="BB98" s="2"/>
      <c r="BC98" s="2"/>
      <c r="BD98" s="2"/>
      <c r="BE98" s="2"/>
      <c r="BF98" s="2"/>
      <c r="BG98" s="2"/>
      <c r="BH98" s="2"/>
      <c r="BI98" s="2"/>
      <c r="BJ98" s="2"/>
      <c r="BK98" s="2"/>
      <c r="BL98" s="2"/>
      <c r="BM98" s="2"/>
      <c r="BN98" s="166"/>
      <c r="BO98" s="166"/>
      <c r="BP98" s="166"/>
      <c r="BQ98" s="166"/>
      <c r="BR98" s="166"/>
      <c r="BS98" s="166"/>
      <c r="BT98" s="166"/>
      <c r="BU98" s="166"/>
      <c r="BV98" s="166"/>
      <c r="BW98" s="166"/>
      <c r="BX98" s="159"/>
      <c r="BY98" s="159"/>
      <c r="BZ98" s="159"/>
      <c r="CA98" s="159"/>
      <c r="CB98" s="159"/>
      <c r="CC98" s="159"/>
      <c r="CD98" s="159"/>
      <c r="CE98" s="159"/>
      <c r="CF98" s="159"/>
      <c r="CG98" s="159"/>
      <c r="CH98" s="159"/>
      <c r="CI98" s="159"/>
      <c r="CJ98" s="159"/>
      <c r="CK98" s="159"/>
      <c r="CL98" s="159"/>
      <c r="CM98" s="159"/>
      <c r="CN98" s="159"/>
      <c r="CO98" s="146"/>
      <c r="CP98" s="146"/>
      <c r="CQ98" s="146"/>
    </row>
    <row r="99" spans="1:95" ht="13.25" thickBot="1" x14ac:dyDescent="0.3">
      <c r="A99" s="166"/>
      <c r="B99" s="166"/>
      <c r="C99" s="166"/>
      <c r="D99" s="166"/>
      <c r="E99" s="166"/>
      <c r="F99" s="166"/>
      <c r="G99" s="166"/>
      <c r="H99" s="166"/>
      <c r="I99" s="166"/>
      <c r="J99" s="166"/>
      <c r="K99" s="166"/>
      <c r="L99" s="166"/>
      <c r="M99" s="166"/>
      <c r="N99" s="166"/>
      <c r="O99" s="166"/>
      <c r="P99" s="2"/>
      <c r="Q99" s="1131"/>
      <c r="R99" s="240"/>
      <c r="S99" s="240"/>
      <c r="T99" s="240"/>
      <c r="U99" s="240"/>
      <c r="V99" s="240"/>
      <c r="W99" s="240"/>
      <c r="X99" s="240"/>
      <c r="Y99" s="240"/>
      <c r="Z99" s="240"/>
      <c r="AA99" s="240"/>
      <c r="AB99" s="240"/>
      <c r="AC99" s="240"/>
      <c r="AD99" s="1132"/>
      <c r="AE99" s="2"/>
      <c r="AF99" s="2"/>
      <c r="AG99" s="2"/>
      <c r="AH99" s="2"/>
      <c r="AI99" s="2"/>
      <c r="AJ99" s="149"/>
      <c r="AK99" s="149"/>
      <c r="AL99" s="149"/>
      <c r="AM99" s="149"/>
      <c r="AN99" s="149"/>
      <c r="AO99" s="149"/>
      <c r="AP99" s="149"/>
      <c r="AQ99" s="2"/>
      <c r="AR99" s="2"/>
      <c r="AS99" s="2"/>
      <c r="AT99" s="2"/>
      <c r="AU99" s="2"/>
      <c r="AV99" s="2"/>
      <c r="AW99" s="2"/>
      <c r="AX99" s="2"/>
      <c r="AY99" s="2"/>
      <c r="AZ99" s="2"/>
      <c r="BA99" s="2"/>
      <c r="BB99" s="2"/>
      <c r="BC99" s="2"/>
      <c r="BD99" s="2"/>
      <c r="BE99" s="2"/>
      <c r="BF99" s="2"/>
      <c r="BG99" s="2"/>
      <c r="BH99" s="2"/>
      <c r="BI99" s="2"/>
      <c r="BJ99" s="2"/>
      <c r="BK99" s="2"/>
      <c r="BL99" s="2"/>
      <c r="BM99" s="2"/>
      <c r="BN99" s="166"/>
      <c r="BO99" s="166"/>
      <c r="BP99" s="166"/>
      <c r="BQ99" s="166"/>
      <c r="BR99" s="166"/>
      <c r="BS99" s="166"/>
      <c r="BT99" s="166"/>
      <c r="BU99" s="166"/>
      <c r="BV99" s="166"/>
      <c r="BW99" s="166"/>
      <c r="BX99" s="159"/>
      <c r="BY99" s="159"/>
      <c r="BZ99" s="159"/>
      <c r="CA99" s="159"/>
      <c r="CB99" s="159"/>
      <c r="CC99" s="159"/>
      <c r="CD99" s="159"/>
      <c r="CE99" s="159"/>
      <c r="CF99" s="159"/>
      <c r="CG99" s="159"/>
      <c r="CH99" s="159"/>
      <c r="CI99" s="159"/>
      <c r="CJ99" s="159"/>
      <c r="CK99" s="159"/>
      <c r="CL99" s="159"/>
      <c r="CM99" s="159"/>
      <c r="CN99" s="159"/>
      <c r="CO99" s="146"/>
      <c r="CP99" s="146"/>
      <c r="CQ99" s="146"/>
    </row>
    <row r="100" spans="1:95" x14ac:dyDescent="0.25">
      <c r="A100" s="166"/>
      <c r="B100" s="166"/>
      <c r="C100" s="166"/>
      <c r="D100" s="166"/>
      <c r="E100" s="166"/>
      <c r="F100" s="166"/>
      <c r="G100" s="166"/>
      <c r="H100" s="166"/>
      <c r="I100" s="166"/>
      <c r="J100" s="166"/>
      <c r="K100" s="166"/>
      <c r="L100" s="166"/>
      <c r="M100" s="166"/>
      <c r="N100" s="166"/>
      <c r="O100" s="166"/>
      <c r="P100" s="166"/>
      <c r="Q100" s="166"/>
      <c r="R100" s="166"/>
      <c r="S100" s="166"/>
      <c r="T100" s="166"/>
      <c r="U100" s="166"/>
      <c r="V100" s="149"/>
      <c r="W100" s="166"/>
      <c r="X100" s="166"/>
      <c r="Y100" s="166"/>
      <c r="Z100" s="166"/>
      <c r="AA100" s="166"/>
      <c r="AB100" s="166"/>
      <c r="AC100" s="166"/>
      <c r="AD100" s="166"/>
      <c r="AE100" s="166"/>
      <c r="AF100" s="166"/>
      <c r="AG100" s="166"/>
      <c r="AH100" s="166"/>
      <c r="AI100" s="149"/>
      <c r="AJ100" s="149"/>
      <c r="AK100" s="149"/>
      <c r="AL100" s="149"/>
      <c r="AM100" s="149"/>
      <c r="AN100" s="149"/>
      <c r="AO100" s="149"/>
      <c r="AP100" s="149"/>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166"/>
      <c r="BO100" s="166"/>
      <c r="BP100" s="166"/>
      <c r="BQ100" s="166"/>
      <c r="BR100" s="166"/>
      <c r="BS100" s="166"/>
      <c r="BT100" s="166"/>
      <c r="BU100" s="166"/>
      <c r="BV100" s="166"/>
      <c r="BW100" s="166"/>
      <c r="BX100" s="159"/>
      <c r="BY100" s="159"/>
      <c r="BZ100" s="159"/>
      <c r="CA100" s="159"/>
      <c r="CB100" s="159"/>
      <c r="CC100" s="159"/>
      <c r="CD100" s="159"/>
      <c r="CE100" s="159"/>
      <c r="CF100" s="159"/>
      <c r="CG100" s="159"/>
      <c r="CH100" s="159"/>
      <c r="CI100" s="159"/>
      <c r="CJ100" s="159"/>
      <c r="CK100" s="159"/>
      <c r="CL100" s="159"/>
      <c r="CM100" s="159"/>
      <c r="CN100" s="159"/>
      <c r="CO100" s="146"/>
      <c r="CP100" s="146"/>
      <c r="CQ100" s="146"/>
    </row>
    <row r="101" spans="1:95" ht="2.2999999999999998" customHeight="1" x14ac:dyDescent="0.25">
      <c r="A101" s="166"/>
      <c r="B101" s="166"/>
      <c r="C101" s="166"/>
      <c r="D101" s="166"/>
      <c r="E101" s="166"/>
      <c r="F101" s="166"/>
      <c r="G101" s="166"/>
      <c r="H101" s="166"/>
      <c r="I101" s="166"/>
      <c r="J101" s="166"/>
      <c r="K101" s="166"/>
      <c r="L101" s="166"/>
      <c r="M101" s="166"/>
      <c r="N101" s="166"/>
      <c r="O101" s="166"/>
      <c r="P101" s="166"/>
      <c r="Q101" s="166"/>
      <c r="R101" s="166"/>
      <c r="S101" s="166"/>
      <c r="T101" s="166"/>
      <c r="U101" s="166"/>
      <c r="V101" s="149"/>
      <c r="W101" s="166"/>
      <c r="X101" s="166"/>
      <c r="Y101" s="166"/>
      <c r="Z101" s="166"/>
      <c r="AA101" s="166"/>
      <c r="AB101" s="166"/>
      <c r="AC101" s="166"/>
      <c r="AD101" s="166"/>
      <c r="AE101" s="166"/>
      <c r="AF101" s="166"/>
      <c r="AG101" s="166"/>
      <c r="AH101" s="166"/>
      <c r="AI101" s="149"/>
      <c r="AJ101" s="149"/>
      <c r="AK101" s="149"/>
      <c r="AL101" s="149"/>
      <c r="AM101" s="149"/>
      <c r="AN101" s="149"/>
      <c r="AO101" s="149"/>
      <c r="AP101" s="149"/>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166"/>
      <c r="BO101" s="166"/>
      <c r="BP101" s="166"/>
      <c r="BQ101" s="166"/>
      <c r="BR101" s="166"/>
      <c r="BS101" s="166"/>
      <c r="BT101" s="166"/>
      <c r="BU101" s="166"/>
      <c r="BV101" s="166"/>
      <c r="BW101" s="16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row>
    <row r="102" spans="1:95" ht="2.2999999999999998" customHeight="1" x14ac:dyDescent="0.25">
      <c r="A102" s="166"/>
      <c r="B102" s="166"/>
      <c r="C102" s="166"/>
      <c r="D102" s="166"/>
      <c r="E102" s="166"/>
      <c r="F102" s="166"/>
      <c r="G102" s="166"/>
      <c r="H102" s="166"/>
      <c r="I102" s="166"/>
      <c r="J102" s="166"/>
      <c r="K102" s="166"/>
      <c r="L102" s="166"/>
      <c r="M102" s="166"/>
      <c r="N102" s="166"/>
      <c r="O102" s="166"/>
      <c r="P102" s="166"/>
      <c r="Q102" s="166"/>
      <c r="R102" s="166"/>
      <c r="S102" s="166"/>
      <c r="T102" s="166"/>
      <c r="U102" s="166"/>
      <c r="V102" s="149"/>
      <c r="W102" s="166"/>
      <c r="X102" s="166"/>
      <c r="Y102" s="166"/>
      <c r="Z102" s="166"/>
      <c r="AA102" s="166"/>
      <c r="AB102" s="166"/>
      <c r="AC102" s="166"/>
      <c r="AD102" s="166"/>
      <c r="AE102" s="166"/>
      <c r="AF102" s="166"/>
      <c r="AG102" s="166"/>
      <c r="AH102" s="166"/>
      <c r="AI102" s="149"/>
      <c r="AJ102" s="149"/>
      <c r="AK102" s="149"/>
      <c r="AL102" s="149"/>
      <c r="AM102" s="149"/>
      <c r="AN102" s="149"/>
      <c r="AO102" s="149"/>
      <c r="AP102" s="149"/>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166"/>
      <c r="BO102" s="166"/>
      <c r="BP102" s="166"/>
      <c r="BQ102" s="166"/>
      <c r="BR102" s="166"/>
      <c r="BS102" s="166"/>
      <c r="BT102" s="166"/>
      <c r="BU102" s="166"/>
      <c r="BV102" s="166"/>
      <c r="BW102" s="16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row>
    <row r="103" spans="1:95" ht="2.2999999999999998" customHeight="1" x14ac:dyDescent="0.25">
      <c r="A103" s="166"/>
      <c r="B103" s="166"/>
      <c r="C103" s="166"/>
      <c r="D103" s="166"/>
      <c r="E103" s="166"/>
      <c r="F103" s="166"/>
      <c r="G103" s="166"/>
      <c r="H103" s="166"/>
      <c r="I103" s="166"/>
      <c r="J103" s="166"/>
      <c r="K103" s="166"/>
      <c r="L103" s="166"/>
      <c r="M103" s="166"/>
      <c r="N103" s="166"/>
      <c r="O103" s="166"/>
      <c r="P103" s="166"/>
      <c r="Q103" s="166"/>
      <c r="R103" s="166"/>
      <c r="S103" s="166"/>
      <c r="T103" s="166"/>
      <c r="U103" s="166"/>
      <c r="V103" s="149"/>
      <c r="W103" s="166"/>
      <c r="X103" s="166"/>
      <c r="Y103" s="166"/>
      <c r="Z103" s="166"/>
      <c r="AA103" s="166"/>
      <c r="AB103" s="166"/>
      <c r="AC103" s="166"/>
      <c r="AD103" s="166"/>
      <c r="AE103" s="166"/>
      <c r="AF103" s="166"/>
      <c r="AG103" s="166"/>
      <c r="AH103" s="166"/>
      <c r="AI103" s="149"/>
      <c r="AJ103" s="149"/>
      <c r="AK103" s="149"/>
      <c r="AL103" s="149"/>
      <c r="AM103" s="149"/>
      <c r="AN103" s="149"/>
      <c r="AO103" s="149"/>
      <c r="AP103" s="149"/>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166"/>
      <c r="BO103" s="166"/>
      <c r="BP103" s="166"/>
      <c r="BQ103" s="166"/>
      <c r="BR103" s="166"/>
      <c r="BS103" s="166"/>
      <c r="BT103" s="166"/>
      <c r="BU103" s="166"/>
      <c r="BV103" s="166"/>
      <c r="BW103" s="16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row>
    <row r="104" spans="1:95" ht="2.2999999999999998" customHeight="1" x14ac:dyDescent="0.25">
      <c r="A104" s="166"/>
      <c r="B104" s="166"/>
      <c r="C104" s="166"/>
      <c r="D104" s="166"/>
      <c r="E104" s="166"/>
      <c r="F104" s="166"/>
      <c r="G104" s="166"/>
      <c r="H104" s="166"/>
      <c r="I104" s="166"/>
      <c r="J104" s="166"/>
      <c r="K104" s="166"/>
      <c r="L104" s="166"/>
      <c r="M104" s="166"/>
      <c r="N104" s="166"/>
      <c r="O104" s="166"/>
      <c r="P104" s="166"/>
      <c r="Q104" s="166"/>
      <c r="R104" s="166"/>
      <c r="S104" s="166"/>
      <c r="T104" s="166"/>
      <c r="U104" s="166"/>
      <c r="V104" s="149"/>
      <c r="W104" s="166"/>
      <c r="X104" s="166"/>
      <c r="Y104" s="166"/>
      <c r="Z104" s="166"/>
      <c r="AA104" s="166"/>
      <c r="AB104" s="166"/>
      <c r="AC104" s="166"/>
      <c r="AD104" s="166"/>
      <c r="AE104" s="166"/>
      <c r="AF104" s="166"/>
      <c r="AG104" s="166"/>
      <c r="AH104" s="166"/>
      <c r="AI104" s="149"/>
      <c r="AJ104" s="149"/>
      <c r="AK104" s="149"/>
      <c r="AL104" s="149"/>
      <c r="AM104" s="149"/>
      <c r="AN104" s="149"/>
      <c r="AO104" s="149"/>
      <c r="AP104" s="149"/>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166"/>
      <c r="BO104" s="166"/>
      <c r="BP104" s="166"/>
      <c r="BQ104" s="166"/>
      <c r="BR104" s="166"/>
      <c r="BS104" s="166"/>
      <c r="BT104" s="166"/>
      <c r="BU104" s="166"/>
      <c r="BV104" s="166"/>
      <c r="BW104" s="16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row>
    <row r="105" spans="1:95" ht="2.2999999999999998" customHeight="1" x14ac:dyDescent="0.25">
      <c r="A105" s="166"/>
      <c r="B105" s="166"/>
      <c r="C105" s="166"/>
      <c r="D105" s="166"/>
      <c r="E105" s="166"/>
      <c r="F105" s="166"/>
      <c r="G105" s="166"/>
      <c r="H105" s="166"/>
      <c r="I105" s="166"/>
      <c r="J105" s="166"/>
      <c r="K105" s="166"/>
      <c r="L105" s="166"/>
      <c r="M105" s="166"/>
      <c r="N105" s="166"/>
      <c r="O105" s="166"/>
      <c r="P105" s="166"/>
      <c r="Q105" s="166"/>
      <c r="R105" s="166"/>
      <c r="S105" s="166"/>
      <c r="T105" s="166"/>
      <c r="U105" s="166"/>
      <c r="V105" s="149"/>
      <c r="W105" s="2"/>
      <c r="X105" s="2"/>
      <c r="Y105" s="2"/>
      <c r="Z105" s="2"/>
      <c r="AA105" s="2"/>
      <c r="AB105" s="2"/>
      <c r="AC105" s="2"/>
      <c r="AD105" s="2"/>
      <c r="AE105" s="166"/>
      <c r="AF105" s="166"/>
      <c r="AG105" s="166"/>
      <c r="AH105" s="166"/>
      <c r="AI105" s="149"/>
      <c r="AJ105" s="149"/>
      <c r="AK105" s="149"/>
      <c r="AL105" s="149"/>
      <c r="AM105" s="149"/>
      <c r="AN105" s="149"/>
      <c r="AO105" s="149"/>
      <c r="AP105" s="149"/>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166"/>
      <c r="BO105" s="166"/>
      <c r="BP105" s="166"/>
      <c r="BQ105" s="166"/>
      <c r="BR105" s="166"/>
      <c r="BS105" s="166"/>
      <c r="BT105" s="166"/>
      <c r="BU105" s="166"/>
      <c r="BV105" s="166"/>
      <c r="BW105" s="16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row>
    <row r="106" spans="1:95" ht="2.2999999999999998" customHeight="1" x14ac:dyDescent="0.25">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49"/>
      <c r="W106" s="2"/>
      <c r="X106" s="2"/>
      <c r="Y106" s="2"/>
      <c r="Z106" s="2"/>
      <c r="AA106" s="2"/>
      <c r="AB106" s="2"/>
      <c r="AC106" s="2"/>
      <c r="AD106" s="2"/>
      <c r="AE106" s="166"/>
      <c r="AF106" s="166"/>
      <c r="AG106" s="166"/>
      <c r="AH106" s="166"/>
      <c r="AI106" s="149"/>
      <c r="AJ106" s="149"/>
      <c r="AK106" s="149"/>
      <c r="AL106" s="149"/>
      <c r="AM106" s="149"/>
      <c r="AN106" s="149"/>
      <c r="AO106" s="149"/>
      <c r="AP106" s="149"/>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166"/>
      <c r="BO106" s="166"/>
      <c r="BP106" s="166"/>
      <c r="BQ106" s="166"/>
      <c r="BR106" s="166"/>
      <c r="BS106" s="166"/>
      <c r="BT106" s="166"/>
      <c r="BU106" s="166"/>
      <c r="BV106" s="166"/>
      <c r="BW106" s="16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row>
    <row r="107" spans="1:95" ht="2.2999999999999998" customHeight="1" x14ac:dyDescent="0.25">
      <c r="A107" s="166"/>
      <c r="B107" s="166"/>
      <c r="C107" s="166"/>
      <c r="D107" s="166"/>
      <c r="E107" s="166"/>
      <c r="F107" s="166"/>
      <c r="G107" s="166"/>
      <c r="H107" s="166"/>
      <c r="I107" s="166"/>
      <c r="J107" s="166"/>
      <c r="K107" s="166"/>
      <c r="L107" s="166"/>
      <c r="M107" s="166"/>
      <c r="N107" s="166"/>
      <c r="O107" s="166"/>
      <c r="P107" s="166"/>
      <c r="Q107" s="166"/>
      <c r="R107" s="166"/>
      <c r="S107" s="166"/>
      <c r="T107" s="166"/>
      <c r="U107" s="166"/>
      <c r="V107" s="149"/>
      <c r="W107" s="2"/>
      <c r="X107" s="2"/>
      <c r="Y107" s="2"/>
      <c r="Z107" s="2"/>
      <c r="AA107" s="2"/>
      <c r="AB107" s="2"/>
      <c r="AC107" s="2"/>
      <c r="AD107" s="2"/>
      <c r="AE107" s="166"/>
      <c r="AF107" s="166"/>
      <c r="AG107" s="166"/>
      <c r="AH107" s="166"/>
      <c r="AI107" s="149"/>
      <c r="AJ107" s="149"/>
      <c r="AK107" s="149"/>
      <c r="AL107" s="149"/>
      <c r="AM107" s="149"/>
      <c r="AN107" s="149"/>
      <c r="AO107" s="149"/>
      <c r="AP107" s="149"/>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166"/>
      <c r="BO107" s="166"/>
      <c r="BP107" s="166"/>
      <c r="BQ107" s="166"/>
      <c r="BR107" s="166"/>
      <c r="BS107" s="166"/>
      <c r="BT107" s="166"/>
      <c r="BU107" s="166"/>
      <c r="BV107" s="166"/>
      <c r="BW107" s="16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row>
    <row r="108" spans="1:95" ht="2.2999999999999998" customHeight="1" x14ac:dyDescent="0.25">
      <c r="A108" s="166"/>
      <c r="B108" s="166"/>
      <c r="C108" s="166"/>
      <c r="D108" s="166"/>
      <c r="E108" s="166"/>
      <c r="F108" s="166"/>
      <c r="G108" s="166"/>
      <c r="H108" s="166"/>
      <c r="I108" s="166"/>
      <c r="J108" s="166"/>
      <c r="K108" s="166"/>
      <c r="L108" s="166"/>
      <c r="M108" s="166"/>
      <c r="N108" s="166"/>
      <c r="O108" s="166"/>
      <c r="P108" s="166"/>
      <c r="Q108" s="166"/>
      <c r="R108" s="166"/>
      <c r="S108" s="166"/>
      <c r="T108" s="166"/>
      <c r="U108" s="166"/>
      <c r="V108" s="149"/>
      <c r="W108" s="2"/>
      <c r="X108" s="2"/>
      <c r="Y108" s="2"/>
      <c r="Z108" s="2"/>
      <c r="AA108" s="2"/>
      <c r="AB108" s="2"/>
      <c r="AC108" s="2"/>
      <c r="AD108" s="2"/>
      <c r="AE108" s="166"/>
      <c r="AF108" s="166"/>
      <c r="AG108" s="166"/>
      <c r="AH108" s="166"/>
      <c r="AI108" s="149"/>
      <c r="AJ108" s="149"/>
      <c r="AK108" s="149"/>
      <c r="AL108" s="149"/>
      <c r="AM108" s="149"/>
      <c r="AN108" s="149"/>
      <c r="AO108" s="149"/>
      <c r="AP108" s="149"/>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166"/>
      <c r="BO108" s="166"/>
      <c r="BP108" s="166"/>
      <c r="BQ108" s="166"/>
      <c r="BR108" s="166"/>
      <c r="BS108" s="166"/>
      <c r="BT108" s="166"/>
      <c r="BU108" s="166"/>
      <c r="BV108" s="166"/>
      <c r="BW108" s="16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row>
    <row r="109" spans="1:95" ht="2.2999999999999998" customHeight="1" x14ac:dyDescent="0.25">
      <c r="A109" s="166"/>
      <c r="B109" s="166"/>
      <c r="C109" s="166"/>
      <c r="D109" s="166"/>
      <c r="E109" s="166"/>
      <c r="F109" s="166"/>
      <c r="G109" s="166"/>
      <c r="H109" s="166"/>
      <c r="I109" s="166"/>
      <c r="J109" s="166"/>
      <c r="K109" s="166"/>
      <c r="L109" s="166"/>
      <c r="M109" s="166"/>
      <c r="N109" s="166"/>
      <c r="O109" s="166"/>
      <c r="P109" s="166"/>
      <c r="Q109" s="166"/>
      <c r="R109" s="166"/>
      <c r="S109" s="166"/>
      <c r="T109" s="166"/>
      <c r="U109" s="166"/>
      <c r="V109" s="149"/>
      <c r="W109" s="2"/>
      <c r="X109" s="2"/>
      <c r="Y109" s="2"/>
      <c r="Z109" s="2"/>
      <c r="AA109" s="2"/>
      <c r="AB109" s="2"/>
      <c r="AC109" s="2"/>
      <c r="AD109" s="2"/>
      <c r="AE109" s="149"/>
      <c r="AF109" s="149"/>
      <c r="AG109" s="149"/>
      <c r="AH109" s="149"/>
      <c r="AI109" s="149"/>
      <c r="AJ109" s="149"/>
      <c r="AK109" s="149"/>
      <c r="AL109" s="149"/>
      <c r="AM109" s="149"/>
      <c r="AN109" s="149"/>
      <c r="AO109" s="149"/>
      <c r="AP109" s="149"/>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166"/>
      <c r="BO109" s="166"/>
      <c r="BP109" s="166"/>
      <c r="BQ109" s="166"/>
      <c r="BR109" s="166"/>
      <c r="BS109" s="166"/>
      <c r="BT109" s="166"/>
      <c r="BU109" s="166"/>
      <c r="BV109" s="166"/>
      <c r="BW109" s="16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row>
    <row r="110" spans="1:95" ht="2.2999999999999998" customHeight="1" x14ac:dyDescent="0.25">
      <c r="A110" s="166"/>
      <c r="B110" s="166"/>
      <c r="C110" s="166"/>
      <c r="D110" s="166"/>
      <c r="E110" s="166"/>
      <c r="F110" s="166"/>
      <c r="G110" s="166"/>
      <c r="H110" s="166"/>
      <c r="I110" s="166"/>
      <c r="J110" s="166"/>
      <c r="K110" s="166"/>
      <c r="L110" s="166"/>
      <c r="M110" s="166"/>
      <c r="N110" s="166"/>
      <c r="O110" s="166"/>
      <c r="P110" s="166"/>
      <c r="Q110" s="166"/>
      <c r="R110" s="166"/>
      <c r="S110" s="166"/>
      <c r="T110" s="166"/>
      <c r="U110" s="166"/>
      <c r="V110" s="149"/>
      <c r="W110" s="149"/>
      <c r="X110" s="149"/>
      <c r="Y110" s="149"/>
      <c r="Z110" s="149"/>
      <c r="AA110" s="149"/>
      <c r="AB110" s="149"/>
      <c r="AC110" s="149"/>
      <c r="AD110" s="149"/>
      <c r="AE110" s="149"/>
      <c r="AF110" s="149"/>
      <c r="AG110" s="149"/>
      <c r="AH110" s="149"/>
      <c r="AI110" s="149"/>
      <c r="AJ110" s="149"/>
      <c r="AK110" s="149"/>
      <c r="AL110" s="149"/>
      <c r="AM110" s="149"/>
      <c r="AN110" s="149"/>
      <c r="AO110" s="149"/>
      <c r="AP110" s="149"/>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166"/>
      <c r="BO110" s="166"/>
      <c r="BP110" s="166"/>
      <c r="BQ110" s="166"/>
      <c r="BR110" s="166"/>
      <c r="BS110" s="166"/>
      <c r="BT110" s="166"/>
      <c r="BU110" s="166"/>
      <c r="BV110" s="166"/>
      <c r="BW110" s="16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row>
    <row r="111" spans="1:95" ht="2.2999999999999998" customHeight="1" x14ac:dyDescent="0.25">
      <c r="A111" s="166"/>
      <c r="B111" s="166"/>
      <c r="C111" s="166"/>
      <c r="D111" s="166"/>
      <c r="E111" s="166"/>
      <c r="F111" s="166"/>
      <c r="G111" s="166"/>
      <c r="H111" s="166"/>
      <c r="I111" s="166"/>
      <c r="J111" s="166"/>
      <c r="K111" s="166"/>
      <c r="L111" s="166"/>
      <c r="M111" s="166"/>
      <c r="N111" s="166"/>
      <c r="O111" s="166"/>
      <c r="P111" s="166"/>
      <c r="Q111" s="166"/>
      <c r="R111" s="166"/>
      <c r="S111" s="166"/>
      <c r="T111" s="166"/>
      <c r="U111" s="166"/>
      <c r="V111" s="149"/>
      <c r="W111" s="149"/>
      <c r="X111" s="149"/>
      <c r="Y111" s="149"/>
      <c r="Z111" s="149"/>
      <c r="AA111" s="149"/>
      <c r="AB111" s="149"/>
      <c r="AC111" s="149"/>
      <c r="AD111" s="149"/>
      <c r="AE111" s="149"/>
      <c r="AF111" s="149"/>
      <c r="AG111" s="149"/>
      <c r="AH111" s="149"/>
      <c r="AI111" s="149"/>
      <c r="AJ111" s="149"/>
      <c r="AK111" s="149"/>
      <c r="AL111" s="149"/>
      <c r="AM111" s="149"/>
      <c r="AN111" s="149"/>
      <c r="AO111" s="149"/>
      <c r="AP111" s="149"/>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166"/>
      <c r="BO111" s="166"/>
      <c r="BP111" s="166"/>
      <c r="BQ111" s="166"/>
      <c r="BR111" s="166"/>
      <c r="BS111" s="166"/>
      <c r="BT111" s="166"/>
      <c r="BU111" s="166"/>
      <c r="BV111" s="166"/>
      <c r="BW111" s="16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row>
    <row r="112" spans="1:95" ht="2.2999999999999998" customHeight="1" x14ac:dyDescent="0.25">
      <c r="A112" s="166"/>
      <c r="B112" s="166"/>
      <c r="C112" s="166"/>
      <c r="D112" s="166"/>
      <c r="E112" s="166"/>
      <c r="F112" s="166"/>
      <c r="G112" s="166"/>
      <c r="H112" s="166"/>
      <c r="I112" s="166"/>
      <c r="J112" s="166"/>
      <c r="K112" s="166"/>
      <c r="L112" s="166"/>
      <c r="M112" s="166"/>
      <c r="N112" s="166"/>
      <c r="O112" s="166"/>
      <c r="P112" s="166"/>
      <c r="Q112" s="166"/>
      <c r="R112" s="166"/>
      <c r="S112" s="166"/>
      <c r="T112" s="166"/>
      <c r="U112" s="166"/>
      <c r="V112" s="149"/>
      <c r="W112" s="149"/>
      <c r="X112" s="149"/>
      <c r="Y112" s="149"/>
      <c r="Z112" s="149"/>
      <c r="AA112" s="149"/>
      <c r="AB112" s="149"/>
      <c r="AC112" s="149"/>
      <c r="AD112" s="149"/>
      <c r="AE112" s="149"/>
      <c r="AF112" s="149"/>
      <c r="AG112" s="149"/>
      <c r="AH112" s="149"/>
      <c r="AI112" s="149"/>
      <c r="AJ112" s="149"/>
      <c r="AK112" s="149"/>
      <c r="AL112" s="149"/>
      <c r="AM112" s="149"/>
      <c r="AN112" s="149"/>
      <c r="AO112" s="149"/>
      <c r="AP112" s="149"/>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166"/>
      <c r="BO112" s="166"/>
      <c r="BP112" s="166"/>
      <c r="BQ112" s="166"/>
      <c r="BR112" s="166"/>
      <c r="BS112" s="166"/>
      <c r="BT112" s="166"/>
      <c r="BU112" s="166"/>
      <c r="BV112" s="166"/>
      <c r="BW112" s="16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row>
    <row r="113" spans="1:95" ht="2.2999999999999998" customHeight="1" x14ac:dyDescent="0.25">
      <c r="A113" s="166"/>
      <c r="B113" s="166"/>
      <c r="C113" s="166"/>
      <c r="D113" s="166"/>
      <c r="E113" s="166"/>
      <c r="F113" s="166"/>
      <c r="G113" s="166"/>
      <c r="H113" s="166"/>
      <c r="I113" s="166"/>
      <c r="J113" s="166"/>
      <c r="K113" s="166"/>
      <c r="L113" s="166"/>
      <c r="M113" s="166"/>
      <c r="N113" s="166"/>
      <c r="O113" s="166"/>
      <c r="P113" s="166"/>
      <c r="Q113" s="166"/>
      <c r="R113" s="166"/>
      <c r="S113" s="166"/>
      <c r="T113" s="166"/>
      <c r="U113" s="166"/>
      <c r="V113" s="149"/>
      <c r="W113" s="149"/>
      <c r="X113" s="149"/>
      <c r="Y113" s="149"/>
      <c r="Z113" s="149"/>
      <c r="AA113" s="149"/>
      <c r="AB113" s="149"/>
      <c r="AC113" s="149"/>
      <c r="AD113" s="149"/>
      <c r="AE113" s="149"/>
      <c r="AF113" s="149"/>
      <c r="AG113" s="149"/>
      <c r="AH113" s="149"/>
      <c r="AI113" s="149"/>
      <c r="AJ113" s="149"/>
      <c r="AK113" s="149"/>
      <c r="AL113" s="149"/>
      <c r="AM113" s="149"/>
      <c r="AN113" s="149"/>
      <c r="AO113" s="149"/>
      <c r="AP113" s="149"/>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166"/>
      <c r="BO113" s="166"/>
      <c r="BP113" s="166"/>
      <c r="BQ113" s="166"/>
      <c r="BR113" s="166"/>
      <c r="BS113" s="166"/>
      <c r="BT113" s="166"/>
      <c r="BU113" s="166"/>
      <c r="BV113" s="166"/>
      <c r="BW113" s="16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row>
    <row r="114" spans="1:95" ht="2.2999999999999998" customHeight="1" x14ac:dyDescent="0.25">
      <c r="A114" s="166"/>
      <c r="B114" s="166"/>
      <c r="C114" s="166"/>
      <c r="D114" s="166"/>
      <c r="E114" s="166"/>
      <c r="F114" s="166"/>
      <c r="G114" s="166"/>
      <c r="H114" s="166"/>
      <c r="I114" s="166"/>
      <c r="J114" s="166"/>
      <c r="K114" s="166"/>
      <c r="L114" s="166"/>
      <c r="M114" s="166"/>
      <c r="N114" s="166"/>
      <c r="O114" s="166"/>
      <c r="P114" s="166"/>
      <c r="Q114" s="166"/>
      <c r="R114" s="166"/>
      <c r="S114" s="166"/>
      <c r="T114" s="166"/>
      <c r="U114" s="166"/>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166"/>
      <c r="BO114" s="166"/>
      <c r="BP114" s="166"/>
      <c r="BQ114" s="166"/>
      <c r="BR114" s="166"/>
      <c r="BS114" s="166"/>
      <c r="BT114" s="166"/>
      <c r="BU114" s="166"/>
      <c r="BV114" s="166"/>
      <c r="BW114" s="16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row>
    <row r="115" spans="1:95" ht="2.2999999999999998" customHeight="1" x14ac:dyDescent="0.25">
      <c r="A115" s="166"/>
      <c r="B115" s="166"/>
      <c r="C115" s="166"/>
      <c r="D115" s="166"/>
      <c r="E115" s="166"/>
      <c r="F115" s="166"/>
      <c r="G115" s="166"/>
      <c r="H115" s="166"/>
      <c r="I115" s="166"/>
      <c r="J115" s="166"/>
      <c r="K115" s="166"/>
      <c r="L115" s="166"/>
      <c r="M115" s="166"/>
      <c r="N115" s="166"/>
      <c r="O115" s="166"/>
      <c r="P115" s="166"/>
      <c r="Q115" s="166"/>
      <c r="R115" s="166"/>
      <c r="S115" s="166"/>
      <c r="T115" s="166"/>
      <c r="U115" s="166"/>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166"/>
      <c r="BO115" s="166"/>
      <c r="BP115" s="166"/>
      <c r="BQ115" s="166"/>
      <c r="BR115" s="166"/>
      <c r="BS115" s="166"/>
      <c r="BT115" s="166"/>
      <c r="BU115" s="166"/>
      <c r="BV115" s="166"/>
      <c r="BW115" s="16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row>
    <row r="116" spans="1:95" ht="2.2999999999999998" customHeight="1" x14ac:dyDescent="0.25">
      <c r="A116" s="166"/>
      <c r="B116" s="166"/>
      <c r="C116" s="166"/>
      <c r="D116" s="166"/>
      <c r="E116" s="166"/>
      <c r="F116" s="166"/>
      <c r="G116" s="166"/>
      <c r="H116" s="166"/>
      <c r="I116" s="166"/>
      <c r="J116" s="166"/>
      <c r="K116" s="166"/>
      <c r="L116" s="166"/>
      <c r="M116" s="166"/>
      <c r="N116" s="166"/>
      <c r="O116" s="166"/>
      <c r="P116" s="166"/>
      <c r="Q116" s="166"/>
      <c r="R116" s="166"/>
      <c r="S116" s="166"/>
      <c r="T116" s="166"/>
      <c r="U116" s="166"/>
      <c r="V116" s="149"/>
      <c r="W116" s="149"/>
      <c r="X116" s="149"/>
      <c r="Y116" s="149"/>
      <c r="Z116" s="149"/>
      <c r="AA116" s="149"/>
      <c r="AB116" s="149"/>
      <c r="AC116" s="149"/>
      <c r="AD116" s="149"/>
      <c r="AE116" s="149"/>
      <c r="AF116" s="149"/>
      <c r="AG116" s="149"/>
      <c r="AH116" s="149"/>
      <c r="AI116" s="149"/>
      <c r="AJ116" s="149"/>
      <c r="AK116" s="149"/>
      <c r="AL116" s="149"/>
      <c r="AM116" s="149"/>
      <c r="AN116" s="149"/>
      <c r="AO116" s="149"/>
      <c r="AP116" s="149"/>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166"/>
      <c r="BO116" s="166"/>
      <c r="BP116" s="166"/>
      <c r="BQ116" s="166"/>
      <c r="BR116" s="166"/>
      <c r="BS116" s="166"/>
      <c r="BT116" s="166"/>
      <c r="BU116" s="166"/>
      <c r="BV116" s="166"/>
      <c r="BW116" s="16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row>
    <row r="117" spans="1:95" ht="2.2999999999999998" customHeight="1" x14ac:dyDescent="0.25">
      <c r="A117" s="166"/>
      <c r="B117" s="166"/>
      <c r="C117" s="166"/>
      <c r="D117" s="166"/>
      <c r="E117" s="166"/>
      <c r="F117" s="166"/>
      <c r="G117" s="166"/>
      <c r="H117" s="166"/>
      <c r="I117" s="166"/>
      <c r="J117" s="166"/>
      <c r="K117" s="166"/>
      <c r="L117" s="166"/>
      <c r="M117" s="166"/>
      <c r="N117" s="166"/>
      <c r="O117" s="166"/>
      <c r="P117" s="166"/>
      <c r="Q117" s="166"/>
      <c r="R117" s="166"/>
      <c r="S117" s="166"/>
      <c r="T117" s="166"/>
      <c r="U117" s="166"/>
      <c r="V117" s="149"/>
      <c r="W117" s="149"/>
      <c r="X117" s="149"/>
      <c r="Y117" s="149"/>
      <c r="Z117" s="149"/>
      <c r="AA117" s="149"/>
      <c r="AB117" s="149"/>
      <c r="AC117" s="149"/>
      <c r="AD117" s="149"/>
      <c r="AE117" s="149"/>
      <c r="AF117" s="149"/>
      <c r="AG117" s="149"/>
      <c r="AH117" s="149"/>
      <c r="AI117" s="149"/>
      <c r="AJ117" s="149"/>
      <c r="AK117" s="149"/>
      <c r="AL117" s="149"/>
      <c r="AM117" s="149"/>
      <c r="AN117" s="149"/>
      <c r="AO117" s="149"/>
      <c r="AP117" s="149"/>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166"/>
      <c r="BO117" s="166"/>
      <c r="BP117" s="166"/>
      <c r="BQ117" s="166"/>
      <c r="BR117" s="166"/>
      <c r="BS117" s="166"/>
      <c r="BT117" s="166"/>
      <c r="BU117" s="166"/>
      <c r="BV117" s="166"/>
      <c r="BW117" s="16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row>
    <row r="118" spans="1:95" ht="2.2999999999999998" customHeight="1" x14ac:dyDescent="0.25">
      <c r="A118" s="166"/>
      <c r="B118" s="166"/>
      <c r="C118" s="166"/>
      <c r="D118" s="166"/>
      <c r="E118" s="166"/>
      <c r="F118" s="166"/>
      <c r="G118" s="166"/>
      <c r="H118" s="166"/>
      <c r="I118" s="166"/>
      <c r="J118" s="166"/>
      <c r="K118" s="166"/>
      <c r="L118" s="166"/>
      <c r="M118" s="166"/>
      <c r="N118" s="166"/>
      <c r="O118" s="166"/>
      <c r="P118" s="166"/>
      <c r="Q118" s="166"/>
      <c r="R118" s="166"/>
      <c r="S118" s="166"/>
      <c r="T118" s="166"/>
      <c r="U118" s="166"/>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166"/>
      <c r="BO118" s="166"/>
      <c r="BP118" s="166"/>
      <c r="BQ118" s="166"/>
      <c r="BR118" s="166"/>
      <c r="BS118" s="166"/>
      <c r="BT118" s="166"/>
      <c r="BU118" s="166"/>
      <c r="BV118" s="166"/>
      <c r="BW118" s="16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row>
    <row r="119" spans="1:95" ht="2.2999999999999998" customHeight="1" x14ac:dyDescent="0.25">
      <c r="A119" s="166"/>
      <c r="B119" s="166"/>
      <c r="C119" s="166"/>
      <c r="D119" s="166"/>
      <c r="E119" s="166"/>
      <c r="F119" s="166"/>
      <c r="G119" s="166"/>
      <c r="H119" s="166"/>
      <c r="I119" s="166"/>
      <c r="J119" s="166"/>
      <c r="K119" s="166"/>
      <c r="L119" s="166"/>
      <c r="M119" s="166"/>
      <c r="N119" s="166"/>
      <c r="O119" s="166"/>
      <c r="P119" s="166"/>
      <c r="Q119" s="166"/>
      <c r="R119" s="166"/>
      <c r="S119" s="166"/>
      <c r="T119" s="166"/>
      <c r="U119" s="166"/>
      <c r="V119" s="149"/>
      <c r="W119" s="149"/>
      <c r="X119" s="149"/>
      <c r="Y119" s="149"/>
      <c r="Z119" s="149"/>
      <c r="AA119" s="149"/>
      <c r="AB119" s="149"/>
      <c r="AC119" s="149"/>
      <c r="AD119" s="149"/>
      <c r="AE119" s="149"/>
      <c r="AF119" s="149"/>
      <c r="AG119" s="149"/>
      <c r="AH119" s="149"/>
      <c r="AI119" s="149"/>
      <c r="AJ119" s="149"/>
      <c r="AK119" s="149"/>
      <c r="AL119" s="149"/>
      <c r="AM119" s="149"/>
      <c r="AN119" s="149"/>
      <c r="AO119" s="149"/>
      <c r="AP119" s="149"/>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166"/>
      <c r="BO119" s="166"/>
      <c r="BP119" s="166"/>
      <c r="BQ119" s="166"/>
      <c r="BR119" s="166"/>
      <c r="BS119" s="166"/>
      <c r="BT119" s="166"/>
      <c r="BU119" s="166"/>
      <c r="BV119" s="166"/>
      <c r="BW119" s="16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row>
    <row r="120" spans="1:95" ht="2.2999999999999998" customHeight="1" x14ac:dyDescent="0.25">
      <c r="A120" s="166"/>
      <c r="B120" s="166"/>
      <c r="C120" s="166"/>
      <c r="D120" s="166"/>
      <c r="E120" s="166"/>
      <c r="F120" s="166"/>
      <c r="G120" s="166"/>
      <c r="H120" s="166"/>
      <c r="I120" s="166"/>
      <c r="J120" s="166"/>
      <c r="K120" s="166"/>
      <c r="L120" s="166"/>
      <c r="M120" s="166"/>
      <c r="N120" s="166"/>
      <c r="O120" s="166"/>
      <c r="P120" s="166"/>
      <c r="Q120" s="166"/>
      <c r="R120" s="166"/>
      <c r="S120" s="166"/>
      <c r="T120" s="166"/>
      <c r="U120" s="166"/>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166"/>
      <c r="BO120" s="166"/>
      <c r="BP120" s="166"/>
      <c r="BQ120" s="166"/>
      <c r="BR120" s="166"/>
      <c r="BS120" s="166"/>
      <c r="BT120" s="166"/>
      <c r="BU120" s="166"/>
      <c r="BV120" s="166"/>
      <c r="BW120" s="16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row>
    <row r="121" spans="1:95" ht="2.2999999999999998" customHeight="1" x14ac:dyDescent="0.25">
      <c r="A121" s="166"/>
      <c r="B121" s="166"/>
      <c r="C121" s="166"/>
      <c r="D121" s="166"/>
      <c r="E121" s="166"/>
      <c r="F121" s="166"/>
      <c r="G121" s="166"/>
      <c r="H121" s="166"/>
      <c r="I121" s="166"/>
      <c r="J121" s="166"/>
      <c r="K121" s="166"/>
      <c r="L121" s="166"/>
      <c r="M121" s="166"/>
      <c r="N121" s="166"/>
      <c r="O121" s="166"/>
      <c r="P121" s="166"/>
      <c r="Q121" s="166"/>
      <c r="R121" s="166"/>
      <c r="S121" s="166"/>
      <c r="T121" s="166"/>
      <c r="U121" s="166"/>
      <c r="V121" s="149"/>
      <c r="W121" s="149"/>
      <c r="X121" s="149"/>
      <c r="Y121" s="149"/>
      <c r="Z121" s="149"/>
      <c r="AA121" s="149"/>
      <c r="AB121" s="149"/>
      <c r="AC121" s="149"/>
      <c r="AD121" s="149"/>
      <c r="AE121" s="149"/>
      <c r="AF121" s="149"/>
      <c r="AG121" s="149"/>
      <c r="AH121" s="149"/>
      <c r="AI121" s="149"/>
      <c r="AJ121" s="149"/>
      <c r="AK121" s="149"/>
      <c r="AL121" s="149"/>
      <c r="AM121" s="149"/>
      <c r="AN121" s="149"/>
      <c r="AO121" s="149"/>
      <c r="AP121" s="149"/>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166"/>
      <c r="BO121" s="166"/>
      <c r="BP121" s="166"/>
      <c r="BQ121" s="166"/>
      <c r="BR121" s="166"/>
      <c r="BS121" s="166"/>
      <c r="BT121" s="166"/>
      <c r="BU121" s="166"/>
      <c r="BV121" s="166"/>
      <c r="BW121" s="16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row>
    <row r="122" spans="1:95" ht="2.2999999999999998" customHeight="1" x14ac:dyDescent="0.25">
      <c r="A122" s="166"/>
      <c r="B122" s="166"/>
      <c r="C122" s="166"/>
      <c r="D122" s="166"/>
      <c r="E122" s="166"/>
      <c r="F122" s="166"/>
      <c r="G122" s="166"/>
      <c r="H122" s="166"/>
      <c r="I122" s="166"/>
      <c r="J122" s="166"/>
      <c r="K122" s="166"/>
      <c r="L122" s="166"/>
      <c r="M122" s="166"/>
      <c r="N122" s="166"/>
      <c r="O122" s="166"/>
      <c r="P122" s="166"/>
      <c r="Q122" s="166"/>
      <c r="R122" s="166"/>
      <c r="S122" s="166"/>
      <c r="T122" s="166"/>
      <c r="U122" s="166"/>
      <c r="V122" s="149"/>
      <c r="W122" s="149"/>
      <c r="X122" s="149"/>
      <c r="Y122" s="149"/>
      <c r="Z122" s="149"/>
      <c r="AA122" s="149"/>
      <c r="AB122" s="149"/>
      <c r="AC122" s="149"/>
      <c r="AD122" s="149"/>
      <c r="AE122" s="149"/>
      <c r="AF122" s="149"/>
      <c r="AG122" s="149"/>
      <c r="AH122" s="149"/>
      <c r="AI122" s="149"/>
      <c r="AJ122" s="149"/>
      <c r="AK122" s="149"/>
      <c r="AL122" s="149"/>
      <c r="AM122" s="149"/>
      <c r="AN122" s="149"/>
      <c r="AO122" s="149"/>
      <c r="AP122" s="149"/>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166"/>
      <c r="BO122" s="166"/>
      <c r="BP122" s="166"/>
      <c r="BQ122" s="166"/>
      <c r="BR122" s="166"/>
      <c r="BS122" s="166"/>
      <c r="BT122" s="166"/>
      <c r="BU122" s="166"/>
      <c r="BV122" s="166"/>
      <c r="BW122" s="16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row>
    <row r="123" spans="1:95" ht="2.2999999999999998" customHeight="1" x14ac:dyDescent="0.25">
      <c r="A123" s="166"/>
      <c r="B123" s="166"/>
      <c r="C123" s="166"/>
      <c r="D123" s="166"/>
      <c r="E123" s="166"/>
      <c r="F123" s="166"/>
      <c r="G123" s="166"/>
      <c r="H123" s="166"/>
      <c r="I123" s="166"/>
      <c r="J123" s="166"/>
      <c r="K123" s="166"/>
      <c r="L123" s="166"/>
      <c r="M123" s="166"/>
      <c r="N123" s="166"/>
      <c r="O123" s="166"/>
      <c r="P123" s="166"/>
      <c r="Q123" s="166"/>
      <c r="R123" s="166"/>
      <c r="S123" s="166"/>
      <c r="T123" s="166"/>
      <c r="U123" s="166"/>
      <c r="V123" s="149"/>
      <c r="W123" s="149"/>
      <c r="X123" s="149"/>
      <c r="Y123" s="149"/>
      <c r="Z123" s="149"/>
      <c r="AA123" s="149"/>
      <c r="AB123" s="149"/>
      <c r="AC123" s="149"/>
      <c r="AD123" s="149"/>
      <c r="AE123" s="149"/>
      <c r="AF123" s="149"/>
      <c r="AG123" s="149"/>
      <c r="AH123" s="149"/>
      <c r="AI123" s="149"/>
      <c r="AJ123" s="149"/>
      <c r="AK123" s="149"/>
      <c r="AL123" s="149"/>
      <c r="AM123" s="149"/>
      <c r="AN123" s="149"/>
      <c r="AO123" s="149"/>
      <c r="AP123" s="149"/>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166"/>
      <c r="BO123" s="166"/>
      <c r="BP123" s="166"/>
      <c r="BQ123" s="166"/>
      <c r="BR123" s="166"/>
      <c r="BS123" s="166"/>
      <c r="BT123" s="166"/>
      <c r="BU123" s="166"/>
      <c r="BV123" s="166"/>
      <c r="BW123" s="16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row>
    <row r="124" spans="1:95" ht="2.2999999999999998" customHeight="1" x14ac:dyDescent="0.25">
      <c r="A124" s="166"/>
      <c r="B124" s="166"/>
      <c r="C124" s="166"/>
      <c r="D124" s="166"/>
      <c r="E124" s="166"/>
      <c r="F124" s="166"/>
      <c r="G124" s="166"/>
      <c r="H124" s="166"/>
      <c r="I124" s="166"/>
      <c r="J124" s="166"/>
      <c r="K124" s="166"/>
      <c r="L124" s="166"/>
      <c r="M124" s="166"/>
      <c r="N124" s="166"/>
      <c r="O124" s="166"/>
      <c r="P124" s="166"/>
      <c r="Q124" s="166"/>
      <c r="R124" s="166"/>
      <c r="S124" s="166"/>
      <c r="T124" s="166"/>
      <c r="U124" s="166"/>
      <c r="V124" s="149"/>
      <c r="W124" s="149"/>
      <c r="X124" s="149"/>
      <c r="Y124" s="149"/>
      <c r="Z124" s="149"/>
      <c r="AA124" s="149"/>
      <c r="AB124" s="149"/>
      <c r="AC124" s="149"/>
      <c r="AD124" s="149"/>
      <c r="AE124" s="149"/>
      <c r="AF124" s="149"/>
      <c r="AG124" s="149"/>
      <c r="AH124" s="149"/>
      <c r="AI124" s="149"/>
      <c r="AJ124" s="149"/>
      <c r="AK124" s="149"/>
      <c r="AL124" s="149"/>
      <c r="AM124" s="149"/>
      <c r="AN124" s="149"/>
      <c r="AO124" s="149"/>
      <c r="AP124" s="149"/>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166"/>
      <c r="BO124" s="166"/>
      <c r="BP124" s="166"/>
      <c r="BQ124" s="166"/>
      <c r="BR124" s="166"/>
      <c r="BS124" s="166"/>
      <c r="BT124" s="166"/>
      <c r="BU124" s="166"/>
      <c r="BV124" s="166"/>
      <c r="BW124" s="16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row>
    <row r="125" spans="1:95" ht="2.2999999999999998" customHeight="1" x14ac:dyDescent="0.25">
      <c r="A125" s="166"/>
      <c r="B125" s="166"/>
      <c r="C125" s="166"/>
      <c r="D125" s="166"/>
      <c r="E125" s="166"/>
      <c r="F125" s="166"/>
      <c r="G125" s="166"/>
      <c r="H125" s="166"/>
      <c r="I125" s="166"/>
      <c r="J125" s="166"/>
      <c r="K125" s="166"/>
      <c r="L125" s="166"/>
      <c r="M125" s="166"/>
      <c r="N125" s="166"/>
      <c r="O125" s="166"/>
      <c r="P125" s="166"/>
      <c r="Q125" s="166"/>
      <c r="R125" s="166"/>
      <c r="S125" s="166"/>
      <c r="T125" s="166"/>
      <c r="U125" s="166"/>
      <c r="V125" s="149"/>
      <c r="W125" s="149"/>
      <c r="X125" s="149"/>
      <c r="Y125" s="149"/>
      <c r="Z125" s="149"/>
      <c r="AA125" s="149"/>
      <c r="AB125" s="149"/>
      <c r="AC125" s="149"/>
      <c r="AD125" s="149"/>
      <c r="AE125" s="149"/>
      <c r="AF125" s="149"/>
      <c r="AG125" s="149"/>
      <c r="AH125" s="149"/>
      <c r="AI125" s="149"/>
      <c r="AJ125" s="149"/>
      <c r="AK125" s="149"/>
      <c r="AL125" s="149"/>
      <c r="AM125" s="149"/>
      <c r="AN125" s="149"/>
      <c r="AO125" s="149"/>
      <c r="AP125" s="149"/>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166"/>
      <c r="BO125" s="166"/>
      <c r="BP125" s="166"/>
      <c r="BQ125" s="166"/>
      <c r="BR125" s="166"/>
      <c r="BS125" s="166"/>
      <c r="BT125" s="166"/>
      <c r="BU125" s="166"/>
      <c r="BV125" s="166"/>
      <c r="BW125" s="16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row>
    <row r="126" spans="1:95" ht="2.2999999999999998" customHeight="1" x14ac:dyDescent="0.25">
      <c r="A126" s="166"/>
      <c r="B126" s="166"/>
      <c r="C126" s="166"/>
      <c r="D126" s="166"/>
      <c r="E126" s="166"/>
      <c r="F126" s="166"/>
      <c r="G126" s="166"/>
      <c r="H126" s="166"/>
      <c r="I126" s="166"/>
      <c r="J126" s="166"/>
      <c r="K126" s="166"/>
      <c r="L126" s="166"/>
      <c r="M126" s="166"/>
      <c r="N126" s="166"/>
      <c r="O126" s="166"/>
      <c r="P126" s="166"/>
      <c r="Q126" s="166"/>
      <c r="R126" s="166"/>
      <c r="S126" s="166"/>
      <c r="T126" s="166"/>
      <c r="U126" s="166"/>
      <c r="V126" s="149"/>
      <c r="W126" s="149"/>
      <c r="X126" s="149"/>
      <c r="Y126" s="149"/>
      <c r="Z126" s="149"/>
      <c r="AA126" s="149"/>
      <c r="AB126" s="149"/>
      <c r="AC126" s="149"/>
      <c r="AD126" s="149"/>
      <c r="AE126" s="149"/>
      <c r="AF126" s="149"/>
      <c r="AG126" s="149"/>
      <c r="AH126" s="149"/>
      <c r="AI126" s="149"/>
      <c r="AJ126" s="149"/>
      <c r="AK126" s="149"/>
      <c r="AL126" s="149"/>
      <c r="AM126" s="149"/>
      <c r="AN126" s="149"/>
      <c r="AO126" s="149"/>
      <c r="AP126" s="149"/>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166"/>
      <c r="BO126" s="166"/>
      <c r="BP126" s="166"/>
      <c r="BQ126" s="166"/>
      <c r="BR126" s="166"/>
      <c r="BS126" s="166"/>
      <c r="BT126" s="166"/>
      <c r="BU126" s="166"/>
      <c r="BV126" s="166"/>
      <c r="BW126" s="16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row>
    <row r="127" spans="1:95" ht="2.2999999999999998" customHeight="1" x14ac:dyDescent="0.25">
      <c r="A127" s="166"/>
      <c r="B127" s="166"/>
      <c r="C127" s="166"/>
      <c r="D127" s="166"/>
      <c r="E127" s="166"/>
      <c r="F127" s="166"/>
      <c r="G127" s="166"/>
      <c r="H127" s="166"/>
      <c r="I127" s="166"/>
      <c r="J127" s="166"/>
      <c r="K127" s="166"/>
      <c r="L127" s="166"/>
      <c r="M127" s="166"/>
      <c r="N127" s="166"/>
      <c r="O127" s="166"/>
      <c r="P127" s="166"/>
      <c r="Q127" s="166"/>
      <c r="R127" s="166"/>
      <c r="S127" s="166"/>
      <c r="T127" s="166"/>
      <c r="U127" s="166"/>
      <c r="V127" s="149"/>
      <c r="W127" s="149"/>
      <c r="X127" s="149"/>
      <c r="Y127" s="149"/>
      <c r="Z127" s="149"/>
      <c r="AA127" s="149"/>
      <c r="AB127" s="149"/>
      <c r="AC127" s="149"/>
      <c r="AD127" s="149"/>
      <c r="AE127" s="149"/>
      <c r="AF127" s="149"/>
      <c r="AG127" s="149"/>
      <c r="AH127" s="149"/>
      <c r="AI127" s="149"/>
      <c r="AJ127" s="149"/>
      <c r="AK127" s="149"/>
      <c r="AL127" s="149"/>
      <c r="AM127" s="149"/>
      <c r="AN127" s="149"/>
      <c r="AO127" s="149"/>
      <c r="AP127" s="149"/>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166"/>
      <c r="BO127" s="166"/>
      <c r="BP127" s="166"/>
      <c r="BQ127" s="166"/>
      <c r="BR127" s="166"/>
      <c r="BS127" s="166"/>
      <c r="BT127" s="166"/>
      <c r="BU127" s="166"/>
      <c r="BV127" s="166"/>
      <c r="BW127" s="16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row>
    <row r="128" spans="1:95" ht="2.2999999999999998" customHeight="1" x14ac:dyDescent="0.25">
      <c r="A128" s="166"/>
      <c r="B128" s="166"/>
      <c r="C128" s="166"/>
      <c r="D128" s="166"/>
      <c r="E128" s="166"/>
      <c r="F128" s="166"/>
      <c r="G128" s="166"/>
      <c r="H128" s="166"/>
      <c r="I128" s="166"/>
      <c r="J128" s="166"/>
      <c r="K128" s="166"/>
      <c r="L128" s="166"/>
      <c r="M128" s="166"/>
      <c r="N128" s="166"/>
      <c r="O128" s="166"/>
      <c r="P128" s="166"/>
      <c r="Q128" s="166"/>
      <c r="R128" s="166"/>
      <c r="S128" s="166"/>
      <c r="T128" s="166"/>
      <c r="U128" s="166"/>
      <c r="V128" s="149"/>
      <c r="W128" s="149"/>
      <c r="X128" s="149"/>
      <c r="Y128" s="149"/>
      <c r="Z128" s="149"/>
      <c r="AA128" s="149"/>
      <c r="AB128" s="149"/>
      <c r="AC128" s="149"/>
      <c r="AD128" s="149"/>
      <c r="AE128" s="149"/>
      <c r="AF128" s="149"/>
      <c r="AG128" s="149"/>
      <c r="AH128" s="149"/>
      <c r="AI128" s="149"/>
      <c r="AJ128" s="149"/>
      <c r="AK128" s="149"/>
      <c r="AL128" s="149"/>
      <c r="AM128" s="149"/>
      <c r="AN128" s="149"/>
      <c r="AO128" s="149"/>
      <c r="AP128" s="149"/>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166"/>
      <c r="BO128" s="1063"/>
      <c r="BP128" s="166"/>
      <c r="BQ128" s="166"/>
      <c r="BR128" s="166"/>
      <c r="BS128" s="166"/>
      <c r="BT128" s="166"/>
      <c r="BU128" s="166"/>
      <c r="BV128" s="166"/>
      <c r="BW128" s="16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row>
    <row r="129" spans="1:95" ht="2.2999999999999998" customHeight="1" x14ac:dyDescent="0.25">
      <c r="A129" s="166"/>
      <c r="B129" s="166"/>
      <c r="C129" s="166"/>
      <c r="D129" s="166"/>
      <c r="E129" s="166"/>
      <c r="F129" s="166"/>
      <c r="G129" s="166"/>
      <c r="H129" s="166"/>
      <c r="I129" s="166"/>
      <c r="J129" s="166"/>
      <c r="K129" s="166"/>
      <c r="L129" s="166"/>
      <c r="M129" s="166"/>
      <c r="N129" s="166"/>
      <c r="O129" s="166"/>
      <c r="P129" s="166"/>
      <c r="Q129" s="166"/>
      <c r="R129" s="166"/>
      <c r="S129" s="166"/>
      <c r="T129" s="166"/>
      <c r="U129" s="166"/>
      <c r="V129" s="149"/>
      <c r="W129" s="149"/>
      <c r="X129" s="149"/>
      <c r="Y129" s="149"/>
      <c r="Z129" s="149"/>
      <c r="AA129" s="149"/>
      <c r="AB129" s="149"/>
      <c r="AC129" s="149"/>
      <c r="AD129" s="149"/>
      <c r="AE129" s="149"/>
      <c r="AF129" s="149"/>
      <c r="AG129" s="149"/>
      <c r="AH129" s="149"/>
      <c r="AI129" s="149"/>
      <c r="AJ129" s="149"/>
      <c r="AK129" s="149"/>
      <c r="AL129" s="149"/>
      <c r="AM129" s="149"/>
      <c r="AN129" s="149"/>
      <c r="AO129" s="149"/>
      <c r="AP129" s="149"/>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166"/>
      <c r="BO129" s="166"/>
      <c r="BP129" s="166"/>
      <c r="BQ129" s="166"/>
      <c r="BR129" s="166"/>
      <c r="BS129" s="166"/>
      <c r="BT129" s="166"/>
      <c r="BU129" s="166"/>
      <c r="BV129" s="166"/>
      <c r="BW129" s="16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row>
    <row r="130" spans="1:95" ht="2.2999999999999998" customHeight="1" x14ac:dyDescent="0.25">
      <c r="A130" s="166"/>
      <c r="B130" s="166"/>
      <c r="C130" s="166"/>
      <c r="D130" s="166"/>
      <c r="E130" s="166"/>
      <c r="F130" s="166"/>
      <c r="G130" s="166"/>
      <c r="H130" s="166"/>
      <c r="I130" s="166"/>
      <c r="J130" s="166"/>
      <c r="K130" s="166"/>
      <c r="L130" s="166"/>
      <c r="M130" s="166"/>
      <c r="N130" s="166"/>
      <c r="O130" s="166"/>
      <c r="P130" s="166"/>
      <c r="Q130" s="166"/>
      <c r="R130" s="166"/>
      <c r="S130" s="166"/>
      <c r="T130" s="166"/>
      <c r="U130" s="166"/>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166"/>
      <c r="BO130" s="166"/>
      <c r="BP130" s="166"/>
      <c r="BQ130" s="166"/>
      <c r="BR130" s="166"/>
      <c r="BS130" s="166"/>
      <c r="BT130" s="166"/>
      <c r="BU130" s="166"/>
      <c r="BV130" s="166"/>
      <c r="BW130" s="16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row>
    <row r="131" spans="1:95" ht="2.2999999999999998" customHeight="1" x14ac:dyDescent="0.25">
      <c r="A131" s="166"/>
      <c r="B131" s="166"/>
      <c r="C131" s="166"/>
      <c r="D131" s="166"/>
      <c r="E131" s="166"/>
      <c r="F131" s="166"/>
      <c r="G131" s="166"/>
      <c r="H131" s="166"/>
      <c r="I131" s="166"/>
      <c r="J131" s="166"/>
      <c r="K131" s="166"/>
      <c r="L131" s="166"/>
      <c r="M131" s="166"/>
      <c r="N131" s="166"/>
      <c r="O131" s="166"/>
      <c r="P131" s="166"/>
      <c r="Q131" s="166"/>
      <c r="R131" s="166"/>
      <c r="S131" s="166"/>
      <c r="T131" s="166"/>
      <c r="U131" s="166"/>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166"/>
      <c r="BO131" s="166"/>
      <c r="BP131" s="166"/>
      <c r="BQ131" s="166"/>
      <c r="BR131" s="166"/>
      <c r="BS131" s="166"/>
      <c r="BT131" s="166"/>
      <c r="BU131" s="166"/>
      <c r="BV131" s="166"/>
      <c r="BW131" s="16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row>
    <row r="132" spans="1:95" ht="2.2999999999999998" customHeight="1" x14ac:dyDescent="0.25">
      <c r="A132" s="166"/>
      <c r="B132" s="166"/>
      <c r="C132" s="166"/>
      <c r="D132" s="166"/>
      <c r="E132" s="166"/>
      <c r="F132" s="166"/>
      <c r="G132" s="166"/>
      <c r="H132" s="166"/>
      <c r="I132" s="166"/>
      <c r="J132" s="166"/>
      <c r="K132" s="166"/>
      <c r="L132" s="166"/>
      <c r="M132" s="166"/>
      <c r="N132" s="166"/>
      <c r="O132" s="166"/>
      <c r="P132" s="166"/>
      <c r="Q132" s="166"/>
      <c r="R132" s="166"/>
      <c r="S132" s="166"/>
      <c r="T132" s="166"/>
      <c r="U132" s="166"/>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166"/>
      <c r="BO132" s="166"/>
      <c r="BP132" s="166"/>
      <c r="BQ132" s="166"/>
      <c r="BR132" s="166"/>
      <c r="BS132" s="166"/>
      <c r="BT132" s="166"/>
      <c r="BU132" s="166"/>
      <c r="BV132" s="166"/>
      <c r="BW132" s="16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row>
    <row r="133" spans="1:95" ht="2.2999999999999998" customHeight="1" x14ac:dyDescent="0.25">
      <c r="A133" s="166"/>
      <c r="B133" s="166"/>
      <c r="C133" s="166"/>
      <c r="D133" s="166"/>
      <c r="E133" s="166"/>
      <c r="F133" s="166"/>
      <c r="G133" s="166"/>
      <c r="H133" s="166"/>
      <c r="I133" s="166"/>
      <c r="J133" s="166"/>
      <c r="K133" s="166"/>
      <c r="L133" s="166"/>
      <c r="M133" s="166"/>
      <c r="N133" s="166"/>
      <c r="O133" s="166"/>
      <c r="P133" s="166"/>
      <c r="Q133" s="166"/>
      <c r="R133" s="166"/>
      <c r="S133" s="166"/>
      <c r="T133" s="166"/>
      <c r="U133" s="166"/>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166"/>
      <c r="BO133" s="166"/>
      <c r="BP133" s="166"/>
      <c r="BQ133" s="166"/>
      <c r="BR133" s="166"/>
      <c r="BS133" s="166"/>
      <c r="BT133" s="166"/>
      <c r="BU133" s="166"/>
      <c r="BV133" s="166"/>
      <c r="BW133" s="16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row>
    <row r="134" spans="1:95" ht="2.2999999999999998" customHeight="1" x14ac:dyDescent="0.25">
      <c r="A134" s="166"/>
      <c r="B134" s="166"/>
      <c r="C134" s="166"/>
      <c r="D134" s="166"/>
      <c r="E134" s="166"/>
      <c r="F134" s="166"/>
      <c r="G134" s="166"/>
      <c r="H134" s="166"/>
      <c r="I134" s="166"/>
      <c r="J134" s="166"/>
      <c r="K134" s="166"/>
      <c r="L134" s="166"/>
      <c r="M134" s="166"/>
      <c r="N134" s="166"/>
      <c r="O134" s="166"/>
      <c r="P134" s="166"/>
      <c r="Q134" s="166"/>
      <c r="R134" s="166"/>
      <c r="S134" s="166"/>
      <c r="T134" s="166"/>
      <c r="U134" s="166"/>
      <c r="V134" s="149"/>
      <c r="W134" s="149"/>
      <c r="X134" s="149"/>
      <c r="Y134" s="149"/>
      <c r="Z134" s="149"/>
      <c r="AA134" s="149"/>
      <c r="AB134" s="149"/>
      <c r="AC134" s="149"/>
      <c r="AD134" s="149"/>
      <c r="AE134" s="149"/>
      <c r="AF134" s="149"/>
      <c r="AG134" s="149"/>
      <c r="AH134" s="149"/>
      <c r="AI134" s="149"/>
      <c r="AJ134" s="149"/>
      <c r="AK134" s="149"/>
      <c r="AL134" s="149"/>
      <c r="AM134" s="149"/>
      <c r="AN134" s="149"/>
      <c r="AO134" s="149"/>
      <c r="AP134" s="149"/>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166"/>
      <c r="BO134" s="166"/>
      <c r="BP134" s="166"/>
      <c r="BQ134" s="166"/>
      <c r="BR134" s="166"/>
      <c r="BS134" s="166"/>
      <c r="BT134" s="166"/>
      <c r="BU134" s="166"/>
      <c r="BV134" s="166"/>
      <c r="BW134" s="16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row>
    <row r="135" spans="1:95" ht="2.2999999999999998" customHeight="1" x14ac:dyDescent="0.25">
      <c r="A135" s="166"/>
      <c r="B135" s="166"/>
      <c r="C135" s="166"/>
      <c r="D135" s="166"/>
      <c r="E135" s="166"/>
      <c r="F135" s="166"/>
      <c r="G135" s="166"/>
      <c r="H135" s="166"/>
      <c r="I135" s="166"/>
      <c r="J135" s="166"/>
      <c r="K135" s="166"/>
      <c r="L135" s="166"/>
      <c r="M135" s="166"/>
      <c r="N135" s="166"/>
      <c r="O135" s="166"/>
      <c r="P135" s="166"/>
      <c r="Q135" s="166"/>
      <c r="R135" s="166"/>
      <c r="S135" s="166"/>
      <c r="T135" s="166"/>
      <c r="U135" s="166"/>
      <c r="V135" s="149"/>
      <c r="W135" s="149"/>
      <c r="X135" s="149"/>
      <c r="Y135" s="149"/>
      <c r="Z135" s="149"/>
      <c r="AA135" s="149"/>
      <c r="AB135" s="149"/>
      <c r="AC135" s="149"/>
      <c r="AD135" s="149"/>
      <c r="AE135" s="149"/>
      <c r="AF135" s="149"/>
      <c r="AG135" s="149"/>
      <c r="AH135" s="149"/>
      <c r="AI135" s="149"/>
      <c r="AJ135" s="149"/>
      <c r="AK135" s="149"/>
      <c r="AL135" s="149"/>
      <c r="AM135" s="149"/>
      <c r="AN135" s="149"/>
      <c r="AO135" s="149"/>
      <c r="AP135" s="149"/>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166"/>
      <c r="BO135" s="166"/>
      <c r="BP135" s="166"/>
      <c r="BQ135" s="166"/>
      <c r="BR135" s="166"/>
      <c r="BS135" s="166"/>
      <c r="BT135" s="166"/>
      <c r="BU135" s="166"/>
      <c r="BV135" s="166"/>
      <c r="BW135" s="16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row>
    <row r="136" spans="1:95" ht="2.2999999999999998" customHeight="1" x14ac:dyDescent="0.25">
      <c r="A136" s="166"/>
      <c r="B136" s="166"/>
      <c r="C136" s="166"/>
      <c r="D136" s="166"/>
      <c r="E136" s="166"/>
      <c r="F136" s="166"/>
      <c r="G136" s="166"/>
      <c r="H136" s="166"/>
      <c r="I136" s="166"/>
      <c r="J136" s="166"/>
      <c r="K136" s="166"/>
      <c r="L136" s="166"/>
      <c r="M136" s="166"/>
      <c r="N136" s="166"/>
      <c r="O136" s="166"/>
      <c r="P136" s="166"/>
      <c r="Q136" s="166"/>
      <c r="R136" s="166"/>
      <c r="S136" s="166"/>
      <c r="T136" s="166"/>
      <c r="U136" s="166"/>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166"/>
      <c r="BO136" s="166"/>
      <c r="BP136" s="166"/>
      <c r="BQ136" s="166"/>
      <c r="BR136" s="166"/>
      <c r="BS136" s="166"/>
      <c r="BT136" s="166"/>
      <c r="BU136" s="166"/>
      <c r="BV136" s="166"/>
      <c r="BW136" s="16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row>
    <row r="137" spans="1:95" ht="2.2999999999999998" customHeight="1" x14ac:dyDescent="0.25">
      <c r="A137" s="166"/>
      <c r="B137" s="166"/>
      <c r="C137" s="166"/>
      <c r="D137" s="166"/>
      <c r="E137" s="166"/>
      <c r="F137" s="166"/>
      <c r="G137" s="166"/>
      <c r="H137" s="166"/>
      <c r="I137" s="166"/>
      <c r="J137" s="166"/>
      <c r="K137" s="166"/>
      <c r="L137" s="166"/>
      <c r="M137" s="166"/>
      <c r="N137" s="166"/>
      <c r="O137" s="166"/>
      <c r="P137" s="166"/>
      <c r="Q137" s="166"/>
      <c r="R137" s="166"/>
      <c r="S137" s="166"/>
      <c r="T137" s="166"/>
      <c r="U137" s="166"/>
      <c r="V137" s="149"/>
      <c r="W137" s="149"/>
      <c r="X137" s="149"/>
      <c r="Y137" s="149"/>
      <c r="Z137" s="149"/>
      <c r="AA137" s="149"/>
      <c r="AB137" s="149"/>
      <c r="AC137" s="149"/>
      <c r="AD137" s="149"/>
      <c r="AE137" s="149"/>
      <c r="AF137" s="149"/>
      <c r="AG137" s="149"/>
      <c r="AH137" s="149"/>
      <c r="AI137" s="149"/>
      <c r="AJ137" s="149"/>
      <c r="AK137" s="149"/>
      <c r="AL137" s="149"/>
      <c r="AM137" s="149"/>
      <c r="AN137" s="149"/>
      <c r="AO137" s="149"/>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166"/>
      <c r="BO137" s="166"/>
      <c r="BP137" s="166"/>
      <c r="BQ137" s="166"/>
      <c r="BR137" s="166"/>
      <c r="BS137" s="166"/>
      <c r="BT137" s="166"/>
      <c r="BU137" s="166"/>
      <c r="BV137" s="166"/>
      <c r="BW137" s="16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row>
    <row r="138" spans="1:95" ht="2.2999999999999998" customHeight="1" x14ac:dyDescent="0.25">
      <c r="A138" s="166"/>
      <c r="B138" s="166"/>
      <c r="C138" s="166"/>
      <c r="D138" s="166"/>
      <c r="E138" s="166"/>
      <c r="F138" s="166"/>
      <c r="G138" s="166"/>
      <c r="H138" s="166"/>
      <c r="I138" s="166"/>
      <c r="J138" s="166"/>
      <c r="K138" s="166"/>
      <c r="L138" s="166"/>
      <c r="M138" s="166"/>
      <c r="N138" s="166"/>
      <c r="O138" s="166"/>
      <c r="P138" s="166"/>
      <c r="Q138" s="166"/>
      <c r="R138" s="166"/>
      <c r="S138" s="166"/>
      <c r="T138" s="166"/>
      <c r="U138" s="166"/>
      <c r="V138" s="149"/>
      <c r="W138" s="149"/>
      <c r="X138" s="149"/>
      <c r="Y138" s="149"/>
      <c r="Z138" s="149"/>
      <c r="AA138" s="149"/>
      <c r="AB138" s="149"/>
      <c r="AC138" s="149"/>
      <c r="AD138" s="149"/>
      <c r="AE138" s="149"/>
      <c r="AF138" s="149"/>
      <c r="AG138" s="149"/>
      <c r="AH138" s="149"/>
      <c r="AI138" s="149"/>
      <c r="AJ138" s="149"/>
      <c r="AK138" s="149"/>
      <c r="AL138" s="149"/>
      <c r="AM138" s="149"/>
      <c r="AN138" s="149"/>
      <c r="AO138" s="149"/>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166"/>
      <c r="BO138" s="166"/>
      <c r="BP138" s="166"/>
      <c r="BQ138" s="166"/>
      <c r="BR138" s="166"/>
      <c r="BS138" s="166"/>
      <c r="BT138" s="166"/>
      <c r="BU138" s="166"/>
      <c r="BV138" s="166"/>
      <c r="BW138" s="16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row>
    <row r="139" spans="1:95" ht="2.2999999999999998" customHeight="1" x14ac:dyDescent="0.25">
      <c r="A139" s="166"/>
      <c r="B139" s="166"/>
      <c r="C139" s="166"/>
      <c r="D139" s="166"/>
      <c r="E139" s="166"/>
      <c r="F139" s="166"/>
      <c r="G139" s="166"/>
      <c r="H139" s="166"/>
      <c r="I139" s="166"/>
      <c r="J139" s="166"/>
      <c r="K139" s="166"/>
      <c r="L139" s="166"/>
      <c r="M139" s="166"/>
      <c r="N139" s="166"/>
      <c r="O139" s="166"/>
      <c r="P139" s="166"/>
      <c r="Q139" s="166"/>
      <c r="R139" s="166"/>
      <c r="S139" s="166"/>
      <c r="T139" s="166"/>
      <c r="U139" s="166"/>
      <c r="V139" s="149"/>
      <c r="W139" s="149"/>
      <c r="X139" s="149"/>
      <c r="Y139" s="149"/>
      <c r="Z139" s="149"/>
      <c r="AA139" s="149"/>
      <c r="AB139" s="149"/>
      <c r="AC139" s="149"/>
      <c r="AD139" s="149"/>
      <c r="AE139" s="149"/>
      <c r="AF139" s="149"/>
      <c r="AG139" s="149"/>
      <c r="AH139" s="149"/>
      <c r="AI139" s="149"/>
      <c r="AJ139" s="149"/>
      <c r="AK139" s="149"/>
      <c r="AL139" s="149"/>
      <c r="AM139" s="149"/>
      <c r="AN139" s="149"/>
      <c r="AO139" s="149"/>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166"/>
      <c r="BO139" s="166"/>
      <c r="BP139" s="166"/>
      <c r="BQ139" s="166"/>
      <c r="BR139" s="166"/>
      <c r="BS139" s="166"/>
      <c r="BT139" s="166"/>
      <c r="BU139" s="166"/>
      <c r="BV139" s="166"/>
      <c r="BW139" s="16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row>
    <row r="140" spans="1:95" ht="2.2999999999999998" customHeight="1" x14ac:dyDescent="0.25">
      <c r="A140" s="166"/>
      <c r="B140" s="166"/>
      <c r="C140" s="166"/>
      <c r="D140" s="166"/>
      <c r="E140" s="166"/>
      <c r="F140" s="166"/>
      <c r="G140" s="166"/>
      <c r="H140" s="166"/>
      <c r="I140" s="166"/>
      <c r="J140" s="166"/>
      <c r="K140" s="166"/>
      <c r="L140" s="166"/>
      <c r="M140" s="166"/>
      <c r="N140" s="166"/>
      <c r="O140" s="166"/>
      <c r="P140" s="166"/>
      <c r="Q140" s="166"/>
      <c r="R140" s="166"/>
      <c r="S140" s="166"/>
      <c r="T140" s="166"/>
      <c r="U140" s="166"/>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166"/>
      <c r="BO140" s="166"/>
      <c r="BP140" s="166"/>
      <c r="BQ140" s="166"/>
      <c r="BR140" s="166"/>
      <c r="BS140" s="166"/>
      <c r="BT140" s="166"/>
      <c r="BU140" s="166"/>
      <c r="BV140" s="166"/>
      <c r="BW140" s="16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row>
    <row r="141" spans="1:95" ht="2.2999999999999998" customHeight="1" x14ac:dyDescent="0.25">
      <c r="A141" s="166"/>
      <c r="B141" s="166"/>
      <c r="C141" s="166"/>
      <c r="D141" s="166"/>
      <c r="E141" s="166"/>
      <c r="F141" s="166"/>
      <c r="G141" s="166"/>
      <c r="H141" s="166"/>
      <c r="I141" s="166"/>
      <c r="J141" s="166"/>
      <c r="K141" s="166"/>
      <c r="L141" s="166"/>
      <c r="M141" s="166"/>
      <c r="N141" s="166"/>
      <c r="O141" s="166"/>
      <c r="P141" s="166"/>
      <c r="Q141" s="166"/>
      <c r="R141" s="166"/>
      <c r="S141" s="166"/>
      <c r="T141" s="166"/>
      <c r="U141" s="166"/>
      <c r="V141" s="149"/>
      <c r="W141" s="149"/>
      <c r="X141" s="149"/>
      <c r="Y141" s="149"/>
      <c r="Z141" s="149"/>
      <c r="AA141" s="149"/>
      <c r="AB141" s="149"/>
      <c r="AC141" s="149"/>
      <c r="AD141" s="149"/>
      <c r="AE141" s="149"/>
      <c r="AF141" s="149"/>
      <c r="AG141" s="149"/>
      <c r="AH141" s="149"/>
      <c r="AI141" s="149"/>
      <c r="AJ141" s="149"/>
      <c r="AK141" s="149"/>
      <c r="AL141" s="149"/>
      <c r="AM141" s="149"/>
      <c r="AN141" s="149"/>
      <c r="AO141" s="149"/>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166"/>
      <c r="BO141" s="166"/>
      <c r="BP141" s="166"/>
      <c r="BQ141" s="166"/>
      <c r="BR141" s="166"/>
      <c r="BS141" s="166"/>
      <c r="BT141" s="166"/>
      <c r="BU141" s="166"/>
      <c r="BV141" s="166"/>
      <c r="BW141" s="16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row>
    <row r="142" spans="1:95" ht="2.2999999999999998" customHeight="1" x14ac:dyDescent="0.25">
      <c r="A142" s="166"/>
      <c r="B142" s="166"/>
      <c r="C142" s="166"/>
      <c r="D142" s="166"/>
      <c r="E142" s="166"/>
      <c r="F142" s="166"/>
      <c r="G142" s="166"/>
      <c r="H142" s="166"/>
      <c r="I142" s="166"/>
      <c r="J142" s="166"/>
      <c r="K142" s="166"/>
      <c r="L142" s="166"/>
      <c r="M142" s="166"/>
      <c r="N142" s="166"/>
      <c r="O142" s="166"/>
      <c r="P142" s="166"/>
      <c r="Q142" s="166"/>
      <c r="R142" s="166"/>
      <c r="S142" s="166"/>
      <c r="T142" s="166"/>
      <c r="U142" s="166"/>
      <c r="V142" s="149"/>
      <c r="W142" s="149"/>
      <c r="X142" s="149"/>
      <c r="Y142" s="149"/>
      <c r="Z142" s="149"/>
      <c r="AA142" s="149"/>
      <c r="AB142" s="149"/>
      <c r="AC142" s="149"/>
      <c r="AD142" s="149"/>
      <c r="AE142" s="149"/>
      <c r="AF142" s="149"/>
      <c r="AG142" s="149"/>
      <c r="AH142" s="149"/>
      <c r="AI142" s="149"/>
      <c r="AJ142" s="149"/>
      <c r="AK142" s="149"/>
      <c r="AL142" s="149"/>
      <c r="AM142" s="149"/>
      <c r="AN142" s="149"/>
      <c r="AO142" s="149"/>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166"/>
      <c r="BO142" s="166"/>
      <c r="BP142" s="166"/>
      <c r="BQ142" s="166"/>
      <c r="BR142" s="166"/>
      <c r="BS142" s="166"/>
      <c r="BT142" s="166"/>
      <c r="BU142" s="166"/>
      <c r="BV142" s="166"/>
      <c r="BW142" s="16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row>
    <row r="143" spans="1:95" x14ac:dyDescent="0.25">
      <c r="A143" s="166"/>
      <c r="B143" s="166"/>
      <c r="C143" s="166"/>
      <c r="D143" s="166"/>
      <c r="E143" s="166"/>
      <c r="F143" s="166"/>
      <c r="G143" s="166"/>
      <c r="H143" s="166"/>
      <c r="I143" s="166"/>
      <c r="J143" s="166"/>
      <c r="K143" s="166"/>
      <c r="L143" s="166"/>
      <c r="M143" s="166"/>
      <c r="N143" s="166"/>
      <c r="O143" s="166"/>
      <c r="P143" s="166"/>
      <c r="Q143" s="166"/>
      <c r="R143" s="166"/>
      <c r="S143" s="166"/>
      <c r="T143" s="166"/>
      <c r="U143" s="166"/>
      <c r="V143" s="149"/>
      <c r="W143" s="149"/>
      <c r="X143" s="149"/>
      <c r="Y143" s="149"/>
      <c r="Z143" s="149"/>
      <c r="AA143" s="149"/>
      <c r="AB143" s="149"/>
      <c r="AC143" s="149"/>
      <c r="AD143" s="149"/>
      <c r="AE143" s="149"/>
      <c r="AF143" s="149"/>
      <c r="AG143" s="149"/>
      <c r="AH143" s="149"/>
      <c r="AI143" s="149"/>
      <c r="AJ143" s="149"/>
      <c r="AK143" s="149"/>
      <c r="AL143" s="149"/>
      <c r="AM143" s="149"/>
      <c r="AN143" s="149"/>
      <c r="AO143" s="149"/>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166"/>
      <c r="BO143" s="166"/>
      <c r="BP143" s="166"/>
      <c r="BQ143" s="166"/>
      <c r="BR143" s="166"/>
      <c r="BS143" s="166"/>
      <c r="BT143" s="166"/>
      <c r="BU143" s="166"/>
      <c r="BV143" s="166"/>
      <c r="BW143" s="16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row>
    <row r="144" spans="1:95" x14ac:dyDescent="0.25">
      <c r="A144" s="166"/>
      <c r="B144" s="166"/>
      <c r="C144" s="166"/>
      <c r="D144" s="166"/>
      <c r="E144" s="166"/>
      <c r="F144" s="166"/>
      <c r="G144" s="166"/>
      <c r="H144" s="166"/>
      <c r="I144" s="166"/>
      <c r="J144" s="166"/>
      <c r="K144" s="166"/>
      <c r="L144" s="166"/>
      <c r="M144" s="166"/>
      <c r="N144" s="166"/>
      <c r="O144" s="166"/>
      <c r="P144" s="166"/>
      <c r="Q144" s="166"/>
      <c r="R144" s="166"/>
      <c r="S144" s="166"/>
      <c r="T144" s="166"/>
      <c r="U144" s="166"/>
      <c r="V144" s="149"/>
      <c r="W144" s="149"/>
      <c r="X144" s="149"/>
      <c r="Y144" s="149"/>
      <c r="Z144" s="149"/>
      <c r="AA144" s="149"/>
      <c r="AB144" s="149"/>
      <c r="AC144" s="149"/>
      <c r="AD144" s="149"/>
      <c r="AE144" s="149"/>
      <c r="AF144" s="149"/>
      <c r="AG144" s="149"/>
      <c r="AH144" s="149"/>
      <c r="AI144" s="149"/>
      <c r="AJ144" s="149"/>
      <c r="AK144" s="149"/>
      <c r="AL144" s="149"/>
      <c r="AM144" s="149"/>
      <c r="AN144" s="149"/>
      <c r="AO144" s="149"/>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166"/>
      <c r="BO144" s="166"/>
      <c r="BP144" s="166"/>
      <c r="BQ144" s="166"/>
      <c r="BR144" s="166"/>
      <c r="BS144" s="166"/>
      <c r="BT144" s="166"/>
      <c r="BU144" s="166"/>
      <c r="BV144" s="166"/>
      <c r="BW144" s="16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row>
    <row r="145" spans="1:95" x14ac:dyDescent="0.25">
      <c r="A145" s="166"/>
      <c r="B145" s="166"/>
      <c r="C145" s="166"/>
      <c r="D145" s="166"/>
      <c r="E145" s="166"/>
      <c r="F145" s="166"/>
      <c r="G145" s="166"/>
      <c r="H145" s="166"/>
      <c r="I145" s="166"/>
      <c r="J145" s="166"/>
      <c r="K145" s="166"/>
      <c r="L145" s="166"/>
      <c r="M145" s="166"/>
      <c r="N145" s="166"/>
      <c r="O145" s="166"/>
      <c r="P145" s="166"/>
      <c r="Q145" s="166"/>
      <c r="R145" s="166"/>
      <c r="S145" s="166"/>
      <c r="T145" s="166"/>
      <c r="U145" s="166"/>
      <c r="V145" s="149"/>
      <c r="W145" s="149"/>
      <c r="X145" s="149"/>
      <c r="Y145" s="149"/>
      <c r="Z145" s="149"/>
      <c r="AA145" s="149"/>
      <c r="AB145" s="149"/>
      <c r="AC145" s="149"/>
      <c r="AD145" s="149"/>
      <c r="AE145" s="149"/>
      <c r="AF145" s="149"/>
      <c r="AG145" s="149"/>
      <c r="AH145" s="149"/>
      <c r="AI145" s="149"/>
      <c r="AJ145" s="149"/>
      <c r="AK145" s="149"/>
      <c r="AL145" s="149"/>
      <c r="AM145" s="149"/>
      <c r="AN145" s="149"/>
      <c r="AO145" s="149"/>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166"/>
      <c r="BO145" s="166"/>
      <c r="BP145" s="166"/>
      <c r="BQ145" s="166"/>
      <c r="BR145" s="166"/>
      <c r="BS145" s="166"/>
      <c r="BT145" s="166"/>
      <c r="BU145" s="166"/>
      <c r="BV145" s="166"/>
      <c r="BW145" s="16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row>
    <row r="146" spans="1:95" x14ac:dyDescent="0.25">
      <c r="A146" s="166"/>
      <c r="B146" s="166"/>
      <c r="C146" s="166"/>
      <c r="D146" s="166"/>
      <c r="E146" s="166"/>
      <c r="F146" s="166"/>
      <c r="G146" s="166"/>
      <c r="H146" s="166"/>
      <c r="I146" s="166"/>
      <c r="J146" s="166"/>
      <c r="K146" s="166"/>
      <c r="L146" s="166"/>
      <c r="M146" s="166"/>
      <c r="N146" s="166"/>
      <c r="O146" s="166"/>
      <c r="P146" s="166"/>
      <c r="Q146" s="166"/>
      <c r="R146" s="166"/>
      <c r="S146" s="166"/>
      <c r="T146" s="166"/>
      <c r="U146" s="166"/>
      <c r="V146" s="149"/>
      <c r="W146" s="149"/>
      <c r="X146" s="149"/>
      <c r="Y146" s="149"/>
      <c r="Z146" s="149"/>
      <c r="AA146" s="149"/>
      <c r="AB146" s="149"/>
      <c r="AC146" s="149"/>
      <c r="AD146" s="149"/>
      <c r="AE146" s="149"/>
      <c r="AF146" s="149"/>
      <c r="AG146" s="149"/>
      <c r="AH146" s="149"/>
      <c r="AI146" s="149"/>
      <c r="AJ146" s="149"/>
      <c r="AK146" s="149"/>
      <c r="AL146" s="149"/>
      <c r="AM146" s="149"/>
      <c r="AN146" s="149"/>
      <c r="AO146" s="149"/>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166"/>
      <c r="BO146" s="166"/>
      <c r="BP146" s="166"/>
      <c r="BQ146" s="166"/>
      <c r="BR146" s="166"/>
      <c r="BS146" s="166"/>
      <c r="BT146" s="166"/>
      <c r="BU146" s="166"/>
      <c r="BV146" s="166"/>
      <c r="BW146" s="16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row>
    <row r="147" spans="1:95" x14ac:dyDescent="0.25">
      <c r="A147" s="166"/>
      <c r="B147" s="166"/>
      <c r="C147" s="166"/>
      <c r="D147" s="166"/>
      <c r="E147" s="166"/>
      <c r="F147" s="166"/>
      <c r="G147" s="166"/>
      <c r="H147" s="166"/>
      <c r="I147" s="166"/>
      <c r="J147" s="166"/>
      <c r="K147" s="166"/>
      <c r="L147" s="166"/>
      <c r="M147" s="166"/>
      <c r="N147" s="166"/>
      <c r="O147" s="166"/>
      <c r="P147" s="166"/>
      <c r="Q147" s="166"/>
      <c r="R147" s="166"/>
      <c r="S147" s="166"/>
      <c r="T147" s="166"/>
      <c r="U147" s="166"/>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166"/>
      <c r="BO147" s="166"/>
      <c r="BP147" s="166"/>
      <c r="BQ147" s="166"/>
      <c r="BR147" s="166"/>
      <c r="BS147" s="166"/>
      <c r="BT147" s="166"/>
      <c r="BU147" s="166"/>
      <c r="BV147" s="166"/>
      <c r="BW147" s="16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row>
    <row r="148" spans="1:95" ht="13.25" thickBot="1" x14ac:dyDescent="0.3">
      <c r="A148" s="166"/>
      <c r="B148" s="166"/>
      <c r="C148" s="166"/>
      <c r="D148" s="166"/>
      <c r="E148" s="166"/>
      <c r="F148" s="166"/>
      <c r="G148" s="166"/>
      <c r="H148" s="166"/>
      <c r="I148" s="166"/>
      <c r="J148" s="166"/>
      <c r="K148" s="166"/>
      <c r="L148" s="166"/>
      <c r="M148" s="166"/>
      <c r="N148" s="166"/>
      <c r="O148" s="166"/>
      <c r="P148" s="166"/>
      <c r="Q148" s="166"/>
      <c r="R148" s="166"/>
      <c r="S148" s="166"/>
      <c r="T148" s="166"/>
      <c r="U148" s="166"/>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166"/>
      <c r="BO148" s="166"/>
      <c r="BP148" s="166"/>
      <c r="BQ148" s="166"/>
      <c r="BR148" s="166"/>
      <c r="BS148" s="166"/>
      <c r="BT148" s="166"/>
      <c r="BU148" s="166"/>
      <c r="BV148" s="166"/>
      <c r="BW148" s="16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row>
    <row r="149" spans="1:95" ht="32.25" x14ac:dyDescent="0.55000000000000004">
      <c r="A149" s="166"/>
      <c r="B149" s="166"/>
      <c r="C149" s="166"/>
      <c r="D149" s="166"/>
      <c r="E149" s="166"/>
      <c r="F149" s="166"/>
      <c r="G149" s="166"/>
      <c r="H149" s="166"/>
      <c r="I149" s="166"/>
      <c r="J149" s="166"/>
      <c r="K149" s="166"/>
      <c r="L149" s="166"/>
      <c r="M149" s="166"/>
      <c r="N149" s="166"/>
      <c r="O149" s="1617" t="s">
        <v>1140</v>
      </c>
      <c r="P149" s="1618"/>
      <c r="Q149" s="1618"/>
      <c r="R149" s="1653"/>
      <c r="S149" s="1653"/>
      <c r="T149" s="1653"/>
      <c r="U149" s="1619"/>
      <c r="V149" s="149"/>
      <c r="W149" s="1654"/>
      <c r="X149" s="1655" t="s">
        <v>1141</v>
      </c>
      <c r="Y149" s="352"/>
      <c r="Z149" s="352"/>
      <c r="AA149" s="352"/>
      <c r="AB149" s="352"/>
      <c r="AC149" s="352"/>
      <c r="AD149" s="352"/>
      <c r="AE149" s="352"/>
      <c r="AF149" s="352"/>
      <c r="AG149" s="352"/>
      <c r="AH149" s="352"/>
      <c r="AI149" s="352"/>
      <c r="AJ149" s="352"/>
      <c r="AK149" s="352"/>
      <c r="AL149" s="352"/>
      <c r="AM149" s="353"/>
      <c r="AN149" s="149"/>
      <c r="AO149" s="149"/>
      <c r="AP149" s="2"/>
      <c r="AQ149" s="2290" t="s">
        <v>1152</v>
      </c>
      <c r="AR149" s="2291"/>
      <c r="AS149" s="2291"/>
      <c r="AT149" s="2291"/>
      <c r="AU149" s="2294" t="s">
        <v>1153</v>
      </c>
      <c r="AV149" s="2294"/>
      <c r="AW149" s="2294"/>
      <c r="AX149" s="2294"/>
      <c r="AY149" s="2294"/>
      <c r="AZ149" s="2294"/>
      <c r="BA149" s="2294"/>
      <c r="BB149" s="2294"/>
      <c r="BC149" s="2294"/>
      <c r="BD149" s="2294"/>
      <c r="BE149" s="2294"/>
      <c r="BF149" s="2294"/>
      <c r="BG149" s="1635"/>
      <c r="BH149" s="1635"/>
      <c r="BI149" s="1635"/>
      <c r="BJ149" s="1636"/>
      <c r="BK149" s="2"/>
      <c r="BL149" s="2"/>
      <c r="BM149" s="2"/>
      <c r="BN149" s="166"/>
      <c r="BO149" s="166"/>
      <c r="BP149" s="166"/>
      <c r="BQ149" s="166"/>
      <c r="BR149" s="166"/>
      <c r="BS149" s="166"/>
      <c r="BT149" s="166"/>
      <c r="BU149" s="166"/>
      <c r="BV149" s="166"/>
      <c r="BW149" s="16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row>
    <row r="150" spans="1:95" x14ac:dyDescent="0.25">
      <c r="A150" s="166"/>
      <c r="B150" s="166"/>
      <c r="C150" s="166"/>
      <c r="D150" s="166"/>
      <c r="E150" s="166"/>
      <c r="F150" s="166"/>
      <c r="G150" s="166"/>
      <c r="H150" s="166"/>
      <c r="I150" s="166"/>
      <c r="J150" s="166"/>
      <c r="K150" s="166"/>
      <c r="L150" s="166"/>
      <c r="M150" s="166"/>
      <c r="N150" s="166"/>
      <c r="O150" s="1129"/>
      <c r="P150" s="188"/>
      <c r="Q150" s="188"/>
      <c r="R150" s="149"/>
      <c r="S150" s="149"/>
      <c r="T150" s="149"/>
      <c r="U150" s="356"/>
      <c r="V150" s="149"/>
      <c r="W150" s="1639"/>
      <c r="X150" s="149"/>
      <c r="Y150" s="149"/>
      <c r="Z150" s="149"/>
      <c r="AA150" s="149"/>
      <c r="AB150" s="149"/>
      <c r="AC150" s="149"/>
      <c r="AD150" s="149"/>
      <c r="AE150" s="149"/>
      <c r="AF150" s="149"/>
      <c r="AG150" s="149"/>
      <c r="AH150" s="149"/>
      <c r="AI150" s="149"/>
      <c r="AJ150" s="149"/>
      <c r="AK150" s="149"/>
      <c r="AL150" s="149"/>
      <c r="AM150" s="356"/>
      <c r="AN150" s="149"/>
      <c r="AO150" s="149"/>
      <c r="AP150" s="2"/>
      <c r="AQ150" s="2292"/>
      <c r="AR150" s="2293"/>
      <c r="AS150" s="2293"/>
      <c r="AT150" s="2293"/>
      <c r="AU150" s="2295"/>
      <c r="AV150" s="2295"/>
      <c r="AW150" s="2295"/>
      <c r="AX150" s="2295"/>
      <c r="AY150" s="2295"/>
      <c r="AZ150" s="2295"/>
      <c r="BA150" s="2295"/>
      <c r="BB150" s="2295"/>
      <c r="BC150" s="2295"/>
      <c r="BD150" s="2295"/>
      <c r="BE150" s="2295"/>
      <c r="BF150" s="2295"/>
      <c r="BG150" s="3"/>
      <c r="BH150" s="3"/>
      <c r="BI150" s="3"/>
      <c r="BJ150" s="1638"/>
      <c r="BK150" s="2"/>
      <c r="BL150" s="2"/>
      <c r="BM150" s="2"/>
      <c r="BN150" s="166"/>
      <c r="BO150" s="166"/>
      <c r="BP150" s="166"/>
      <c r="BQ150" s="166"/>
      <c r="BR150" s="166"/>
      <c r="BS150" s="166"/>
      <c r="BT150" s="166"/>
      <c r="BU150" s="166"/>
      <c r="BV150" s="166"/>
      <c r="BW150" s="16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row>
    <row r="151" spans="1:95" x14ac:dyDescent="0.25">
      <c r="A151" s="146"/>
      <c r="B151" s="146"/>
      <c r="C151" s="146"/>
      <c r="D151" s="146"/>
      <c r="E151" s="146"/>
      <c r="F151" s="146"/>
      <c r="G151" s="146"/>
      <c r="H151" s="146"/>
      <c r="I151" s="146"/>
      <c r="J151" s="146"/>
      <c r="K151" s="146"/>
      <c r="L151" s="146"/>
      <c r="M151" s="146"/>
      <c r="N151" s="146"/>
      <c r="O151" s="1650"/>
      <c r="P151" s="180" t="s">
        <v>875</v>
      </c>
      <c r="Q151" s="180"/>
      <c r="R151" s="180"/>
      <c r="S151" s="180" t="s">
        <v>802</v>
      </c>
      <c r="T151" s="180"/>
      <c r="U151" s="356"/>
      <c r="V151" s="149"/>
      <c r="W151" s="1639"/>
      <c r="X151" s="149" t="s">
        <v>1336</v>
      </c>
      <c r="Y151" s="149"/>
      <c r="Z151" s="149"/>
      <c r="AA151" s="149"/>
      <c r="AB151" s="149"/>
      <c r="AC151" s="149"/>
      <c r="AD151" s="149"/>
      <c r="AE151" s="149"/>
      <c r="AF151" s="149"/>
      <c r="AG151" s="149"/>
      <c r="AH151" s="149"/>
      <c r="AI151" s="149"/>
      <c r="AJ151" s="149"/>
      <c r="AK151" s="149"/>
      <c r="AL151" s="149"/>
      <c r="AM151" s="356"/>
      <c r="AN151" s="149"/>
      <c r="AO151" s="149"/>
      <c r="AP151" s="2"/>
      <c r="AQ151" s="2292"/>
      <c r="AR151" s="2293"/>
      <c r="AS151" s="2293"/>
      <c r="AT151" s="2293"/>
      <c r="AU151" s="2295"/>
      <c r="AV151" s="2295"/>
      <c r="AW151" s="2295"/>
      <c r="AX151" s="2295"/>
      <c r="AY151" s="2295"/>
      <c r="AZ151" s="2295"/>
      <c r="BA151" s="2295"/>
      <c r="BB151" s="2295"/>
      <c r="BC151" s="2295"/>
      <c r="BD151" s="2295"/>
      <c r="BE151" s="2295"/>
      <c r="BF151" s="2295"/>
      <c r="BG151" s="3"/>
      <c r="BH151" s="3"/>
      <c r="BI151" s="3"/>
      <c r="BJ151" s="1638"/>
      <c r="BK151" s="2"/>
      <c r="BL151" s="2"/>
      <c r="BM151" s="2"/>
      <c r="BN151" s="166"/>
      <c r="BO151" s="166"/>
      <c r="BP151" s="166"/>
      <c r="BQ151" s="166"/>
      <c r="BR151" s="166"/>
      <c r="BS151" s="166"/>
      <c r="BT151" s="166"/>
      <c r="BU151" s="166"/>
      <c r="BV151" s="166"/>
      <c r="BW151" s="16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row>
    <row r="152" spans="1:95" x14ac:dyDescent="0.25">
      <c r="A152" s="146"/>
      <c r="B152" s="146"/>
      <c r="C152" s="146"/>
      <c r="D152" s="146"/>
      <c r="E152" s="146"/>
      <c r="F152" s="146"/>
      <c r="G152" s="146"/>
      <c r="H152" s="146"/>
      <c r="I152" s="146"/>
      <c r="J152" s="146"/>
      <c r="K152" s="146"/>
      <c r="L152" s="146"/>
      <c r="M152" s="146"/>
      <c r="N152" s="146"/>
      <c r="O152" s="1650" t="str">
        <f>'A1. Submodels &amp; data'!B143</f>
        <v>[Select]</v>
      </c>
      <c r="P152" s="180">
        <v>0</v>
      </c>
      <c r="Q152" s="180" t="s">
        <v>878</v>
      </c>
      <c r="R152" s="77"/>
      <c r="S152" s="77"/>
      <c r="T152" s="180" t="s">
        <v>878</v>
      </c>
      <c r="U152" s="356"/>
      <c r="V152" s="149"/>
      <c r="W152" s="1639"/>
      <c r="X152" s="180" t="str">
        <f>Y183</f>
        <v>hectares</v>
      </c>
      <c r="Y152" s="180">
        <v>1</v>
      </c>
      <c r="Z152" s="180" t="s">
        <v>884</v>
      </c>
      <c r="AA152" s="180" t="s">
        <v>881</v>
      </c>
      <c r="AB152" s="149">
        <v>1</v>
      </c>
      <c r="AC152" s="149"/>
      <c r="AD152" s="149"/>
      <c r="AE152" s="149"/>
      <c r="AF152" s="149"/>
      <c r="AG152" s="149"/>
      <c r="AH152" s="149"/>
      <c r="AI152" s="149"/>
      <c r="AJ152" s="149"/>
      <c r="AK152" s="149"/>
      <c r="AL152" s="149"/>
      <c r="AM152" s="356"/>
      <c r="AN152" s="149"/>
      <c r="AO152" s="149"/>
      <c r="AP152" s="2"/>
      <c r="AQ152" s="1640"/>
      <c r="AR152" s="259"/>
      <c r="AS152" s="259"/>
      <c r="AT152" s="259"/>
      <c r="AU152" s="259"/>
      <c r="AV152" s="259"/>
      <c r="AW152" s="259"/>
      <c r="AX152" s="259"/>
      <c r="AY152" s="259"/>
      <c r="AZ152" s="259"/>
      <c r="BA152" s="149"/>
      <c r="BB152" s="149"/>
      <c r="BC152" s="149"/>
      <c r="BD152" s="149"/>
      <c r="BE152" s="149"/>
      <c r="BF152" s="149"/>
      <c r="BG152" s="149"/>
      <c r="BH152" s="149"/>
      <c r="BI152" s="149"/>
      <c r="BJ152" s="356"/>
      <c r="BK152" s="2"/>
      <c r="BL152" s="2"/>
      <c r="BM152" s="2"/>
      <c r="BN152" s="166"/>
      <c r="BO152" s="166"/>
      <c r="BP152" s="166"/>
      <c r="BQ152" s="166"/>
      <c r="BR152" s="166"/>
      <c r="BS152" s="166"/>
      <c r="BT152" s="166"/>
      <c r="BU152" s="166"/>
      <c r="BV152" s="166"/>
      <c r="BW152" s="16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row>
    <row r="153" spans="1:95" x14ac:dyDescent="0.25">
      <c r="A153" s="146"/>
      <c r="B153" s="146"/>
      <c r="C153" s="146"/>
      <c r="D153" s="146"/>
      <c r="E153" s="146"/>
      <c r="F153" s="146"/>
      <c r="G153" s="146"/>
      <c r="H153" s="146"/>
      <c r="I153" s="146"/>
      <c r="J153" s="146"/>
      <c r="K153" s="146"/>
      <c r="L153" s="146"/>
      <c r="M153" s="146"/>
      <c r="N153" s="146"/>
      <c r="O153" s="1650" t="str">
        <f>'A1. Submodels &amp; data'!B144</f>
        <v xml:space="preserve"> - Albania</v>
      </c>
      <c r="P153" s="180">
        <v>1</v>
      </c>
      <c r="Q153" s="77" t="s">
        <v>721</v>
      </c>
      <c r="R153" s="180">
        <f>SUMIF(O152:O346,'1.GeneralInfo'!E7,P152:P346)</f>
        <v>125</v>
      </c>
      <c r="S153" s="180">
        <f>0</f>
        <v>0</v>
      </c>
      <c r="T153" s="180" t="str">
        <f>Q153</f>
        <v>Eastern Europe</v>
      </c>
      <c r="U153" s="356"/>
      <c r="V153" s="149"/>
      <c r="W153" s="1639"/>
      <c r="X153" s="180" t="str">
        <f>Y184</f>
        <v>acres</v>
      </c>
      <c r="Y153" s="180">
        <v>0.40500000000000003</v>
      </c>
      <c r="Z153" s="180" t="s">
        <v>883</v>
      </c>
      <c r="AA153" s="180" t="s">
        <v>882</v>
      </c>
      <c r="AB153" s="149">
        <v>2</v>
      </c>
      <c r="AC153" s="149"/>
      <c r="AD153" s="149"/>
      <c r="AE153" s="149"/>
      <c r="AF153" s="149"/>
      <c r="AG153" s="149"/>
      <c r="AH153" s="149"/>
      <c r="AI153" s="149"/>
      <c r="AJ153" s="149"/>
      <c r="AK153" s="149"/>
      <c r="AL153" s="149"/>
      <c r="AM153" s="356"/>
      <c r="AN153" s="149"/>
      <c r="AO153" s="149"/>
      <c r="AP153" s="2"/>
      <c r="AQ153" s="1639"/>
      <c r="AR153" s="149"/>
      <c r="AS153" s="149"/>
      <c r="AT153" s="149"/>
      <c r="AU153" s="149"/>
      <c r="AV153" s="149"/>
      <c r="AW153" s="149"/>
      <c r="AX153" s="149"/>
      <c r="AY153" s="149"/>
      <c r="AZ153" s="149"/>
      <c r="BA153" s="149"/>
      <c r="BB153" s="149"/>
      <c r="BC153" s="149"/>
      <c r="BD153" s="149"/>
      <c r="BE153" s="149"/>
      <c r="BF153" s="149"/>
      <c r="BG153" s="149"/>
      <c r="BH153" s="149"/>
      <c r="BI153" s="149"/>
      <c r="BJ153" s="356"/>
      <c r="BK153" s="2"/>
      <c r="BL153" s="2"/>
      <c r="BM153" s="2"/>
      <c r="BN153" s="166"/>
      <c r="BO153" s="166"/>
      <c r="BP153" s="166"/>
      <c r="BQ153" s="166"/>
      <c r="BR153" s="166"/>
      <c r="BS153" s="166"/>
      <c r="BT153" s="166"/>
      <c r="BU153" s="166"/>
      <c r="BV153" s="166"/>
      <c r="BW153" s="16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row>
    <row r="154" spans="1:95" x14ac:dyDescent="0.25">
      <c r="A154" s="146"/>
      <c r="B154" s="146"/>
      <c r="C154" s="146"/>
      <c r="D154" s="146"/>
      <c r="E154" s="146"/>
      <c r="F154" s="146"/>
      <c r="G154" s="146"/>
      <c r="H154" s="146"/>
      <c r="I154" s="146"/>
      <c r="J154" s="146"/>
      <c r="K154" s="146"/>
      <c r="L154" s="146"/>
      <c r="M154" s="146"/>
      <c r="N154" s="146"/>
      <c r="O154" s="1650" t="str">
        <f>'A1. Submodels &amp; data'!B145</f>
        <v xml:space="preserve"> - Algeria</v>
      </c>
      <c r="P154" s="180">
        <v>2</v>
      </c>
      <c r="Q154" s="77" t="s">
        <v>212</v>
      </c>
      <c r="R154" s="180"/>
      <c r="S154" s="180">
        <f>0</f>
        <v>0</v>
      </c>
      <c r="T154" s="180" t="str">
        <f t="shared" ref="T154:T216" si="23">Q154</f>
        <v>Africa</v>
      </c>
      <c r="U154" s="356"/>
      <c r="V154" s="149"/>
      <c r="W154" s="1639"/>
      <c r="X154" s="149"/>
      <c r="Y154" s="149"/>
      <c r="Z154" s="149"/>
      <c r="AA154" s="149"/>
      <c r="AB154" s="149"/>
      <c r="AC154" s="149"/>
      <c r="AD154" s="149"/>
      <c r="AE154" s="149"/>
      <c r="AF154" s="149"/>
      <c r="AG154" s="149"/>
      <c r="AH154" s="149"/>
      <c r="AI154" s="149"/>
      <c r="AJ154" s="149"/>
      <c r="AK154" s="149"/>
      <c r="AL154" s="149"/>
      <c r="AM154" s="356"/>
      <c r="AN154" s="149"/>
      <c r="AO154" s="149"/>
      <c r="AP154" s="2"/>
      <c r="AQ154" s="1637"/>
      <c r="AR154" s="180"/>
      <c r="AS154" s="180" t="s">
        <v>1352</v>
      </c>
      <c r="AT154" s="180" t="s">
        <v>1351</v>
      </c>
      <c r="AU154" s="180"/>
      <c r="AV154" s="180" t="s">
        <v>324</v>
      </c>
      <c r="AW154" s="180" t="s">
        <v>1912</v>
      </c>
      <c r="AX154" s="180" t="s">
        <v>1913</v>
      </c>
      <c r="AY154" s="149"/>
      <c r="AZ154" s="149"/>
      <c r="BA154" s="3"/>
      <c r="BB154" s="283" t="s">
        <v>1946</v>
      </c>
      <c r="BC154" s="180" t="e">
        <f>NA()</f>
        <v>#N/A</v>
      </c>
      <c r="BD154" s="180"/>
      <c r="BE154" s="180" t="s">
        <v>1150</v>
      </c>
      <c r="BF154" s="180"/>
      <c r="BG154" s="3"/>
      <c r="BH154" s="283" t="s">
        <v>1946</v>
      </c>
      <c r="BI154" s="180" t="e">
        <f>NA()</f>
        <v>#N/A</v>
      </c>
      <c r="BJ154" s="356"/>
      <c r="BK154" s="2"/>
      <c r="BL154" s="2"/>
      <c r="BM154" s="2"/>
      <c r="BN154" s="166"/>
      <c r="BO154" s="166"/>
      <c r="BP154" s="166"/>
      <c r="BQ154" s="166"/>
      <c r="BR154" s="166"/>
      <c r="BS154" s="166"/>
      <c r="BT154" s="166"/>
      <c r="BU154" s="166"/>
      <c r="BV154" s="166"/>
      <c r="BW154" s="16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row>
    <row r="155" spans="1:95" x14ac:dyDescent="0.25">
      <c r="A155" s="146"/>
      <c r="B155" s="146"/>
      <c r="C155" s="146"/>
      <c r="D155" s="146"/>
      <c r="E155" s="146"/>
      <c r="F155" s="146"/>
      <c r="G155" s="146"/>
      <c r="H155" s="146"/>
      <c r="I155" s="146"/>
      <c r="J155" s="146"/>
      <c r="K155" s="146"/>
      <c r="L155" s="146"/>
      <c r="M155" s="146"/>
      <c r="N155" s="146"/>
      <c r="O155" s="1650" t="str">
        <f>'A1. Submodels &amp; data'!B146</f>
        <v xml:space="preserve"> - Angola</v>
      </c>
      <c r="P155" s="180">
        <v>3</v>
      </c>
      <c r="Q155" s="77" t="s">
        <v>212</v>
      </c>
      <c r="R155" s="180"/>
      <c r="S155" s="180">
        <f>0</f>
        <v>0</v>
      </c>
      <c r="T155" s="180" t="str">
        <f t="shared" si="23"/>
        <v>Africa</v>
      </c>
      <c r="U155" s="356"/>
      <c r="V155" s="149"/>
      <c r="W155" s="1639"/>
      <c r="X155" s="149" t="s">
        <v>1190</v>
      </c>
      <c r="Y155" s="149"/>
      <c r="Z155" s="149"/>
      <c r="AA155" s="149"/>
      <c r="AB155" s="149"/>
      <c r="AC155" s="149"/>
      <c r="AD155" s="149"/>
      <c r="AE155" s="149"/>
      <c r="AF155" s="149"/>
      <c r="AG155" s="149"/>
      <c r="AH155" s="149"/>
      <c r="AI155" s="149"/>
      <c r="AJ155" s="149"/>
      <c r="AK155" s="149"/>
      <c r="AL155" s="149"/>
      <c r="AM155" s="356"/>
      <c r="AN155" s="149"/>
      <c r="AO155" s="149"/>
      <c r="AP155" s="2"/>
      <c r="AQ155" s="1637"/>
      <c r="AR155" s="283" t="s">
        <v>1946</v>
      </c>
      <c r="AS155" s="180" t="e">
        <f>NA()</f>
        <v>#N/A</v>
      </c>
      <c r="AT155" s="180" t="e">
        <f>NA()</f>
        <v>#N/A</v>
      </c>
      <c r="AU155" s="283"/>
      <c r="AV155" s="180" t="e">
        <f>NA()</f>
        <v>#N/A</v>
      </c>
      <c r="AW155" s="180"/>
      <c r="AX155" s="180"/>
      <c r="AY155" s="149"/>
      <c r="AZ155" s="149"/>
      <c r="BA155" s="3"/>
      <c r="BB155" s="180" t="s">
        <v>2032</v>
      </c>
      <c r="BC155" s="180">
        <v>1</v>
      </c>
      <c r="BD155" s="180">
        <v>0.3</v>
      </c>
      <c r="BE155" s="180">
        <v>10</v>
      </c>
      <c r="BF155" s="180" t="s">
        <v>528</v>
      </c>
      <c r="BG155" s="3"/>
      <c r="BH155" s="180" t="s">
        <v>1414</v>
      </c>
      <c r="BI155" s="180">
        <v>5</v>
      </c>
      <c r="BJ155" s="356"/>
      <c r="BK155" s="2"/>
      <c r="BL155" s="2"/>
      <c r="BM155" s="2"/>
      <c r="BN155" s="166"/>
      <c r="BO155" s="166"/>
      <c r="BP155" s="166"/>
      <c r="BQ155" s="166"/>
      <c r="BR155" s="166"/>
      <c r="BS155" s="166"/>
      <c r="BT155" s="166"/>
      <c r="BU155" s="166"/>
      <c r="BV155" s="166"/>
      <c r="BW155" s="16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row>
    <row r="156" spans="1:95" x14ac:dyDescent="0.25">
      <c r="A156" s="146"/>
      <c r="B156" s="146"/>
      <c r="C156" s="146"/>
      <c r="D156" s="146"/>
      <c r="E156" s="146"/>
      <c r="F156" s="146"/>
      <c r="G156" s="146"/>
      <c r="H156" s="146"/>
      <c r="I156" s="146"/>
      <c r="J156" s="146"/>
      <c r="K156" s="146"/>
      <c r="L156" s="146"/>
      <c r="M156" s="146"/>
      <c r="N156" s="146"/>
      <c r="O156" s="1650" t="str">
        <f>'A1. Submodels &amp; data'!B147</f>
        <v xml:space="preserve"> - Argentina</v>
      </c>
      <c r="P156" s="180">
        <v>4</v>
      </c>
      <c r="Q156" s="77" t="s">
        <v>1695</v>
      </c>
      <c r="R156" s="180"/>
      <c r="S156" s="180">
        <f>0</f>
        <v>0</v>
      </c>
      <c r="T156" s="180" t="str">
        <f t="shared" si="23"/>
        <v>Latin America</v>
      </c>
      <c r="U156" s="356"/>
      <c r="V156" s="149"/>
      <c r="W156" s="1639"/>
      <c r="X156" s="294" t="str">
        <f>'A3. UnitConversions'!A3</f>
        <v>[Select]</v>
      </c>
      <c r="Y156" s="294" t="str">
        <f>'A3. UnitConversions'!B3</f>
        <v>Conversion factor to tonnes</v>
      </c>
      <c r="Z156" s="180"/>
      <c r="AA156" s="180"/>
      <c r="AB156" s="180"/>
      <c r="AC156" s="149"/>
      <c r="AD156" s="149"/>
      <c r="AE156" s="149"/>
      <c r="AF156" s="149"/>
      <c r="AG156" s="149"/>
      <c r="AH156" s="149"/>
      <c r="AI156" s="149"/>
      <c r="AJ156" s="149"/>
      <c r="AK156" s="149"/>
      <c r="AL156" s="149"/>
      <c r="AM156" s="356"/>
      <c r="AN156" s="149"/>
      <c r="AO156" s="149"/>
      <c r="AP156" s="2"/>
      <c r="AQ156" s="1637"/>
      <c r="AR156" s="180" t="str">
        <f>'A1. Submodels &amp; data'!A19</f>
        <v>Ammonium Bicarbonate - 30% N</v>
      </c>
      <c r="AS156" s="180">
        <v>1</v>
      </c>
      <c r="AT156" s="180">
        <f>'A1. Submodels &amp; data'!D19</f>
        <v>1</v>
      </c>
      <c r="AU156" s="180"/>
      <c r="AV156" s="180">
        <f>'A1. Submodels &amp; data'!AC19</f>
        <v>0</v>
      </c>
      <c r="AW156" s="180"/>
      <c r="AX156" s="180">
        <v>0</v>
      </c>
      <c r="AY156" s="149"/>
      <c r="AZ156" s="149"/>
      <c r="BA156" s="3"/>
      <c r="BB156" s="180" t="s">
        <v>19</v>
      </c>
      <c r="BC156" s="180">
        <v>1</v>
      </c>
      <c r="BD156" s="180">
        <v>0</v>
      </c>
      <c r="BE156" s="180">
        <v>10</v>
      </c>
      <c r="BF156" s="180" t="s">
        <v>528</v>
      </c>
      <c r="BG156" s="3"/>
      <c r="BH156" s="180" t="s">
        <v>1751</v>
      </c>
      <c r="BI156" s="180">
        <v>6.4</v>
      </c>
      <c r="BJ156" s="356"/>
      <c r="BK156" s="2"/>
      <c r="BL156" s="2"/>
      <c r="BM156" s="2"/>
      <c r="BN156" s="166"/>
      <c r="BO156" s="166"/>
      <c r="BP156" s="166"/>
      <c r="BQ156" s="166"/>
      <c r="BR156" s="166"/>
      <c r="BS156" s="166"/>
      <c r="BT156" s="166"/>
      <c r="BU156" s="166"/>
      <c r="BV156" s="166"/>
      <c r="BW156" s="16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row>
    <row r="157" spans="1:95" x14ac:dyDescent="0.25">
      <c r="A157" s="146"/>
      <c r="B157" s="146"/>
      <c r="C157" s="146"/>
      <c r="D157" s="146"/>
      <c r="E157" s="146"/>
      <c r="F157" s="146"/>
      <c r="G157" s="146"/>
      <c r="H157" s="146"/>
      <c r="I157" s="146"/>
      <c r="J157" s="146"/>
      <c r="K157" s="146"/>
      <c r="L157" s="146"/>
      <c r="M157" s="146"/>
      <c r="N157" s="146"/>
      <c r="O157" s="1650" t="str">
        <f>'A1. Submodels &amp; data'!B148</f>
        <v xml:space="preserve"> - Armenia</v>
      </c>
      <c r="P157" s="180">
        <v>5</v>
      </c>
      <c r="Q157" s="77" t="s">
        <v>1936</v>
      </c>
      <c r="R157" s="180"/>
      <c r="S157" s="180">
        <f>0</f>
        <v>0</v>
      </c>
      <c r="T157" s="180" t="s">
        <v>1744</v>
      </c>
      <c r="U157" s="356"/>
      <c r="V157" s="149"/>
      <c r="W157" s="1639"/>
      <c r="X157" s="294" t="s">
        <v>1426</v>
      </c>
      <c r="Y157" s="294">
        <f>'A3. UnitConversions'!B4</f>
        <v>1E-3</v>
      </c>
      <c r="Z157" s="180" t="s">
        <v>1678</v>
      </c>
      <c r="AA157" s="180" t="s">
        <v>1032</v>
      </c>
      <c r="AB157" s="180">
        <v>1</v>
      </c>
      <c r="AC157" s="149"/>
      <c r="AD157" s="149"/>
      <c r="AE157" s="149"/>
      <c r="AF157" s="149"/>
      <c r="AG157" s="149"/>
      <c r="AH157" s="149"/>
      <c r="AI157" s="149"/>
      <c r="AJ157" s="149"/>
      <c r="AK157" s="149"/>
      <c r="AL157" s="149"/>
      <c r="AM157" s="356"/>
      <c r="AN157" s="149"/>
      <c r="AO157" s="149"/>
      <c r="AP157" s="2"/>
      <c r="AQ157" s="1637"/>
      <c r="AR157" s="180" t="str">
        <f>'A1. Submodels &amp; data'!A20</f>
        <v>Ammonium nitrate - 35% N</v>
      </c>
      <c r="AS157" s="180">
        <v>2</v>
      </c>
      <c r="AT157" s="180">
        <f>'A1. Submodels &amp; data'!D20</f>
        <v>2</v>
      </c>
      <c r="AU157" s="180"/>
      <c r="AV157" s="180">
        <f>'A1. Submodels &amp; data'!AC20</f>
        <v>0</v>
      </c>
      <c r="AW157" s="180"/>
      <c r="AX157" s="180">
        <v>0</v>
      </c>
      <c r="AY157" s="149"/>
      <c r="AZ157" s="149"/>
      <c r="BA157" s="3"/>
      <c r="BB157" s="180" t="s">
        <v>1412</v>
      </c>
      <c r="BC157" s="180">
        <v>2</v>
      </c>
      <c r="BD157" s="180">
        <v>0.3</v>
      </c>
      <c r="BE157" s="180">
        <v>18</v>
      </c>
      <c r="BF157" s="180" t="s">
        <v>527</v>
      </c>
      <c r="BG157" s="3"/>
      <c r="BH157" s="180" t="s">
        <v>17</v>
      </c>
      <c r="BI157" s="180">
        <v>7.9</v>
      </c>
      <c r="BJ157" s="356"/>
      <c r="BK157" s="2"/>
      <c r="BL157" s="2"/>
      <c r="BM157" s="2"/>
      <c r="BN157" s="166"/>
      <c r="BO157" s="166"/>
      <c r="BP157" s="166"/>
      <c r="BQ157" s="166"/>
      <c r="BR157" s="166"/>
      <c r="BS157" s="166"/>
      <c r="BT157" s="166"/>
      <c r="BU157" s="166"/>
      <c r="BV157" s="166"/>
      <c r="BW157" s="16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row>
    <row r="158" spans="1:95" x14ac:dyDescent="0.25">
      <c r="A158" s="146"/>
      <c r="B158" s="146"/>
      <c r="C158" s="146"/>
      <c r="D158" s="146"/>
      <c r="E158" s="146"/>
      <c r="F158" s="146"/>
      <c r="G158" s="146"/>
      <c r="H158" s="146"/>
      <c r="I158" s="146"/>
      <c r="J158" s="146"/>
      <c r="K158" s="146"/>
      <c r="L158" s="146"/>
      <c r="M158" s="146"/>
      <c r="N158" s="146"/>
      <c r="O158" s="1650" t="str">
        <f>'A1. Submodels &amp; data'!B149</f>
        <v xml:space="preserve"> - Australia</v>
      </c>
      <c r="P158" s="180">
        <v>6</v>
      </c>
      <c r="Q158" s="77" t="s">
        <v>722</v>
      </c>
      <c r="R158" s="180"/>
      <c r="S158" s="180">
        <v>1</v>
      </c>
      <c r="T158" s="180" t="str">
        <f t="shared" si="23"/>
        <v>Oceania</v>
      </c>
      <c r="U158" s="356"/>
      <c r="V158" s="149"/>
      <c r="W158" s="1639"/>
      <c r="X158" s="294" t="str">
        <f>'A3. UnitConversions'!A5</f>
        <v xml:space="preserve">tonnes </v>
      </c>
      <c r="Y158" s="294">
        <f>'A3. UnitConversions'!B5</f>
        <v>1</v>
      </c>
      <c r="Z158" s="180" t="s">
        <v>1678</v>
      </c>
      <c r="AA158" s="180" t="s">
        <v>879</v>
      </c>
      <c r="AB158" s="180">
        <v>2</v>
      </c>
      <c r="AC158" s="149"/>
      <c r="AD158" s="149"/>
      <c r="AE158" s="149"/>
      <c r="AF158" s="149"/>
      <c r="AG158" s="149"/>
      <c r="AH158" s="149"/>
      <c r="AI158" s="149"/>
      <c r="AJ158" s="149"/>
      <c r="AK158" s="149"/>
      <c r="AL158" s="149"/>
      <c r="AM158" s="356"/>
      <c r="AN158" s="149"/>
      <c r="AO158" s="149"/>
      <c r="AP158" s="2"/>
      <c r="AQ158" s="1637"/>
      <c r="AR158" s="180" t="str">
        <f>'A1. Submodels &amp; data'!A21</f>
        <v>Ammonium sulphate - 21% N</v>
      </c>
      <c r="AS158" s="180">
        <v>3</v>
      </c>
      <c r="AT158" s="180">
        <f>'A1. Submodels &amp; data'!D21</f>
        <v>3</v>
      </c>
      <c r="AU158" s="180"/>
      <c r="AV158" s="180">
        <f>'A1. Submodels &amp; data'!AC21</f>
        <v>0</v>
      </c>
      <c r="AW158" s="180"/>
      <c r="AX158" s="180">
        <v>0</v>
      </c>
      <c r="AY158" s="149"/>
      <c r="AZ158" s="149"/>
      <c r="BA158" s="3"/>
      <c r="BB158" s="180" t="s">
        <v>451</v>
      </c>
      <c r="BC158" s="180">
        <v>2</v>
      </c>
      <c r="BD158" s="180">
        <v>0</v>
      </c>
      <c r="BE158" s="180">
        <v>18</v>
      </c>
      <c r="BF158" s="180" t="s">
        <v>527</v>
      </c>
      <c r="BG158" s="3"/>
      <c r="BH158" s="180" t="s">
        <v>20</v>
      </c>
      <c r="BI158" s="180">
        <v>9</v>
      </c>
      <c r="BJ158" s="356"/>
      <c r="BK158" s="2"/>
      <c r="BL158" s="2"/>
      <c r="BM158" s="2"/>
      <c r="BN158" s="166"/>
      <c r="BO158" s="166"/>
      <c r="BP158" s="166"/>
      <c r="BQ158" s="166"/>
      <c r="BR158" s="166"/>
      <c r="BS158" s="166"/>
      <c r="BT158" s="166"/>
      <c r="BU158" s="166"/>
      <c r="BV158" s="166"/>
      <c r="BW158" s="16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row>
    <row r="159" spans="1:95" x14ac:dyDescent="0.25">
      <c r="A159" s="146"/>
      <c r="B159" s="146"/>
      <c r="C159" s="146"/>
      <c r="D159" s="146"/>
      <c r="E159" s="146"/>
      <c r="F159" s="146"/>
      <c r="G159" s="146"/>
      <c r="H159" s="146"/>
      <c r="I159" s="146"/>
      <c r="J159" s="146"/>
      <c r="K159" s="146"/>
      <c r="L159" s="146"/>
      <c r="M159" s="146"/>
      <c r="N159" s="146"/>
      <c r="O159" s="1650" t="str">
        <f>'A1. Submodels &amp; data'!B150</f>
        <v xml:space="preserve"> - Austria</v>
      </c>
      <c r="P159" s="180">
        <v>7</v>
      </c>
      <c r="Q159" s="77" t="s">
        <v>771</v>
      </c>
      <c r="R159" s="180"/>
      <c r="S159" s="180">
        <v>1</v>
      </c>
      <c r="T159" s="180" t="str">
        <f t="shared" si="23"/>
        <v>Western Europe</v>
      </c>
      <c r="U159" s="356"/>
      <c r="V159" s="149"/>
      <c r="W159" s="1639"/>
      <c r="X159" s="294" t="str">
        <f>'A3. UnitConversions'!A6</f>
        <v>tons (US, short)</v>
      </c>
      <c r="Y159" s="294">
        <f>'A3. UnitConversions'!B6</f>
        <v>0.90718474000000004</v>
      </c>
      <c r="Z159" s="180" t="s">
        <v>1678</v>
      </c>
      <c r="AA159" s="180" t="s">
        <v>880</v>
      </c>
      <c r="AB159" s="180">
        <v>3</v>
      </c>
      <c r="AC159" s="149"/>
      <c r="AD159" s="149"/>
      <c r="AE159" s="149"/>
      <c r="AF159" s="149"/>
      <c r="AG159" s="149"/>
      <c r="AH159" s="149"/>
      <c r="AI159" s="149"/>
      <c r="AJ159" s="149"/>
      <c r="AK159" s="149"/>
      <c r="AL159" s="149"/>
      <c r="AM159" s="356"/>
      <c r="AN159" s="149"/>
      <c r="AO159" s="149"/>
      <c r="AP159" s="2"/>
      <c r="AQ159" s="1637"/>
      <c r="AR159" s="180" t="str">
        <f>'A1. Submodels &amp; data'!A22</f>
        <v>Ammonium sulphate nitrate - 26%N</v>
      </c>
      <c r="AS159" s="180">
        <v>4</v>
      </c>
      <c r="AT159" s="180">
        <f>'A1. Submodels &amp; data'!D22</f>
        <v>4</v>
      </c>
      <c r="AU159" s="180"/>
      <c r="AV159" s="180">
        <f>'A1. Submodels &amp; data'!AC22</f>
        <v>0</v>
      </c>
      <c r="AW159" s="180"/>
      <c r="AX159" s="180">
        <v>0</v>
      </c>
      <c r="AY159" s="149"/>
      <c r="AZ159" s="149"/>
      <c r="BA159" s="149"/>
      <c r="BB159" s="149"/>
      <c r="BC159" s="149"/>
      <c r="BD159" s="149"/>
      <c r="BE159" s="149"/>
      <c r="BF159" s="149"/>
      <c r="BG159" s="149"/>
      <c r="BH159" s="149"/>
      <c r="BI159" s="149"/>
      <c r="BJ159" s="356"/>
      <c r="BK159" s="2"/>
      <c r="BL159" s="2"/>
      <c r="BM159" s="2"/>
      <c r="BN159" s="166"/>
      <c r="BO159" s="166"/>
      <c r="BP159" s="166"/>
      <c r="BQ159" s="166"/>
      <c r="BR159" s="166"/>
      <c r="BS159" s="166"/>
      <c r="BT159" s="166"/>
      <c r="BU159" s="166"/>
      <c r="BV159" s="166"/>
      <c r="BW159" s="16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row>
    <row r="160" spans="1:95" x14ac:dyDescent="0.25">
      <c r="A160" s="146"/>
      <c r="B160" s="146"/>
      <c r="C160" s="146"/>
      <c r="D160" s="146"/>
      <c r="E160" s="146"/>
      <c r="F160" s="146"/>
      <c r="G160" s="146"/>
      <c r="H160" s="146"/>
      <c r="I160" s="146"/>
      <c r="J160" s="146"/>
      <c r="K160" s="146"/>
      <c r="L160" s="146"/>
      <c r="M160" s="146"/>
      <c r="N160" s="146"/>
      <c r="O160" s="1650" t="str">
        <f>'A1. Submodels &amp; data'!B151</f>
        <v xml:space="preserve"> - Azerbaijan</v>
      </c>
      <c r="P160" s="180">
        <v>8</v>
      </c>
      <c r="Q160" s="77" t="s">
        <v>1936</v>
      </c>
      <c r="R160" s="180"/>
      <c r="S160" s="180">
        <f>0</f>
        <v>0</v>
      </c>
      <c r="T160" s="180" t="s">
        <v>1744</v>
      </c>
      <c r="U160" s="356"/>
      <c r="V160" s="149"/>
      <c r="W160" s="1639"/>
      <c r="X160" s="294" t="str">
        <f>'A3. UnitConversions'!A7</f>
        <v>litres</v>
      </c>
      <c r="Y160" s="294">
        <v>1E-3</v>
      </c>
      <c r="Z160" s="180" t="s">
        <v>1678</v>
      </c>
      <c r="AA160" s="180" t="s">
        <v>885</v>
      </c>
      <c r="AB160" s="180">
        <v>4</v>
      </c>
      <c r="AC160" s="149"/>
      <c r="AD160" s="149"/>
      <c r="AE160" s="149"/>
      <c r="AF160" s="149"/>
      <c r="AG160" s="149"/>
      <c r="AH160" s="149"/>
      <c r="AI160" s="149"/>
      <c r="AJ160" s="149"/>
      <c r="AK160" s="149"/>
      <c r="AL160" s="149"/>
      <c r="AM160" s="356"/>
      <c r="AN160" s="149"/>
      <c r="AO160" s="149"/>
      <c r="AP160" s="2"/>
      <c r="AQ160" s="1637"/>
      <c r="AR160" s="180" t="str">
        <f>'A1. Submodels &amp; data'!A23</f>
        <v>Anhydrous ammonia - 82% N</v>
      </c>
      <c r="AS160" s="180">
        <v>5</v>
      </c>
      <c r="AT160" s="180">
        <f>'A1. Submodels &amp; data'!D23</f>
        <v>5</v>
      </c>
      <c r="AU160" s="180"/>
      <c r="AV160" s="180">
        <f>'A1. Submodels &amp; data'!AC23</f>
        <v>0</v>
      </c>
      <c r="AW160" s="180"/>
      <c r="AX160" s="180">
        <v>0</v>
      </c>
      <c r="AY160" s="149"/>
      <c r="AZ160" s="149"/>
      <c r="BA160" s="149"/>
      <c r="BB160" s="283" t="s">
        <v>1946</v>
      </c>
      <c r="BC160" s="180" t="e">
        <f>NA()</f>
        <v>#N/A</v>
      </c>
      <c r="BD160" s="149"/>
      <c r="BE160" s="149"/>
      <c r="BF160" s="149"/>
      <c r="BG160" s="149"/>
      <c r="BH160" s="149"/>
      <c r="BI160" s="149"/>
      <c r="BJ160" s="356"/>
      <c r="BK160" s="2"/>
      <c r="BL160" s="2"/>
      <c r="BM160" s="2"/>
      <c r="BN160" s="166"/>
      <c r="BO160" s="166"/>
      <c r="BP160" s="166"/>
      <c r="BQ160" s="166"/>
      <c r="BR160" s="166"/>
      <c r="BS160" s="166"/>
      <c r="BT160" s="166"/>
      <c r="BU160" s="166"/>
      <c r="BV160" s="166"/>
      <c r="BW160" s="166"/>
      <c r="BX160" s="60"/>
      <c r="BY160" s="60"/>
      <c r="BZ160" s="60"/>
      <c r="CA160" s="60"/>
      <c r="CB160" s="60"/>
      <c r="CC160" s="60"/>
      <c r="CD160" s="60"/>
      <c r="CE160" s="60"/>
      <c r="CF160" s="60"/>
      <c r="CG160" s="60"/>
      <c r="CH160" s="60"/>
      <c r="CI160" s="60"/>
      <c r="CJ160" s="60"/>
      <c r="CK160" s="60"/>
      <c r="CL160" s="60"/>
      <c r="CM160" s="60"/>
      <c r="CN160" s="60"/>
      <c r="CO160" s="60"/>
      <c r="CP160" s="60"/>
      <c r="CQ160" s="60"/>
    </row>
    <row r="161" spans="1:95" x14ac:dyDescent="0.25">
      <c r="A161" s="146"/>
      <c r="B161" s="146"/>
      <c r="C161" s="146"/>
      <c r="D161" s="146"/>
      <c r="E161" s="146"/>
      <c r="F161" s="146"/>
      <c r="G161" s="146"/>
      <c r="H161" s="146"/>
      <c r="I161" s="146"/>
      <c r="J161" s="146"/>
      <c r="K161" s="146"/>
      <c r="L161" s="146"/>
      <c r="M161" s="146"/>
      <c r="N161" s="146"/>
      <c r="O161" s="1650" t="str">
        <f>'A1. Submodels &amp; data'!B152</f>
        <v xml:space="preserve"> - Bahrain</v>
      </c>
      <c r="P161" s="180">
        <v>9</v>
      </c>
      <c r="Q161" s="77" t="s">
        <v>351</v>
      </c>
      <c r="R161" s="180"/>
      <c r="S161" s="180">
        <v>1</v>
      </c>
      <c r="T161" s="180" t="str">
        <f t="shared" si="23"/>
        <v>Middle East</v>
      </c>
      <c r="U161" s="356"/>
      <c r="V161" s="149"/>
      <c r="W161" s="1639"/>
      <c r="X161" s="295" t="s">
        <v>1679</v>
      </c>
      <c r="Y161" s="296">
        <v>1</v>
      </c>
      <c r="Z161" s="180"/>
      <c r="AA161" s="180" t="s">
        <v>1955</v>
      </c>
      <c r="AB161" s="180">
        <v>5</v>
      </c>
      <c r="AC161" s="149"/>
      <c r="AD161" s="149"/>
      <c r="AE161" s="149"/>
      <c r="AF161" s="149"/>
      <c r="AG161" s="149"/>
      <c r="AH161" s="149"/>
      <c r="AI161" s="149"/>
      <c r="AJ161" s="149"/>
      <c r="AK161" s="149"/>
      <c r="AL161" s="149"/>
      <c r="AM161" s="356"/>
      <c r="AN161" s="149"/>
      <c r="AO161" s="149"/>
      <c r="AP161" s="2"/>
      <c r="AQ161" s="1637"/>
      <c r="AR161" s="180" t="str">
        <f>'A1. Submodels &amp; data'!A24</f>
        <v>Calcium ammonium nitrate -27% N</v>
      </c>
      <c r="AS161" s="180">
        <v>6</v>
      </c>
      <c r="AT161" s="180">
        <f>'A1. Submodels &amp; data'!D24</f>
        <v>6</v>
      </c>
      <c r="AU161" s="180"/>
      <c r="AV161" s="180">
        <f>'A1. Submodels &amp; data'!AC24</f>
        <v>0</v>
      </c>
      <c r="AW161" s="180"/>
      <c r="AX161" s="180">
        <v>0</v>
      </c>
      <c r="AY161" s="149"/>
      <c r="AZ161" s="149"/>
      <c r="BA161" s="149"/>
      <c r="BB161" s="180" t="s">
        <v>1415</v>
      </c>
      <c r="BC161" s="180">
        <v>1</v>
      </c>
      <c r="BD161" s="149"/>
      <c r="BE161" s="149"/>
      <c r="BF161" s="283" t="s">
        <v>1657</v>
      </c>
      <c r="BG161" s="180" t="e">
        <f>NA()</f>
        <v>#N/A</v>
      </c>
      <c r="BH161" s="180"/>
      <c r="BI161" s="180" t="s">
        <v>1151</v>
      </c>
      <c r="BJ161" s="356"/>
      <c r="BK161" s="2"/>
      <c r="BL161" s="2"/>
      <c r="BM161" s="2"/>
      <c r="BN161" s="166"/>
      <c r="BO161" s="166"/>
      <c r="BP161" s="166"/>
      <c r="BQ161" s="166"/>
      <c r="BR161" s="166"/>
      <c r="BS161" s="166"/>
      <c r="BT161" s="166"/>
      <c r="BU161" s="166"/>
      <c r="BV161" s="166"/>
      <c r="BW161" s="166"/>
      <c r="BX161" s="60"/>
      <c r="BY161" s="60"/>
      <c r="BZ161" s="60"/>
      <c r="CA161" s="60"/>
      <c r="CB161" s="60"/>
      <c r="CC161" s="60"/>
      <c r="CD161" s="60"/>
      <c r="CE161" s="60"/>
      <c r="CF161" s="60"/>
      <c r="CG161" s="60"/>
      <c r="CH161" s="60"/>
      <c r="CI161" s="60"/>
      <c r="CJ161" s="60"/>
      <c r="CK161" s="60"/>
      <c r="CL161" s="60"/>
      <c r="CM161" s="60"/>
      <c r="CN161" s="60"/>
      <c r="CO161" s="60"/>
      <c r="CP161" s="60"/>
      <c r="CQ161" s="60"/>
    </row>
    <row r="162" spans="1:95" x14ac:dyDescent="0.25">
      <c r="A162" s="146"/>
      <c r="B162" s="146"/>
      <c r="C162" s="146"/>
      <c r="D162" s="146"/>
      <c r="E162" s="146"/>
      <c r="F162" s="146"/>
      <c r="G162" s="146"/>
      <c r="H162" s="146"/>
      <c r="I162" s="146"/>
      <c r="J162" s="146"/>
      <c r="K162" s="146"/>
      <c r="L162" s="146"/>
      <c r="M162" s="146"/>
      <c r="N162" s="146"/>
      <c r="O162" s="1650" t="str">
        <f>'A1. Submodels &amp; data'!B153</f>
        <v xml:space="preserve"> - Bangladesh</v>
      </c>
      <c r="P162" s="180">
        <v>10</v>
      </c>
      <c r="Q162" s="77" t="s">
        <v>637</v>
      </c>
      <c r="R162" s="180"/>
      <c r="S162" s="180">
        <f>0</f>
        <v>0</v>
      </c>
      <c r="T162" s="180" t="str">
        <f t="shared" si="23"/>
        <v>Indian Subcontinent</v>
      </c>
      <c r="U162" s="356"/>
      <c r="V162" s="149"/>
      <c r="W162" s="1639"/>
      <c r="X162" s="295" t="s">
        <v>1680</v>
      </c>
      <c r="Y162" s="296">
        <v>1</v>
      </c>
      <c r="Z162" s="180"/>
      <c r="AA162" s="180" t="s">
        <v>1601</v>
      </c>
      <c r="AB162" s="180">
        <v>6</v>
      </c>
      <c r="AC162" s="149"/>
      <c r="AD162" s="149"/>
      <c r="AE162" s="149"/>
      <c r="AF162" s="149"/>
      <c r="AG162" s="149"/>
      <c r="AH162" s="149"/>
      <c r="AI162" s="149"/>
      <c r="AJ162" s="149"/>
      <c r="AK162" s="149"/>
      <c r="AL162" s="149"/>
      <c r="AM162" s="356"/>
      <c r="AN162" s="149"/>
      <c r="AO162" s="149"/>
      <c r="AP162" s="2"/>
      <c r="AQ162" s="1637"/>
      <c r="AR162" s="180" t="str">
        <f>'A1. Submodels &amp; data'!A25</f>
        <v>Calcium nitrate - 15% N</v>
      </c>
      <c r="AS162" s="180">
        <v>7</v>
      </c>
      <c r="AT162" s="180">
        <f>'A1. Submodels &amp; data'!D25</f>
        <v>7</v>
      </c>
      <c r="AU162" s="180"/>
      <c r="AV162" s="180">
        <f>'A1. Submodels &amp; data'!AC25</f>
        <v>0</v>
      </c>
      <c r="AW162" s="180"/>
      <c r="AX162" s="180">
        <v>0</v>
      </c>
      <c r="AY162" s="149"/>
      <c r="AZ162" s="149"/>
      <c r="BA162" s="149"/>
      <c r="BB162" s="180" t="s">
        <v>1752</v>
      </c>
      <c r="BC162" s="180">
        <v>2</v>
      </c>
      <c r="BD162" s="149"/>
      <c r="BE162" s="149"/>
      <c r="BF162" s="180" t="s">
        <v>1654</v>
      </c>
      <c r="BG162" s="129">
        <v>30</v>
      </c>
      <c r="BH162" s="180">
        <v>1</v>
      </c>
      <c r="BI162" s="180">
        <v>1</v>
      </c>
      <c r="BJ162" s="356"/>
      <c r="BK162" s="2"/>
      <c r="BL162" s="2"/>
      <c r="BM162" s="2"/>
      <c r="BN162" s="166"/>
      <c r="BO162" s="166"/>
      <c r="BP162" s="166"/>
      <c r="BQ162" s="166"/>
      <c r="BR162" s="166"/>
      <c r="BS162" s="166"/>
      <c r="BT162" s="166"/>
      <c r="BU162" s="166"/>
      <c r="BV162" s="166"/>
      <c r="BW162" s="166"/>
      <c r="BX162" s="60"/>
      <c r="BY162" s="60"/>
      <c r="BZ162" s="60"/>
      <c r="CA162" s="60"/>
      <c r="CB162" s="60"/>
      <c r="CC162" s="60"/>
      <c r="CD162" s="60"/>
      <c r="CE162" s="60"/>
      <c r="CF162" s="60"/>
      <c r="CG162" s="60"/>
      <c r="CH162" s="60"/>
      <c r="CI162" s="60"/>
      <c r="CJ162" s="60"/>
      <c r="CK162" s="60"/>
      <c r="CL162" s="60"/>
      <c r="CM162" s="60"/>
      <c r="CN162" s="60"/>
      <c r="CO162" s="60"/>
      <c r="CP162" s="60"/>
      <c r="CQ162" s="60"/>
    </row>
    <row r="163" spans="1:95" x14ac:dyDescent="0.25">
      <c r="A163" s="146"/>
      <c r="B163" s="146"/>
      <c r="C163" s="146"/>
      <c r="D163" s="146"/>
      <c r="E163" s="146"/>
      <c r="F163" s="146"/>
      <c r="G163" s="146"/>
      <c r="H163" s="146"/>
      <c r="I163" s="146"/>
      <c r="J163" s="146"/>
      <c r="K163" s="146"/>
      <c r="L163" s="146"/>
      <c r="M163" s="146"/>
      <c r="N163" s="146"/>
      <c r="O163" s="1650" t="str">
        <f>'A1. Submodels &amp; data'!B154</f>
        <v xml:space="preserve"> - Belarus</v>
      </c>
      <c r="P163" s="180">
        <v>11</v>
      </c>
      <c r="Q163" s="77" t="s">
        <v>721</v>
      </c>
      <c r="R163" s="77"/>
      <c r="S163" s="180">
        <f>0</f>
        <v>0</v>
      </c>
      <c r="T163" s="180" t="str">
        <f t="shared" si="23"/>
        <v>Eastern Europe</v>
      </c>
      <c r="U163" s="356"/>
      <c r="V163" s="149"/>
      <c r="W163" s="1639"/>
      <c r="X163" s="149" t="s">
        <v>977</v>
      </c>
      <c r="Y163" s="149">
        <f>'A3. UnitConversions'!B55/1000</f>
        <v>3.7854120000000002E-3</v>
      </c>
      <c r="Z163" s="149"/>
      <c r="AA163" s="149" t="s">
        <v>1830</v>
      </c>
      <c r="AB163" s="149">
        <v>7</v>
      </c>
      <c r="AC163" s="149"/>
      <c r="AD163" s="149"/>
      <c r="AE163" s="149"/>
      <c r="AF163" s="149"/>
      <c r="AG163" s="149"/>
      <c r="AH163" s="149"/>
      <c r="AI163" s="149"/>
      <c r="AJ163" s="149"/>
      <c r="AK163" s="149"/>
      <c r="AL163" s="149"/>
      <c r="AM163" s="356"/>
      <c r="AN163" s="149"/>
      <c r="AO163" s="149"/>
      <c r="AP163" s="2"/>
      <c r="AQ163" s="1637"/>
      <c r="AR163" s="180" t="str">
        <f>'A1. Submodels &amp; data'!A26</f>
        <v>Compound NK - 14% N; 44% K2O</v>
      </c>
      <c r="AS163" s="180">
        <v>8</v>
      </c>
      <c r="AT163" s="180">
        <f>'A1. Submodels &amp; data'!D26</f>
        <v>8</v>
      </c>
      <c r="AU163" s="180"/>
      <c r="AV163" s="180">
        <f>'A1. Submodels &amp; data'!AC26</f>
        <v>0</v>
      </c>
      <c r="AW163" s="180"/>
      <c r="AX163" s="180">
        <v>0</v>
      </c>
      <c r="AY163" s="149"/>
      <c r="AZ163" s="149"/>
      <c r="BA163" s="149"/>
      <c r="BB163" s="180" t="s">
        <v>18</v>
      </c>
      <c r="BC163" s="180">
        <v>3</v>
      </c>
      <c r="BD163" s="149"/>
      <c r="BE163" s="149"/>
      <c r="BF163" s="180" t="s">
        <v>1503</v>
      </c>
      <c r="BG163" s="180">
        <v>60</v>
      </c>
      <c r="BH163" s="180">
        <v>2</v>
      </c>
      <c r="BI163" s="180">
        <v>1</v>
      </c>
      <c r="BJ163" s="356"/>
      <c r="BK163" s="2"/>
      <c r="BL163" s="2"/>
      <c r="BM163" s="2"/>
      <c r="BN163" s="166"/>
      <c r="BO163" s="166"/>
      <c r="BP163" s="166"/>
      <c r="BQ163" s="166"/>
      <c r="BR163" s="166"/>
      <c r="BS163" s="166"/>
      <c r="BT163" s="166"/>
      <c r="BU163" s="166"/>
      <c r="BV163" s="166"/>
      <c r="BW163" s="166"/>
      <c r="BX163" s="60"/>
      <c r="BY163" s="60"/>
      <c r="BZ163" s="60"/>
      <c r="CA163" s="60"/>
      <c r="CB163" s="60"/>
      <c r="CC163" s="60"/>
      <c r="CD163" s="60"/>
      <c r="CE163" s="60"/>
      <c r="CF163" s="60"/>
      <c r="CG163" s="60"/>
      <c r="CH163" s="60"/>
      <c r="CI163" s="60"/>
      <c r="CJ163" s="60"/>
      <c r="CK163" s="60"/>
      <c r="CL163" s="60"/>
      <c r="CM163" s="60"/>
      <c r="CN163" s="60"/>
      <c r="CO163" s="60"/>
      <c r="CP163" s="60"/>
      <c r="CQ163" s="60"/>
    </row>
    <row r="164" spans="1:95" x14ac:dyDescent="0.25">
      <c r="A164" s="146"/>
      <c r="B164" s="146"/>
      <c r="C164" s="146"/>
      <c r="D164" s="146"/>
      <c r="E164" s="146"/>
      <c r="F164" s="146"/>
      <c r="G164" s="146"/>
      <c r="H164" s="146"/>
      <c r="I164" s="146"/>
      <c r="J164" s="146"/>
      <c r="K164" s="146"/>
      <c r="L164" s="146"/>
      <c r="M164" s="146"/>
      <c r="N164" s="146"/>
      <c r="O164" s="1650" t="str">
        <f>'A1. Submodels &amp; data'!B155</f>
        <v xml:space="preserve"> - Belgium</v>
      </c>
      <c r="P164" s="180">
        <v>12</v>
      </c>
      <c r="Q164" s="77" t="s">
        <v>771</v>
      </c>
      <c r="R164" s="180"/>
      <c r="S164" s="180">
        <v>1</v>
      </c>
      <c r="T164" s="180" t="str">
        <f t="shared" si="23"/>
        <v>Western Europe</v>
      </c>
      <c r="U164" s="356"/>
      <c r="V164" s="149"/>
      <c r="W164" s="1639"/>
      <c r="X164" s="149" t="s">
        <v>1427</v>
      </c>
      <c r="Y164" s="149">
        <f>0.45359237/1000</f>
        <v>4.5359237000000004E-4</v>
      </c>
      <c r="Z164" s="149"/>
      <c r="AA164" s="149" t="s">
        <v>1831</v>
      </c>
      <c r="AB164" s="149">
        <v>8</v>
      </c>
      <c r="AC164" s="149"/>
      <c r="AD164" s="149"/>
      <c r="AE164" s="149"/>
      <c r="AF164" s="149"/>
      <c r="AG164" s="149"/>
      <c r="AH164" s="149"/>
      <c r="AI164" s="149"/>
      <c r="AJ164" s="149"/>
      <c r="AK164" s="149"/>
      <c r="AL164" s="149"/>
      <c r="AM164" s="356"/>
      <c r="AN164" s="149"/>
      <c r="AO164" s="149"/>
      <c r="AP164" s="2"/>
      <c r="AQ164" s="1637"/>
      <c r="AR164" s="180" t="str">
        <f>'A1. Submodels &amp; data'!A27</f>
        <v>Compound NPK 15%N 15% K2O 15% P2O5</v>
      </c>
      <c r="AS164" s="180">
        <v>9</v>
      </c>
      <c r="AT164" s="180">
        <f>'A1. Submodels &amp; data'!D27</f>
        <v>9</v>
      </c>
      <c r="AU164" s="180"/>
      <c r="AV164" s="180">
        <f>'A1. Submodels &amp; data'!AC27</f>
        <v>0</v>
      </c>
      <c r="AW164" s="180"/>
      <c r="AX164" s="180">
        <v>0</v>
      </c>
      <c r="AY164" s="149"/>
      <c r="AZ164" s="149"/>
      <c r="BA164" s="149"/>
      <c r="BB164" s="180" t="s">
        <v>2031</v>
      </c>
      <c r="BC164" s="180">
        <v>4</v>
      </c>
      <c r="BD164" s="149"/>
      <c r="BE164" s="149"/>
      <c r="BF164" s="180" t="s">
        <v>1748</v>
      </c>
      <c r="BG164" s="180">
        <v>135</v>
      </c>
      <c r="BH164" s="180">
        <v>3</v>
      </c>
      <c r="BI164" s="180">
        <v>1</v>
      </c>
      <c r="BJ164" s="356"/>
      <c r="BK164" s="2"/>
      <c r="BL164" s="2"/>
      <c r="BM164" s="2"/>
      <c r="BN164" s="166"/>
      <c r="BO164" s="166"/>
      <c r="BP164" s="166"/>
      <c r="BQ164" s="166"/>
      <c r="BR164" s="166"/>
      <c r="BS164" s="166"/>
      <c r="BT164" s="166"/>
      <c r="BU164" s="166"/>
      <c r="BV164" s="166"/>
      <c r="BW164" s="166"/>
      <c r="BX164" s="60"/>
      <c r="BY164" s="60"/>
      <c r="BZ164" s="60"/>
      <c r="CA164" s="60"/>
      <c r="CB164" s="60"/>
      <c r="CC164" s="60"/>
      <c r="CD164" s="60"/>
      <c r="CE164" s="60"/>
      <c r="CF164" s="60"/>
      <c r="CG164" s="60"/>
      <c r="CH164" s="60"/>
      <c r="CI164" s="60"/>
      <c r="CJ164" s="60"/>
      <c r="CK164" s="60"/>
      <c r="CL164" s="60"/>
      <c r="CM164" s="60"/>
      <c r="CN164" s="60"/>
      <c r="CO164" s="60"/>
      <c r="CP164" s="60"/>
      <c r="CQ164" s="60"/>
    </row>
    <row r="165" spans="1:95" x14ac:dyDescent="0.25">
      <c r="A165" s="146"/>
      <c r="B165" s="146"/>
      <c r="C165" s="146"/>
      <c r="D165" s="146"/>
      <c r="E165" s="146"/>
      <c r="F165" s="146"/>
      <c r="G165" s="146"/>
      <c r="H165" s="146"/>
      <c r="I165" s="146"/>
      <c r="J165" s="146"/>
      <c r="K165" s="146"/>
      <c r="L165" s="146"/>
      <c r="M165" s="146"/>
      <c r="N165" s="146"/>
      <c r="O165" s="1650" t="str">
        <f>'A1. Submodels &amp; data'!B156</f>
        <v xml:space="preserve"> - Benin</v>
      </c>
      <c r="P165" s="180">
        <v>13</v>
      </c>
      <c r="Q165" s="77" t="s">
        <v>212</v>
      </c>
      <c r="R165" s="180"/>
      <c r="S165" s="180">
        <f>0</f>
        <v>0</v>
      </c>
      <c r="T165" s="180" t="str">
        <f t="shared" si="23"/>
        <v>Africa</v>
      </c>
      <c r="U165" s="356"/>
      <c r="V165" s="149"/>
      <c r="W165" s="1639"/>
      <c r="X165" s="149"/>
      <c r="Y165" s="149"/>
      <c r="Z165" s="149"/>
      <c r="AA165" s="149"/>
      <c r="AB165" s="149"/>
      <c r="AC165" s="149"/>
      <c r="AD165" s="149"/>
      <c r="AE165" s="149"/>
      <c r="AF165" s="149"/>
      <c r="AG165" s="149"/>
      <c r="AH165" s="149"/>
      <c r="AI165" s="149"/>
      <c r="AJ165" s="149"/>
      <c r="AK165" s="149"/>
      <c r="AL165" s="149"/>
      <c r="AM165" s="356"/>
      <c r="AN165" s="149"/>
      <c r="AO165" s="149"/>
      <c r="AP165" s="2"/>
      <c r="AQ165" s="1637"/>
      <c r="AR165" s="180" t="str">
        <f>'A1. Submodels &amp; data'!A28</f>
        <v>Diammonium phosphate - 18% N; 46% P2O5</v>
      </c>
      <c r="AS165" s="180">
        <v>10</v>
      </c>
      <c r="AT165" s="180">
        <f>'A1. Submodels &amp; data'!D28</f>
        <v>10</v>
      </c>
      <c r="AU165" s="180"/>
      <c r="AV165" s="180">
        <f>'A1. Submodels &amp; data'!AC28</f>
        <v>0</v>
      </c>
      <c r="AW165" s="180"/>
      <c r="AX165" s="180">
        <v>0</v>
      </c>
      <c r="AY165" s="149"/>
      <c r="AZ165" s="149"/>
      <c r="BA165" s="149"/>
      <c r="BB165" s="149"/>
      <c r="BC165" s="149"/>
      <c r="BD165" s="149"/>
      <c r="BE165" s="149"/>
      <c r="BF165" s="180" t="s">
        <v>26</v>
      </c>
      <c r="BG165" s="180">
        <v>180</v>
      </c>
      <c r="BH165" s="180">
        <v>4</v>
      </c>
      <c r="BI165" s="180">
        <v>1</v>
      </c>
      <c r="BJ165" s="356"/>
      <c r="BK165" s="2"/>
      <c r="BL165" s="2"/>
      <c r="BM165" s="2"/>
      <c r="BN165" s="166"/>
      <c r="BO165" s="166"/>
      <c r="BP165" s="166"/>
      <c r="BQ165" s="166"/>
      <c r="BR165" s="166"/>
      <c r="BS165" s="166"/>
      <c r="BT165" s="166"/>
      <c r="BU165" s="166"/>
      <c r="BV165" s="166"/>
      <c r="BW165" s="166"/>
      <c r="BX165" s="60"/>
      <c r="BY165" s="60"/>
      <c r="BZ165" s="60"/>
      <c r="CA165" s="60"/>
      <c r="CB165" s="60"/>
      <c r="CC165" s="60"/>
      <c r="CD165" s="60"/>
      <c r="CE165" s="60"/>
      <c r="CF165" s="60"/>
      <c r="CG165" s="60"/>
      <c r="CH165" s="60"/>
      <c r="CI165" s="60"/>
      <c r="CJ165" s="60"/>
      <c r="CK165" s="60"/>
      <c r="CL165" s="60"/>
      <c r="CM165" s="60"/>
      <c r="CN165" s="60"/>
      <c r="CO165" s="60"/>
      <c r="CP165" s="60"/>
      <c r="CQ165" s="60"/>
    </row>
    <row r="166" spans="1:95" x14ac:dyDescent="0.25">
      <c r="A166" s="146"/>
      <c r="B166" s="146"/>
      <c r="C166" s="146"/>
      <c r="D166" s="146"/>
      <c r="E166" s="146"/>
      <c r="F166" s="146"/>
      <c r="G166" s="146"/>
      <c r="H166" s="146"/>
      <c r="I166" s="146"/>
      <c r="J166" s="146"/>
      <c r="K166" s="146"/>
      <c r="L166" s="146"/>
      <c r="M166" s="146"/>
      <c r="N166" s="146"/>
      <c r="O166" s="1650" t="str">
        <f>'A1. Submodels &amp; data'!B157</f>
        <v xml:space="preserve"> - Bolivia</v>
      </c>
      <c r="P166" s="180">
        <v>14</v>
      </c>
      <c r="Q166" s="77" t="s">
        <v>1695</v>
      </c>
      <c r="R166" s="180"/>
      <c r="S166" s="180">
        <f>0</f>
        <v>0</v>
      </c>
      <c r="T166" s="180" t="str">
        <f t="shared" si="23"/>
        <v>Latin America</v>
      </c>
      <c r="U166" s="356"/>
      <c r="V166" s="149"/>
      <c r="W166" s="1639"/>
      <c r="X166" s="149"/>
      <c r="Y166" s="149"/>
      <c r="Z166" s="149"/>
      <c r="AA166" s="149"/>
      <c r="AB166" s="149"/>
      <c r="AC166" s="149"/>
      <c r="AD166" s="149"/>
      <c r="AE166" s="149"/>
      <c r="AF166" s="149"/>
      <c r="AG166" s="149"/>
      <c r="AH166" s="149"/>
      <c r="AI166" s="149"/>
      <c r="AJ166" s="149"/>
      <c r="AK166" s="149"/>
      <c r="AL166" s="149"/>
      <c r="AM166" s="356"/>
      <c r="AN166" s="149"/>
      <c r="AO166" s="149"/>
      <c r="AP166" s="2"/>
      <c r="AQ166" s="1637"/>
      <c r="AR166" s="180" t="str">
        <f>'A1. Submodels &amp; data'!A29</f>
        <v>Kainit / Magnesium Sulphate - 11% K2O; 5% MgO</v>
      </c>
      <c r="AS166" s="180">
        <v>11</v>
      </c>
      <c r="AT166" s="180">
        <f>'A1. Submodels &amp; data'!D29</f>
        <v>11</v>
      </c>
      <c r="AU166" s="180"/>
      <c r="AV166" s="180">
        <f>'A1. Submodels &amp; data'!AC29</f>
        <v>0</v>
      </c>
      <c r="AW166" s="180"/>
      <c r="AX166" s="180">
        <v>0</v>
      </c>
      <c r="AY166" s="149"/>
      <c r="AZ166" s="149"/>
      <c r="BA166" s="149"/>
      <c r="BB166" s="283" t="s">
        <v>1946</v>
      </c>
      <c r="BC166" s="180" t="e">
        <f>NA()</f>
        <v>#N/A</v>
      </c>
      <c r="BD166" s="149"/>
      <c r="BE166" s="149"/>
      <c r="BF166" s="180">
        <v>0</v>
      </c>
      <c r="BG166" s="180" t="e">
        <f>NA()</f>
        <v>#N/A</v>
      </c>
      <c r="BH166" s="1376">
        <f>IF(E13&lt;1.72,1,(IF(E13&lt;5.16,2,IF(E13&lt;10.32,3,4))))</f>
        <v>4</v>
      </c>
      <c r="BI166" s="180">
        <v>0</v>
      </c>
      <c r="BJ166" s="356"/>
      <c r="BK166" s="2"/>
      <c r="BL166" s="2"/>
      <c r="BM166" s="2"/>
      <c r="BN166" s="166"/>
      <c r="BO166" s="166"/>
      <c r="BP166" s="166"/>
      <c r="BQ166" s="166"/>
      <c r="BR166" s="166"/>
      <c r="BS166" s="166"/>
      <c r="BT166" s="166"/>
      <c r="BU166" s="166"/>
      <c r="BV166" s="166"/>
      <c r="BW166" s="166"/>
      <c r="BX166" s="60"/>
      <c r="BY166" s="60"/>
      <c r="BZ166" s="60"/>
      <c r="CA166" s="60"/>
      <c r="CB166" s="60"/>
      <c r="CC166" s="60"/>
      <c r="CD166" s="60"/>
      <c r="CE166" s="60"/>
      <c r="CF166" s="60"/>
      <c r="CG166" s="60"/>
      <c r="CH166" s="60"/>
      <c r="CI166" s="60"/>
      <c r="CJ166" s="60"/>
      <c r="CK166" s="60"/>
      <c r="CL166" s="60"/>
      <c r="CM166" s="60"/>
      <c r="CN166" s="60"/>
      <c r="CO166" s="60"/>
      <c r="CP166" s="60"/>
      <c r="CQ166" s="60"/>
    </row>
    <row r="167" spans="1:95" x14ac:dyDescent="0.25">
      <c r="A167" s="146"/>
      <c r="B167" s="146"/>
      <c r="C167" s="146"/>
      <c r="D167" s="146"/>
      <c r="E167" s="146"/>
      <c r="F167" s="146"/>
      <c r="G167" s="146"/>
      <c r="H167" s="146"/>
      <c r="I167" s="146"/>
      <c r="J167" s="146"/>
      <c r="K167" s="146"/>
      <c r="L167" s="146"/>
      <c r="M167" s="146"/>
      <c r="N167" s="146"/>
      <c r="O167" s="1650" t="str">
        <f>'A1. Submodels &amp; data'!B158</f>
        <v xml:space="preserve"> - Bosnia &amp; Herzegovina</v>
      </c>
      <c r="P167" s="180">
        <v>15</v>
      </c>
      <c r="Q167" s="77" t="s">
        <v>721</v>
      </c>
      <c r="R167" s="77"/>
      <c r="S167" s="180">
        <f>0</f>
        <v>0</v>
      </c>
      <c r="T167" s="180" t="str">
        <f t="shared" si="23"/>
        <v>Eastern Europe</v>
      </c>
      <c r="U167" s="356"/>
      <c r="V167" s="149"/>
      <c r="W167" s="1639"/>
      <c r="X167" s="294" t="str">
        <f>'A3. UnitConversions'!A11</f>
        <v>[Select]</v>
      </c>
      <c r="Y167" s="294" t="str">
        <f>'A3. UnitConversions'!B11</f>
        <v>Conversion factor to kg/ha</v>
      </c>
      <c r="Z167" s="149"/>
      <c r="AA167" s="149"/>
      <c r="AB167" s="149"/>
      <c r="AC167" s="149"/>
      <c r="AD167" s="149"/>
      <c r="AE167" s="149"/>
      <c r="AF167" s="149"/>
      <c r="AG167" s="149"/>
      <c r="AH167" s="149"/>
      <c r="AI167" s="149"/>
      <c r="AJ167" s="149"/>
      <c r="AK167" s="149"/>
      <c r="AL167" s="149"/>
      <c r="AM167" s="356"/>
      <c r="AN167" s="149"/>
      <c r="AO167" s="149"/>
      <c r="AP167" s="2"/>
      <c r="AQ167" s="1637"/>
      <c r="AR167" s="180" t="str">
        <f>'A1. Submodels &amp; data'!A30</f>
        <v>Lime - 52% CaO</v>
      </c>
      <c r="AS167" s="180">
        <v>12</v>
      </c>
      <c r="AT167" s="180">
        <f>'A1. Submodels &amp; data'!D30</f>
        <v>12</v>
      </c>
      <c r="AU167" s="180"/>
      <c r="AV167" s="180">
        <f>'A1. Submodels &amp; data'!AC30</f>
        <v>3</v>
      </c>
      <c r="AW167" s="180"/>
      <c r="AX167" s="180">
        <v>0</v>
      </c>
      <c r="AY167" s="149"/>
      <c r="AZ167" s="149"/>
      <c r="BA167" s="149"/>
      <c r="BB167" s="180" t="s">
        <v>1413</v>
      </c>
      <c r="BC167" s="180">
        <v>1</v>
      </c>
      <c r="BD167" s="149"/>
      <c r="BE167" s="149"/>
      <c r="BF167" s="149"/>
      <c r="BG167" s="149"/>
      <c r="BH167" s="149"/>
      <c r="BI167" s="149"/>
      <c r="BJ167" s="356"/>
      <c r="BK167" s="2"/>
      <c r="BL167" s="2"/>
      <c r="BM167" s="2"/>
      <c r="BN167" s="166"/>
      <c r="BO167" s="166"/>
      <c r="BP167" s="166"/>
      <c r="BQ167" s="166"/>
      <c r="BR167" s="166"/>
      <c r="BS167" s="166"/>
      <c r="BT167" s="166"/>
      <c r="BU167" s="166"/>
      <c r="BV167" s="166"/>
      <c r="BW167" s="166"/>
      <c r="BX167" s="60"/>
      <c r="BY167" s="60"/>
      <c r="BZ167" s="60"/>
      <c r="CA167" s="60"/>
      <c r="CB167" s="60"/>
      <c r="CC167" s="60"/>
      <c r="CD167" s="60"/>
      <c r="CE167" s="60"/>
      <c r="CF167" s="60"/>
      <c r="CG167" s="60"/>
      <c r="CH167" s="60"/>
      <c r="CI167" s="60"/>
      <c r="CJ167" s="60"/>
      <c r="CK167" s="60"/>
      <c r="CL167" s="60"/>
      <c r="CM167" s="60"/>
      <c r="CN167" s="60"/>
      <c r="CO167" s="60"/>
      <c r="CP167" s="60"/>
      <c r="CQ167" s="60"/>
    </row>
    <row r="168" spans="1:95" x14ac:dyDescent="0.25">
      <c r="A168" s="146"/>
      <c r="B168" s="146"/>
      <c r="C168" s="146"/>
      <c r="D168" s="146"/>
      <c r="E168" s="146"/>
      <c r="F168" s="146"/>
      <c r="G168" s="146"/>
      <c r="H168" s="146"/>
      <c r="I168" s="146"/>
      <c r="J168" s="146"/>
      <c r="K168" s="146"/>
      <c r="L168" s="146"/>
      <c r="M168" s="146"/>
      <c r="N168" s="146"/>
      <c r="O168" s="1650" t="str">
        <f>'A1. Submodels &amp; data'!B159</f>
        <v xml:space="preserve"> - Brazil</v>
      </c>
      <c r="P168" s="180">
        <v>16</v>
      </c>
      <c r="Q168" s="77" t="s">
        <v>1695</v>
      </c>
      <c r="R168" s="180"/>
      <c r="S168" s="180">
        <f>0</f>
        <v>0</v>
      </c>
      <c r="T168" s="180" t="str">
        <f t="shared" si="23"/>
        <v>Latin America</v>
      </c>
      <c r="U168" s="356"/>
      <c r="V168" s="149"/>
      <c r="W168" s="1639"/>
      <c r="X168" s="294" t="str">
        <f>'A3. UnitConversions'!A18</f>
        <v>[Select]</v>
      </c>
      <c r="Y168" s="294">
        <f>'A3. UnitConversions'!B18</f>
        <v>0</v>
      </c>
      <c r="Z168" s="149"/>
      <c r="AA168" s="149"/>
      <c r="AB168" s="149"/>
      <c r="AC168" s="149"/>
      <c r="AD168" s="149"/>
      <c r="AE168" s="149"/>
      <c r="AF168" s="149"/>
      <c r="AG168" s="149"/>
      <c r="AH168" s="149"/>
      <c r="AI168" s="149"/>
      <c r="AJ168" s="149"/>
      <c r="AK168" s="149"/>
      <c r="AL168" s="149"/>
      <c r="AM168" s="356"/>
      <c r="AN168" s="149"/>
      <c r="AO168" s="149"/>
      <c r="AP168" s="2"/>
      <c r="AQ168" s="1637"/>
      <c r="AR168" s="180" t="str">
        <f>'A1. Submodels &amp; data'!A31</f>
        <v>Limestone - 55% CaCO3 / 29%CaO</v>
      </c>
      <c r="AS168" s="180">
        <v>13</v>
      </c>
      <c r="AT168" s="180">
        <f>'A1. Submodels &amp; data'!D31</f>
        <v>13</v>
      </c>
      <c r="AU168" s="180"/>
      <c r="AV168" s="180">
        <f>'A1. Submodels &amp; data'!AC31</f>
        <v>3</v>
      </c>
      <c r="AW168" s="180"/>
      <c r="AX168" s="180">
        <v>0</v>
      </c>
      <c r="AY168" s="149"/>
      <c r="AZ168" s="149"/>
      <c r="BA168" s="149"/>
      <c r="BB168" s="180" t="s">
        <v>117</v>
      </c>
      <c r="BC168" s="180">
        <v>2</v>
      </c>
      <c r="BD168" s="149"/>
      <c r="BE168" s="149"/>
      <c r="BF168" s="149"/>
      <c r="BG168" s="149"/>
      <c r="BH168" s="149"/>
      <c r="BI168" s="149"/>
      <c r="BJ168" s="356"/>
      <c r="BK168" s="2"/>
      <c r="BL168" s="2"/>
      <c r="BM168" s="2"/>
      <c r="BN168" s="166"/>
      <c r="BO168" s="166"/>
      <c r="BP168" s="166"/>
      <c r="BQ168" s="166"/>
      <c r="BR168" s="166"/>
      <c r="BS168" s="166"/>
      <c r="BT168" s="166"/>
      <c r="BU168" s="166"/>
      <c r="BV168" s="166"/>
      <c r="BW168" s="166"/>
      <c r="BX168" s="60"/>
      <c r="BY168" s="60"/>
      <c r="BZ168" s="60"/>
      <c r="CA168" s="60"/>
      <c r="CB168" s="60"/>
      <c r="CC168" s="60"/>
      <c r="CD168" s="60"/>
      <c r="CE168" s="60"/>
      <c r="CF168" s="60"/>
      <c r="CG168" s="60"/>
      <c r="CH168" s="60"/>
      <c r="CI168" s="60"/>
      <c r="CJ168" s="60"/>
      <c r="CK168" s="60"/>
      <c r="CL168" s="60"/>
      <c r="CM168" s="60"/>
      <c r="CN168" s="60"/>
      <c r="CO168" s="60"/>
      <c r="CP168" s="60"/>
      <c r="CQ168" s="60"/>
    </row>
    <row r="169" spans="1:95" x14ac:dyDescent="0.25">
      <c r="A169" s="146"/>
      <c r="B169" s="146"/>
      <c r="C169" s="146"/>
      <c r="D169" s="146"/>
      <c r="E169" s="146"/>
      <c r="F169" s="146"/>
      <c r="G169" s="146"/>
      <c r="H169" s="146"/>
      <c r="I169" s="146"/>
      <c r="J169" s="146"/>
      <c r="K169" s="146"/>
      <c r="L169" s="146"/>
      <c r="M169" s="146"/>
      <c r="N169" s="146"/>
      <c r="O169" s="1650" t="str">
        <f>'A1. Submodels &amp; data'!B160</f>
        <v xml:space="preserve"> - Brunei Darussalam</v>
      </c>
      <c r="P169" s="180">
        <v>17</v>
      </c>
      <c r="Q169" s="77" t="s">
        <v>1936</v>
      </c>
      <c r="R169" s="180"/>
      <c r="S169" s="180">
        <f>0</f>
        <v>0</v>
      </c>
      <c r="T169" s="180" t="s">
        <v>1744</v>
      </c>
      <c r="U169" s="356"/>
      <c r="V169" s="149"/>
      <c r="W169" s="1650" t="str">
        <f>X169</f>
        <v>tonnes/acre</v>
      </c>
      <c r="X169" s="294" t="str">
        <f>'A3. UnitConversions'!A14</f>
        <v>tonnes/acre</v>
      </c>
      <c r="Y169" s="294">
        <f>'A3. UnitConversions'!B14</f>
        <v>2470</v>
      </c>
      <c r="Z169" s="149"/>
      <c r="AA169" s="149"/>
      <c r="AB169" s="149"/>
      <c r="AC169" s="149"/>
      <c r="AD169" s="149"/>
      <c r="AE169" s="149"/>
      <c r="AF169" s="149"/>
      <c r="AG169" s="149"/>
      <c r="AH169" s="149"/>
      <c r="AI169" s="149"/>
      <c r="AJ169" s="149"/>
      <c r="AK169" s="149"/>
      <c r="AL169" s="149"/>
      <c r="AM169" s="356"/>
      <c r="AN169" s="149"/>
      <c r="AO169" s="149"/>
      <c r="AP169" s="2"/>
      <c r="AQ169" s="1637"/>
      <c r="AR169" s="180" t="str">
        <f>'A1. Submodels &amp; data'!A32</f>
        <v>Lime, algal - 30% CaO</v>
      </c>
      <c r="AS169" s="180">
        <v>14</v>
      </c>
      <c r="AT169" s="180">
        <f>'A1. Submodels &amp; data'!D32</f>
        <v>14</v>
      </c>
      <c r="AU169" s="180"/>
      <c r="AV169" s="180">
        <f>'A1. Submodels &amp; data'!AC32</f>
        <v>3</v>
      </c>
      <c r="AW169" s="180"/>
      <c r="AX169" s="180">
        <v>0</v>
      </c>
      <c r="AY169" s="149"/>
      <c r="AZ169" s="149"/>
      <c r="BA169" s="149"/>
      <c r="BB169" s="180" t="s">
        <v>118</v>
      </c>
      <c r="BC169" s="180">
        <v>3</v>
      </c>
      <c r="BD169" s="149"/>
      <c r="BE169" s="149"/>
      <c r="BF169" s="149"/>
      <c r="BG169" s="149"/>
      <c r="BH169" s="149"/>
      <c r="BI169" s="149"/>
      <c r="BJ169" s="356"/>
      <c r="BK169" s="2"/>
      <c r="BL169" s="2"/>
      <c r="BM169" s="2"/>
      <c r="BN169" s="166"/>
      <c r="BO169" s="166"/>
      <c r="BP169" s="166"/>
      <c r="BQ169" s="166"/>
      <c r="BR169" s="166"/>
      <c r="BS169" s="166"/>
      <c r="BT169" s="166"/>
      <c r="BU169" s="166"/>
      <c r="BV169" s="166"/>
      <c r="BW169" s="166"/>
      <c r="BX169" s="60"/>
      <c r="BY169" s="60"/>
      <c r="BZ169" s="60"/>
      <c r="CA169" s="60"/>
      <c r="CB169" s="60"/>
      <c r="CC169" s="60"/>
      <c r="CD169" s="60"/>
      <c r="CE169" s="60"/>
      <c r="CF169" s="60"/>
      <c r="CG169" s="60"/>
      <c r="CH169" s="60"/>
      <c r="CI169" s="60"/>
      <c r="CJ169" s="60"/>
      <c r="CK169" s="60"/>
      <c r="CL169" s="60"/>
      <c r="CM169" s="60"/>
      <c r="CN169" s="60"/>
      <c r="CO169" s="60"/>
      <c r="CP169" s="60"/>
      <c r="CQ169" s="60"/>
    </row>
    <row r="170" spans="1:95" x14ac:dyDescent="0.25">
      <c r="A170" s="146"/>
      <c r="B170" s="146"/>
      <c r="C170" s="146"/>
      <c r="D170" s="146"/>
      <c r="E170" s="146"/>
      <c r="F170" s="146"/>
      <c r="G170" s="146"/>
      <c r="H170" s="146"/>
      <c r="I170" s="146"/>
      <c r="J170" s="146"/>
      <c r="K170" s="146"/>
      <c r="L170" s="146"/>
      <c r="M170" s="146"/>
      <c r="N170" s="146"/>
      <c r="O170" s="1650" t="str">
        <f>'A1. Submodels &amp; data'!B161</f>
        <v xml:space="preserve"> - Bulgaria</v>
      </c>
      <c r="P170" s="180">
        <v>18</v>
      </c>
      <c r="Q170" s="77" t="s">
        <v>721</v>
      </c>
      <c r="R170" s="77"/>
      <c r="S170" s="180">
        <f>0</f>
        <v>0</v>
      </c>
      <c r="T170" s="180" t="str">
        <f t="shared" si="23"/>
        <v>Eastern Europe</v>
      </c>
      <c r="U170" s="356"/>
      <c r="V170" s="149"/>
      <c r="W170" s="1650" t="str">
        <f>X170</f>
        <v>tonnes/ha</v>
      </c>
      <c r="X170" s="294" t="str">
        <f>'A3. UnitConversions'!A12</f>
        <v>tonnes/ha</v>
      </c>
      <c r="Y170" s="294">
        <f>'A3. UnitConversions'!B12</f>
        <v>1000</v>
      </c>
      <c r="Z170" s="149"/>
      <c r="AA170" s="149"/>
      <c r="AB170" s="149"/>
      <c r="AC170" s="149"/>
      <c r="AD170" s="149"/>
      <c r="AE170" s="149"/>
      <c r="AF170" s="149"/>
      <c r="AG170" s="149"/>
      <c r="AH170" s="149"/>
      <c r="AI170" s="149"/>
      <c r="AJ170" s="149"/>
      <c r="AK170" s="149"/>
      <c r="AL170" s="149"/>
      <c r="AM170" s="356"/>
      <c r="AN170" s="149"/>
      <c r="AO170" s="149"/>
      <c r="AP170" s="2"/>
      <c r="AQ170" s="1637"/>
      <c r="AR170" s="180" t="str">
        <f>'A1. Submodels &amp; data'!A33</f>
        <v>Monoammonium phosphate - 11% N; 52% P2O5</v>
      </c>
      <c r="AS170" s="180">
        <v>15</v>
      </c>
      <c r="AT170" s="180">
        <f>'A1. Submodels &amp; data'!D33</f>
        <v>15</v>
      </c>
      <c r="AU170" s="180"/>
      <c r="AV170" s="180">
        <f>'A1. Submodels &amp; data'!AC33</f>
        <v>0</v>
      </c>
      <c r="AW170" s="180"/>
      <c r="AX170" s="180">
        <v>0</v>
      </c>
      <c r="AY170" s="149"/>
      <c r="AZ170" s="149"/>
      <c r="BA170" s="149"/>
      <c r="BB170" s="180" t="s">
        <v>1446</v>
      </c>
      <c r="BC170" s="180">
        <v>5</v>
      </c>
      <c r="BD170" s="149"/>
      <c r="BE170" s="149"/>
      <c r="BF170" s="149"/>
      <c r="BG170" s="149"/>
      <c r="BH170" s="149"/>
      <c r="BI170" s="149"/>
      <c r="BJ170" s="356"/>
      <c r="BK170" s="2"/>
      <c r="BL170" s="2"/>
      <c r="BM170" s="2"/>
      <c r="BN170" s="166"/>
      <c r="BO170" s="166"/>
      <c r="BP170" s="166"/>
      <c r="BQ170" s="166"/>
      <c r="BR170" s="166"/>
      <c r="BS170" s="166"/>
      <c r="BT170" s="166"/>
      <c r="BU170" s="166"/>
      <c r="BV170" s="166"/>
      <c r="BW170" s="166"/>
      <c r="BX170" s="60"/>
      <c r="BY170" s="60"/>
      <c r="BZ170" s="60"/>
      <c r="CA170" s="60"/>
      <c r="CB170" s="60"/>
      <c r="CC170" s="60"/>
      <c r="CD170" s="60"/>
      <c r="CE170" s="60"/>
      <c r="CF170" s="60"/>
      <c r="CG170" s="60"/>
      <c r="CH170" s="60"/>
      <c r="CI170" s="60"/>
      <c r="CJ170" s="60"/>
      <c r="CK170" s="60"/>
      <c r="CL170" s="60"/>
      <c r="CM170" s="60"/>
      <c r="CN170" s="60"/>
      <c r="CO170" s="60"/>
      <c r="CP170" s="60"/>
      <c r="CQ170" s="60"/>
    </row>
    <row r="171" spans="1:95" x14ac:dyDescent="0.25">
      <c r="A171" s="146"/>
      <c r="B171" s="146"/>
      <c r="C171" s="146"/>
      <c r="D171" s="146"/>
      <c r="E171" s="146"/>
      <c r="F171" s="146"/>
      <c r="G171" s="146"/>
      <c r="H171" s="146"/>
      <c r="I171" s="146"/>
      <c r="J171" s="146"/>
      <c r="K171" s="146"/>
      <c r="L171" s="146"/>
      <c r="M171" s="146"/>
      <c r="N171" s="146"/>
      <c r="O171" s="1650" t="str">
        <f>'A1. Submodels &amp; data'!B162</f>
        <v xml:space="preserve"> - Cameroon</v>
      </c>
      <c r="P171" s="180">
        <v>19</v>
      </c>
      <c r="Q171" s="77" t="s">
        <v>212</v>
      </c>
      <c r="R171" s="180"/>
      <c r="S171" s="180">
        <f>0</f>
        <v>0</v>
      </c>
      <c r="T171" s="180" t="str">
        <f t="shared" si="23"/>
        <v>Africa</v>
      </c>
      <c r="U171" s="356"/>
      <c r="V171" s="149"/>
      <c r="W171" s="1650" t="str">
        <f>X171</f>
        <v>kg/ha</v>
      </c>
      <c r="X171" s="294" t="str">
        <f>'A3. UnitConversions'!A19</f>
        <v>kg/ha</v>
      </c>
      <c r="Y171" s="294">
        <f>'A3. UnitConversions'!B19</f>
        <v>1</v>
      </c>
      <c r="Z171" s="149"/>
      <c r="AA171" s="149"/>
      <c r="AB171" s="149"/>
      <c r="AC171" s="149"/>
      <c r="AD171" s="149"/>
      <c r="AE171" s="149"/>
      <c r="AF171" s="149"/>
      <c r="AG171" s="149"/>
      <c r="AH171" s="149"/>
      <c r="AI171" s="149"/>
      <c r="AJ171" s="149"/>
      <c r="AK171" s="149"/>
      <c r="AL171" s="149"/>
      <c r="AM171" s="356"/>
      <c r="AN171" s="149"/>
      <c r="AO171" s="149"/>
      <c r="AP171" s="2"/>
      <c r="AQ171" s="1637"/>
      <c r="AR171" s="180" t="str">
        <f>'A1. Submodels &amp; data'!A34</f>
        <v>Muriate of potash / Potassium Chloride - 60% K2O</v>
      </c>
      <c r="AS171" s="180">
        <v>16</v>
      </c>
      <c r="AT171" s="180">
        <f>'A1. Submodels &amp; data'!D34</f>
        <v>16</v>
      </c>
      <c r="AU171" s="180"/>
      <c r="AV171" s="180">
        <f>'A1. Submodels &amp; data'!AC34</f>
        <v>0</v>
      </c>
      <c r="AW171" s="180"/>
      <c r="AX171" s="180">
        <v>0</v>
      </c>
      <c r="AY171" s="149"/>
      <c r="AZ171" s="149"/>
      <c r="BA171" s="149"/>
      <c r="BB171" s="180" t="s">
        <v>1597</v>
      </c>
      <c r="BC171" s="180">
        <v>4</v>
      </c>
      <c r="BD171" s="149"/>
      <c r="BE171" s="149"/>
      <c r="BF171" s="283" t="s">
        <v>1946</v>
      </c>
      <c r="BG171" s="180" t="e">
        <f>NA()</f>
        <v>#N/A</v>
      </c>
      <c r="BH171" s="149"/>
      <c r="BI171" s="149"/>
      <c r="BJ171" s="356"/>
      <c r="BK171" s="2"/>
      <c r="BL171" s="2"/>
      <c r="BM171" s="2"/>
      <c r="BN171" s="166"/>
      <c r="BO171" s="166"/>
      <c r="BP171" s="166"/>
      <c r="BQ171" s="166"/>
      <c r="BR171" s="166"/>
      <c r="BS171" s="166"/>
      <c r="BT171" s="166"/>
      <c r="BU171" s="166"/>
      <c r="BV171" s="166"/>
      <c r="BW171" s="166"/>
      <c r="BX171" s="60"/>
      <c r="BY171" s="60"/>
      <c r="BZ171" s="60"/>
      <c r="CA171" s="60"/>
      <c r="CB171" s="60"/>
      <c r="CC171" s="60"/>
      <c r="CD171" s="60"/>
      <c r="CE171" s="60"/>
      <c r="CF171" s="60"/>
      <c r="CG171" s="60"/>
      <c r="CH171" s="60"/>
      <c r="CI171" s="60"/>
      <c r="CJ171" s="60"/>
      <c r="CK171" s="60"/>
      <c r="CL171" s="60"/>
      <c r="CM171" s="60"/>
      <c r="CN171" s="60"/>
      <c r="CO171" s="60"/>
      <c r="CP171" s="60"/>
      <c r="CQ171" s="60"/>
    </row>
    <row r="172" spans="1:95" x14ac:dyDescent="0.25">
      <c r="A172" s="146"/>
      <c r="B172" s="146"/>
      <c r="C172" s="146"/>
      <c r="D172" s="146"/>
      <c r="E172" s="146"/>
      <c r="F172" s="146"/>
      <c r="G172" s="146"/>
      <c r="H172" s="146"/>
      <c r="I172" s="146"/>
      <c r="J172" s="146"/>
      <c r="K172" s="146"/>
      <c r="L172" s="146"/>
      <c r="M172" s="146"/>
      <c r="N172" s="146"/>
      <c r="O172" s="1650" t="str">
        <f>'A1. Submodels &amp; data'!B163</f>
        <v xml:space="preserve"> - Canada</v>
      </c>
      <c r="P172" s="180">
        <v>20</v>
      </c>
      <c r="Q172" s="77" t="s">
        <v>2049</v>
      </c>
      <c r="R172" s="180"/>
      <c r="S172" s="180">
        <v>1</v>
      </c>
      <c r="T172" s="180" t="str">
        <f t="shared" si="23"/>
        <v>North America</v>
      </c>
      <c r="U172" s="356"/>
      <c r="V172" s="149"/>
      <c r="W172" s="1650" t="str">
        <f>X172</f>
        <v>kg/acre</v>
      </c>
      <c r="X172" s="294" t="str">
        <f>'A3. UnitConversions'!A20</f>
        <v>kg/acre</v>
      </c>
      <c r="Y172" s="294">
        <f>'A3. UnitConversions'!B20</f>
        <v>2.4710516301527603</v>
      </c>
      <c r="Z172" s="149"/>
      <c r="AA172" s="149"/>
      <c r="AB172" s="149"/>
      <c r="AC172" s="149"/>
      <c r="AD172" s="149"/>
      <c r="AE172" s="149"/>
      <c r="AF172" s="149"/>
      <c r="AG172" s="149"/>
      <c r="AH172" s="149"/>
      <c r="AI172" s="149"/>
      <c r="AJ172" s="149"/>
      <c r="AK172" s="149"/>
      <c r="AL172" s="149"/>
      <c r="AM172" s="356"/>
      <c r="AN172" s="149"/>
      <c r="AO172" s="149"/>
      <c r="AP172" s="2"/>
      <c r="AQ172" s="1637"/>
      <c r="AR172" s="180" t="str">
        <f>'A1. Submodels &amp; data'!A35</f>
        <v>Phosphate/Rock Phosphate - 25% P2O5</v>
      </c>
      <c r="AS172" s="180">
        <v>17</v>
      </c>
      <c r="AT172" s="180">
        <f>'A1. Submodels &amp; data'!D35</f>
        <v>17</v>
      </c>
      <c r="AU172" s="180"/>
      <c r="AV172" s="180">
        <f>'A1. Submodels &amp; data'!AC35</f>
        <v>0</v>
      </c>
      <c r="AW172" s="180"/>
      <c r="AX172" s="180">
        <v>0</v>
      </c>
      <c r="AY172" s="149"/>
      <c r="AZ172" s="149"/>
      <c r="BA172" s="149"/>
      <c r="BB172" s="149"/>
      <c r="BC172" s="149"/>
      <c r="BD172" s="149"/>
      <c r="BE172" s="149"/>
      <c r="BF172" s="288" t="s">
        <v>488</v>
      </c>
      <c r="BG172" s="180">
        <v>1</v>
      </c>
      <c r="BH172" s="149"/>
      <c r="BI172" s="149"/>
      <c r="BJ172" s="356"/>
      <c r="BK172" s="2"/>
      <c r="BL172" s="2"/>
      <c r="BM172" s="2"/>
      <c r="BN172" s="166"/>
      <c r="BO172" s="166"/>
      <c r="BP172" s="166"/>
      <c r="BQ172" s="166"/>
      <c r="BR172" s="166"/>
      <c r="BS172" s="166"/>
      <c r="BT172" s="166"/>
      <c r="BU172" s="166"/>
      <c r="BV172" s="166"/>
      <c r="BW172" s="166"/>
      <c r="BX172" s="60"/>
      <c r="BY172" s="60"/>
      <c r="BZ172" s="60"/>
      <c r="CA172" s="60"/>
      <c r="CB172" s="60"/>
      <c r="CC172" s="60"/>
      <c r="CD172" s="60"/>
      <c r="CE172" s="60"/>
      <c r="CF172" s="60"/>
      <c r="CG172" s="60"/>
      <c r="CH172" s="60"/>
      <c r="CI172" s="60"/>
      <c r="CJ172" s="60"/>
      <c r="CK172" s="60"/>
      <c r="CL172" s="60"/>
      <c r="CM172" s="60"/>
      <c r="CN172" s="60"/>
      <c r="CO172" s="60"/>
      <c r="CP172" s="60"/>
      <c r="CQ172" s="60"/>
    </row>
    <row r="173" spans="1:95" x14ac:dyDescent="0.25">
      <c r="A173" s="146"/>
      <c r="B173" s="146"/>
      <c r="C173" s="146"/>
      <c r="D173" s="146"/>
      <c r="E173" s="146"/>
      <c r="F173" s="146"/>
      <c r="G173" s="146"/>
      <c r="H173" s="146"/>
      <c r="I173" s="146"/>
      <c r="J173" s="146"/>
      <c r="K173" s="146"/>
      <c r="L173" s="146"/>
      <c r="M173" s="146"/>
      <c r="N173" s="146"/>
      <c r="O173" s="1650" t="str">
        <f>'A1. Submodels &amp; data'!B164</f>
        <v xml:space="preserve"> - Chile</v>
      </c>
      <c r="P173" s="180">
        <v>21</v>
      </c>
      <c r="Q173" s="77" t="s">
        <v>1695</v>
      </c>
      <c r="R173" s="180"/>
      <c r="S173" s="180">
        <f>0</f>
        <v>0</v>
      </c>
      <c r="T173" s="180" t="str">
        <f t="shared" si="23"/>
        <v>Latin America</v>
      </c>
      <c r="U173" s="784"/>
      <c r="V173" s="149"/>
      <c r="W173" s="1650" t="str">
        <f>X179</f>
        <v>tons/acre</v>
      </c>
      <c r="X173" s="294" t="str">
        <f>'A3. UnitConversions'!A21</f>
        <v>pounds/ha (US)</v>
      </c>
      <c r="Y173" s="294">
        <f>'A3. UnitConversions'!B21</f>
        <v>0.45359237000000002</v>
      </c>
      <c r="Z173" s="149"/>
      <c r="AA173" s="149"/>
      <c r="AB173" s="149"/>
      <c r="AC173" s="149"/>
      <c r="AD173" s="149"/>
      <c r="AE173" s="149"/>
      <c r="AF173" s="149"/>
      <c r="AG173" s="149"/>
      <c r="AH173" s="149"/>
      <c r="AI173" s="149"/>
      <c r="AJ173" s="149"/>
      <c r="AK173" s="149"/>
      <c r="AL173" s="149"/>
      <c r="AM173" s="356"/>
      <c r="AN173" s="149"/>
      <c r="AO173" s="149"/>
      <c r="AP173" s="2"/>
      <c r="AQ173" s="1637"/>
      <c r="AR173" s="180" t="str">
        <f>'A1. Submodels &amp; data'!A36</f>
        <v>Potassium sulphate - 50% K2O; 45% SO3</v>
      </c>
      <c r="AS173" s="180">
        <v>18</v>
      </c>
      <c r="AT173" s="180">
        <f>'A1. Submodels &amp; data'!D36</f>
        <v>18</v>
      </c>
      <c r="AU173" s="180"/>
      <c r="AV173" s="180">
        <f>'A1. Submodels &amp; data'!AC36</f>
        <v>0</v>
      </c>
      <c r="AW173" s="180"/>
      <c r="AX173" s="180">
        <v>0</v>
      </c>
      <c r="AY173" s="149"/>
      <c r="AZ173" s="149"/>
      <c r="BA173" s="149"/>
      <c r="BB173" s="283" t="s">
        <v>1946</v>
      </c>
      <c r="BC173" s="180" t="e">
        <f>NA()</f>
        <v>#N/A</v>
      </c>
      <c r="BD173" s="149"/>
      <c r="BE173" s="149"/>
      <c r="BF173" s="288" t="s">
        <v>489</v>
      </c>
      <c r="BG173" s="180">
        <v>2</v>
      </c>
      <c r="BH173" s="149"/>
      <c r="BI173" s="149"/>
      <c r="BJ173" s="356"/>
      <c r="BK173" s="2"/>
      <c r="BL173" s="2"/>
      <c r="BM173" s="2"/>
      <c r="BN173" s="166"/>
      <c r="BO173" s="166"/>
      <c r="BP173" s="166"/>
      <c r="BQ173" s="166"/>
      <c r="BR173" s="166"/>
      <c r="BS173" s="166"/>
      <c r="BT173" s="166"/>
      <c r="BU173" s="166"/>
      <c r="BV173" s="166"/>
      <c r="BW173" s="166"/>
      <c r="BX173" s="60"/>
      <c r="BY173" s="60"/>
      <c r="BZ173" s="60"/>
      <c r="CA173" s="60"/>
      <c r="CB173" s="60"/>
      <c r="CC173" s="60"/>
      <c r="CD173" s="60"/>
      <c r="CE173" s="60"/>
      <c r="CF173" s="60"/>
      <c r="CG173" s="60"/>
      <c r="CH173" s="60"/>
      <c r="CI173" s="60"/>
      <c r="CJ173" s="60"/>
      <c r="CK173" s="60"/>
      <c r="CL173" s="60"/>
      <c r="CM173" s="60"/>
      <c r="CN173" s="60"/>
      <c r="CO173" s="60"/>
      <c r="CP173" s="60"/>
      <c r="CQ173" s="60"/>
    </row>
    <row r="174" spans="1:95" x14ac:dyDescent="0.25">
      <c r="A174" s="146"/>
      <c r="B174" s="146"/>
      <c r="C174" s="146"/>
      <c r="D174" s="146"/>
      <c r="E174" s="146"/>
      <c r="F174" s="146"/>
      <c r="G174" s="146"/>
      <c r="H174" s="146"/>
      <c r="I174" s="146"/>
      <c r="J174" s="146"/>
      <c r="K174" s="146"/>
      <c r="L174" s="146"/>
      <c r="M174" s="146"/>
      <c r="N174" s="146"/>
      <c r="O174" s="1650" t="str">
        <f>'A1. Submodels &amp; data'!B165</f>
        <v xml:space="preserve"> - China, People's Rep. of</v>
      </c>
      <c r="P174" s="180">
        <v>22</v>
      </c>
      <c r="Q174" s="77" t="s">
        <v>1936</v>
      </c>
      <c r="R174" s="180"/>
      <c r="S174" s="180">
        <f>0</f>
        <v>0</v>
      </c>
      <c r="T174" s="180" t="s">
        <v>1744</v>
      </c>
      <c r="U174" s="356"/>
      <c r="V174" s="149"/>
      <c r="W174" s="1639"/>
      <c r="X174" s="294" t="str">
        <f>'A3. UnitConversions'!A22</f>
        <v>pounds/acre (US)</v>
      </c>
      <c r="Y174" s="294">
        <f>'A3. UnitConversions'!B22</f>
        <v>1.1208492510242509</v>
      </c>
      <c r="Z174" s="149"/>
      <c r="AA174" s="149"/>
      <c r="AB174" s="149"/>
      <c r="AC174" s="149"/>
      <c r="AD174" s="149"/>
      <c r="AE174" s="149"/>
      <c r="AF174" s="149"/>
      <c r="AG174" s="149"/>
      <c r="AH174" s="149"/>
      <c r="AI174" s="149"/>
      <c r="AJ174" s="149"/>
      <c r="AK174" s="149"/>
      <c r="AL174" s="149"/>
      <c r="AM174" s="356"/>
      <c r="AN174" s="149"/>
      <c r="AO174" s="149"/>
      <c r="AP174" s="2"/>
      <c r="AQ174" s="1637"/>
      <c r="AR174" s="180" t="str">
        <f>'A1. Submodels &amp; data'!A37</f>
        <v>Super phosphate - 21% P2O5</v>
      </c>
      <c r="AS174" s="180">
        <v>19</v>
      </c>
      <c r="AT174" s="180">
        <f>'A1. Submodels &amp; data'!D37</f>
        <v>19</v>
      </c>
      <c r="AU174" s="180"/>
      <c r="AV174" s="180">
        <f>'A1. Submodels &amp; data'!AC37</f>
        <v>0</v>
      </c>
      <c r="AW174" s="180"/>
      <c r="AX174" s="180">
        <v>0</v>
      </c>
      <c r="AY174" s="149"/>
      <c r="AZ174" s="149"/>
      <c r="BA174" s="149"/>
      <c r="BB174" s="180" t="s">
        <v>994</v>
      </c>
      <c r="BC174" s="180">
        <v>1</v>
      </c>
      <c r="BD174" s="149"/>
      <c r="BE174" s="149"/>
      <c r="BF174" s="288" t="s">
        <v>490</v>
      </c>
      <c r="BG174" s="180">
        <v>3</v>
      </c>
      <c r="BH174" s="149"/>
      <c r="BI174" s="149"/>
      <c r="BJ174" s="356"/>
      <c r="BK174" s="2"/>
      <c r="BL174" s="2"/>
      <c r="BM174" s="2"/>
      <c r="BN174" s="166"/>
      <c r="BO174" s="166"/>
      <c r="BP174" s="166"/>
      <c r="BQ174" s="166"/>
      <c r="BR174" s="166"/>
      <c r="BS174" s="166"/>
      <c r="BT174" s="166"/>
      <c r="BU174" s="166"/>
      <c r="BV174" s="166"/>
      <c r="BW174" s="166"/>
      <c r="BX174" s="60"/>
      <c r="BY174" s="60"/>
      <c r="BZ174" s="60"/>
      <c r="CA174" s="60"/>
      <c r="CB174" s="60"/>
      <c r="CC174" s="60"/>
      <c r="CD174" s="60"/>
      <c r="CE174" s="60"/>
      <c r="CF174" s="60"/>
      <c r="CG174" s="60"/>
      <c r="CH174" s="60"/>
      <c r="CI174" s="60"/>
      <c r="CJ174" s="60"/>
      <c r="CK174" s="60"/>
      <c r="CL174" s="60"/>
      <c r="CM174" s="60"/>
      <c r="CN174" s="60"/>
      <c r="CO174" s="60"/>
      <c r="CP174" s="60"/>
      <c r="CQ174" s="60"/>
    </row>
    <row r="175" spans="1:95" x14ac:dyDescent="0.25">
      <c r="A175" s="146"/>
      <c r="B175" s="146"/>
      <c r="C175" s="146"/>
      <c r="D175" s="146"/>
      <c r="E175" s="146"/>
      <c r="F175" s="146"/>
      <c r="G175" s="146"/>
      <c r="H175" s="146"/>
      <c r="I175" s="146"/>
      <c r="J175" s="146"/>
      <c r="K175" s="146"/>
      <c r="L175" s="146"/>
      <c r="M175" s="146"/>
      <c r="N175" s="146"/>
      <c r="O175" s="1650" t="str">
        <f>'A1. Submodels &amp; data'!B166</f>
        <v xml:space="preserve"> - Chinese Taipei</v>
      </c>
      <c r="P175" s="180">
        <v>23</v>
      </c>
      <c r="Q175" s="77" t="s">
        <v>1936</v>
      </c>
      <c r="R175" s="180"/>
      <c r="S175" s="180">
        <v>1</v>
      </c>
      <c r="T175" s="180" t="s">
        <v>1744</v>
      </c>
      <c r="U175" s="356"/>
      <c r="V175" s="149"/>
      <c r="W175" s="1639"/>
      <c r="X175" s="294" t="str">
        <f>'A3. UnitConversions'!A23</f>
        <v>ounces/ha (US)</v>
      </c>
      <c r="Y175" s="294">
        <f>'A3. UnitConversions'!B23</f>
        <v>2.8349523099999999E-2</v>
      </c>
      <c r="Z175" s="149"/>
      <c r="AA175" s="149"/>
      <c r="AB175" s="149"/>
      <c r="AC175" s="149"/>
      <c r="AD175" s="149"/>
      <c r="AE175" s="149"/>
      <c r="AF175" s="149"/>
      <c r="AG175" s="149"/>
      <c r="AH175" s="149"/>
      <c r="AI175" s="149"/>
      <c r="AJ175" s="149"/>
      <c r="AK175" s="149"/>
      <c r="AL175" s="149"/>
      <c r="AM175" s="356"/>
      <c r="AN175" s="149"/>
      <c r="AO175" s="149"/>
      <c r="AP175" s="2"/>
      <c r="AQ175" s="1637"/>
      <c r="AR175" s="180" t="str">
        <f>'A1. Submodels &amp; data'!A38</f>
        <v>Triple super phosphate - 48% P2O5</v>
      </c>
      <c r="AS175" s="180">
        <v>20</v>
      </c>
      <c r="AT175" s="180">
        <f>'A1. Submodels &amp; data'!D38</f>
        <v>20</v>
      </c>
      <c r="AU175" s="180"/>
      <c r="AV175" s="180">
        <f>'A1. Submodels &amp; data'!AC38</f>
        <v>0</v>
      </c>
      <c r="AW175" s="180"/>
      <c r="AX175" s="180">
        <v>0</v>
      </c>
      <c r="AY175" s="149"/>
      <c r="AZ175" s="149"/>
      <c r="BA175" s="149"/>
      <c r="BB175" s="180" t="s">
        <v>995</v>
      </c>
      <c r="BC175" s="180">
        <v>2</v>
      </c>
      <c r="BD175" s="149"/>
      <c r="BE175" s="149"/>
      <c r="BF175" s="288" t="s">
        <v>426</v>
      </c>
      <c r="BG175" s="180">
        <v>4</v>
      </c>
      <c r="BH175" s="149"/>
      <c r="BI175" s="149"/>
      <c r="BJ175" s="356"/>
      <c r="BK175" s="2"/>
      <c r="BL175" s="2"/>
      <c r="BM175" s="2"/>
      <c r="BN175" s="166"/>
      <c r="BO175" s="166"/>
      <c r="BP175" s="166"/>
      <c r="BQ175" s="166"/>
      <c r="BR175" s="166"/>
      <c r="BS175" s="166"/>
      <c r="BT175" s="166"/>
      <c r="BU175" s="166"/>
      <c r="BV175" s="166"/>
      <c r="BW175" s="166"/>
      <c r="BX175" s="60"/>
      <c r="BY175" s="60"/>
      <c r="BZ175" s="60"/>
      <c r="CA175" s="60"/>
      <c r="CB175" s="60"/>
      <c r="CC175" s="60"/>
      <c r="CD175" s="60"/>
      <c r="CE175" s="60"/>
      <c r="CF175" s="60"/>
      <c r="CG175" s="60"/>
      <c r="CH175" s="60"/>
      <c r="CI175" s="60"/>
      <c r="CJ175" s="60"/>
      <c r="CK175" s="60"/>
      <c r="CL175" s="60"/>
      <c r="CM175" s="60"/>
      <c r="CN175" s="60"/>
      <c r="CO175" s="60"/>
      <c r="CP175" s="60"/>
      <c r="CQ175" s="60"/>
    </row>
    <row r="176" spans="1:95" x14ac:dyDescent="0.25">
      <c r="A176" s="146"/>
      <c r="B176" s="146"/>
      <c r="C176" s="146"/>
      <c r="D176" s="146"/>
      <c r="E176" s="146"/>
      <c r="F176" s="146"/>
      <c r="G176" s="146"/>
      <c r="H176" s="146"/>
      <c r="I176" s="146"/>
      <c r="J176" s="146"/>
      <c r="K176" s="146"/>
      <c r="L176" s="146"/>
      <c r="M176" s="146"/>
      <c r="N176" s="146"/>
      <c r="O176" s="1650" t="str">
        <f>'A1. Submodels &amp; data'!B167</f>
        <v xml:space="preserve"> - Colombia</v>
      </c>
      <c r="P176" s="180">
        <v>24</v>
      </c>
      <c r="Q176" s="77" t="s">
        <v>1695</v>
      </c>
      <c r="R176" s="180"/>
      <c r="S176" s="180">
        <f>0</f>
        <v>0</v>
      </c>
      <c r="T176" s="180" t="str">
        <f t="shared" si="23"/>
        <v>Latin America</v>
      </c>
      <c r="U176" s="356"/>
      <c r="V176" s="149"/>
      <c r="W176" s="1639"/>
      <c r="X176" s="294" t="str">
        <f>'A3. UnitConversions'!A24</f>
        <v>ounces/acre (US)</v>
      </c>
      <c r="Y176" s="294">
        <f>'A3. UnitConversions'!B24</f>
        <v>7.0053135270308334E-2</v>
      </c>
      <c r="Z176" s="149"/>
      <c r="AA176" s="149"/>
      <c r="AB176" s="149"/>
      <c r="AC176" s="149"/>
      <c r="AD176" s="149"/>
      <c r="AE176" s="149"/>
      <c r="AF176" s="149"/>
      <c r="AG176" s="149"/>
      <c r="AH176" s="149"/>
      <c r="AI176" s="149"/>
      <c r="AJ176" s="149"/>
      <c r="AK176" s="149"/>
      <c r="AL176" s="149"/>
      <c r="AM176" s="356"/>
      <c r="AN176" s="149"/>
      <c r="AO176" s="149"/>
      <c r="AP176" s="2"/>
      <c r="AQ176" s="1637"/>
      <c r="AR176" s="180" t="str">
        <f>'A1. Submodels &amp; data'!A39</f>
        <v>Urea - 46.4% N</v>
      </c>
      <c r="AS176" s="180">
        <v>21</v>
      </c>
      <c r="AT176" s="180">
        <f>'A1. Submodels &amp; data'!D39</f>
        <v>21</v>
      </c>
      <c r="AU176" s="180"/>
      <c r="AV176" s="180">
        <f>'A1. Submodels &amp; data'!AC39</f>
        <v>0</v>
      </c>
      <c r="AW176" s="180"/>
      <c r="AX176" s="180">
        <v>0</v>
      </c>
      <c r="AY176" s="149"/>
      <c r="AZ176" s="149"/>
      <c r="BA176" s="149"/>
      <c r="BB176" s="149"/>
      <c r="BC176" s="149"/>
      <c r="BD176" s="149"/>
      <c r="BE176" s="149"/>
      <c r="BF176" s="288" t="s">
        <v>427</v>
      </c>
      <c r="BG176" s="180">
        <v>5</v>
      </c>
      <c r="BH176" s="149"/>
      <c r="BI176" s="149"/>
      <c r="BJ176" s="356"/>
      <c r="BK176" s="2"/>
      <c r="BL176" s="2"/>
      <c r="BM176" s="2"/>
      <c r="BN176" s="166"/>
      <c r="BO176" s="166"/>
      <c r="BP176" s="166"/>
      <c r="BQ176" s="166"/>
      <c r="BR176" s="166"/>
      <c r="BS176" s="166"/>
      <c r="BT176" s="166"/>
      <c r="BU176" s="166"/>
      <c r="BV176" s="166"/>
      <c r="BW176" s="166"/>
      <c r="BX176" s="60"/>
      <c r="BY176" s="60"/>
      <c r="BZ176" s="60"/>
      <c r="CA176" s="60"/>
      <c r="CB176" s="60"/>
      <c r="CC176" s="60"/>
      <c r="CD176" s="60"/>
      <c r="CE176" s="60"/>
      <c r="CF176" s="60"/>
      <c r="CG176" s="60"/>
      <c r="CH176" s="60"/>
      <c r="CI176" s="60"/>
      <c r="CJ176" s="60"/>
      <c r="CK176" s="60"/>
      <c r="CL176" s="60"/>
      <c r="CM176" s="60"/>
      <c r="CN176" s="60"/>
      <c r="CO176" s="60"/>
      <c r="CP176" s="60"/>
      <c r="CQ176" s="60"/>
    </row>
    <row r="177" spans="1:95" x14ac:dyDescent="0.25">
      <c r="A177" s="146"/>
      <c r="B177" s="146"/>
      <c r="C177" s="146"/>
      <c r="D177" s="146"/>
      <c r="E177" s="146"/>
      <c r="F177" s="146"/>
      <c r="G177" s="146"/>
      <c r="H177" s="146"/>
      <c r="I177" s="146"/>
      <c r="J177" s="146"/>
      <c r="K177" s="146"/>
      <c r="L177" s="146"/>
      <c r="M177" s="146"/>
      <c r="N177" s="146"/>
      <c r="O177" s="1650" t="str">
        <f>'A1. Submodels &amp; data'!B168</f>
        <v xml:space="preserve"> - Congo Dem. Rep.</v>
      </c>
      <c r="P177" s="180">
        <v>25</v>
      </c>
      <c r="Q177" s="77" t="s">
        <v>212</v>
      </c>
      <c r="R177" s="180"/>
      <c r="S177" s="180">
        <f>0</f>
        <v>0</v>
      </c>
      <c r="T177" s="180" t="str">
        <f t="shared" si="23"/>
        <v>Africa</v>
      </c>
      <c r="U177" s="356"/>
      <c r="V177" s="149"/>
      <c r="W177" s="1639"/>
      <c r="X177" s="294" t="str">
        <f>'A3. UnitConversions'!A25</f>
        <v>fluid ounces/ha (US)</v>
      </c>
      <c r="Y177" s="294">
        <f>'A3. UnitConversions'!B25</f>
        <v>3.7495619242976189E-2</v>
      </c>
      <c r="Z177" s="149"/>
      <c r="AA177" s="149"/>
      <c r="AB177" s="149"/>
      <c r="AC177" s="149"/>
      <c r="AD177" s="149"/>
      <c r="AE177" s="149"/>
      <c r="AF177" s="149"/>
      <c r="AG177" s="149"/>
      <c r="AH177" s="149"/>
      <c r="AI177" s="149"/>
      <c r="AJ177" s="149"/>
      <c r="AK177" s="149"/>
      <c r="AL177" s="149"/>
      <c r="AM177" s="356"/>
      <c r="AN177" s="149"/>
      <c r="AO177" s="149"/>
      <c r="AP177" s="2"/>
      <c r="AQ177" s="1637"/>
      <c r="AR177" s="180" t="str">
        <f>'A1. Submodels &amp; data'!A40</f>
        <v>Urea ammonium nitrate solution - 32% N</v>
      </c>
      <c r="AS177" s="180">
        <v>22</v>
      </c>
      <c r="AT177" s="180">
        <f>'A1. Submodels &amp; data'!D40</f>
        <v>22</v>
      </c>
      <c r="AU177" s="180"/>
      <c r="AV177" s="180">
        <f>'A1. Submodels &amp; data'!AC40</f>
        <v>0</v>
      </c>
      <c r="AW177" s="180"/>
      <c r="AX177" s="180">
        <v>0</v>
      </c>
      <c r="AY177" s="149"/>
      <c r="AZ177" s="149"/>
      <c r="BA177" s="149"/>
      <c r="BB177" s="283" t="s">
        <v>1946</v>
      </c>
      <c r="BC177" s="180" t="e">
        <f>NA()</f>
        <v>#N/A</v>
      </c>
      <c r="BD177" s="149"/>
      <c r="BE177" s="149"/>
      <c r="BF177" s="288" t="s">
        <v>428</v>
      </c>
      <c r="BG177" s="180">
        <v>6</v>
      </c>
      <c r="BH177" s="149"/>
      <c r="BI177" s="149"/>
      <c r="BJ177" s="356"/>
      <c r="BK177" s="2"/>
      <c r="BL177" s="2"/>
      <c r="BM177" s="2"/>
      <c r="BN177" s="166"/>
      <c r="BO177" s="166"/>
      <c r="BP177" s="166"/>
      <c r="BQ177" s="166"/>
      <c r="BR177" s="166"/>
      <c r="BS177" s="166"/>
      <c r="BT177" s="166"/>
      <c r="BU177" s="166"/>
      <c r="BV177" s="166"/>
      <c r="BW177" s="166"/>
      <c r="BX177" s="60"/>
      <c r="BY177" s="60"/>
      <c r="BZ177" s="60"/>
      <c r="CA177" s="60"/>
      <c r="CB177" s="60"/>
      <c r="CC177" s="60"/>
      <c r="CD177" s="60"/>
      <c r="CE177" s="60"/>
      <c r="CF177" s="60"/>
      <c r="CG177" s="60"/>
      <c r="CH177" s="60"/>
      <c r="CI177" s="60"/>
      <c r="CJ177" s="60"/>
      <c r="CK177" s="60"/>
      <c r="CL177" s="60"/>
      <c r="CM177" s="60"/>
      <c r="CN177" s="60"/>
      <c r="CO177" s="60"/>
      <c r="CP177" s="60"/>
      <c r="CQ177" s="60"/>
    </row>
    <row r="178" spans="1:95" x14ac:dyDescent="0.25">
      <c r="A178" s="146"/>
      <c r="B178" s="146"/>
      <c r="C178" s="146"/>
      <c r="D178" s="146"/>
      <c r="E178" s="146"/>
      <c r="F178" s="146"/>
      <c r="G178" s="146"/>
      <c r="H178" s="146"/>
      <c r="I178" s="146"/>
      <c r="J178" s="146"/>
      <c r="K178" s="146"/>
      <c r="L178" s="146"/>
      <c r="M178" s="146"/>
      <c r="N178" s="146"/>
      <c r="O178" s="1650" t="str">
        <f>'A1. Submodels &amp; data'!B169</f>
        <v xml:space="preserve"> - Costa Rica</v>
      </c>
      <c r="P178" s="180">
        <v>26</v>
      </c>
      <c r="Q178" s="77" t="s">
        <v>1695</v>
      </c>
      <c r="R178" s="180"/>
      <c r="S178" s="180">
        <f>0</f>
        <v>0</v>
      </c>
      <c r="T178" s="180" t="str">
        <f t="shared" si="23"/>
        <v>Latin America</v>
      </c>
      <c r="U178" s="356"/>
      <c r="V178" s="149"/>
      <c r="W178" s="1639"/>
      <c r="X178" s="294" t="str">
        <f>'A3. UnitConversions'!A26</f>
        <v>fluid ounces/acre (US)</v>
      </c>
      <c r="Y178" s="294">
        <f>'A3. UnitConversions'!B26</f>
        <v>9.2653611053943527E-2</v>
      </c>
      <c r="Z178" s="149"/>
      <c r="AA178" s="149"/>
      <c r="AB178" s="149"/>
      <c r="AC178" s="149"/>
      <c r="AD178" s="149"/>
      <c r="AE178" s="149"/>
      <c r="AF178" s="149"/>
      <c r="AG178" s="149"/>
      <c r="AH178" s="149"/>
      <c r="AI178" s="149"/>
      <c r="AJ178" s="149"/>
      <c r="AK178" s="149"/>
      <c r="AL178" s="149"/>
      <c r="AM178" s="356"/>
      <c r="AN178" s="149"/>
      <c r="AO178" s="149"/>
      <c r="AP178" s="2"/>
      <c r="AQ178" s="1637"/>
      <c r="AR178" s="180" t="str">
        <f>'A1. Submodels &amp; data'!A41</f>
        <v>Compost (zero emissions) - 1% N</v>
      </c>
      <c r="AS178" s="180">
        <v>23</v>
      </c>
      <c r="AT178" s="180">
        <f>'A1. Submodels &amp; data'!D41</f>
        <v>23</v>
      </c>
      <c r="AU178" s="180"/>
      <c r="AV178" s="180">
        <f>'A1. Submodels &amp; data'!AC41</f>
        <v>2</v>
      </c>
      <c r="AW178" s="180">
        <v>1</v>
      </c>
      <c r="AX178" s="180">
        <v>0</v>
      </c>
      <c r="AY178" s="149"/>
      <c r="AZ178" s="149"/>
      <c r="BA178" s="149"/>
      <c r="BB178" s="298" t="s">
        <v>996</v>
      </c>
      <c r="BC178" s="299">
        <v>1</v>
      </c>
      <c r="BD178" s="149"/>
      <c r="BE178" s="149"/>
      <c r="BF178" s="288" t="s">
        <v>586</v>
      </c>
      <c r="BG178" s="180">
        <v>7</v>
      </c>
      <c r="BH178" s="149"/>
      <c r="BI178" s="3"/>
      <c r="BJ178" s="1638"/>
      <c r="BK178" s="2"/>
      <c r="BL178" s="2"/>
      <c r="BM178" s="2"/>
      <c r="BN178" s="166"/>
      <c r="BO178" s="166"/>
      <c r="BP178" s="166"/>
      <c r="BQ178" s="166"/>
      <c r="BR178" s="166"/>
      <c r="BS178" s="166"/>
      <c r="BT178" s="166"/>
      <c r="BU178" s="166"/>
      <c r="BV178" s="166"/>
      <c r="BW178" s="166"/>
      <c r="BX178" s="60"/>
      <c r="BY178" s="60"/>
      <c r="BZ178" s="60"/>
      <c r="CA178" s="60"/>
      <c r="CB178" s="60"/>
      <c r="CC178" s="60"/>
      <c r="CD178" s="60"/>
      <c r="CE178" s="60"/>
      <c r="CF178" s="60"/>
      <c r="CG178" s="60"/>
      <c r="CH178" s="60"/>
      <c r="CI178" s="60"/>
      <c r="CJ178" s="60"/>
      <c r="CK178" s="60"/>
      <c r="CL178" s="60"/>
      <c r="CM178" s="60"/>
      <c r="CN178" s="60"/>
      <c r="CO178" s="60"/>
      <c r="CP178" s="60"/>
      <c r="CQ178" s="60"/>
    </row>
    <row r="179" spans="1:95" x14ac:dyDescent="0.25">
      <c r="A179" s="146"/>
      <c r="B179" s="146"/>
      <c r="C179" s="146"/>
      <c r="D179" s="146"/>
      <c r="E179" s="146"/>
      <c r="F179" s="146"/>
      <c r="G179" s="146"/>
      <c r="H179" s="146"/>
      <c r="I179" s="146"/>
      <c r="J179" s="146"/>
      <c r="K179" s="146"/>
      <c r="L179" s="146"/>
      <c r="M179" s="146"/>
      <c r="N179" s="146"/>
      <c r="O179" s="1650" t="str">
        <f>'A1. Submodels &amp; data'!B170</f>
        <v xml:space="preserve"> - Cote d'Ivoire</v>
      </c>
      <c r="P179" s="180">
        <v>27</v>
      </c>
      <c r="Q179" s="77" t="s">
        <v>212</v>
      </c>
      <c r="R179" s="180"/>
      <c r="S179" s="180">
        <f>0</f>
        <v>0</v>
      </c>
      <c r="T179" s="180" t="str">
        <f t="shared" si="23"/>
        <v>Africa</v>
      </c>
      <c r="U179" s="356"/>
      <c r="V179" s="149"/>
      <c r="W179" s="1639"/>
      <c r="X179" s="180" t="s">
        <v>1428</v>
      </c>
      <c r="Y179" s="180">
        <f>Y169*Y159</f>
        <v>2240.7463078000001</v>
      </c>
      <c r="Z179" s="149"/>
      <c r="AA179" s="149"/>
      <c r="AB179" s="149"/>
      <c r="AC179" s="149"/>
      <c r="AD179" s="149"/>
      <c r="AE179" s="149"/>
      <c r="AF179" s="149"/>
      <c r="AG179" s="149"/>
      <c r="AH179" s="149"/>
      <c r="AI179" s="149"/>
      <c r="AJ179" s="149"/>
      <c r="AK179" s="149"/>
      <c r="AL179" s="149"/>
      <c r="AM179" s="356"/>
      <c r="AN179" s="149"/>
      <c r="AO179" s="149"/>
      <c r="AP179" s="2"/>
      <c r="AQ179" s="1637"/>
      <c r="AR179" s="180" t="str">
        <f>'A1. Submodels &amp; data'!A42</f>
        <v>Compost (fully aerated production) - 1% N</v>
      </c>
      <c r="AS179" s="180">
        <v>24</v>
      </c>
      <c r="AT179" s="180">
        <f>'A1. Submodels &amp; data'!D42</f>
        <v>24</v>
      </c>
      <c r="AU179" s="180"/>
      <c r="AV179" s="180">
        <f>'A1. Submodels &amp; data'!AC42</f>
        <v>2</v>
      </c>
      <c r="AW179" s="180">
        <v>1</v>
      </c>
      <c r="AX179" s="180">
        <v>0</v>
      </c>
      <c r="AY179" s="149"/>
      <c r="AZ179" s="149"/>
      <c r="BA179" s="149"/>
      <c r="BB179" s="298" t="s">
        <v>997</v>
      </c>
      <c r="BC179" s="299">
        <v>2</v>
      </c>
      <c r="BD179" s="149"/>
      <c r="BE179" s="149"/>
      <c r="BF179" s="288" t="s">
        <v>587</v>
      </c>
      <c r="BG179" s="180">
        <v>8</v>
      </c>
      <c r="BH179" s="149"/>
      <c r="BI179" s="3"/>
      <c r="BJ179" s="1638"/>
      <c r="BK179" s="2"/>
      <c r="BL179" s="2"/>
      <c r="BM179" s="2"/>
      <c r="BN179" s="166"/>
      <c r="BO179" s="166"/>
      <c r="BP179" s="166"/>
      <c r="BQ179" s="166"/>
      <c r="BR179" s="166"/>
      <c r="BS179" s="166"/>
      <c r="BT179" s="166"/>
      <c r="BU179" s="166"/>
      <c r="BV179" s="166"/>
      <c r="BW179" s="166"/>
      <c r="BX179" s="60"/>
      <c r="BY179" s="60"/>
      <c r="BZ179" s="60"/>
      <c r="CA179" s="60"/>
      <c r="CB179" s="60"/>
      <c r="CC179" s="60"/>
      <c r="CD179" s="60"/>
      <c r="CE179" s="60"/>
      <c r="CF179" s="60"/>
      <c r="CG179" s="60"/>
      <c r="CH179" s="60"/>
      <c r="CI179" s="60"/>
      <c r="CJ179" s="60"/>
      <c r="CK179" s="60"/>
      <c r="CL179" s="60"/>
      <c r="CM179" s="60"/>
      <c r="CN179" s="60"/>
      <c r="CO179" s="60"/>
      <c r="CP179" s="60"/>
      <c r="CQ179" s="60"/>
    </row>
    <row r="180" spans="1:95" x14ac:dyDescent="0.25">
      <c r="A180" s="146"/>
      <c r="B180" s="146"/>
      <c r="C180" s="146"/>
      <c r="D180" s="146"/>
      <c r="E180" s="146"/>
      <c r="F180" s="146"/>
      <c r="G180" s="146"/>
      <c r="H180" s="146"/>
      <c r="I180" s="146"/>
      <c r="J180" s="146"/>
      <c r="K180" s="146"/>
      <c r="L180" s="146"/>
      <c r="M180" s="146"/>
      <c r="N180" s="146"/>
      <c r="O180" s="1650" t="str">
        <f>'A1. Submodels &amp; data'!B171</f>
        <v xml:space="preserve"> - Croatia</v>
      </c>
      <c r="P180" s="180">
        <v>28</v>
      </c>
      <c r="Q180" s="77" t="s">
        <v>721</v>
      </c>
      <c r="R180" s="77"/>
      <c r="S180" s="180">
        <f>0</f>
        <v>0</v>
      </c>
      <c r="T180" s="180" t="str">
        <f t="shared" si="23"/>
        <v>Eastern Europe</v>
      </c>
      <c r="U180" s="356"/>
      <c r="V180" s="149"/>
      <c r="W180" s="1639"/>
      <c r="X180" s="149"/>
      <c r="Y180" s="149"/>
      <c r="Z180" s="171"/>
      <c r="AA180" s="149"/>
      <c r="AB180" s="149"/>
      <c r="AC180" s="149"/>
      <c r="AD180" s="149"/>
      <c r="AE180" s="149"/>
      <c r="AF180" s="149"/>
      <c r="AG180" s="149"/>
      <c r="AH180" s="149"/>
      <c r="AI180" s="149"/>
      <c r="AJ180" s="149"/>
      <c r="AK180" s="149"/>
      <c r="AL180" s="149"/>
      <c r="AM180" s="356"/>
      <c r="AN180" s="149"/>
      <c r="AO180" s="149"/>
      <c r="AP180" s="2"/>
      <c r="AQ180" s="1637"/>
      <c r="AR180" s="180" t="str">
        <f>'A1. Submodels &amp; data'!A43</f>
        <v>Compost (non-fully aerated production) - 1% N</v>
      </c>
      <c r="AS180" s="180">
        <v>25</v>
      </c>
      <c r="AT180" s="180">
        <f>'A1. Submodels &amp; data'!D43</f>
        <v>25</v>
      </c>
      <c r="AU180" s="180"/>
      <c r="AV180" s="180">
        <f>'A1. Submodels &amp; data'!AC43</f>
        <v>2</v>
      </c>
      <c r="AW180" s="180">
        <v>1</v>
      </c>
      <c r="AX180" s="180">
        <v>0</v>
      </c>
      <c r="AY180" s="149"/>
      <c r="AZ180" s="149"/>
      <c r="BA180" s="149"/>
      <c r="BB180" s="298" t="s">
        <v>1002</v>
      </c>
      <c r="BC180" s="299">
        <v>3</v>
      </c>
      <c r="BD180" s="149"/>
      <c r="BE180" s="149"/>
      <c r="BF180" s="288" t="s">
        <v>588</v>
      </c>
      <c r="BG180" s="180">
        <v>9</v>
      </c>
      <c r="BH180" s="149"/>
      <c r="BI180" s="3"/>
      <c r="BJ180" s="1638"/>
      <c r="BK180" s="2"/>
      <c r="BL180" s="2"/>
      <c r="BM180" s="2"/>
      <c r="BN180" s="166"/>
      <c r="BO180" s="166"/>
      <c r="BP180" s="166"/>
      <c r="BQ180" s="166"/>
      <c r="BR180" s="166"/>
      <c r="BS180" s="166"/>
      <c r="BT180" s="166"/>
      <c r="BU180" s="166"/>
      <c r="BV180" s="166"/>
      <c r="BW180" s="166"/>
      <c r="BX180" s="60"/>
      <c r="BY180" s="60"/>
      <c r="BZ180" s="60"/>
      <c r="CA180" s="60"/>
      <c r="CB180" s="60"/>
      <c r="CC180" s="60"/>
      <c r="CD180" s="60"/>
      <c r="CE180" s="60"/>
      <c r="CF180" s="60"/>
      <c r="CG180" s="60"/>
      <c r="CH180" s="60"/>
      <c r="CI180" s="60"/>
      <c r="CJ180" s="60"/>
      <c r="CK180" s="60"/>
      <c r="CL180" s="60"/>
      <c r="CM180" s="60"/>
      <c r="CN180" s="60"/>
      <c r="CO180" s="60"/>
      <c r="CP180" s="60"/>
      <c r="CQ180" s="60"/>
    </row>
    <row r="181" spans="1:95" x14ac:dyDescent="0.25">
      <c r="A181" s="146"/>
      <c r="B181" s="146"/>
      <c r="C181" s="146"/>
      <c r="D181" s="146"/>
      <c r="E181" s="146"/>
      <c r="F181" s="146"/>
      <c r="G181" s="146"/>
      <c r="H181" s="146"/>
      <c r="I181" s="146"/>
      <c r="J181" s="146"/>
      <c r="K181" s="146"/>
      <c r="L181" s="146"/>
      <c r="M181" s="146"/>
      <c r="N181" s="146"/>
      <c r="O181" s="1650" t="str">
        <f>'A1. Submodels &amp; data'!B172</f>
        <v xml:space="preserve"> - Cuba</v>
      </c>
      <c r="P181" s="180">
        <v>29</v>
      </c>
      <c r="Q181" s="77" t="s">
        <v>1695</v>
      </c>
      <c r="R181" s="180"/>
      <c r="S181" s="180">
        <f>0</f>
        <v>0</v>
      </c>
      <c r="T181" s="180" t="str">
        <f t="shared" si="23"/>
        <v>Latin America</v>
      </c>
      <c r="U181" s="356"/>
      <c r="V181" s="149"/>
      <c r="W181" s="1639" t="s">
        <v>1036</v>
      </c>
      <c r="X181" s="149"/>
      <c r="Y181" s="149"/>
      <c r="Z181" s="171"/>
      <c r="AA181" s="149"/>
      <c r="AB181" s="149"/>
      <c r="AC181" s="149"/>
      <c r="AD181" s="149"/>
      <c r="AE181" s="149"/>
      <c r="AF181" s="149"/>
      <c r="AG181" s="149"/>
      <c r="AH181" s="149"/>
      <c r="AI181" s="149"/>
      <c r="AJ181" s="149"/>
      <c r="AK181" s="149"/>
      <c r="AL181" s="149"/>
      <c r="AM181" s="356"/>
      <c r="AN181" s="149"/>
      <c r="AO181" s="149"/>
      <c r="AP181" s="2"/>
      <c r="AQ181" s="1637"/>
      <c r="AR181" s="180" t="str">
        <f>'A1. Submodels &amp; data'!A44</f>
        <v>Cattle Farmyard manure - 0.6% N</v>
      </c>
      <c r="AS181" s="180">
        <v>26</v>
      </c>
      <c r="AT181" s="180">
        <f>'A1. Submodels &amp; data'!D44</f>
        <v>26</v>
      </c>
      <c r="AU181" s="180"/>
      <c r="AV181" s="180">
        <f>'A1. Submodels &amp; data'!AC44</f>
        <v>1</v>
      </c>
      <c r="AW181" s="180"/>
      <c r="AX181" s="180">
        <v>1</v>
      </c>
      <c r="AY181" s="149"/>
      <c r="AZ181" s="149"/>
      <c r="BA181" s="149"/>
      <c r="BB181" s="298" t="s">
        <v>1003</v>
      </c>
      <c r="BC181" s="299">
        <v>4</v>
      </c>
      <c r="BD181" s="149"/>
      <c r="BE181" s="149"/>
      <c r="BF181" s="288" t="s">
        <v>589</v>
      </c>
      <c r="BG181" s="180">
        <v>10</v>
      </c>
      <c r="BH181" s="149"/>
      <c r="BI181" s="149"/>
      <c r="BJ181" s="356"/>
      <c r="BK181" s="2"/>
      <c r="BL181" s="2"/>
      <c r="BM181" s="2"/>
      <c r="BN181" s="166"/>
      <c r="BO181" s="166"/>
      <c r="BP181" s="166"/>
      <c r="BQ181" s="166"/>
      <c r="BR181" s="166"/>
      <c r="BS181" s="166"/>
      <c r="BT181" s="166"/>
      <c r="BU181" s="166"/>
      <c r="BV181" s="166"/>
      <c r="BW181" s="166"/>
      <c r="BX181" s="60"/>
      <c r="BY181" s="60"/>
      <c r="BZ181" s="60"/>
      <c r="CA181" s="60"/>
      <c r="CB181" s="60"/>
      <c r="CC181" s="60"/>
      <c r="CD181" s="60"/>
      <c r="CE181" s="60"/>
      <c r="CF181" s="60"/>
      <c r="CG181" s="60"/>
      <c r="CH181" s="60"/>
      <c r="CI181" s="60"/>
      <c r="CJ181" s="60"/>
      <c r="CK181" s="60"/>
      <c r="CL181" s="60"/>
      <c r="CM181" s="60"/>
      <c r="CN181" s="60"/>
      <c r="CO181" s="60"/>
      <c r="CP181" s="60"/>
      <c r="CQ181" s="60"/>
    </row>
    <row r="182" spans="1:95" x14ac:dyDescent="0.25">
      <c r="A182" s="146"/>
      <c r="B182" s="146"/>
      <c r="C182" s="146"/>
      <c r="D182" s="146"/>
      <c r="E182" s="146"/>
      <c r="F182" s="146"/>
      <c r="G182" s="146"/>
      <c r="H182" s="146"/>
      <c r="I182" s="146"/>
      <c r="J182" s="146"/>
      <c r="K182" s="146"/>
      <c r="L182" s="146"/>
      <c r="M182" s="146"/>
      <c r="N182" s="146"/>
      <c r="O182" s="1650" t="str">
        <f>'A1. Submodels &amp; data'!B173</f>
        <v xml:space="preserve"> - Cyprus</v>
      </c>
      <c r="P182" s="180">
        <v>30</v>
      </c>
      <c r="Q182" s="77" t="s">
        <v>771</v>
      </c>
      <c r="R182" s="180"/>
      <c r="S182" s="180">
        <v>1</v>
      </c>
      <c r="T182" s="180" t="str">
        <f t="shared" si="23"/>
        <v>Western Europe</v>
      </c>
      <c r="U182" s="356"/>
      <c r="V182" s="149"/>
      <c r="W182" s="1650" t="s">
        <v>1946</v>
      </c>
      <c r="X182" s="180">
        <v>1</v>
      </c>
      <c r="Y182" s="180" t="s">
        <v>1946</v>
      </c>
      <c r="Z182" s="180" t="s">
        <v>1946</v>
      </c>
      <c r="AA182" s="180" t="s">
        <v>1946</v>
      </c>
      <c r="AB182" s="180" t="s">
        <v>1946</v>
      </c>
      <c r="AC182" s="180" t="s">
        <v>1946</v>
      </c>
      <c r="AD182" s="180" t="s">
        <v>1946</v>
      </c>
      <c r="AE182" s="180" t="s">
        <v>1946</v>
      </c>
      <c r="AF182" s="180" t="s">
        <v>1946</v>
      </c>
      <c r="AG182" s="180" t="s">
        <v>1946</v>
      </c>
      <c r="AH182" s="180" t="s">
        <v>1946</v>
      </c>
      <c r="AI182" s="180" t="s">
        <v>1946</v>
      </c>
      <c r="AJ182" s="180" t="s">
        <v>1946</v>
      </c>
      <c r="AK182" s="180" t="s">
        <v>1946</v>
      </c>
      <c r="AL182" s="149"/>
      <c r="AM182" s="356"/>
      <c r="AN182" s="149"/>
      <c r="AO182" s="149"/>
      <c r="AP182" s="2"/>
      <c r="AQ182" s="1637"/>
      <c r="AR182" s="180" t="str">
        <f>'A1. Submodels &amp; data'!A45</f>
        <v>Pig Farmyard manure - 0.7% N</v>
      </c>
      <c r="AS182" s="180">
        <v>27</v>
      </c>
      <c r="AT182" s="180">
        <f>'A1. Submodels &amp; data'!D45</f>
        <v>27</v>
      </c>
      <c r="AU182" s="180"/>
      <c r="AV182" s="180">
        <f>'A1. Submodels &amp; data'!AC45</f>
        <v>1</v>
      </c>
      <c r="AW182" s="180"/>
      <c r="AX182" s="180">
        <v>1</v>
      </c>
      <c r="AY182" s="149"/>
      <c r="AZ182" s="149"/>
      <c r="BA182" s="149"/>
      <c r="BB182" s="298" t="s">
        <v>1004</v>
      </c>
      <c r="BC182" s="299">
        <v>5</v>
      </c>
      <c r="BD182" s="149"/>
      <c r="BE182" s="149"/>
      <c r="BF182" s="288" t="s">
        <v>590</v>
      </c>
      <c r="BG182" s="180">
        <v>11</v>
      </c>
      <c r="BH182" s="149"/>
      <c r="BI182" s="149"/>
      <c r="BJ182" s="356"/>
      <c r="BK182" s="2"/>
      <c r="BL182" s="2"/>
      <c r="BM182" s="2"/>
      <c r="BN182" s="166"/>
      <c r="BO182" s="166"/>
      <c r="BP182" s="166"/>
      <c r="BQ182" s="166"/>
      <c r="BR182" s="166"/>
      <c r="BS182" s="166"/>
      <c r="BT182" s="166"/>
      <c r="BU182" s="166"/>
      <c r="BV182" s="166"/>
      <c r="BW182" s="166"/>
      <c r="BX182" s="60"/>
      <c r="BY182" s="60"/>
      <c r="BZ182" s="60"/>
      <c r="CA182" s="60"/>
      <c r="CB182" s="60"/>
      <c r="CC182" s="60"/>
      <c r="CD182" s="60"/>
      <c r="CE182" s="60"/>
      <c r="CF182" s="60"/>
      <c r="CG182" s="60"/>
      <c r="CH182" s="60"/>
      <c r="CI182" s="60"/>
      <c r="CJ182" s="60"/>
      <c r="CK182" s="60"/>
      <c r="CL182" s="60"/>
      <c r="CM182" s="60"/>
      <c r="CN182" s="60"/>
      <c r="CO182" s="60"/>
      <c r="CP182" s="60"/>
      <c r="CQ182" s="60"/>
    </row>
    <row r="183" spans="1:95" x14ac:dyDescent="0.25">
      <c r="A183" s="146"/>
      <c r="B183" s="146"/>
      <c r="C183" s="146"/>
      <c r="D183" s="146"/>
      <c r="E183" s="146"/>
      <c r="F183" s="146"/>
      <c r="G183" s="146"/>
      <c r="H183" s="146"/>
      <c r="I183" s="146"/>
      <c r="J183" s="146"/>
      <c r="K183" s="146"/>
      <c r="L183" s="146"/>
      <c r="M183" s="146"/>
      <c r="N183" s="146"/>
      <c r="O183" s="1650" t="str">
        <f>'A1. Submodels &amp; data'!B174</f>
        <v xml:space="preserve"> - Czech Republic</v>
      </c>
      <c r="P183" s="180">
        <v>31</v>
      </c>
      <c r="Q183" s="77" t="s">
        <v>771</v>
      </c>
      <c r="R183" s="180"/>
      <c r="S183" s="180">
        <v>1</v>
      </c>
      <c r="T183" s="180" t="str">
        <f t="shared" si="23"/>
        <v>Western Europe</v>
      </c>
      <c r="U183" s="356"/>
      <c r="V183" s="149"/>
      <c r="W183" s="1650" t="s">
        <v>1552</v>
      </c>
      <c r="X183" s="180">
        <v>1</v>
      </c>
      <c r="Y183" s="180" t="s">
        <v>884</v>
      </c>
      <c r="Z183" s="180" t="str">
        <f>X171</f>
        <v>kg/ha</v>
      </c>
      <c r="AA183" s="180" t="str">
        <f>X157</f>
        <v>kgs</v>
      </c>
      <c r="AB183" s="180" t="str">
        <f>X158</f>
        <v xml:space="preserve">tonnes </v>
      </c>
      <c r="AC183" s="180" t="s">
        <v>1360</v>
      </c>
      <c r="AD183" s="180" t="s">
        <v>881</v>
      </c>
      <c r="AE183" s="180" t="s">
        <v>444</v>
      </c>
      <c r="AF183" s="180" t="s">
        <v>795</v>
      </c>
      <c r="AG183" s="77" t="s">
        <v>1551</v>
      </c>
      <c r="AH183" s="77" t="s">
        <v>857</v>
      </c>
      <c r="AI183" s="180" t="s">
        <v>643</v>
      </c>
      <c r="AJ183" s="180" t="s">
        <v>885</v>
      </c>
      <c r="AK183" s="180" t="s">
        <v>651</v>
      </c>
      <c r="AL183" s="149"/>
      <c r="AM183" s="356"/>
      <c r="AN183" s="149"/>
      <c r="AO183" s="149"/>
      <c r="AP183" s="2"/>
      <c r="AQ183" s="1637"/>
      <c r="AR183" s="180" t="str">
        <f>'A1. Submodels &amp; data'!A46</f>
        <v>Sheep Farmyard manure - 0.7% N</v>
      </c>
      <c r="AS183" s="180">
        <v>28</v>
      </c>
      <c r="AT183" s="180">
        <f>'A1. Submodels &amp; data'!D46</f>
        <v>28</v>
      </c>
      <c r="AU183" s="180"/>
      <c r="AV183" s="180">
        <f>'A1. Submodels &amp; data'!AC46</f>
        <v>1</v>
      </c>
      <c r="AW183" s="180"/>
      <c r="AX183" s="180">
        <v>1</v>
      </c>
      <c r="AY183" s="149"/>
      <c r="AZ183" s="149"/>
      <c r="BA183" s="149"/>
      <c r="BB183" s="180" t="s">
        <v>1858</v>
      </c>
      <c r="BC183" s="180">
        <v>6</v>
      </c>
      <c r="BD183" s="149"/>
      <c r="BE183" s="149"/>
      <c r="BF183" s="180" t="s">
        <v>933</v>
      </c>
      <c r="BG183" s="180">
        <v>12</v>
      </c>
      <c r="BH183" s="149"/>
      <c r="BI183" s="149"/>
      <c r="BJ183" s="356"/>
      <c r="BK183" s="2"/>
      <c r="BL183" s="2"/>
      <c r="BM183" s="2"/>
      <c r="BN183" s="166"/>
      <c r="BO183" s="166"/>
      <c r="BP183" s="166"/>
      <c r="BQ183" s="166"/>
      <c r="BR183" s="166"/>
      <c r="BS183" s="166"/>
      <c r="BT183" s="166"/>
      <c r="BU183" s="166"/>
      <c r="BV183" s="166"/>
      <c r="BW183" s="166"/>
      <c r="BX183" s="60"/>
      <c r="BY183" s="60"/>
      <c r="BZ183" s="60"/>
      <c r="CA183" s="60"/>
      <c r="CB183" s="60"/>
      <c r="CC183" s="60"/>
      <c r="CD183" s="60"/>
      <c r="CE183" s="60"/>
      <c r="CF183" s="60"/>
      <c r="CG183" s="60"/>
      <c r="CH183" s="60"/>
      <c r="CI183" s="60"/>
      <c r="CJ183" s="60"/>
      <c r="CK183" s="60"/>
      <c r="CL183" s="60"/>
      <c r="CM183" s="60"/>
      <c r="CN183" s="60"/>
      <c r="CO183" s="60"/>
      <c r="CP183" s="60"/>
      <c r="CQ183" s="60"/>
    </row>
    <row r="184" spans="1:95" x14ac:dyDescent="0.25">
      <c r="A184" s="146"/>
      <c r="B184" s="146"/>
      <c r="C184" s="146"/>
      <c r="D184" s="146"/>
      <c r="E184" s="146"/>
      <c r="F184" s="146"/>
      <c r="G184" s="146"/>
      <c r="H184" s="146"/>
      <c r="I184" s="146"/>
      <c r="J184" s="146"/>
      <c r="K184" s="146"/>
      <c r="L184" s="146"/>
      <c r="M184" s="146"/>
      <c r="N184" s="146"/>
      <c r="O184" s="1650" t="str">
        <f>'A1. Submodels &amp; data'!B175</f>
        <v xml:space="preserve"> - Denmark</v>
      </c>
      <c r="P184" s="180">
        <v>32</v>
      </c>
      <c r="Q184" s="77" t="s">
        <v>771</v>
      </c>
      <c r="R184" s="180"/>
      <c r="S184" s="180">
        <v>1</v>
      </c>
      <c r="T184" s="180" t="str">
        <f t="shared" si="23"/>
        <v>Western Europe</v>
      </c>
      <c r="U184" s="356"/>
      <c r="V184" s="149"/>
      <c r="W184" s="1650" t="s">
        <v>2016</v>
      </c>
      <c r="X184" s="180">
        <v>2</v>
      </c>
      <c r="Y184" s="180" t="s">
        <v>883</v>
      </c>
      <c r="Z184" s="295" t="str">
        <f>X174</f>
        <v>pounds/acre (US)</v>
      </c>
      <c r="AA184" s="180" t="s">
        <v>1427</v>
      </c>
      <c r="AB184" s="180" t="str">
        <f>X159</f>
        <v>tons (US, short)</v>
      </c>
      <c r="AC184" s="180" t="s">
        <v>1428</v>
      </c>
      <c r="AD184" s="180" t="s">
        <v>882</v>
      </c>
      <c r="AE184" s="180" t="str">
        <f>'5.FieldEnergyUse'!O149</f>
        <v>US Gallons</v>
      </c>
      <c r="AF184" s="180" t="s">
        <v>796</v>
      </c>
      <c r="AG184" s="77" t="s">
        <v>1655</v>
      </c>
      <c r="AH184" s="77" t="s">
        <v>1111</v>
      </c>
      <c r="AI184" s="180" t="s">
        <v>644</v>
      </c>
      <c r="AJ184" s="180" t="s">
        <v>1830</v>
      </c>
      <c r="AK184" s="180" t="s">
        <v>1427</v>
      </c>
      <c r="AL184" s="149"/>
      <c r="AM184" s="356"/>
      <c r="AN184" s="149"/>
      <c r="AO184" s="149"/>
      <c r="AP184" s="2"/>
      <c r="AQ184" s="1637"/>
      <c r="AR184" s="180" t="str">
        <f>'A1. Submodels &amp; data'!A47</f>
        <v>Horse Farmyard Manure - 0.7% N</v>
      </c>
      <c r="AS184" s="180">
        <v>29</v>
      </c>
      <c r="AT184" s="180">
        <f>'A1. Submodels &amp; data'!D47</f>
        <v>29</v>
      </c>
      <c r="AU184" s="180"/>
      <c r="AV184" s="180">
        <f>'A1. Submodels &amp; data'!AC47</f>
        <v>1</v>
      </c>
      <c r="AW184" s="180"/>
      <c r="AX184" s="180">
        <v>1</v>
      </c>
      <c r="AY184" s="149"/>
      <c r="AZ184" s="149"/>
      <c r="BA184" s="149"/>
      <c r="BB184" s="149"/>
      <c r="BC184" s="149"/>
      <c r="BD184" s="149"/>
      <c r="BE184" s="149"/>
      <c r="BF184" s="149"/>
      <c r="BG184" s="149"/>
      <c r="BH184" s="149"/>
      <c r="BI184" s="149"/>
      <c r="BJ184" s="356"/>
      <c r="BK184" s="2"/>
      <c r="BL184" s="2"/>
      <c r="BM184" s="2"/>
      <c r="BN184" s="166"/>
      <c r="BO184" s="166"/>
      <c r="BP184" s="166"/>
      <c r="BQ184" s="166"/>
      <c r="BR184" s="166"/>
      <c r="BS184" s="166"/>
      <c r="BT184" s="166"/>
      <c r="BU184" s="166"/>
      <c r="BV184" s="166"/>
      <c r="BW184" s="166"/>
      <c r="BX184" s="60"/>
      <c r="BY184" s="60"/>
      <c r="BZ184" s="60"/>
      <c r="CA184" s="60"/>
      <c r="CB184" s="60"/>
      <c r="CC184" s="60"/>
      <c r="CD184" s="60"/>
      <c r="CE184" s="60"/>
      <c r="CF184" s="60"/>
      <c r="CG184" s="60"/>
      <c r="CH184" s="60"/>
      <c r="CI184" s="60"/>
      <c r="CJ184" s="60"/>
      <c r="CK184" s="60"/>
      <c r="CL184" s="60"/>
      <c r="CM184" s="60"/>
      <c r="CN184" s="60"/>
      <c r="CO184" s="60"/>
      <c r="CP184" s="60"/>
      <c r="CQ184" s="60"/>
    </row>
    <row r="185" spans="1:95" x14ac:dyDescent="0.25">
      <c r="A185" s="146"/>
      <c r="B185" s="146"/>
      <c r="C185" s="146"/>
      <c r="D185" s="146"/>
      <c r="E185" s="146"/>
      <c r="F185" s="146"/>
      <c r="G185" s="146"/>
      <c r="H185" s="146"/>
      <c r="I185" s="146"/>
      <c r="J185" s="146"/>
      <c r="K185" s="146"/>
      <c r="L185" s="146"/>
      <c r="M185" s="146"/>
      <c r="N185" s="146"/>
      <c r="O185" s="1650" t="str">
        <f>'A1. Submodels &amp; data'!B176</f>
        <v xml:space="preserve"> - Dominican Republic</v>
      </c>
      <c r="P185" s="180">
        <v>33</v>
      </c>
      <c r="Q185" s="77" t="s">
        <v>1695</v>
      </c>
      <c r="R185" s="180"/>
      <c r="S185" s="180">
        <f>0</f>
        <v>0</v>
      </c>
      <c r="T185" s="180" t="str">
        <f t="shared" si="23"/>
        <v>Latin America</v>
      </c>
      <c r="U185" s="356"/>
      <c r="V185" s="149"/>
      <c r="W185" s="1639"/>
      <c r="X185" s="149"/>
      <c r="Y185" s="149"/>
      <c r="Z185" s="149"/>
      <c r="AA185" s="149"/>
      <c r="AB185" s="149"/>
      <c r="AC185" s="149"/>
      <c r="AD185" s="149"/>
      <c r="AE185" s="149"/>
      <c r="AF185" s="149"/>
      <c r="AG185" s="149"/>
      <c r="AH185" s="149"/>
      <c r="AI185" s="149"/>
      <c r="AJ185" s="149"/>
      <c r="AK185" s="149"/>
      <c r="AL185" s="149"/>
      <c r="AM185" s="356"/>
      <c r="AN185" s="149"/>
      <c r="AO185" s="149"/>
      <c r="AP185" s="2"/>
      <c r="AQ185" s="1637"/>
      <c r="AR185" s="180" t="str">
        <f>'A1. Submodels &amp; data'!A48</f>
        <v>Poultry layer manure - 1.9% N</v>
      </c>
      <c r="AS185" s="180">
        <v>30</v>
      </c>
      <c r="AT185" s="180">
        <f>'A1. Submodels &amp; data'!D48</f>
        <v>30</v>
      </c>
      <c r="AU185" s="180"/>
      <c r="AV185" s="180">
        <f>'A1. Submodels &amp; data'!AC48</f>
        <v>1</v>
      </c>
      <c r="AW185" s="180"/>
      <c r="AX185" s="180">
        <v>1</v>
      </c>
      <c r="AY185" s="149"/>
      <c r="AZ185" s="149"/>
      <c r="BA185" s="149"/>
      <c r="BB185" s="180" t="s">
        <v>1946</v>
      </c>
      <c r="BC185" s="180" t="e">
        <f>NA()</f>
        <v>#N/A</v>
      </c>
      <c r="BD185" s="149"/>
      <c r="BE185" s="149"/>
      <c r="BF185" s="149"/>
      <c r="BG185" s="149"/>
      <c r="BH185" s="149"/>
      <c r="BI185" s="149"/>
      <c r="BJ185" s="356"/>
      <c r="BK185" s="2"/>
      <c r="BL185" s="2"/>
      <c r="BM185" s="2"/>
      <c r="BN185" s="166"/>
      <c r="BO185" s="166"/>
      <c r="BP185" s="166"/>
      <c r="BQ185" s="166"/>
      <c r="BR185" s="166"/>
      <c r="BS185" s="166"/>
      <c r="BT185" s="166"/>
      <c r="BU185" s="166"/>
      <c r="BV185" s="166"/>
      <c r="BW185" s="166"/>
      <c r="BX185" s="60"/>
      <c r="BY185" s="60"/>
      <c r="BZ185" s="60"/>
      <c r="CA185" s="60"/>
      <c r="CB185" s="60"/>
      <c r="CC185" s="60"/>
      <c r="CD185" s="60"/>
      <c r="CE185" s="60"/>
      <c r="CF185" s="60"/>
      <c r="CG185" s="60"/>
      <c r="CH185" s="60"/>
      <c r="CI185" s="60"/>
      <c r="CJ185" s="60"/>
      <c r="CK185" s="60"/>
      <c r="CL185" s="60"/>
      <c r="CM185" s="60"/>
      <c r="CN185" s="60"/>
      <c r="CO185" s="60"/>
      <c r="CP185" s="60"/>
      <c r="CQ185" s="60"/>
    </row>
    <row r="186" spans="1:95" x14ac:dyDescent="0.25">
      <c r="A186" s="146"/>
      <c r="B186" s="146"/>
      <c r="C186" s="146"/>
      <c r="D186" s="146"/>
      <c r="E186" s="146"/>
      <c r="F186" s="146"/>
      <c r="G186" s="146"/>
      <c r="H186" s="146"/>
      <c r="I186" s="146"/>
      <c r="J186" s="146"/>
      <c r="K186" s="146"/>
      <c r="L186" s="146"/>
      <c r="M186" s="146"/>
      <c r="N186" s="146"/>
      <c r="O186" s="1650" t="str">
        <f>'A1. Submodels &amp; data'!B177</f>
        <v xml:space="preserve"> - Ecuador</v>
      </c>
      <c r="P186" s="180">
        <v>34</v>
      </c>
      <c r="Q186" s="77" t="s">
        <v>1695</v>
      </c>
      <c r="R186" s="180"/>
      <c r="S186" s="180">
        <f>0</f>
        <v>0</v>
      </c>
      <c r="T186" s="180" t="str">
        <f t="shared" si="23"/>
        <v>Latin America</v>
      </c>
      <c r="U186" s="356"/>
      <c r="V186" s="149"/>
      <c r="W186" s="1639"/>
      <c r="X186" s="149"/>
      <c r="Y186" s="149"/>
      <c r="Z186" s="149"/>
      <c r="AA186" s="149"/>
      <c r="AB186" s="149"/>
      <c r="AC186" s="149"/>
      <c r="AD186" s="149"/>
      <c r="AE186" s="149"/>
      <c r="AF186" s="149"/>
      <c r="AG186" s="149"/>
      <c r="AH186" s="149"/>
      <c r="AI186" s="149"/>
      <c r="AJ186" s="149"/>
      <c r="AK186" s="149"/>
      <c r="AL186" s="149"/>
      <c r="AM186" s="356"/>
      <c r="AN186" s="149"/>
      <c r="AO186" s="149"/>
      <c r="AP186" s="149"/>
      <c r="AQ186" s="1637"/>
      <c r="AR186" s="180" t="str">
        <f>'A1. Submodels &amp; data'!A49</f>
        <v>Broiler/Turkey litter - 3% N</v>
      </c>
      <c r="AS186" s="180">
        <v>31</v>
      </c>
      <c r="AT186" s="180">
        <f>'A1. Submodels &amp; data'!D49</f>
        <v>31</v>
      </c>
      <c r="AU186" s="180"/>
      <c r="AV186" s="180">
        <f>'A1. Submodels &amp; data'!AC49</f>
        <v>1</v>
      </c>
      <c r="AW186" s="180"/>
      <c r="AX186" s="180">
        <v>1</v>
      </c>
      <c r="AY186" s="149"/>
      <c r="AZ186" s="149"/>
      <c r="BA186" s="149"/>
      <c r="BB186" s="180" t="s">
        <v>529</v>
      </c>
      <c r="BC186" s="180">
        <v>1</v>
      </c>
      <c r="BD186" s="149"/>
      <c r="BE186" s="149"/>
      <c r="BF186" s="149"/>
      <c r="BG186" s="149"/>
      <c r="BH186" s="149"/>
      <c r="BI186" s="149"/>
      <c r="BJ186" s="356"/>
      <c r="BK186" s="2"/>
      <c r="BL186" s="2"/>
      <c r="BM186" s="2"/>
      <c r="BN186" s="166"/>
      <c r="BO186" s="166"/>
      <c r="BP186" s="166"/>
      <c r="BQ186" s="166"/>
      <c r="BR186" s="166"/>
      <c r="BS186" s="166"/>
      <c r="BT186" s="166"/>
      <c r="BU186" s="166"/>
      <c r="BV186" s="166"/>
      <c r="BW186" s="166"/>
      <c r="BX186" s="60"/>
      <c r="BY186" s="60"/>
      <c r="BZ186" s="60"/>
      <c r="CA186" s="60"/>
      <c r="CB186" s="60"/>
      <c r="CC186" s="60"/>
      <c r="CD186" s="60"/>
      <c r="CE186" s="60"/>
      <c r="CF186" s="60"/>
      <c r="CG186" s="60"/>
      <c r="CH186" s="60"/>
      <c r="CI186" s="60"/>
      <c r="CJ186" s="60"/>
      <c r="CK186" s="60"/>
      <c r="CL186" s="60"/>
      <c r="CM186" s="60"/>
      <c r="CN186" s="60"/>
      <c r="CO186" s="60"/>
      <c r="CP186" s="60"/>
      <c r="CQ186" s="60"/>
    </row>
    <row r="187" spans="1:95" x14ac:dyDescent="0.25">
      <c r="A187" s="146"/>
      <c r="B187" s="146"/>
      <c r="C187" s="146"/>
      <c r="D187" s="146"/>
      <c r="E187" s="146"/>
      <c r="F187" s="146"/>
      <c r="G187" s="146"/>
      <c r="H187" s="146"/>
      <c r="I187" s="146"/>
      <c r="J187" s="146"/>
      <c r="K187" s="146"/>
      <c r="L187" s="146"/>
      <c r="M187" s="146"/>
      <c r="N187" s="146"/>
      <c r="O187" s="1651" t="str">
        <f>'A1. Submodels &amp; data'!B178</f>
        <v xml:space="preserve"> - Egypt</v>
      </c>
      <c r="P187" s="270">
        <v>35</v>
      </c>
      <c r="Q187" s="151" t="s">
        <v>212</v>
      </c>
      <c r="R187" s="270"/>
      <c r="S187" s="270">
        <f>0</f>
        <v>0</v>
      </c>
      <c r="T187" s="180" t="str">
        <f t="shared" si="23"/>
        <v>Africa</v>
      </c>
      <c r="U187" s="356"/>
      <c r="V187" s="149"/>
      <c r="W187" s="1639"/>
      <c r="X187" s="149" t="s">
        <v>917</v>
      </c>
      <c r="Y187" s="149"/>
      <c r="Z187" s="149"/>
      <c r="AA187" s="149"/>
      <c r="AB187" s="149"/>
      <c r="AC187" s="149"/>
      <c r="AD187" s="149"/>
      <c r="AE187" s="149"/>
      <c r="AF187" s="149"/>
      <c r="AG187" s="149"/>
      <c r="AH187" s="149"/>
      <c r="AI187" s="149"/>
      <c r="AJ187" s="149"/>
      <c r="AK187" s="149"/>
      <c r="AL187" s="149"/>
      <c r="AM187" s="356"/>
      <c r="AN187" s="149"/>
      <c r="AO187" s="149"/>
      <c r="AP187" s="149"/>
      <c r="AQ187" s="1637"/>
      <c r="AR187" s="180" t="str">
        <f>'A1. Submodels &amp; data'!A50</f>
        <v>Cattle Slurry - 0.26% N</v>
      </c>
      <c r="AS187" s="180">
        <v>32</v>
      </c>
      <c r="AT187" s="180">
        <f>'A1. Submodels &amp; data'!D50</f>
        <v>32</v>
      </c>
      <c r="AU187" s="180"/>
      <c r="AV187" s="180">
        <f>'A1. Submodels &amp; data'!AC50</f>
        <v>1</v>
      </c>
      <c r="AW187" s="180"/>
      <c r="AX187" s="180">
        <v>1</v>
      </c>
      <c r="AY187" s="149"/>
      <c r="AZ187" s="149"/>
      <c r="BA187" s="149"/>
      <c r="BB187" s="180" t="s">
        <v>530</v>
      </c>
      <c r="BC187" s="180">
        <v>2</v>
      </c>
      <c r="BD187" s="149"/>
      <c r="BE187" s="149"/>
      <c r="BF187" s="149"/>
      <c r="BG187" s="149"/>
      <c r="BH187" s="149"/>
      <c r="BI187" s="149"/>
      <c r="BJ187" s="356"/>
      <c r="BK187" s="2"/>
      <c r="BL187" s="2"/>
      <c r="BM187" s="2"/>
      <c r="BN187" s="166"/>
      <c r="BO187" s="166"/>
      <c r="BP187" s="166"/>
      <c r="BQ187" s="166"/>
      <c r="BR187" s="166"/>
      <c r="BS187" s="166"/>
      <c r="BT187" s="166"/>
      <c r="BU187" s="166"/>
      <c r="BV187" s="166"/>
      <c r="BW187" s="166"/>
      <c r="BX187" s="60"/>
      <c r="BY187" s="60"/>
      <c r="BZ187" s="60"/>
      <c r="CA187" s="60"/>
      <c r="CB187" s="60"/>
      <c r="CC187" s="60"/>
      <c r="CD187" s="60"/>
      <c r="CE187" s="60"/>
      <c r="CF187" s="60"/>
      <c r="CG187" s="60"/>
      <c r="CH187" s="60"/>
      <c r="CI187" s="60"/>
      <c r="CJ187" s="60"/>
      <c r="CK187" s="60"/>
      <c r="CL187" s="60"/>
      <c r="CM187" s="60"/>
      <c r="CN187" s="60"/>
      <c r="CO187" s="60"/>
      <c r="CP187" s="60"/>
      <c r="CQ187" s="60"/>
    </row>
    <row r="188" spans="1:95" x14ac:dyDescent="0.25">
      <c r="A188" s="146"/>
      <c r="B188" s="146"/>
      <c r="C188" s="146"/>
      <c r="D188" s="146"/>
      <c r="E188" s="146"/>
      <c r="F188" s="146"/>
      <c r="G188" s="146"/>
      <c r="H188" s="146"/>
      <c r="I188" s="146"/>
      <c r="J188" s="146"/>
      <c r="K188" s="146"/>
      <c r="L188" s="146"/>
      <c r="M188" s="146"/>
      <c r="N188" s="146"/>
      <c r="O188" s="1650" t="str">
        <f>'A1. Submodels &amp; data'!B179</f>
        <v xml:space="preserve"> - El Salvador</v>
      </c>
      <c r="P188" s="180">
        <v>36</v>
      </c>
      <c r="Q188" s="77" t="s">
        <v>1695</v>
      </c>
      <c r="R188" s="180"/>
      <c r="S188" s="180">
        <f>0</f>
        <v>0</v>
      </c>
      <c r="T188" s="180" t="str">
        <f t="shared" si="23"/>
        <v>Latin America</v>
      </c>
      <c r="U188" s="356"/>
      <c r="V188" s="149"/>
      <c r="W188" s="1639"/>
      <c r="X188" s="77" t="s">
        <v>1551</v>
      </c>
      <c r="Y188" s="149"/>
      <c r="Z188" s="149"/>
      <c r="AA188" s="149"/>
      <c r="AB188" s="149"/>
      <c r="AC188" s="149"/>
      <c r="AD188" s="149"/>
      <c r="AE188" s="149"/>
      <c r="AF188" s="149"/>
      <c r="AG188" s="149"/>
      <c r="AH188" s="149"/>
      <c r="AI188" s="149"/>
      <c r="AJ188" s="149"/>
      <c r="AK188" s="149"/>
      <c r="AL188" s="149"/>
      <c r="AM188" s="356"/>
      <c r="AN188" s="149"/>
      <c r="AO188" s="149"/>
      <c r="AP188" s="149"/>
      <c r="AQ188" s="1637"/>
      <c r="AR188" s="180" t="str">
        <f>'A1. Submodels &amp; data'!A51</f>
        <v>Pig slurry - 0.36% N</v>
      </c>
      <c r="AS188" s="180">
        <v>33</v>
      </c>
      <c r="AT188" s="180">
        <f>'A1. Submodels &amp; data'!D51</f>
        <v>33</v>
      </c>
      <c r="AU188" s="180"/>
      <c r="AV188" s="180">
        <f>'A1. Submodels &amp; data'!AC51</f>
        <v>1</v>
      </c>
      <c r="AW188" s="180"/>
      <c r="AX188" s="180">
        <v>1</v>
      </c>
      <c r="AY188" s="149"/>
      <c r="AZ188" s="149"/>
      <c r="BA188" s="149"/>
      <c r="BB188" s="149"/>
      <c r="BC188" s="149"/>
      <c r="BD188" s="149"/>
      <c r="BE188" s="149"/>
      <c r="BF188" s="149"/>
      <c r="BG188" s="149"/>
      <c r="BH188" s="149"/>
      <c r="BI188" s="149"/>
      <c r="BJ188" s="356"/>
      <c r="BK188" s="2"/>
      <c r="BL188" s="2"/>
      <c r="BM188" s="2"/>
      <c r="BN188" s="166"/>
      <c r="BO188" s="166"/>
      <c r="BP188" s="166"/>
      <c r="BQ188" s="166"/>
      <c r="BR188" s="166"/>
      <c r="BS188" s="166"/>
      <c r="BT188" s="166"/>
      <c r="BU188" s="166"/>
      <c r="BV188" s="166"/>
      <c r="BW188" s="166"/>
      <c r="BX188" s="60"/>
      <c r="BY188" s="60"/>
      <c r="BZ188" s="60"/>
      <c r="CA188" s="60"/>
      <c r="CB188" s="60"/>
      <c r="CC188" s="60"/>
      <c r="CD188" s="60"/>
      <c r="CE188" s="60"/>
      <c r="CF188" s="60"/>
      <c r="CG188" s="60"/>
      <c r="CH188" s="60"/>
      <c r="CI188" s="60"/>
      <c r="CJ188" s="60"/>
      <c r="CK188" s="60"/>
      <c r="CL188" s="60"/>
      <c r="CM188" s="60"/>
      <c r="CN188" s="60"/>
      <c r="CO188" s="60"/>
      <c r="CP188" s="60"/>
      <c r="CQ188" s="60"/>
    </row>
    <row r="189" spans="1:95" x14ac:dyDescent="0.25">
      <c r="A189" s="146"/>
      <c r="B189" s="146"/>
      <c r="C189" s="146"/>
      <c r="D189" s="146"/>
      <c r="E189" s="146"/>
      <c r="F189" s="146"/>
      <c r="G189" s="146"/>
      <c r="H189" s="146"/>
      <c r="I189" s="146"/>
      <c r="J189" s="146"/>
      <c r="K189" s="146"/>
      <c r="L189" s="146"/>
      <c r="M189" s="146"/>
      <c r="N189" s="146"/>
      <c r="O189" s="1650" t="str">
        <f>'A1. Submodels &amp; data'!B180</f>
        <v xml:space="preserve"> - Eritrea</v>
      </c>
      <c r="P189" s="180">
        <v>37</v>
      </c>
      <c r="Q189" s="77" t="s">
        <v>212</v>
      </c>
      <c r="R189" s="180"/>
      <c r="S189" s="180">
        <f>0</f>
        <v>0</v>
      </c>
      <c r="T189" s="180" t="str">
        <f t="shared" si="23"/>
        <v>Africa</v>
      </c>
      <c r="U189" s="356"/>
      <c r="V189" s="149"/>
      <c r="W189" s="1639"/>
      <c r="X189" s="77" t="s">
        <v>1655</v>
      </c>
      <c r="Y189" s="149"/>
      <c r="Z189" s="149"/>
      <c r="AA189" s="149"/>
      <c r="AB189" s="149"/>
      <c r="AC189" s="149"/>
      <c r="AD189" s="149"/>
      <c r="AE189" s="149"/>
      <c r="AF189" s="149"/>
      <c r="AG189" s="149"/>
      <c r="AH189" s="149"/>
      <c r="AI189" s="149"/>
      <c r="AJ189" s="149"/>
      <c r="AK189" s="149"/>
      <c r="AL189" s="149"/>
      <c r="AM189" s="356"/>
      <c r="AN189" s="149"/>
      <c r="AO189" s="149"/>
      <c r="AP189" s="149"/>
      <c r="AQ189" s="1637"/>
      <c r="AR189" s="180" t="str">
        <f>'A1. Submodels &amp; data'!A52</f>
        <v>Separated Pig slurry - liquid part - 0.36% N</v>
      </c>
      <c r="AS189" s="180">
        <v>34</v>
      </c>
      <c r="AT189" s="180">
        <f>'A1. Submodels &amp; data'!D52</f>
        <v>34</v>
      </c>
      <c r="AU189" s="180"/>
      <c r="AV189" s="180">
        <f>'A1. Submodels &amp; data'!AC52</f>
        <v>1</v>
      </c>
      <c r="AW189" s="180"/>
      <c r="AX189" s="180">
        <v>1</v>
      </c>
      <c r="AY189" s="149"/>
      <c r="AZ189" s="149"/>
      <c r="BA189" s="149"/>
      <c r="BB189" s="149"/>
      <c r="BC189" s="149"/>
      <c r="BD189" s="149"/>
      <c r="BE189" s="149"/>
      <c r="BF189" s="149"/>
      <c r="BG189" s="149"/>
      <c r="BH189" s="149"/>
      <c r="BI189" s="149"/>
      <c r="BJ189" s="356"/>
      <c r="BK189" s="2"/>
      <c r="BL189" s="2"/>
      <c r="BM189" s="2"/>
      <c r="BN189" s="166"/>
      <c r="BO189" s="166"/>
      <c r="BP189" s="166"/>
      <c r="BQ189" s="166"/>
      <c r="BR189" s="166"/>
      <c r="BS189" s="166"/>
      <c r="BT189" s="166"/>
      <c r="BU189" s="166"/>
      <c r="BV189" s="166"/>
      <c r="BW189" s="166"/>
      <c r="BX189" s="60"/>
      <c r="BY189" s="60"/>
      <c r="BZ189" s="60"/>
      <c r="CA189" s="60"/>
      <c r="CB189" s="60"/>
      <c r="CC189" s="60"/>
      <c r="CD189" s="60"/>
      <c r="CE189" s="60"/>
      <c r="CF189" s="60"/>
      <c r="CG189" s="60"/>
      <c r="CH189" s="60"/>
      <c r="CI189" s="60"/>
      <c r="CJ189" s="60"/>
      <c r="CK189" s="60"/>
      <c r="CL189" s="60"/>
      <c r="CM189" s="60"/>
      <c r="CN189" s="60"/>
      <c r="CO189" s="60"/>
      <c r="CP189" s="60"/>
      <c r="CQ189" s="60"/>
    </row>
    <row r="190" spans="1:95" x14ac:dyDescent="0.25">
      <c r="A190" s="146"/>
      <c r="B190" s="146"/>
      <c r="C190" s="146"/>
      <c r="D190" s="146"/>
      <c r="E190" s="146"/>
      <c r="F190" s="146"/>
      <c r="G190" s="146"/>
      <c r="H190" s="146"/>
      <c r="I190" s="146"/>
      <c r="J190" s="146"/>
      <c r="K190" s="146"/>
      <c r="L190" s="146"/>
      <c r="M190" s="146"/>
      <c r="N190" s="146"/>
      <c r="O190" s="1650" t="str">
        <f>'A1. Submodels &amp; data'!B181</f>
        <v xml:space="preserve"> - Estonia</v>
      </c>
      <c r="P190" s="180">
        <v>38</v>
      </c>
      <c r="Q190" s="77" t="s">
        <v>721</v>
      </c>
      <c r="R190" s="77"/>
      <c r="S190" s="180">
        <f>0</f>
        <v>0</v>
      </c>
      <c r="T190" s="180" t="str">
        <f t="shared" si="23"/>
        <v>Eastern Europe</v>
      </c>
      <c r="U190" s="356"/>
      <c r="V190" s="149"/>
      <c r="W190" s="1639"/>
      <c r="X190" s="149"/>
      <c r="Y190" s="149"/>
      <c r="Z190" s="149"/>
      <c r="AA190" s="149"/>
      <c r="AB190" s="149"/>
      <c r="AC190" s="149"/>
      <c r="AD190" s="149"/>
      <c r="AE190" s="149"/>
      <c r="AF190" s="149"/>
      <c r="AG190" s="149"/>
      <c r="AH190" s="149"/>
      <c r="AI190" s="149"/>
      <c r="AJ190" s="149"/>
      <c r="AK190" s="149"/>
      <c r="AL190" s="149"/>
      <c r="AM190" s="356"/>
      <c r="AN190" s="149"/>
      <c r="AO190" s="149"/>
      <c r="AP190" s="149"/>
      <c r="AQ190" s="1637"/>
      <c r="AR190" s="180" t="str">
        <f>'A1. Submodels &amp; data'!A53</f>
        <v>Separated Pig slurry - solid part - 0.5% N</v>
      </c>
      <c r="AS190" s="180">
        <v>35</v>
      </c>
      <c r="AT190" s="180">
        <f>'A1. Submodels &amp; data'!D53</f>
        <v>35</v>
      </c>
      <c r="AU190" s="180"/>
      <c r="AV190" s="180">
        <f>'A1. Submodels &amp; data'!AC53</f>
        <v>1</v>
      </c>
      <c r="AW190" s="180"/>
      <c r="AX190" s="180">
        <v>1</v>
      </c>
      <c r="AY190" s="149"/>
      <c r="AZ190" s="149"/>
      <c r="BA190" s="149"/>
      <c r="BB190" s="149"/>
      <c r="BC190" s="149"/>
      <c r="BD190" s="149"/>
      <c r="BE190" s="149"/>
      <c r="BF190" s="283" t="s">
        <v>1946</v>
      </c>
      <c r="BG190" s="180">
        <v>0</v>
      </c>
      <c r="BH190" s="180">
        <v>0</v>
      </c>
      <c r="BI190" s="180" t="s">
        <v>1504</v>
      </c>
      <c r="BJ190" s="356"/>
      <c r="BK190" s="2"/>
      <c r="BL190" s="2"/>
      <c r="BM190" s="2"/>
      <c r="BN190" s="166"/>
      <c r="BO190" s="166"/>
      <c r="BP190" s="166"/>
      <c r="BQ190" s="166"/>
      <c r="BR190" s="166"/>
      <c r="BS190" s="166"/>
      <c r="BT190" s="166"/>
      <c r="BU190" s="166"/>
      <c r="BV190" s="166"/>
      <c r="BW190" s="166"/>
      <c r="BX190" s="60"/>
      <c r="BY190" s="60"/>
      <c r="BZ190" s="60"/>
      <c r="CA190" s="60"/>
      <c r="CB190" s="60"/>
      <c r="CC190" s="60"/>
      <c r="CD190" s="60"/>
      <c r="CE190" s="60"/>
      <c r="CF190" s="60"/>
      <c r="CG190" s="60"/>
      <c r="CH190" s="60"/>
      <c r="CI190" s="60"/>
      <c r="CJ190" s="60"/>
      <c r="CK190" s="60"/>
      <c r="CL190" s="60"/>
      <c r="CM190" s="60"/>
      <c r="CN190" s="60"/>
      <c r="CO190" s="60"/>
      <c r="CP190" s="60"/>
      <c r="CQ190" s="60"/>
    </row>
    <row r="191" spans="1:95" x14ac:dyDescent="0.25">
      <c r="A191" s="146"/>
      <c r="B191" s="146"/>
      <c r="C191" s="146"/>
      <c r="D191" s="146"/>
      <c r="E191" s="146"/>
      <c r="F191" s="146"/>
      <c r="G191" s="146"/>
      <c r="H191" s="146"/>
      <c r="I191" s="146"/>
      <c r="J191" s="146"/>
      <c r="K191" s="146"/>
      <c r="L191" s="146"/>
      <c r="M191" s="146"/>
      <c r="N191" s="146"/>
      <c r="O191" s="1650" t="str">
        <f>'A1. Submodels &amp; data'!B182</f>
        <v xml:space="preserve"> - Ethiopia</v>
      </c>
      <c r="P191" s="180">
        <v>39</v>
      </c>
      <c r="Q191" s="77" t="s">
        <v>212</v>
      </c>
      <c r="R191" s="180"/>
      <c r="S191" s="180">
        <f>0</f>
        <v>0</v>
      </c>
      <c r="T191" s="180" t="str">
        <f t="shared" si="23"/>
        <v>Africa</v>
      </c>
      <c r="U191" s="356"/>
      <c r="V191" s="149"/>
      <c r="W191" s="1639"/>
      <c r="X191" s="149"/>
      <c r="Y191" s="149"/>
      <c r="Z191" s="149"/>
      <c r="AA191" s="149"/>
      <c r="AB191" s="149"/>
      <c r="AC191" s="149"/>
      <c r="AD191" s="149"/>
      <c r="AE191" s="149"/>
      <c r="AF191" s="149"/>
      <c r="AG191" s="149"/>
      <c r="AH191" s="149"/>
      <c r="AI191" s="149"/>
      <c r="AJ191" s="149"/>
      <c r="AK191" s="149"/>
      <c r="AL191" s="149"/>
      <c r="AM191" s="356"/>
      <c r="AN191" s="149"/>
      <c r="AO191" s="149"/>
      <c r="AP191" s="149"/>
      <c r="AQ191" s="1637"/>
      <c r="AR191" s="180" t="str">
        <f>'A1. Submodels &amp; data'!A54</f>
        <v/>
      </c>
      <c r="AS191" s="180">
        <v>36</v>
      </c>
      <c r="AT191" s="180">
        <f>'A1. Submodels &amp; data'!D54</f>
        <v>36</v>
      </c>
      <c r="AU191" s="180"/>
      <c r="AV191" s="180">
        <f ca="1">'A1. Submodels &amp; data'!AC54</f>
        <v>0</v>
      </c>
      <c r="AW191" s="180">
        <f>IF(ISNUMBER(SEARCH("compost",AR191,1)),1,0)</f>
        <v>0</v>
      </c>
      <c r="AX191" s="180">
        <f>IF(ISNUMBER(SEARCH("manure",AR191,1)),1,0)</f>
        <v>0</v>
      </c>
      <c r="AY191" s="149"/>
      <c r="AZ191" s="149"/>
      <c r="BA191" s="149"/>
      <c r="BB191" s="149"/>
      <c r="BC191" s="149"/>
      <c r="BD191" s="149"/>
      <c r="BE191" s="149"/>
      <c r="BF191" s="180" t="s">
        <v>1447</v>
      </c>
      <c r="BG191" s="290">
        <v>0.6</v>
      </c>
      <c r="BH191" s="180">
        <v>1</v>
      </c>
      <c r="BI191" s="180">
        <v>1.5</v>
      </c>
      <c r="BJ191" s="356"/>
      <c r="BK191" s="2"/>
      <c r="BL191" s="2"/>
      <c r="BM191" s="2"/>
      <c r="BN191" s="166"/>
      <c r="BO191" s="166"/>
      <c r="BP191" s="166"/>
      <c r="BQ191" s="166"/>
      <c r="BR191" s="166"/>
      <c r="BS191" s="166"/>
      <c r="BT191" s="166"/>
      <c r="BU191" s="166"/>
      <c r="BV191" s="166"/>
      <c r="BW191" s="166"/>
      <c r="BX191" s="60"/>
      <c r="BY191" s="60"/>
      <c r="BZ191" s="60"/>
      <c r="CA191" s="60"/>
      <c r="CB191" s="60"/>
      <c r="CC191" s="60"/>
      <c r="CD191" s="60"/>
      <c r="CE191" s="60"/>
      <c r="CF191" s="60"/>
      <c r="CG191" s="60"/>
      <c r="CH191" s="60"/>
      <c r="CI191" s="60"/>
      <c r="CJ191" s="60"/>
      <c r="CK191" s="60"/>
      <c r="CL191" s="60"/>
      <c r="CM191" s="60"/>
      <c r="CN191" s="60"/>
      <c r="CO191" s="60"/>
      <c r="CP191" s="60"/>
      <c r="CQ191" s="60"/>
    </row>
    <row r="192" spans="1:95" x14ac:dyDescent="0.25">
      <c r="A192" s="146"/>
      <c r="B192" s="146"/>
      <c r="C192" s="146"/>
      <c r="D192" s="146"/>
      <c r="E192" s="146"/>
      <c r="F192" s="146"/>
      <c r="G192" s="146"/>
      <c r="H192" s="146"/>
      <c r="I192" s="146"/>
      <c r="J192" s="146"/>
      <c r="K192" s="146"/>
      <c r="L192" s="146"/>
      <c r="M192" s="146"/>
      <c r="N192" s="146"/>
      <c r="O192" s="1650" t="str">
        <f>'A1. Submodels &amp; data'!B183</f>
        <v xml:space="preserve"> - Finland</v>
      </c>
      <c r="P192" s="180">
        <v>40</v>
      </c>
      <c r="Q192" s="77" t="s">
        <v>771</v>
      </c>
      <c r="R192" s="180"/>
      <c r="S192" s="180">
        <v>1</v>
      </c>
      <c r="T192" s="180" t="str">
        <f t="shared" si="23"/>
        <v>Western Europe</v>
      </c>
      <c r="U192" s="356"/>
      <c r="V192" s="149"/>
      <c r="W192" s="1639"/>
      <c r="X192" s="149"/>
      <c r="Y192" s="149"/>
      <c r="Z192" s="149"/>
      <c r="AA192" s="149"/>
      <c r="AB192" s="149"/>
      <c r="AC192" s="149"/>
      <c r="AD192" s="149"/>
      <c r="AE192" s="149"/>
      <c r="AF192" s="149"/>
      <c r="AG192" s="149"/>
      <c r="AH192" s="149"/>
      <c r="AI192" s="149"/>
      <c r="AJ192" s="149"/>
      <c r="AK192" s="149"/>
      <c r="AL192" s="149"/>
      <c r="AM192" s="356"/>
      <c r="AN192" s="149"/>
      <c r="AO192" s="149"/>
      <c r="AP192" s="149"/>
      <c r="AQ192" s="1637"/>
      <c r="AR192" s="180" t="str">
        <f>'A1. Submodels &amp; data'!A55</f>
        <v/>
      </c>
      <c r="AS192" s="180">
        <v>37</v>
      </c>
      <c r="AT192" s="180">
        <f>'A1. Submodels &amp; data'!D55</f>
        <v>37</v>
      </c>
      <c r="AU192" s="180"/>
      <c r="AV192" s="180">
        <f ca="1">'A1. Submodels &amp; data'!AC55</f>
        <v>0</v>
      </c>
      <c r="AW192" s="180">
        <f>IF(ISNUMBER(SEARCH("compost",AR192,1)),1,0)</f>
        <v>0</v>
      </c>
      <c r="AX192" s="180">
        <f>IF(ISNUMBER(SEARCH("manure",AR192,1)),1,0)</f>
        <v>0</v>
      </c>
      <c r="AY192" s="149"/>
      <c r="AZ192" s="149"/>
      <c r="BA192" s="149"/>
      <c r="BB192" s="149"/>
      <c r="BC192" s="149"/>
      <c r="BD192" s="149"/>
      <c r="BE192" s="149"/>
      <c r="BF192" s="180" t="s">
        <v>1448</v>
      </c>
      <c r="BG192" s="290">
        <v>0.3</v>
      </c>
      <c r="BH192" s="180">
        <v>2</v>
      </c>
      <c r="BI192" s="180">
        <v>1.3</v>
      </c>
      <c r="BJ192" s="356"/>
      <c r="BK192" s="2"/>
      <c r="BL192" s="2"/>
      <c r="BM192" s="2"/>
      <c r="BN192" s="166"/>
      <c r="BO192" s="166"/>
      <c r="BP192" s="166"/>
      <c r="BQ192" s="166"/>
      <c r="BR192" s="166"/>
      <c r="BS192" s="166"/>
      <c r="BT192" s="166"/>
      <c r="BU192" s="166"/>
      <c r="BV192" s="166"/>
      <c r="BW192" s="166"/>
      <c r="BX192" s="60"/>
      <c r="BY192" s="60"/>
      <c r="BZ192" s="60"/>
      <c r="CA192" s="60"/>
      <c r="CB192" s="60"/>
      <c r="CC192" s="60"/>
      <c r="CD192" s="60"/>
      <c r="CE192" s="60"/>
      <c r="CF192" s="60"/>
      <c r="CG192" s="60"/>
      <c r="CH192" s="60"/>
      <c r="CI192" s="60"/>
      <c r="CJ192" s="60"/>
      <c r="CK192" s="60"/>
      <c r="CL192" s="60"/>
      <c r="CM192" s="60"/>
      <c r="CN192" s="60"/>
      <c r="CO192" s="60"/>
      <c r="CP192" s="60"/>
      <c r="CQ192" s="60"/>
    </row>
    <row r="193" spans="1:95" x14ac:dyDescent="0.25">
      <c r="A193" s="146"/>
      <c r="B193" s="146"/>
      <c r="C193" s="146"/>
      <c r="D193" s="146"/>
      <c r="E193" s="146"/>
      <c r="F193" s="146"/>
      <c r="G193" s="146"/>
      <c r="H193" s="146"/>
      <c r="I193" s="146"/>
      <c r="J193" s="146"/>
      <c r="K193" s="146"/>
      <c r="L193" s="146"/>
      <c r="M193" s="146"/>
      <c r="N193" s="146"/>
      <c r="O193" s="1650" t="str">
        <f>'A1. Submodels &amp; data'!B184</f>
        <v xml:space="preserve"> - France</v>
      </c>
      <c r="P193" s="180">
        <v>41</v>
      </c>
      <c r="Q193" s="77" t="s">
        <v>771</v>
      </c>
      <c r="R193" s="180"/>
      <c r="S193" s="180">
        <v>1</v>
      </c>
      <c r="T193" s="180" t="str">
        <f t="shared" si="23"/>
        <v>Western Europe</v>
      </c>
      <c r="U193" s="356"/>
      <c r="V193" s="149"/>
      <c r="W193" s="1639"/>
      <c r="X193" s="149"/>
      <c r="Y193" s="149"/>
      <c r="Z193" s="149"/>
      <c r="AA193" s="149"/>
      <c r="AB193" s="149"/>
      <c r="AC193" s="149"/>
      <c r="AD193" s="149"/>
      <c r="AE193" s="149"/>
      <c r="AF193" s="149"/>
      <c r="AG193" s="149"/>
      <c r="AH193" s="149"/>
      <c r="AI193" s="149"/>
      <c r="AJ193" s="149"/>
      <c r="AK193" s="149"/>
      <c r="AL193" s="149"/>
      <c r="AM193" s="356"/>
      <c r="AN193" s="149"/>
      <c r="AO193" s="149"/>
      <c r="AP193" s="149"/>
      <c r="AQ193" s="1637"/>
      <c r="AR193" s="180" t="str">
        <f>'A1. Submodels &amp; data'!A56</f>
        <v/>
      </c>
      <c r="AS193" s="180">
        <v>38</v>
      </c>
      <c r="AT193" s="180">
        <f>'A1. Submodels &amp; data'!D56</f>
        <v>38</v>
      </c>
      <c r="AU193" s="180"/>
      <c r="AV193" s="180">
        <f ca="1">'A1. Submodels &amp; data'!AC56</f>
        <v>0</v>
      </c>
      <c r="AW193" s="180">
        <f>IF(ISNUMBER(SEARCH("compost",AR193,1)),1,0)</f>
        <v>0</v>
      </c>
      <c r="AX193" s="180">
        <f>IF(ISNUMBER(SEARCH("manure",AR193,1)),1,0)</f>
        <v>0</v>
      </c>
      <c r="AY193" s="149"/>
      <c r="AZ193" s="149"/>
      <c r="BA193" s="149"/>
      <c r="BB193" s="149"/>
      <c r="BC193" s="149"/>
      <c r="BD193" s="149"/>
      <c r="BE193" s="149"/>
      <c r="BF193" s="180" t="s">
        <v>182</v>
      </c>
      <c r="BG193" s="290">
        <v>0.15</v>
      </c>
      <c r="BH193" s="180">
        <v>3</v>
      </c>
      <c r="BI193" s="180">
        <v>1.7</v>
      </c>
      <c r="BJ193" s="356"/>
      <c r="BK193" s="2"/>
      <c r="BL193" s="2"/>
      <c r="BM193" s="2"/>
      <c r="BN193" s="166"/>
      <c r="BO193" s="166"/>
      <c r="BP193" s="166"/>
      <c r="BQ193" s="166"/>
      <c r="BR193" s="166"/>
      <c r="BS193" s="166"/>
      <c r="BT193" s="166"/>
      <c r="BU193" s="166"/>
      <c r="BV193" s="166"/>
      <c r="BW193" s="166"/>
      <c r="BX193" s="60"/>
      <c r="BY193" s="60"/>
      <c r="BZ193" s="60"/>
      <c r="CA193" s="60"/>
      <c r="CB193" s="60"/>
      <c r="CC193" s="60"/>
      <c r="CD193" s="60"/>
      <c r="CE193" s="60"/>
      <c r="CF193" s="60"/>
      <c r="CG193" s="60"/>
      <c r="CH193" s="60"/>
      <c r="CI193" s="60"/>
      <c r="CJ193" s="60"/>
      <c r="CK193" s="60"/>
      <c r="CL193" s="60"/>
      <c r="CM193" s="60"/>
      <c r="CN193" s="60"/>
      <c r="CO193" s="60"/>
      <c r="CP193" s="60"/>
      <c r="CQ193" s="60"/>
    </row>
    <row r="194" spans="1:95" x14ac:dyDescent="0.25">
      <c r="A194" s="146"/>
      <c r="B194" s="146"/>
      <c r="C194" s="146"/>
      <c r="D194" s="146"/>
      <c r="E194" s="146"/>
      <c r="F194" s="146"/>
      <c r="G194" s="146"/>
      <c r="H194" s="146"/>
      <c r="I194" s="146"/>
      <c r="J194" s="146"/>
      <c r="K194" s="146"/>
      <c r="L194" s="146"/>
      <c r="M194" s="146"/>
      <c r="N194" s="146"/>
      <c r="O194" s="1650" t="str">
        <f>'A1. Submodels &amp; data'!B185</f>
        <v xml:space="preserve"> - Gabon</v>
      </c>
      <c r="P194" s="180">
        <v>42</v>
      </c>
      <c r="Q194" s="77" t="s">
        <v>212</v>
      </c>
      <c r="R194" s="180"/>
      <c r="S194" s="180">
        <f>0</f>
        <v>0</v>
      </c>
      <c r="T194" s="180" t="str">
        <f t="shared" si="23"/>
        <v>Africa</v>
      </c>
      <c r="U194" s="356"/>
      <c r="V194" s="149"/>
      <c r="W194" s="1639"/>
      <c r="X194" s="1133" t="s">
        <v>1479</v>
      </c>
      <c r="Y194" s="1134">
        <v>1</v>
      </c>
      <c r="Z194" s="149"/>
      <c r="AA194" s="149"/>
      <c r="AB194" s="149"/>
      <c r="AC194" s="149"/>
      <c r="AD194" s="149"/>
      <c r="AE194" s="149"/>
      <c r="AF194" s="149"/>
      <c r="AG194" s="149"/>
      <c r="AH194" s="149"/>
      <c r="AI194" s="149"/>
      <c r="AJ194" s="149"/>
      <c r="AK194" s="149"/>
      <c r="AL194" s="149"/>
      <c r="AM194" s="356"/>
      <c r="AN194" s="149"/>
      <c r="AO194" s="149"/>
      <c r="AP194" s="149"/>
      <c r="AQ194" s="1637"/>
      <c r="AR194" s="180" t="str">
        <f>'A1. Submodels &amp; data'!A57</f>
        <v/>
      </c>
      <c r="AS194" s="180">
        <v>39</v>
      </c>
      <c r="AT194" s="180">
        <f>'A1. Submodels &amp; data'!D57</f>
        <v>39</v>
      </c>
      <c r="AU194" s="180"/>
      <c r="AV194" s="180">
        <f ca="1">'A1. Submodels &amp; data'!AC57</f>
        <v>0</v>
      </c>
      <c r="AW194" s="180">
        <f>IF(ISNUMBER(SEARCH("compost",AR194,1)),1,0)</f>
        <v>0</v>
      </c>
      <c r="AX194" s="180">
        <f>IF(ISNUMBER(SEARCH("manure",AR194,1)),1,0)</f>
        <v>0</v>
      </c>
      <c r="AY194" s="149"/>
      <c r="AZ194" s="149"/>
      <c r="BA194" s="149"/>
      <c r="BB194" s="149"/>
      <c r="BC194" s="149"/>
      <c r="BD194" s="149"/>
      <c r="BE194" s="149"/>
      <c r="BF194" s="149"/>
      <c r="BG194" s="149"/>
      <c r="BH194" s="149"/>
      <c r="BI194" s="149"/>
      <c r="BJ194" s="356"/>
      <c r="BK194" s="2"/>
      <c r="BL194" s="2"/>
      <c r="BM194" s="2"/>
      <c r="BN194" s="166"/>
      <c r="BO194" s="166"/>
      <c r="BP194" s="166"/>
      <c r="BQ194" s="166"/>
      <c r="BR194" s="166"/>
      <c r="BS194" s="166"/>
      <c r="BT194" s="166"/>
      <c r="BU194" s="166"/>
      <c r="BV194" s="166"/>
      <c r="BW194" s="166"/>
      <c r="BX194" s="60"/>
      <c r="BY194" s="60"/>
      <c r="BZ194" s="60"/>
      <c r="CA194" s="60"/>
      <c r="CB194" s="60"/>
      <c r="CC194" s="60"/>
      <c r="CD194" s="60"/>
      <c r="CE194" s="60"/>
      <c r="CF194" s="60"/>
      <c r="CG194" s="60"/>
      <c r="CH194" s="60"/>
      <c r="CI194" s="60"/>
      <c r="CJ194" s="60"/>
      <c r="CK194" s="60"/>
      <c r="CL194" s="60"/>
      <c r="CM194" s="60"/>
      <c r="CN194" s="60"/>
      <c r="CO194" s="60"/>
      <c r="CP194" s="60"/>
      <c r="CQ194" s="60"/>
    </row>
    <row r="195" spans="1:95" x14ac:dyDescent="0.25">
      <c r="A195" s="146"/>
      <c r="B195" s="146"/>
      <c r="C195" s="146"/>
      <c r="D195" s="146"/>
      <c r="E195" s="146"/>
      <c r="F195" s="146"/>
      <c r="G195" s="146"/>
      <c r="H195" s="146"/>
      <c r="I195" s="146"/>
      <c r="J195" s="146"/>
      <c r="K195" s="146"/>
      <c r="L195" s="146"/>
      <c r="M195" s="146"/>
      <c r="N195" s="146"/>
      <c r="O195" s="1650" t="str">
        <f>'A1. Submodels &amp; data'!B186</f>
        <v xml:space="preserve"> - Georgia</v>
      </c>
      <c r="P195" s="180">
        <v>43</v>
      </c>
      <c r="Q195" s="77" t="s">
        <v>1936</v>
      </c>
      <c r="R195" s="180"/>
      <c r="S195" s="180">
        <f>0</f>
        <v>0</v>
      </c>
      <c r="T195" s="180" t="s">
        <v>1744</v>
      </c>
      <c r="U195" s="356"/>
      <c r="V195" s="149"/>
      <c r="W195" s="1639"/>
      <c r="X195" s="1135" t="s">
        <v>1478</v>
      </c>
      <c r="Y195" s="1134">
        <v>1E-3</v>
      </c>
      <c r="Z195" s="149"/>
      <c r="AA195" s="149"/>
      <c r="AB195" s="149"/>
      <c r="AC195" s="149"/>
      <c r="AD195" s="149"/>
      <c r="AE195" s="149"/>
      <c r="AF195" s="149"/>
      <c r="AG195" s="149"/>
      <c r="AH195" s="149"/>
      <c r="AI195" s="149"/>
      <c r="AJ195" s="149"/>
      <c r="AK195" s="149"/>
      <c r="AL195" s="149"/>
      <c r="AM195" s="356"/>
      <c r="AN195" s="149"/>
      <c r="AO195" s="149"/>
      <c r="AP195" s="149"/>
      <c r="AQ195" s="1637"/>
      <c r="AR195" s="180" t="str">
        <f>'A1. Submodels &amp; data'!A58</f>
        <v>straw</v>
      </c>
      <c r="AS195" s="180">
        <v>40</v>
      </c>
      <c r="AT195" s="180">
        <f>'A1. Submodels &amp; data'!D58</f>
        <v>40</v>
      </c>
      <c r="AU195" s="180"/>
      <c r="AV195" s="180"/>
      <c r="AW195" s="180"/>
      <c r="AX195" s="180">
        <v>0</v>
      </c>
      <c r="AY195" s="149"/>
      <c r="AZ195" s="149"/>
      <c r="BA195" s="149"/>
      <c r="BB195" s="149"/>
      <c r="BC195" s="149"/>
      <c r="BD195" s="149"/>
      <c r="BE195" s="149"/>
      <c r="BF195" s="149"/>
      <c r="BG195" s="149"/>
      <c r="BH195" s="149"/>
      <c r="BI195" s="149"/>
      <c r="BJ195" s="356"/>
      <c r="BK195" s="2"/>
      <c r="BL195" s="2"/>
      <c r="BM195" s="2"/>
      <c r="BN195" s="166"/>
      <c r="BO195" s="166"/>
      <c r="BP195" s="166"/>
      <c r="BQ195" s="166"/>
      <c r="BR195" s="166"/>
      <c r="BS195" s="166"/>
      <c r="BT195" s="166"/>
      <c r="BU195" s="166"/>
      <c r="BV195" s="166"/>
      <c r="BW195" s="166"/>
      <c r="BX195" s="60"/>
      <c r="BY195" s="60"/>
      <c r="BZ195" s="60"/>
      <c r="CA195" s="60"/>
      <c r="CB195" s="60"/>
      <c r="CC195" s="60"/>
      <c r="CD195" s="60"/>
      <c r="CE195" s="60"/>
      <c r="CF195" s="60"/>
      <c r="CG195" s="60"/>
      <c r="CH195" s="60"/>
      <c r="CI195" s="60"/>
      <c r="CJ195" s="60"/>
      <c r="CK195" s="60"/>
      <c r="CL195" s="60"/>
      <c r="CM195" s="60"/>
      <c r="CN195" s="60"/>
      <c r="CO195" s="60"/>
      <c r="CP195" s="60"/>
      <c r="CQ195" s="60"/>
    </row>
    <row r="196" spans="1:95" x14ac:dyDescent="0.25">
      <c r="A196" s="146"/>
      <c r="B196" s="146"/>
      <c r="C196" s="146"/>
      <c r="D196" s="146"/>
      <c r="E196" s="146"/>
      <c r="F196" s="146"/>
      <c r="G196" s="146"/>
      <c r="H196" s="146"/>
      <c r="I196" s="146"/>
      <c r="J196" s="146"/>
      <c r="K196" s="146"/>
      <c r="L196" s="146"/>
      <c r="M196" s="146"/>
      <c r="N196" s="146"/>
      <c r="O196" s="1650" t="str">
        <f>'A1. Submodels &amp; data'!B187</f>
        <v xml:space="preserve"> - Germany</v>
      </c>
      <c r="P196" s="180">
        <v>44</v>
      </c>
      <c r="Q196" s="77" t="s">
        <v>771</v>
      </c>
      <c r="R196" s="180"/>
      <c r="S196" s="180">
        <v>1</v>
      </c>
      <c r="T196" s="180" t="str">
        <f t="shared" si="23"/>
        <v>Western Europe</v>
      </c>
      <c r="U196" s="356"/>
      <c r="V196" s="149"/>
      <c r="W196" s="1639"/>
      <c r="X196" s="180" t="s">
        <v>1480</v>
      </c>
      <c r="Y196" s="1134">
        <v>2.2046000000000001</v>
      </c>
      <c r="Z196" s="149"/>
      <c r="AA196" s="149"/>
      <c r="AB196" s="149"/>
      <c r="AC196" s="149"/>
      <c r="AD196" s="149"/>
      <c r="AE196" s="149"/>
      <c r="AF196" s="149"/>
      <c r="AG196" s="149"/>
      <c r="AH196" s="149"/>
      <c r="AI196" s="149"/>
      <c r="AJ196" s="149"/>
      <c r="AK196" s="149"/>
      <c r="AL196" s="149"/>
      <c r="AM196" s="356"/>
      <c r="AN196" s="149"/>
      <c r="AO196" s="149"/>
      <c r="AP196" s="149"/>
      <c r="AQ196" s="1639"/>
      <c r="AR196" s="149"/>
      <c r="AS196" s="149"/>
      <c r="AT196" s="149"/>
      <c r="AU196" s="149"/>
      <c r="AV196" s="149"/>
      <c r="AW196" s="149"/>
      <c r="AX196" s="149"/>
      <c r="AY196" s="149"/>
      <c r="AZ196" s="149"/>
      <c r="BA196" s="149"/>
      <c r="BB196" s="149"/>
      <c r="BC196" s="149"/>
      <c r="BD196" s="149"/>
      <c r="BE196" s="149"/>
      <c r="BF196" s="149"/>
      <c r="BG196" s="149"/>
      <c r="BH196" s="149"/>
      <c r="BI196" s="149"/>
      <c r="BJ196" s="356"/>
      <c r="BK196" s="2"/>
      <c r="BL196" s="2"/>
      <c r="BM196" s="2"/>
      <c r="BN196" s="166"/>
      <c r="BO196" s="166"/>
      <c r="BP196" s="166"/>
      <c r="BQ196" s="166"/>
      <c r="BR196" s="166"/>
      <c r="BS196" s="166"/>
      <c r="BT196" s="166"/>
      <c r="BU196" s="166"/>
      <c r="BV196" s="166"/>
      <c r="BW196" s="166"/>
      <c r="BX196" s="60"/>
      <c r="BY196" s="60"/>
      <c r="BZ196" s="60"/>
      <c r="CA196" s="60"/>
      <c r="CB196" s="60"/>
      <c r="CC196" s="60"/>
      <c r="CD196" s="60"/>
      <c r="CE196" s="60"/>
      <c r="CF196" s="60"/>
      <c r="CG196" s="60"/>
      <c r="CH196" s="60"/>
      <c r="CI196" s="60"/>
      <c r="CJ196" s="60"/>
      <c r="CK196" s="60"/>
      <c r="CL196" s="60"/>
      <c r="CM196" s="60"/>
      <c r="CN196" s="60"/>
      <c r="CO196" s="60"/>
      <c r="CP196" s="60"/>
      <c r="CQ196" s="60"/>
    </row>
    <row r="197" spans="1:95" x14ac:dyDescent="0.25">
      <c r="A197" s="146"/>
      <c r="B197" s="146"/>
      <c r="C197" s="146"/>
      <c r="D197" s="146"/>
      <c r="E197" s="146"/>
      <c r="F197" s="146"/>
      <c r="G197" s="146"/>
      <c r="H197" s="146"/>
      <c r="I197" s="146"/>
      <c r="J197" s="146"/>
      <c r="K197" s="146"/>
      <c r="L197" s="146"/>
      <c r="M197" s="146"/>
      <c r="N197" s="146"/>
      <c r="O197" s="1650" t="str">
        <f>'A1. Submodels &amp; data'!B188</f>
        <v xml:space="preserve"> - Ghana</v>
      </c>
      <c r="P197" s="180">
        <v>45</v>
      </c>
      <c r="Q197" s="77" t="s">
        <v>212</v>
      </c>
      <c r="R197" s="180"/>
      <c r="S197" s="180">
        <f>0</f>
        <v>0</v>
      </c>
      <c r="T197" s="180" t="str">
        <f t="shared" si="23"/>
        <v>Africa</v>
      </c>
      <c r="U197" s="356"/>
      <c r="V197" s="149"/>
      <c r="W197" s="1639"/>
      <c r="X197" s="180" t="s">
        <v>1481</v>
      </c>
      <c r="Y197" s="1134">
        <f>2.201/2000</f>
        <v>1.1005000000000001E-3</v>
      </c>
      <c r="Z197" s="149"/>
      <c r="AA197" s="149"/>
      <c r="AB197" s="149"/>
      <c r="AC197" s="149"/>
      <c r="AD197" s="149"/>
      <c r="AE197" s="149"/>
      <c r="AF197" s="149"/>
      <c r="AG197" s="149"/>
      <c r="AH197" s="149"/>
      <c r="AI197" s="149"/>
      <c r="AJ197" s="149"/>
      <c r="AK197" s="149"/>
      <c r="AL197" s="149"/>
      <c r="AM197" s="356"/>
      <c r="AN197" s="149"/>
      <c r="AO197" s="149"/>
      <c r="AP197" s="149"/>
      <c r="AQ197" s="1639"/>
      <c r="AR197" s="149"/>
      <c r="AS197" s="149"/>
      <c r="AT197" s="149"/>
      <c r="AU197" s="149"/>
      <c r="AV197" s="149"/>
      <c r="AW197" s="149"/>
      <c r="AX197" s="149"/>
      <c r="AY197" s="149"/>
      <c r="AZ197" s="149"/>
      <c r="BA197" s="149"/>
      <c r="BB197" s="149"/>
      <c r="BC197" s="149"/>
      <c r="BD197" s="149"/>
      <c r="BE197" s="149"/>
      <c r="BF197" s="283" t="s">
        <v>1946</v>
      </c>
      <c r="BG197" s="283" t="s">
        <v>1946</v>
      </c>
      <c r="BH197" s="149"/>
      <c r="BI197" s="149"/>
      <c r="BJ197" s="356"/>
      <c r="BK197" s="2"/>
      <c r="BL197" s="2"/>
      <c r="BM197" s="2"/>
      <c r="BN197" s="166"/>
      <c r="BO197" s="166"/>
      <c r="BP197" s="166"/>
      <c r="BQ197" s="166"/>
      <c r="BR197" s="166"/>
      <c r="BS197" s="166"/>
      <c r="BT197" s="166"/>
      <c r="BU197" s="166"/>
      <c r="BV197" s="166"/>
      <c r="BW197" s="166"/>
      <c r="BX197" s="60"/>
      <c r="BY197" s="60"/>
      <c r="BZ197" s="60"/>
      <c r="CA197" s="60"/>
      <c r="CB197" s="60"/>
      <c r="CC197" s="60"/>
      <c r="CD197" s="60"/>
      <c r="CE197" s="60"/>
      <c r="CF197" s="60"/>
      <c r="CG197" s="60"/>
      <c r="CH197" s="60"/>
      <c r="CI197" s="60"/>
      <c r="CJ197" s="60"/>
      <c r="CK197" s="60"/>
      <c r="CL197" s="60"/>
      <c r="CM197" s="60"/>
      <c r="CN197" s="60"/>
      <c r="CO197" s="60"/>
      <c r="CP197" s="60"/>
      <c r="CQ197" s="60"/>
    </row>
    <row r="198" spans="1:95" x14ac:dyDescent="0.25">
      <c r="A198" s="146"/>
      <c r="B198" s="146"/>
      <c r="C198" s="146"/>
      <c r="D198" s="146"/>
      <c r="E198" s="146"/>
      <c r="F198" s="146"/>
      <c r="G198" s="146"/>
      <c r="H198" s="146"/>
      <c r="I198" s="146"/>
      <c r="J198" s="146"/>
      <c r="K198" s="146"/>
      <c r="L198" s="146"/>
      <c r="M198" s="146"/>
      <c r="N198" s="146"/>
      <c r="O198" s="1650" t="str">
        <f>'A1. Submodels &amp; data'!B189</f>
        <v xml:space="preserve"> - Greece</v>
      </c>
      <c r="P198" s="180">
        <v>46</v>
      </c>
      <c r="Q198" s="77" t="s">
        <v>771</v>
      </c>
      <c r="R198" s="180"/>
      <c r="S198" s="180">
        <v>1</v>
      </c>
      <c r="T198" s="180" t="str">
        <f t="shared" si="23"/>
        <v>Western Europe</v>
      </c>
      <c r="U198" s="356"/>
      <c r="V198" s="149"/>
      <c r="W198" s="1639"/>
      <c r="X198" s="180"/>
      <c r="Y198" s="180"/>
      <c r="Z198" s="149"/>
      <c r="AA198" s="149"/>
      <c r="AB198" s="149"/>
      <c r="AC198" s="149"/>
      <c r="AD198" s="149"/>
      <c r="AE198" s="149"/>
      <c r="AF198" s="149"/>
      <c r="AG198" s="149"/>
      <c r="AH198" s="149"/>
      <c r="AI198" s="149"/>
      <c r="AJ198" s="149"/>
      <c r="AK198" s="149"/>
      <c r="AL198" s="149"/>
      <c r="AM198" s="356"/>
      <c r="AN198" s="149"/>
      <c r="AO198" s="149"/>
      <c r="AP198" s="149"/>
      <c r="AQ198" s="1639"/>
      <c r="AR198" s="149"/>
      <c r="AS198" s="149"/>
      <c r="AT198" s="149"/>
      <c r="AU198" s="149"/>
      <c r="AV198" s="149"/>
      <c r="AW198" s="149"/>
      <c r="AX198" s="149"/>
      <c r="AY198" s="149"/>
      <c r="AZ198" s="149"/>
      <c r="BA198" s="149"/>
      <c r="BB198" s="149"/>
      <c r="BC198" s="149"/>
      <c r="BD198" s="149"/>
      <c r="BE198" s="149"/>
      <c r="BF198" s="180" t="s">
        <v>527</v>
      </c>
      <c r="BG198" s="180" t="s">
        <v>529</v>
      </c>
      <c r="BH198" s="149"/>
      <c r="BI198" s="149"/>
      <c r="BJ198" s="356"/>
      <c r="BK198" s="2"/>
      <c r="BL198" s="2"/>
      <c r="BM198" s="2"/>
      <c r="BN198" s="166"/>
      <c r="BO198" s="166"/>
      <c r="BP198" s="166"/>
      <c r="BQ198" s="166"/>
      <c r="BR198" s="166"/>
      <c r="BS198" s="166"/>
      <c r="BT198" s="166"/>
      <c r="BU198" s="166"/>
      <c r="BV198" s="166"/>
      <c r="BW198" s="166"/>
      <c r="BX198" s="60"/>
      <c r="BY198" s="60"/>
      <c r="BZ198" s="60"/>
      <c r="CA198" s="60"/>
      <c r="CB198" s="60"/>
      <c r="CC198" s="60"/>
      <c r="CD198" s="60"/>
      <c r="CE198" s="60"/>
      <c r="CF198" s="60"/>
      <c r="CG198" s="60"/>
      <c r="CH198" s="60"/>
      <c r="CI198" s="60"/>
      <c r="CJ198" s="60"/>
      <c r="CK198" s="60"/>
      <c r="CL198" s="60"/>
      <c r="CM198" s="60"/>
      <c r="CN198" s="60"/>
      <c r="CO198" s="60"/>
      <c r="CP198" s="60"/>
      <c r="CQ198" s="60"/>
    </row>
    <row r="199" spans="1:95" x14ac:dyDescent="0.25">
      <c r="A199" s="146"/>
      <c r="B199" s="146"/>
      <c r="C199" s="146"/>
      <c r="D199" s="146"/>
      <c r="E199" s="146"/>
      <c r="F199" s="146"/>
      <c r="G199" s="146"/>
      <c r="H199" s="146"/>
      <c r="I199" s="146"/>
      <c r="J199" s="146"/>
      <c r="K199" s="146"/>
      <c r="L199" s="146"/>
      <c r="M199" s="146"/>
      <c r="N199" s="146"/>
      <c r="O199" s="1650" t="str">
        <f>'A1. Submodels &amp; data'!B190</f>
        <v xml:space="preserve"> - Guatemala</v>
      </c>
      <c r="P199" s="180">
        <v>47</v>
      </c>
      <c r="Q199" s="77" t="s">
        <v>1695</v>
      </c>
      <c r="R199" s="180"/>
      <c r="S199" s="180">
        <f>0</f>
        <v>0</v>
      </c>
      <c r="T199" s="180" t="str">
        <f t="shared" si="23"/>
        <v>Latin America</v>
      </c>
      <c r="U199" s="356"/>
      <c r="V199" s="149"/>
      <c r="W199" s="1639"/>
      <c r="X199" s="149"/>
      <c r="Y199" s="149"/>
      <c r="Z199" s="149"/>
      <c r="AA199" s="149"/>
      <c r="AB199" s="149"/>
      <c r="AC199" s="149"/>
      <c r="AD199" s="149"/>
      <c r="AE199" s="149"/>
      <c r="AF199" s="149"/>
      <c r="AG199" s="149"/>
      <c r="AH199" s="149"/>
      <c r="AI199" s="149"/>
      <c r="AJ199" s="149"/>
      <c r="AK199" s="149"/>
      <c r="AL199" s="149"/>
      <c r="AM199" s="356"/>
      <c r="AN199" s="149"/>
      <c r="AO199" s="149"/>
      <c r="AP199" s="149"/>
      <c r="AQ199" s="1639"/>
      <c r="AR199" s="149"/>
      <c r="AS199" s="149"/>
      <c r="AT199" s="149"/>
      <c r="AU199" s="149"/>
      <c r="AV199" s="149"/>
      <c r="AW199" s="149"/>
      <c r="AX199" s="149"/>
      <c r="AY199" s="149"/>
      <c r="AZ199" s="149"/>
      <c r="BA199" s="149"/>
      <c r="BB199" s="149"/>
      <c r="BC199" s="149"/>
      <c r="BD199" s="149"/>
      <c r="BE199" s="149"/>
      <c r="BF199" s="180" t="s">
        <v>528</v>
      </c>
      <c r="BG199" s="180" t="s">
        <v>530</v>
      </c>
      <c r="BH199" s="149"/>
      <c r="BI199" s="149"/>
      <c r="BJ199" s="356"/>
      <c r="BK199" s="2"/>
      <c r="BL199" s="2"/>
      <c r="BM199" s="2"/>
      <c r="BN199" s="166"/>
      <c r="BO199" s="166"/>
      <c r="BP199" s="166"/>
      <c r="BQ199" s="166"/>
      <c r="BR199" s="166"/>
      <c r="BS199" s="166"/>
      <c r="BT199" s="166"/>
      <c r="BU199" s="166"/>
      <c r="BV199" s="166"/>
      <c r="BW199" s="166"/>
      <c r="BX199" s="60"/>
      <c r="BY199" s="60"/>
      <c r="BZ199" s="60"/>
      <c r="CA199" s="60"/>
      <c r="CB199" s="60"/>
      <c r="CC199" s="60"/>
      <c r="CD199" s="60"/>
      <c r="CE199" s="60"/>
      <c r="CF199" s="60"/>
      <c r="CG199" s="60"/>
      <c r="CH199" s="60"/>
      <c r="CI199" s="60"/>
      <c r="CJ199" s="60"/>
      <c r="CK199" s="60"/>
      <c r="CL199" s="60"/>
      <c r="CM199" s="60"/>
      <c r="CN199" s="60"/>
      <c r="CO199" s="60"/>
      <c r="CP199" s="60"/>
      <c r="CQ199" s="60"/>
    </row>
    <row r="200" spans="1:95" x14ac:dyDescent="0.25">
      <c r="A200" s="146"/>
      <c r="B200" s="146"/>
      <c r="C200" s="146"/>
      <c r="D200" s="146"/>
      <c r="E200" s="146"/>
      <c r="F200" s="146"/>
      <c r="G200" s="146"/>
      <c r="H200" s="146"/>
      <c r="I200" s="146"/>
      <c r="J200" s="146"/>
      <c r="K200" s="146"/>
      <c r="L200" s="146"/>
      <c r="M200" s="146"/>
      <c r="N200" s="146"/>
      <c r="O200" s="1650" t="str">
        <f>'A1. Submodels &amp; data'!B191</f>
        <v xml:space="preserve"> - Haiti</v>
      </c>
      <c r="P200" s="180">
        <v>48</v>
      </c>
      <c r="Q200" s="77" t="s">
        <v>1695</v>
      </c>
      <c r="R200" s="180"/>
      <c r="S200" s="180">
        <f>0</f>
        <v>0</v>
      </c>
      <c r="T200" s="180" t="str">
        <f t="shared" si="23"/>
        <v>Latin America</v>
      </c>
      <c r="U200" s="356"/>
      <c r="V200" s="149"/>
      <c r="W200" s="1639"/>
      <c r="X200" s="149"/>
      <c r="Y200" s="149"/>
      <c r="Z200" s="149"/>
      <c r="AA200" s="149"/>
      <c r="AB200" s="149"/>
      <c r="AC200" s="149"/>
      <c r="AD200" s="149"/>
      <c r="AE200" s="149"/>
      <c r="AF200" s="149"/>
      <c r="AG200" s="149"/>
      <c r="AH200" s="149"/>
      <c r="AI200" s="149"/>
      <c r="AJ200" s="149"/>
      <c r="AK200" s="149"/>
      <c r="AL200" s="149"/>
      <c r="AM200" s="356"/>
      <c r="AN200" s="149"/>
      <c r="AO200" s="149"/>
      <c r="AP200" s="149"/>
      <c r="AQ200" s="1639"/>
      <c r="AR200" s="180" t="str">
        <f>'A1. Submodels &amp; data'!A425</f>
        <v>Index</v>
      </c>
      <c r="AS200" s="283" t="s">
        <v>1946</v>
      </c>
      <c r="AT200" s="180" t="str">
        <f>'A1. Submodels &amp; data'!C425</f>
        <v>Gross classification</v>
      </c>
      <c r="AU200" s="180" t="str">
        <f>'A1. Submodels &amp; data'!D425</f>
        <v>Bouwman equivalent</v>
      </c>
      <c r="AV200" s="180" t="s">
        <v>683</v>
      </c>
      <c r="AW200" s="149"/>
      <c r="AX200" s="149"/>
      <c r="AY200" s="149"/>
      <c r="AZ200" s="149"/>
      <c r="BA200" s="149"/>
      <c r="BB200" s="149"/>
      <c r="BC200" s="149"/>
      <c r="BD200" s="149"/>
      <c r="BE200" s="149"/>
      <c r="BF200" s="149"/>
      <c r="BG200" s="149"/>
      <c r="BH200" s="149"/>
      <c r="BI200" s="149"/>
      <c r="BJ200" s="356"/>
      <c r="BK200" s="2"/>
      <c r="BL200" s="2"/>
      <c r="BM200" s="2"/>
      <c r="BN200" s="166"/>
      <c r="BO200" s="166"/>
      <c r="BP200" s="166"/>
      <c r="BQ200" s="166"/>
      <c r="BR200" s="166"/>
      <c r="BS200" s="166"/>
      <c r="BT200" s="166"/>
      <c r="BU200" s="166"/>
      <c r="BV200" s="166"/>
      <c r="BW200" s="166"/>
      <c r="BX200" s="60"/>
      <c r="BY200" s="60"/>
      <c r="BZ200" s="60"/>
      <c r="CA200" s="60"/>
      <c r="CB200" s="60"/>
      <c r="CC200" s="60"/>
      <c r="CD200" s="60"/>
      <c r="CE200" s="60"/>
      <c r="CF200" s="60"/>
      <c r="CG200" s="60"/>
      <c r="CH200" s="60"/>
      <c r="CI200" s="60"/>
      <c r="CJ200" s="60"/>
      <c r="CK200" s="60"/>
      <c r="CL200" s="60"/>
      <c r="CM200" s="60"/>
      <c r="CN200" s="60"/>
      <c r="CO200" s="60"/>
      <c r="CP200" s="60"/>
      <c r="CQ200" s="60"/>
    </row>
    <row r="201" spans="1:95" x14ac:dyDescent="0.25">
      <c r="A201" s="146"/>
      <c r="B201" s="146"/>
      <c r="C201" s="146"/>
      <c r="D201" s="146"/>
      <c r="E201" s="146"/>
      <c r="F201" s="146"/>
      <c r="G201" s="146"/>
      <c r="H201" s="146"/>
      <c r="I201" s="146"/>
      <c r="J201" s="146"/>
      <c r="K201" s="146"/>
      <c r="L201" s="146"/>
      <c r="M201" s="146"/>
      <c r="N201" s="146"/>
      <c r="O201" s="1650" t="str">
        <f>'A1. Submodels &amp; data'!B192</f>
        <v xml:space="preserve"> - Honduras</v>
      </c>
      <c r="P201" s="180">
        <v>49</v>
      </c>
      <c r="Q201" s="77" t="s">
        <v>1695</v>
      </c>
      <c r="R201" s="180"/>
      <c r="S201" s="180">
        <f>0</f>
        <v>0</v>
      </c>
      <c r="T201" s="180" t="str">
        <f t="shared" si="23"/>
        <v>Latin America</v>
      </c>
      <c r="U201" s="356"/>
      <c r="V201" s="149"/>
      <c r="W201" s="1639"/>
      <c r="X201" s="149"/>
      <c r="Y201" s="149"/>
      <c r="Z201" s="149"/>
      <c r="AA201" s="149"/>
      <c r="AB201" s="149"/>
      <c r="AC201" s="149"/>
      <c r="AD201" s="149"/>
      <c r="AE201" s="149"/>
      <c r="AF201" s="149"/>
      <c r="AG201" s="149"/>
      <c r="AH201" s="149"/>
      <c r="AI201" s="149"/>
      <c r="AJ201" s="149"/>
      <c r="AK201" s="149"/>
      <c r="AL201" s="149"/>
      <c r="AM201" s="356"/>
      <c r="AN201" s="149"/>
      <c r="AO201" s="149"/>
      <c r="AP201" s="149"/>
      <c r="AQ201" s="1639"/>
      <c r="AR201" s="180">
        <f>'A1. Submodels &amp; data'!A426</f>
        <v>1</v>
      </c>
      <c r="AS201" s="180" t="str">
        <f>'A1. Submodels &amp; data'!B426</f>
        <v>Alfalfa</v>
      </c>
      <c r="AT201" s="180" t="str">
        <f>'A1. Submodels &amp; data'!C426</f>
        <v>Alfalfa</v>
      </c>
      <c r="AU201" s="180" t="str">
        <f>'A1. Submodels &amp; data'!D426</f>
        <v>Other crop</v>
      </c>
      <c r="AV201" s="180">
        <v>0</v>
      </c>
      <c r="AW201" s="149"/>
      <c r="AX201" s="149"/>
      <c r="AY201" s="149"/>
      <c r="AZ201" s="149"/>
      <c r="BA201" s="149"/>
      <c r="BB201" s="149"/>
      <c r="BC201" s="149"/>
      <c r="BD201" s="149"/>
      <c r="BE201" s="149"/>
      <c r="BF201" s="149"/>
      <c r="BG201" s="3"/>
      <c r="BH201" s="3"/>
      <c r="BI201" s="3"/>
      <c r="BJ201" s="1638"/>
      <c r="BK201" s="2"/>
      <c r="BL201" s="2"/>
      <c r="BM201" s="2"/>
      <c r="BN201" s="166"/>
      <c r="BO201" s="166"/>
      <c r="BP201" s="166"/>
      <c r="BQ201" s="166"/>
      <c r="BR201" s="166"/>
      <c r="BS201" s="166"/>
      <c r="BT201" s="166"/>
      <c r="BU201" s="166"/>
      <c r="BV201" s="166"/>
      <c r="BW201" s="166"/>
      <c r="BX201" s="60"/>
      <c r="BY201" s="60"/>
      <c r="BZ201" s="60"/>
      <c r="CA201" s="60"/>
      <c r="CB201" s="60"/>
      <c r="CC201" s="60"/>
      <c r="CD201" s="60"/>
      <c r="CE201" s="60"/>
      <c r="CF201" s="60"/>
      <c r="CG201" s="60"/>
      <c r="CH201" s="60"/>
      <c r="CI201" s="60"/>
      <c r="CJ201" s="60"/>
      <c r="CK201" s="60"/>
      <c r="CL201" s="60"/>
      <c r="CM201" s="60"/>
      <c r="CN201" s="60"/>
      <c r="CO201" s="60"/>
      <c r="CP201" s="60"/>
      <c r="CQ201" s="60"/>
    </row>
    <row r="202" spans="1:95" x14ac:dyDescent="0.25">
      <c r="A202" s="146"/>
      <c r="B202" s="146"/>
      <c r="C202" s="146"/>
      <c r="D202" s="146"/>
      <c r="E202" s="146"/>
      <c r="F202" s="146"/>
      <c r="G202" s="146"/>
      <c r="H202" s="146"/>
      <c r="I202" s="146"/>
      <c r="J202" s="146"/>
      <c r="K202" s="146"/>
      <c r="L202" s="146"/>
      <c r="M202" s="146"/>
      <c r="N202" s="146"/>
      <c r="O202" s="1650" t="str">
        <f>'A1. Submodels &amp; data'!B193</f>
        <v xml:space="preserve"> - Hong Kong (China)</v>
      </c>
      <c r="P202" s="180">
        <v>50</v>
      </c>
      <c r="Q202" s="77" t="s">
        <v>1936</v>
      </c>
      <c r="R202" s="180"/>
      <c r="S202" s="180">
        <v>1</v>
      </c>
      <c r="T202" s="180" t="s">
        <v>1744</v>
      </c>
      <c r="U202" s="356"/>
      <c r="V202" s="149"/>
      <c r="W202" s="1639"/>
      <c r="X202" s="149"/>
      <c r="Y202" s="149"/>
      <c r="Z202" s="149"/>
      <c r="AA202" s="149"/>
      <c r="AB202" s="149"/>
      <c r="AC202" s="149"/>
      <c r="AD202" s="149"/>
      <c r="AE202" s="149"/>
      <c r="AF202" s="149"/>
      <c r="AG202" s="149"/>
      <c r="AH202" s="149"/>
      <c r="AI202" s="149"/>
      <c r="AJ202" s="149"/>
      <c r="AK202" s="149"/>
      <c r="AL202" s="149"/>
      <c r="AM202" s="356"/>
      <c r="AN202" s="149"/>
      <c r="AO202" s="149"/>
      <c r="AP202" s="149"/>
      <c r="AQ202" s="1639"/>
      <c r="AR202" s="180">
        <f>'A1. Submodels &amp; data'!A427</f>
        <v>2</v>
      </c>
      <c r="AS202" s="180" t="str">
        <f>'A1. Submodels &amp; data'!B427</f>
        <v>Apple</v>
      </c>
      <c r="AT202" s="180" t="str">
        <f>'A1. Submodels &amp; data'!C427</f>
        <v>Tree Crop</v>
      </c>
      <c r="AU202" s="180" t="str">
        <f>'A1. Submodels &amp; data'!D427</f>
        <v>Other crop</v>
      </c>
      <c r="AV202" s="180">
        <v>0</v>
      </c>
      <c r="AW202" s="149"/>
      <c r="AX202" s="149"/>
      <c r="AY202" s="149"/>
      <c r="AZ202" s="149"/>
      <c r="BA202" s="149"/>
      <c r="BB202" s="149"/>
      <c r="BC202" s="149"/>
      <c r="BD202" s="149"/>
      <c r="BE202" s="149"/>
      <c r="BF202" s="149"/>
      <c r="BG202" s="3"/>
      <c r="BH202" s="3"/>
      <c r="BI202" s="3"/>
      <c r="BJ202" s="1638"/>
      <c r="BK202" s="2"/>
      <c r="BL202" s="2"/>
      <c r="BM202" s="2"/>
      <c r="BN202" s="166"/>
      <c r="BO202" s="166"/>
      <c r="BP202" s="166"/>
      <c r="BQ202" s="166"/>
      <c r="BR202" s="166"/>
      <c r="BS202" s="166"/>
      <c r="BT202" s="166"/>
      <c r="BU202" s="166"/>
      <c r="BV202" s="166"/>
      <c r="BW202" s="166"/>
      <c r="BX202" s="60"/>
      <c r="BY202" s="60"/>
      <c r="BZ202" s="60"/>
      <c r="CA202" s="60"/>
      <c r="CB202" s="60"/>
      <c r="CC202" s="60"/>
      <c r="CD202" s="60"/>
      <c r="CE202" s="60"/>
      <c r="CF202" s="60"/>
      <c r="CG202" s="60"/>
      <c r="CH202" s="60"/>
      <c r="CI202" s="60"/>
      <c r="CJ202" s="60"/>
      <c r="CK202" s="60"/>
      <c r="CL202" s="60"/>
      <c r="CM202" s="60"/>
      <c r="CN202" s="60"/>
      <c r="CO202" s="60"/>
      <c r="CP202" s="60"/>
      <c r="CQ202" s="60"/>
    </row>
    <row r="203" spans="1:95" x14ac:dyDescent="0.25">
      <c r="A203" s="146"/>
      <c r="B203" s="146"/>
      <c r="C203" s="146"/>
      <c r="D203" s="146"/>
      <c r="E203" s="146"/>
      <c r="F203" s="146"/>
      <c r="G203" s="146"/>
      <c r="H203" s="146"/>
      <c r="I203" s="146"/>
      <c r="J203" s="146"/>
      <c r="K203" s="146"/>
      <c r="L203" s="146"/>
      <c r="M203" s="146"/>
      <c r="N203" s="146"/>
      <c r="O203" s="1650" t="str">
        <f>'A1. Submodels &amp; data'!B194</f>
        <v xml:space="preserve"> - Hungary</v>
      </c>
      <c r="P203" s="180">
        <v>51</v>
      </c>
      <c r="Q203" s="77" t="s">
        <v>771</v>
      </c>
      <c r="R203" s="180"/>
      <c r="S203" s="180">
        <f>0</f>
        <v>0</v>
      </c>
      <c r="T203" s="180" t="str">
        <f t="shared" si="23"/>
        <v>Western Europe</v>
      </c>
      <c r="U203" s="356"/>
      <c r="V203" s="149"/>
      <c r="W203" s="1639"/>
      <c r="X203" s="149"/>
      <c r="Y203" s="149"/>
      <c r="Z203" s="149"/>
      <c r="AA203" s="149"/>
      <c r="AB203" s="149"/>
      <c r="AC203" s="149"/>
      <c r="AD203" s="149"/>
      <c r="AE203" s="149"/>
      <c r="AF203" s="149"/>
      <c r="AG203" s="149"/>
      <c r="AH203" s="149"/>
      <c r="AI203" s="149"/>
      <c r="AJ203" s="149"/>
      <c r="AK203" s="149"/>
      <c r="AL203" s="149"/>
      <c r="AM203" s="356"/>
      <c r="AN203" s="149"/>
      <c r="AO203" s="149"/>
      <c r="AP203" s="149"/>
      <c r="AQ203" s="1639"/>
      <c r="AR203" s="180">
        <f>'A1. Submodels &amp; data'!A428</f>
        <v>3</v>
      </c>
      <c r="AS203" s="180" t="str">
        <f>'A1. Submodels &amp; data'!B428</f>
        <v>Barley</v>
      </c>
      <c r="AT203" s="180" t="str">
        <f>'A1. Submodels &amp; data'!C428</f>
        <v>Grain</v>
      </c>
      <c r="AU203" s="180" t="str">
        <f>'A1. Submodels &amp; data'!D428</f>
        <v>Other crop</v>
      </c>
      <c r="AV203" s="180">
        <v>0</v>
      </c>
      <c r="AW203" s="149"/>
      <c r="AX203" s="149"/>
      <c r="AY203" s="149"/>
      <c r="AZ203" s="149"/>
      <c r="BA203" s="149"/>
      <c r="BB203" s="149"/>
      <c r="BC203" s="149"/>
      <c r="BD203" s="149"/>
      <c r="BE203" s="149"/>
      <c r="BF203" s="149"/>
      <c r="BG203" s="3"/>
      <c r="BH203" s="3"/>
      <c r="BI203" s="3"/>
      <c r="BJ203" s="1638"/>
      <c r="BK203" s="2"/>
      <c r="BL203" s="2"/>
      <c r="BM203" s="2"/>
      <c r="BN203" s="166"/>
      <c r="BO203" s="166"/>
      <c r="BP203" s="166"/>
      <c r="BQ203" s="166"/>
      <c r="BR203" s="166"/>
      <c r="BS203" s="166"/>
      <c r="BT203" s="166"/>
      <c r="BU203" s="166"/>
      <c r="BV203" s="166"/>
      <c r="BW203" s="166"/>
      <c r="BX203" s="60"/>
      <c r="BY203" s="60"/>
      <c r="BZ203" s="60"/>
      <c r="CA203" s="60"/>
      <c r="CB203" s="60"/>
      <c r="CC203" s="60"/>
      <c r="CD203" s="60"/>
      <c r="CE203" s="60"/>
      <c r="CF203" s="60"/>
      <c r="CG203" s="60"/>
      <c r="CH203" s="60"/>
      <c r="CI203" s="60"/>
      <c r="CJ203" s="60"/>
      <c r="CK203" s="60"/>
      <c r="CL203" s="60"/>
      <c r="CM203" s="60"/>
      <c r="CN203" s="60"/>
      <c r="CO203" s="60"/>
      <c r="CP203" s="60"/>
      <c r="CQ203" s="60"/>
    </row>
    <row r="204" spans="1:95" x14ac:dyDescent="0.25">
      <c r="A204" s="146"/>
      <c r="B204" s="146"/>
      <c r="C204" s="146"/>
      <c r="D204" s="146"/>
      <c r="E204" s="146"/>
      <c r="F204" s="146"/>
      <c r="G204" s="146"/>
      <c r="H204" s="146"/>
      <c r="I204" s="146"/>
      <c r="J204" s="146"/>
      <c r="K204" s="146"/>
      <c r="L204" s="146"/>
      <c r="M204" s="146"/>
      <c r="N204" s="146"/>
      <c r="O204" s="1650" t="str">
        <f>'A1. Submodels &amp; data'!B195</f>
        <v xml:space="preserve"> - Iceland</v>
      </c>
      <c r="P204" s="180">
        <v>52</v>
      </c>
      <c r="Q204" s="77" t="s">
        <v>771</v>
      </c>
      <c r="R204" s="180"/>
      <c r="S204" s="180">
        <v>1</v>
      </c>
      <c r="T204" s="180" t="str">
        <f t="shared" si="23"/>
        <v>Western Europe</v>
      </c>
      <c r="U204" s="356"/>
      <c r="V204" s="149"/>
      <c r="W204" s="1639"/>
      <c r="X204" s="149"/>
      <c r="Y204" s="149"/>
      <c r="Z204" s="149"/>
      <c r="AA204" s="149"/>
      <c r="AB204" s="149"/>
      <c r="AC204" s="149"/>
      <c r="AD204" s="149"/>
      <c r="AE204" s="149"/>
      <c r="AF204" s="149"/>
      <c r="AG204" s="149"/>
      <c r="AH204" s="149"/>
      <c r="AI204" s="149"/>
      <c r="AJ204" s="149"/>
      <c r="AK204" s="149"/>
      <c r="AL204" s="149"/>
      <c r="AM204" s="356"/>
      <c r="AN204" s="149"/>
      <c r="AO204" s="149"/>
      <c r="AP204" s="149"/>
      <c r="AQ204" s="1639"/>
      <c r="AR204" s="180">
        <f>'A1. Submodels &amp; data'!A429</f>
        <v>4</v>
      </c>
      <c r="AS204" s="180" t="str">
        <f>'A1. Submodels &amp; data'!B429</f>
        <v>Clover</v>
      </c>
      <c r="AT204" s="180" t="str">
        <f>'A1. Submodels &amp; data'!C429</f>
        <v>N-fixing forage</v>
      </c>
      <c r="AU204" s="180" t="str">
        <f>'A1. Submodels &amp; data'!D429</f>
        <v>Legume</v>
      </c>
      <c r="AV204" s="180">
        <v>0</v>
      </c>
      <c r="AW204" s="149"/>
      <c r="AX204" s="149"/>
      <c r="AY204" s="149"/>
      <c r="AZ204" s="149"/>
      <c r="BA204" s="149"/>
      <c r="BB204" s="149"/>
      <c r="BC204" s="149"/>
      <c r="BD204" s="149"/>
      <c r="BE204" s="149"/>
      <c r="BF204" s="149"/>
      <c r="BG204" s="3"/>
      <c r="BH204" s="3"/>
      <c r="BI204" s="3"/>
      <c r="BJ204" s="1638"/>
      <c r="BK204" s="2"/>
      <c r="BL204" s="2"/>
      <c r="BM204" s="2"/>
      <c r="BN204" s="166"/>
      <c r="BO204" s="166"/>
      <c r="BP204" s="166"/>
      <c r="BQ204" s="166"/>
      <c r="BR204" s="166"/>
      <c r="BS204" s="166"/>
      <c r="BT204" s="166"/>
      <c r="BU204" s="166"/>
      <c r="BV204" s="166"/>
      <c r="BW204" s="166"/>
      <c r="BX204" s="60"/>
      <c r="BY204" s="60"/>
      <c r="BZ204" s="60"/>
      <c r="CA204" s="60"/>
      <c r="CB204" s="60"/>
      <c r="CC204" s="60"/>
      <c r="CD204" s="60"/>
      <c r="CE204" s="60"/>
      <c r="CF204" s="60"/>
      <c r="CG204" s="60"/>
      <c r="CH204" s="60"/>
      <c r="CI204" s="60"/>
      <c r="CJ204" s="60"/>
      <c r="CK204" s="60"/>
      <c r="CL204" s="60"/>
      <c r="CM204" s="60"/>
      <c r="CN204" s="60"/>
      <c r="CO204" s="60"/>
      <c r="CP204" s="60"/>
      <c r="CQ204" s="60"/>
    </row>
    <row r="205" spans="1:95" x14ac:dyDescent="0.25">
      <c r="A205" s="146"/>
      <c r="B205" s="146"/>
      <c r="C205" s="146"/>
      <c r="D205" s="146"/>
      <c r="E205" s="146"/>
      <c r="F205" s="146"/>
      <c r="G205" s="146"/>
      <c r="H205" s="146"/>
      <c r="I205" s="146"/>
      <c r="J205" s="146"/>
      <c r="K205" s="146"/>
      <c r="L205" s="146"/>
      <c r="M205" s="146"/>
      <c r="N205" s="146"/>
      <c r="O205" s="1650" t="str">
        <f>'A1. Submodels &amp; data'!B196</f>
        <v xml:space="preserve"> - India</v>
      </c>
      <c r="P205" s="180">
        <v>53</v>
      </c>
      <c r="Q205" s="77" t="s">
        <v>637</v>
      </c>
      <c r="R205" s="180"/>
      <c r="S205" s="180">
        <f>0</f>
        <v>0</v>
      </c>
      <c r="T205" s="180" t="str">
        <f t="shared" si="23"/>
        <v>Indian Subcontinent</v>
      </c>
      <c r="U205" s="356"/>
      <c r="V205" s="149"/>
      <c r="W205" s="1639"/>
      <c r="X205" s="149"/>
      <c r="Y205" s="149"/>
      <c r="Z205" s="149"/>
      <c r="AA205" s="149"/>
      <c r="AB205" s="149"/>
      <c r="AC205" s="149"/>
      <c r="AD205" s="149"/>
      <c r="AE205" s="149"/>
      <c r="AF205" s="149"/>
      <c r="AG205" s="149"/>
      <c r="AH205" s="149"/>
      <c r="AI205" s="149"/>
      <c r="AJ205" s="149"/>
      <c r="AK205" s="149"/>
      <c r="AL205" s="149"/>
      <c r="AM205" s="356"/>
      <c r="AN205" s="149"/>
      <c r="AO205" s="149"/>
      <c r="AP205" s="149"/>
      <c r="AQ205" s="1639"/>
      <c r="AR205" s="180">
        <f>'A1. Submodels &amp; data'!A430</f>
        <v>5</v>
      </c>
      <c r="AS205" s="180" t="str">
        <f>'A1. Submodels &amp; data'!B430</f>
        <v>Coffee</v>
      </c>
      <c r="AT205" s="180" t="str">
        <f>'A1. Submodels &amp; data'!C430</f>
        <v>Tree Crop</v>
      </c>
      <c r="AU205" s="180" t="str">
        <f>'A1. Submodels &amp; data'!D430</f>
        <v>Other crop</v>
      </c>
      <c r="AV205" s="180">
        <v>0</v>
      </c>
      <c r="AW205" s="149"/>
      <c r="AX205" s="149"/>
      <c r="AY205" s="149"/>
      <c r="AZ205" s="149"/>
      <c r="BA205" s="149"/>
      <c r="BB205" s="149"/>
      <c r="BC205" s="149"/>
      <c r="BD205" s="149"/>
      <c r="BE205" s="149"/>
      <c r="BF205" s="149"/>
      <c r="BG205" s="3"/>
      <c r="BH205" s="3"/>
      <c r="BI205" s="3"/>
      <c r="BJ205" s="1638"/>
      <c r="BK205" s="2"/>
      <c r="BL205" s="2"/>
      <c r="BM205" s="2"/>
      <c r="BN205" s="166"/>
      <c r="BO205" s="166"/>
      <c r="BP205" s="166"/>
      <c r="BQ205" s="166"/>
      <c r="BR205" s="166"/>
      <c r="BS205" s="166"/>
      <c r="BT205" s="166"/>
      <c r="BU205" s="166"/>
      <c r="BV205" s="166"/>
      <c r="BW205" s="166"/>
      <c r="BX205" s="60"/>
      <c r="BY205" s="60"/>
      <c r="BZ205" s="60"/>
      <c r="CA205" s="60"/>
      <c r="CB205" s="60"/>
      <c r="CC205" s="60"/>
      <c r="CD205" s="60"/>
      <c r="CE205" s="60"/>
      <c r="CF205" s="60"/>
      <c r="CG205" s="60"/>
      <c r="CH205" s="60"/>
      <c r="CI205" s="60"/>
      <c r="CJ205" s="60"/>
      <c r="CK205" s="60"/>
      <c r="CL205" s="60"/>
      <c r="CM205" s="60"/>
      <c r="CN205" s="60"/>
      <c r="CO205" s="60"/>
      <c r="CP205" s="60"/>
      <c r="CQ205" s="60"/>
    </row>
    <row r="206" spans="1:95" x14ac:dyDescent="0.25">
      <c r="A206" s="146"/>
      <c r="B206" s="146"/>
      <c r="C206" s="146"/>
      <c r="D206" s="146"/>
      <c r="E206" s="146"/>
      <c r="F206" s="146"/>
      <c r="G206" s="146"/>
      <c r="H206" s="146"/>
      <c r="I206" s="146"/>
      <c r="J206" s="146"/>
      <c r="K206" s="146"/>
      <c r="L206" s="146"/>
      <c r="M206" s="146"/>
      <c r="N206" s="146"/>
      <c r="O206" s="1650" t="str">
        <f>'A1. Submodels &amp; data'!B197</f>
        <v xml:space="preserve"> - Indonesia</v>
      </c>
      <c r="P206" s="180">
        <v>54</v>
      </c>
      <c r="Q206" s="77" t="s">
        <v>1936</v>
      </c>
      <c r="R206" s="180"/>
      <c r="S206" s="180">
        <f>0</f>
        <v>0</v>
      </c>
      <c r="T206" s="180" t="s">
        <v>1745</v>
      </c>
      <c r="U206" s="356"/>
      <c r="V206" s="149"/>
      <c r="W206" s="1639"/>
      <c r="X206" s="149"/>
      <c r="Y206" s="149"/>
      <c r="Z206" s="149"/>
      <c r="AA206" s="149"/>
      <c r="AB206" s="149"/>
      <c r="AC206" s="149"/>
      <c r="AD206" s="149"/>
      <c r="AE206" s="149"/>
      <c r="AF206" s="149"/>
      <c r="AG206" s="149"/>
      <c r="AH206" s="149"/>
      <c r="AI206" s="149"/>
      <c r="AJ206" s="149"/>
      <c r="AK206" s="149"/>
      <c r="AL206" s="149"/>
      <c r="AM206" s="356"/>
      <c r="AN206" s="149"/>
      <c r="AO206" s="149"/>
      <c r="AP206" s="149"/>
      <c r="AQ206" s="1639"/>
      <c r="AR206" s="180">
        <f>'A1. Submodels &amp; data'!A431</f>
        <v>6</v>
      </c>
      <c r="AS206" s="180" t="str">
        <f>'A1. Submodels &amp; data'!B431</f>
        <v>Cotton</v>
      </c>
      <c r="AT206" s="180" t="str">
        <f>'A1. Submodels &amp; data'!C431</f>
        <v>Other</v>
      </c>
      <c r="AU206" s="180" t="str">
        <f>'A1. Submodels &amp; data'!D431</f>
        <v>Other crop</v>
      </c>
      <c r="AV206" s="180">
        <v>0</v>
      </c>
      <c r="AW206" s="149"/>
      <c r="AX206" s="149"/>
      <c r="AY206" s="149"/>
      <c r="AZ206" s="149"/>
      <c r="BA206" s="149"/>
      <c r="BB206" s="149"/>
      <c r="BC206" s="149"/>
      <c r="BD206" s="149"/>
      <c r="BE206" s="149"/>
      <c r="BF206" s="149"/>
      <c r="BG206" s="3"/>
      <c r="BH206" s="3"/>
      <c r="BI206" s="3"/>
      <c r="BJ206" s="1638"/>
      <c r="BK206" s="2"/>
      <c r="BL206" s="2"/>
      <c r="BM206" s="2"/>
      <c r="BN206" s="166"/>
      <c r="BO206" s="166"/>
      <c r="BP206" s="166"/>
      <c r="BQ206" s="166"/>
      <c r="BR206" s="166"/>
      <c r="BS206" s="166"/>
      <c r="BT206" s="166"/>
      <c r="BU206" s="166"/>
      <c r="BV206" s="166"/>
      <c r="BW206" s="166"/>
      <c r="BX206" s="60"/>
      <c r="BY206" s="60"/>
      <c r="BZ206" s="60"/>
      <c r="CA206" s="60"/>
      <c r="CB206" s="60"/>
      <c r="CC206" s="60"/>
      <c r="CD206" s="60"/>
      <c r="CE206" s="60"/>
      <c r="CF206" s="60"/>
      <c r="CG206" s="60"/>
      <c r="CH206" s="60"/>
      <c r="CI206" s="60"/>
      <c r="CJ206" s="60"/>
      <c r="CK206" s="60"/>
      <c r="CL206" s="60"/>
      <c r="CM206" s="60"/>
      <c r="CN206" s="60"/>
      <c r="CO206" s="60"/>
      <c r="CP206" s="60"/>
      <c r="CQ206" s="60"/>
    </row>
    <row r="207" spans="1:95" x14ac:dyDescent="0.25">
      <c r="A207" s="146"/>
      <c r="B207" s="146"/>
      <c r="C207" s="146"/>
      <c r="D207" s="146"/>
      <c r="E207" s="146"/>
      <c r="F207" s="146"/>
      <c r="G207" s="146"/>
      <c r="H207" s="146"/>
      <c r="I207" s="146"/>
      <c r="J207" s="146"/>
      <c r="K207" s="146"/>
      <c r="L207" s="146"/>
      <c r="M207" s="146"/>
      <c r="N207" s="146"/>
      <c r="O207" s="1650" t="str">
        <f>'A1. Submodels &amp; data'!B198</f>
        <v xml:space="preserve"> - Iran Islamic Rep.</v>
      </c>
      <c r="P207" s="180">
        <v>55</v>
      </c>
      <c r="Q207" s="77" t="s">
        <v>351</v>
      </c>
      <c r="R207" s="180"/>
      <c r="S207" s="180">
        <f>0</f>
        <v>0</v>
      </c>
      <c r="T207" s="180" t="str">
        <f t="shared" si="23"/>
        <v>Middle East</v>
      </c>
      <c r="U207" s="356"/>
      <c r="V207" s="149"/>
      <c r="W207" s="1639"/>
      <c r="X207" s="149"/>
      <c r="Y207" s="149"/>
      <c r="Z207" s="149"/>
      <c r="AA207" s="149"/>
      <c r="AB207" s="149"/>
      <c r="AC207" s="149"/>
      <c r="AD207" s="149"/>
      <c r="AE207" s="149"/>
      <c r="AF207" s="149"/>
      <c r="AG207" s="149"/>
      <c r="AH207" s="149"/>
      <c r="AI207" s="149"/>
      <c r="AJ207" s="149"/>
      <c r="AK207" s="149"/>
      <c r="AL207" s="149"/>
      <c r="AM207" s="356"/>
      <c r="AN207" s="149"/>
      <c r="AO207" s="149"/>
      <c r="AP207" s="149"/>
      <c r="AQ207" s="1639"/>
      <c r="AR207" s="180">
        <f>'A1. Submodels &amp; data'!A432</f>
        <v>7</v>
      </c>
      <c r="AS207" s="180" t="str">
        <f>'A1. Submodels &amp; data'!B432</f>
        <v>Dry Bean</v>
      </c>
      <c r="AT207" s="180" t="str">
        <f>'A1. Submodels &amp; data'!C432</f>
        <v>Beans &amp; pulses</v>
      </c>
      <c r="AU207" s="180" t="str">
        <f>'A1. Submodels &amp; data'!D432</f>
        <v>Legume</v>
      </c>
      <c r="AV207" s="180">
        <v>0</v>
      </c>
      <c r="AW207" s="149"/>
      <c r="AX207" s="149"/>
      <c r="AY207" s="149"/>
      <c r="AZ207" s="149"/>
      <c r="BA207" s="149"/>
      <c r="BB207" s="149"/>
      <c r="BC207" s="149"/>
      <c r="BD207" s="149"/>
      <c r="BE207" s="149"/>
      <c r="BF207" s="149"/>
      <c r="BG207" s="3"/>
      <c r="BH207" s="3"/>
      <c r="BI207" s="3"/>
      <c r="BJ207" s="1638"/>
      <c r="BK207" s="2"/>
      <c r="BL207" s="2"/>
      <c r="BM207" s="2"/>
      <c r="BN207" s="166"/>
      <c r="BO207" s="166"/>
      <c r="BP207" s="166"/>
      <c r="BQ207" s="166"/>
      <c r="BR207" s="166"/>
      <c r="BS207" s="166"/>
      <c r="BT207" s="166"/>
      <c r="BU207" s="166"/>
      <c r="BV207" s="166"/>
      <c r="BW207" s="166"/>
      <c r="BX207" s="60"/>
      <c r="BY207" s="60"/>
      <c r="BZ207" s="60"/>
      <c r="CA207" s="60"/>
      <c r="CB207" s="60"/>
      <c r="CC207" s="60"/>
      <c r="CD207" s="60"/>
      <c r="CE207" s="60"/>
      <c r="CF207" s="60"/>
      <c r="CG207" s="60"/>
      <c r="CH207" s="60"/>
      <c r="CI207" s="60"/>
      <c r="CJ207" s="60"/>
      <c r="CK207" s="60"/>
      <c r="CL207" s="60"/>
      <c r="CM207" s="60"/>
      <c r="CN207" s="60"/>
      <c r="CO207" s="60"/>
      <c r="CP207" s="60"/>
      <c r="CQ207" s="60"/>
    </row>
    <row r="208" spans="1:95" x14ac:dyDescent="0.25">
      <c r="A208" s="146"/>
      <c r="B208" s="146"/>
      <c r="C208" s="146"/>
      <c r="D208" s="146"/>
      <c r="E208" s="146"/>
      <c r="F208" s="146"/>
      <c r="G208" s="146"/>
      <c r="H208" s="146"/>
      <c r="I208" s="146"/>
      <c r="J208" s="146"/>
      <c r="K208" s="146"/>
      <c r="L208" s="146"/>
      <c r="M208" s="146"/>
      <c r="N208" s="146"/>
      <c r="O208" s="1650" t="str">
        <f>'A1. Submodels &amp; data'!B199</f>
        <v xml:space="preserve"> - Iraq</v>
      </c>
      <c r="P208" s="180">
        <v>56</v>
      </c>
      <c r="Q208" s="77" t="s">
        <v>351</v>
      </c>
      <c r="R208" s="180"/>
      <c r="S208" s="180">
        <f>0</f>
        <v>0</v>
      </c>
      <c r="T208" s="180" t="str">
        <f t="shared" si="23"/>
        <v>Middle East</v>
      </c>
      <c r="U208" s="356"/>
      <c r="V208" s="149"/>
      <c r="W208" s="1639"/>
      <c r="X208" s="149"/>
      <c r="Y208" s="149"/>
      <c r="Z208" s="149"/>
      <c r="AA208" s="149"/>
      <c r="AB208" s="149"/>
      <c r="AC208" s="149"/>
      <c r="AD208" s="149"/>
      <c r="AE208" s="149"/>
      <c r="AF208" s="149"/>
      <c r="AG208" s="149"/>
      <c r="AH208" s="149"/>
      <c r="AI208" s="149"/>
      <c r="AJ208" s="149"/>
      <c r="AK208" s="149"/>
      <c r="AL208" s="149"/>
      <c r="AM208" s="356"/>
      <c r="AN208" s="149"/>
      <c r="AO208" s="149"/>
      <c r="AP208" s="149"/>
      <c r="AQ208" s="1639"/>
      <c r="AR208" s="180">
        <f>'A1. Submodels &amp; data'!A433</f>
        <v>8</v>
      </c>
      <c r="AS208" s="180" t="str">
        <f>'A1. Submodels &amp; data'!B433</f>
        <v>Grass-clover mix</v>
      </c>
      <c r="AT208" s="180" t="str">
        <f>'A1. Submodels &amp; data'!C433</f>
        <v>Grass-clover mix</v>
      </c>
      <c r="AU208" s="180" t="str">
        <f>'A1. Submodels &amp; data'!D433</f>
        <v>Grass-clover</v>
      </c>
      <c r="AV208" s="180">
        <v>0</v>
      </c>
      <c r="AW208" s="149"/>
      <c r="AX208" s="149"/>
      <c r="AY208" s="149"/>
      <c r="AZ208" s="149"/>
      <c r="BA208" s="149"/>
      <c r="BB208" s="149"/>
      <c r="BC208" s="149"/>
      <c r="BD208" s="149"/>
      <c r="BE208" s="149"/>
      <c r="BF208" s="149"/>
      <c r="BG208" s="3"/>
      <c r="BH208" s="3"/>
      <c r="BI208" s="3"/>
      <c r="BJ208" s="1638"/>
      <c r="BK208" s="2"/>
      <c r="BL208" s="2"/>
      <c r="BM208" s="2"/>
      <c r="BN208" s="166"/>
      <c r="BO208" s="166"/>
      <c r="BP208" s="166"/>
      <c r="BQ208" s="166"/>
      <c r="BR208" s="166"/>
      <c r="BS208" s="166"/>
      <c r="BT208" s="166"/>
      <c r="BU208" s="166"/>
      <c r="BV208" s="166"/>
      <c r="BW208" s="166"/>
      <c r="BX208" s="60"/>
      <c r="BY208" s="60"/>
      <c r="BZ208" s="60"/>
      <c r="CA208" s="60"/>
      <c r="CB208" s="60"/>
      <c r="CC208" s="60"/>
      <c r="CD208" s="60"/>
      <c r="CE208" s="60"/>
      <c r="CF208" s="60"/>
      <c r="CG208" s="60"/>
      <c r="CH208" s="60"/>
      <c r="CI208" s="60"/>
      <c r="CJ208" s="60"/>
      <c r="CK208" s="60"/>
      <c r="CL208" s="60"/>
      <c r="CM208" s="60"/>
      <c r="CN208" s="60"/>
      <c r="CO208" s="60"/>
      <c r="CP208" s="60"/>
      <c r="CQ208" s="60"/>
    </row>
    <row r="209" spans="1:95" x14ac:dyDescent="0.25">
      <c r="A209" s="146"/>
      <c r="B209" s="146"/>
      <c r="C209" s="146"/>
      <c r="D209" s="146"/>
      <c r="E209" s="146"/>
      <c r="F209" s="146"/>
      <c r="G209" s="146"/>
      <c r="H209" s="146"/>
      <c r="I209" s="146"/>
      <c r="J209" s="146"/>
      <c r="K209" s="146"/>
      <c r="L209" s="146"/>
      <c r="M209" s="146"/>
      <c r="N209" s="146"/>
      <c r="O209" s="1650" t="str">
        <f>'A1. Submodels &amp; data'!B200</f>
        <v xml:space="preserve"> - Ireland</v>
      </c>
      <c r="P209" s="180">
        <v>57</v>
      </c>
      <c r="Q209" s="77" t="s">
        <v>771</v>
      </c>
      <c r="R209" s="180"/>
      <c r="S209" s="180">
        <v>1</v>
      </c>
      <c r="T209" s="180" t="str">
        <f t="shared" si="23"/>
        <v>Western Europe</v>
      </c>
      <c r="U209" s="356"/>
      <c r="V209" s="149"/>
      <c r="W209" s="1639"/>
      <c r="X209" s="149"/>
      <c r="Y209" s="149"/>
      <c r="Z209" s="149"/>
      <c r="AA209" s="149"/>
      <c r="AB209" s="149"/>
      <c r="AC209" s="149"/>
      <c r="AD209" s="149"/>
      <c r="AE209" s="149"/>
      <c r="AF209" s="149"/>
      <c r="AG209" s="149"/>
      <c r="AH209" s="149"/>
      <c r="AI209" s="149"/>
      <c r="AJ209" s="149"/>
      <c r="AK209" s="149"/>
      <c r="AL209" s="149"/>
      <c r="AM209" s="356"/>
      <c r="AN209" s="149"/>
      <c r="AO209" s="149"/>
      <c r="AP209" s="149"/>
      <c r="AQ209" s="1639"/>
      <c r="AR209" s="180">
        <f>'A1. Submodels &amp; data'!A434</f>
        <v>9</v>
      </c>
      <c r="AS209" s="180" t="str">
        <f>'A1. Submodels &amp; data'!B434</f>
        <v>Maize</v>
      </c>
      <c r="AT209" s="180" t="str">
        <f>'A1. Submodels &amp; data'!C434</f>
        <v>Grain</v>
      </c>
      <c r="AU209" s="180" t="str">
        <f>'A1. Submodels &amp; data'!D434</f>
        <v>Other crop</v>
      </c>
      <c r="AV209" s="180">
        <v>0</v>
      </c>
      <c r="AW209" s="149"/>
      <c r="AX209" s="149"/>
      <c r="AY209" s="149"/>
      <c r="AZ209" s="149"/>
      <c r="BA209" s="149"/>
      <c r="BB209" s="149"/>
      <c r="BC209" s="149"/>
      <c r="BD209" s="149"/>
      <c r="BE209" s="149"/>
      <c r="BF209" s="149"/>
      <c r="BG209" s="3"/>
      <c r="BH209" s="3"/>
      <c r="BI209" s="3"/>
      <c r="BJ209" s="1638"/>
      <c r="BK209" s="166"/>
      <c r="BL209" s="166"/>
      <c r="BM209" s="166"/>
      <c r="BN209" s="166"/>
      <c r="BO209" s="166"/>
      <c r="BP209" s="166"/>
      <c r="BQ209" s="166"/>
      <c r="BR209" s="166"/>
      <c r="BS209" s="166"/>
      <c r="BT209" s="166"/>
      <c r="BU209" s="166"/>
      <c r="BV209" s="166"/>
      <c r="BW209" s="166"/>
      <c r="BX209" s="60"/>
      <c r="BY209" s="60"/>
      <c r="BZ209" s="60"/>
      <c r="CA209" s="60"/>
      <c r="CB209" s="60"/>
      <c r="CC209" s="60"/>
      <c r="CD209" s="60"/>
      <c r="CE209" s="60"/>
      <c r="CF209" s="60"/>
      <c r="CG209" s="60"/>
      <c r="CH209" s="60"/>
      <c r="CI209" s="60"/>
      <c r="CJ209" s="60"/>
      <c r="CK209" s="60"/>
      <c r="CL209" s="60"/>
      <c r="CM209" s="60"/>
      <c r="CN209" s="60"/>
      <c r="CO209" s="60"/>
      <c r="CP209" s="60"/>
      <c r="CQ209" s="60"/>
    </row>
    <row r="210" spans="1:95" x14ac:dyDescent="0.25">
      <c r="A210" s="146"/>
      <c r="B210" s="146"/>
      <c r="C210" s="146"/>
      <c r="D210" s="146"/>
      <c r="E210" s="146"/>
      <c r="F210" s="146"/>
      <c r="G210" s="146"/>
      <c r="H210" s="146"/>
      <c r="I210" s="146"/>
      <c r="J210" s="146"/>
      <c r="K210" s="146"/>
      <c r="L210" s="146"/>
      <c r="M210" s="146"/>
      <c r="N210" s="146"/>
      <c r="O210" s="1650" t="str">
        <f>'A1. Submodels &amp; data'!B201</f>
        <v xml:space="preserve"> - Israel</v>
      </c>
      <c r="P210" s="180">
        <v>58</v>
      </c>
      <c r="Q210" s="77" t="s">
        <v>351</v>
      </c>
      <c r="R210" s="180"/>
      <c r="S210" s="180">
        <v>1</v>
      </c>
      <c r="T210" s="180" t="str">
        <f t="shared" si="23"/>
        <v>Middle East</v>
      </c>
      <c r="U210" s="356"/>
      <c r="V210" s="149"/>
      <c r="W210" s="1639"/>
      <c r="X210" s="149"/>
      <c r="Y210" s="149"/>
      <c r="Z210" s="149"/>
      <c r="AA210" s="149"/>
      <c r="AB210" s="149"/>
      <c r="AC210" s="149"/>
      <c r="AD210" s="149"/>
      <c r="AE210" s="149"/>
      <c r="AF210" s="149"/>
      <c r="AG210" s="149"/>
      <c r="AH210" s="149"/>
      <c r="AI210" s="149"/>
      <c r="AJ210" s="149"/>
      <c r="AK210" s="149"/>
      <c r="AL210" s="149"/>
      <c r="AM210" s="356"/>
      <c r="AN210" s="149"/>
      <c r="AO210" s="149"/>
      <c r="AP210" s="149"/>
      <c r="AQ210" s="1639"/>
      <c r="AR210" s="180">
        <f>'A1. Submodels &amp; data'!A435</f>
        <v>10</v>
      </c>
      <c r="AS210" s="180" t="str">
        <f>'A1. Submodels &amp; data'!B435</f>
        <v>Millet</v>
      </c>
      <c r="AT210" s="180" t="str">
        <f>'A1. Submodels &amp; data'!C435</f>
        <v>Grain</v>
      </c>
      <c r="AU210" s="180" t="str">
        <f>'A1. Submodels &amp; data'!D435</f>
        <v>Other crop</v>
      </c>
      <c r="AV210" s="180">
        <v>0</v>
      </c>
      <c r="AW210" s="149"/>
      <c r="AX210" s="149"/>
      <c r="AY210" s="149"/>
      <c r="AZ210" s="149"/>
      <c r="BA210" s="149"/>
      <c r="BB210" s="149"/>
      <c r="BC210" s="149"/>
      <c r="BD210" s="149"/>
      <c r="BE210" s="149"/>
      <c r="BF210" s="149"/>
      <c r="BG210" s="3"/>
      <c r="BH210" s="3"/>
      <c r="BI210" s="3"/>
      <c r="BJ210" s="1638"/>
      <c r="BK210" s="166"/>
      <c r="BL210" s="166"/>
      <c r="BM210" s="166"/>
      <c r="BN210" s="166"/>
      <c r="BO210" s="166"/>
      <c r="BP210" s="166"/>
      <c r="BQ210" s="166"/>
      <c r="BR210" s="166"/>
      <c r="BS210" s="166"/>
      <c r="BT210" s="166"/>
      <c r="BU210" s="166"/>
      <c r="BV210" s="166"/>
      <c r="BW210" s="166"/>
      <c r="BX210" s="60"/>
      <c r="BY210" s="60"/>
      <c r="BZ210" s="60"/>
      <c r="CA210" s="60"/>
      <c r="CB210" s="60"/>
      <c r="CC210" s="60"/>
      <c r="CD210" s="60"/>
      <c r="CE210" s="60"/>
      <c r="CF210" s="60"/>
      <c r="CG210" s="60"/>
      <c r="CH210" s="60"/>
      <c r="CI210" s="60"/>
      <c r="CJ210" s="60"/>
      <c r="CK210" s="60"/>
      <c r="CL210" s="60"/>
      <c r="CM210" s="60"/>
      <c r="CN210" s="60"/>
      <c r="CO210" s="60"/>
      <c r="CP210" s="60"/>
      <c r="CQ210" s="60"/>
    </row>
    <row r="211" spans="1:95" x14ac:dyDescent="0.25">
      <c r="A211" s="146"/>
      <c r="B211" s="146"/>
      <c r="C211" s="146"/>
      <c r="D211" s="146"/>
      <c r="E211" s="146"/>
      <c r="F211" s="146"/>
      <c r="G211" s="146"/>
      <c r="H211" s="146"/>
      <c r="I211" s="146"/>
      <c r="J211" s="146"/>
      <c r="K211" s="146"/>
      <c r="L211" s="146"/>
      <c r="M211" s="146"/>
      <c r="N211" s="146"/>
      <c r="O211" s="1650" t="str">
        <f>'A1. Submodels &amp; data'!B202</f>
        <v xml:space="preserve"> - Italy</v>
      </c>
      <c r="P211" s="180">
        <v>59</v>
      </c>
      <c r="Q211" s="77" t="s">
        <v>771</v>
      </c>
      <c r="R211" s="180"/>
      <c r="S211" s="180">
        <v>1</v>
      </c>
      <c r="T211" s="180" t="str">
        <f t="shared" si="23"/>
        <v>Western Europe</v>
      </c>
      <c r="U211" s="356"/>
      <c r="V211" s="149"/>
      <c r="W211" s="1639"/>
      <c r="X211" s="149"/>
      <c r="Y211" s="149"/>
      <c r="Z211" s="149"/>
      <c r="AA211" s="149"/>
      <c r="AB211" s="149"/>
      <c r="AC211" s="149"/>
      <c r="AD211" s="149"/>
      <c r="AE211" s="149"/>
      <c r="AF211" s="149"/>
      <c r="AG211" s="149"/>
      <c r="AH211" s="149"/>
      <c r="AI211" s="149"/>
      <c r="AJ211" s="149"/>
      <c r="AK211" s="149"/>
      <c r="AL211" s="149"/>
      <c r="AM211" s="356"/>
      <c r="AN211" s="149"/>
      <c r="AO211" s="149"/>
      <c r="AP211" s="149"/>
      <c r="AQ211" s="1639"/>
      <c r="AR211" s="180">
        <f>'A1. Submodels &amp; data'!A436</f>
        <v>11</v>
      </c>
      <c r="AS211" s="180" t="str">
        <f>'A1. Submodels &amp; data'!B436</f>
        <v>Oats</v>
      </c>
      <c r="AT211" s="180" t="str">
        <f>'A1. Submodels &amp; data'!C436</f>
        <v>Grain</v>
      </c>
      <c r="AU211" s="180" t="str">
        <f>'A1. Submodels &amp; data'!D436</f>
        <v>Other crop</v>
      </c>
      <c r="AV211" s="180">
        <v>0</v>
      </c>
      <c r="AW211" s="149"/>
      <c r="AX211" s="149"/>
      <c r="AY211" s="149"/>
      <c r="AZ211" s="149"/>
      <c r="BA211" s="149"/>
      <c r="BB211" s="149"/>
      <c r="BC211" s="149"/>
      <c r="BD211" s="149"/>
      <c r="BE211" s="149"/>
      <c r="BF211" s="149"/>
      <c r="BG211" s="3"/>
      <c r="BH211" s="3"/>
      <c r="BI211" s="3"/>
      <c r="BJ211" s="1638"/>
      <c r="BK211" s="166"/>
      <c r="BL211" s="166"/>
      <c r="BM211" s="166"/>
      <c r="BN211" s="166"/>
      <c r="BO211" s="166"/>
      <c r="BP211" s="166"/>
      <c r="BQ211" s="166"/>
      <c r="BR211" s="166"/>
      <c r="BS211" s="166"/>
      <c r="BT211" s="166"/>
      <c r="BU211" s="166"/>
      <c r="BV211" s="166"/>
      <c r="BW211" s="166"/>
      <c r="BX211" s="60"/>
      <c r="BY211" s="60"/>
      <c r="BZ211" s="60"/>
      <c r="CA211" s="60"/>
      <c r="CB211" s="60"/>
      <c r="CC211" s="60"/>
      <c r="CD211" s="60"/>
      <c r="CE211" s="60"/>
      <c r="CF211" s="60"/>
      <c r="CG211" s="60"/>
      <c r="CH211" s="60"/>
      <c r="CI211" s="60"/>
      <c r="CJ211" s="60"/>
      <c r="CK211" s="60"/>
      <c r="CL211" s="60"/>
      <c r="CM211" s="60"/>
      <c r="CN211" s="60"/>
      <c r="CO211" s="60"/>
      <c r="CP211" s="60"/>
      <c r="CQ211" s="60"/>
    </row>
    <row r="212" spans="1:95" x14ac:dyDescent="0.25">
      <c r="A212" s="146"/>
      <c r="B212" s="146"/>
      <c r="C212" s="146"/>
      <c r="D212" s="146"/>
      <c r="E212" s="146"/>
      <c r="F212" s="146"/>
      <c r="G212" s="146"/>
      <c r="H212" s="146"/>
      <c r="I212" s="146"/>
      <c r="J212" s="146"/>
      <c r="K212" s="146"/>
      <c r="L212" s="146"/>
      <c r="M212" s="146"/>
      <c r="N212" s="146"/>
      <c r="O212" s="1650" t="str">
        <f>'A1. Submodels &amp; data'!B203</f>
        <v xml:space="preserve"> - Jamaica</v>
      </c>
      <c r="P212" s="180">
        <v>60</v>
      </c>
      <c r="Q212" s="77" t="s">
        <v>1695</v>
      </c>
      <c r="R212" s="180"/>
      <c r="S212" s="180">
        <f>0</f>
        <v>0</v>
      </c>
      <c r="T212" s="180" t="str">
        <f t="shared" si="23"/>
        <v>Latin America</v>
      </c>
      <c r="U212" s="356"/>
      <c r="V212" s="149"/>
      <c r="W212" s="1639"/>
      <c r="X212" s="149"/>
      <c r="Y212" s="149"/>
      <c r="Z212" s="149"/>
      <c r="AA212" s="149"/>
      <c r="AB212" s="149"/>
      <c r="AC212" s="149"/>
      <c r="AD212" s="149"/>
      <c r="AE212" s="149"/>
      <c r="AF212" s="149"/>
      <c r="AG212" s="149"/>
      <c r="AH212" s="149"/>
      <c r="AI212" s="149"/>
      <c r="AJ212" s="149"/>
      <c r="AK212" s="149"/>
      <c r="AL212" s="149"/>
      <c r="AM212" s="356"/>
      <c r="AN212" s="149"/>
      <c r="AO212" s="149"/>
      <c r="AP212" s="149"/>
      <c r="AQ212" s="1639"/>
      <c r="AR212" s="180">
        <f>'A1. Submodels &amp; data'!A437</f>
        <v>12</v>
      </c>
      <c r="AS212" s="180" t="str">
        <f>'A1. Submodels &amp; data'!B437</f>
        <v>Peanut</v>
      </c>
      <c r="AT212" s="180" t="str">
        <f>'A1. Submodels &amp; data'!C437</f>
        <v>Beans &amp; pulses</v>
      </c>
      <c r="AU212" s="180" t="str">
        <f>'A1. Submodels &amp; data'!D437</f>
        <v>Legume</v>
      </c>
      <c r="AV212" s="180">
        <v>0</v>
      </c>
      <c r="AW212" s="149"/>
      <c r="AX212" s="149"/>
      <c r="AY212" s="149"/>
      <c r="AZ212" s="149"/>
      <c r="BA212" s="149"/>
      <c r="BB212" s="149"/>
      <c r="BC212" s="149"/>
      <c r="BD212" s="149"/>
      <c r="BE212" s="149"/>
      <c r="BF212" s="149"/>
      <c r="BG212" s="3"/>
      <c r="BH212" s="3"/>
      <c r="BI212" s="3"/>
      <c r="BJ212" s="1638"/>
      <c r="BK212" s="166"/>
      <c r="BL212" s="166"/>
      <c r="BM212" s="166"/>
      <c r="BN212" s="166"/>
      <c r="BO212" s="166"/>
      <c r="BP212" s="166"/>
      <c r="BQ212" s="166"/>
      <c r="BR212" s="166"/>
      <c r="BS212" s="166"/>
      <c r="BT212" s="166"/>
      <c r="BU212" s="166"/>
      <c r="BV212" s="166"/>
      <c r="BW212" s="166"/>
      <c r="BX212" s="60"/>
      <c r="BY212" s="60"/>
      <c r="BZ212" s="60"/>
      <c r="CA212" s="60"/>
      <c r="CB212" s="60"/>
      <c r="CC212" s="60"/>
      <c r="CD212" s="60"/>
      <c r="CE212" s="60"/>
      <c r="CF212" s="60"/>
      <c r="CG212" s="60"/>
      <c r="CH212" s="60"/>
      <c r="CI212" s="60"/>
      <c r="CJ212" s="60"/>
      <c r="CK212" s="60"/>
      <c r="CL212" s="60"/>
      <c r="CM212" s="60"/>
      <c r="CN212" s="60"/>
      <c r="CO212" s="60"/>
      <c r="CP212" s="60"/>
      <c r="CQ212" s="60"/>
    </row>
    <row r="213" spans="1:95" x14ac:dyDescent="0.25">
      <c r="O213" s="1650" t="str">
        <f>'A1. Submodels &amp; data'!B204</f>
        <v xml:space="preserve"> - Japan</v>
      </c>
      <c r="P213" s="180">
        <v>61</v>
      </c>
      <c r="Q213" s="77" t="s">
        <v>1936</v>
      </c>
      <c r="R213" s="180"/>
      <c r="S213" s="180">
        <v>1</v>
      </c>
      <c r="T213" s="180" t="str">
        <f>'3.Sequestration'!AE71</f>
        <v>Asia, continental</v>
      </c>
      <c r="U213" s="356"/>
      <c r="V213" s="2"/>
      <c r="W213" s="1637"/>
      <c r="X213" s="3"/>
      <c r="Y213" s="3"/>
      <c r="Z213" s="3"/>
      <c r="AA213" s="3"/>
      <c r="AB213" s="3"/>
      <c r="AC213" s="3"/>
      <c r="AD213" s="3"/>
      <c r="AE213" s="3"/>
      <c r="AF213" s="3"/>
      <c r="AG213" s="3"/>
      <c r="AH213" s="3"/>
      <c r="AI213" s="3"/>
      <c r="AJ213" s="3"/>
      <c r="AK213" s="3"/>
      <c r="AL213" s="3"/>
      <c r="AM213" s="1638"/>
      <c r="AN213" s="2"/>
      <c r="AO213" s="2"/>
      <c r="AP213" s="149"/>
      <c r="AQ213" s="1639"/>
      <c r="AR213" s="180">
        <f>'A1. Submodels &amp; data'!A438</f>
        <v>13</v>
      </c>
      <c r="AS213" s="180" t="str">
        <f>'A1. Submodels &amp; data'!B438</f>
        <v>Perennial grass</v>
      </c>
      <c r="AT213" s="180" t="str">
        <f>'A1. Submodels &amp; data'!C438</f>
        <v>Perennial grass</v>
      </c>
      <c r="AU213" s="180" t="str">
        <f>'A1. Submodels &amp; data'!D438</f>
        <v>Grass</v>
      </c>
      <c r="AV213" s="180">
        <v>0</v>
      </c>
      <c r="AW213" s="149"/>
      <c r="AX213" s="149"/>
      <c r="AY213" s="149"/>
      <c r="AZ213" s="149"/>
      <c r="BA213" s="149"/>
      <c r="BB213" s="149"/>
      <c r="BC213" s="149"/>
      <c r="BD213" s="149"/>
      <c r="BE213" s="149"/>
      <c r="BF213" s="149"/>
      <c r="BG213" s="3"/>
      <c r="BH213" s="3"/>
      <c r="BI213" s="3"/>
      <c r="BJ213" s="1638"/>
      <c r="BK213" s="166"/>
      <c r="BL213" s="166"/>
      <c r="BM213" s="2"/>
      <c r="BN213" s="2"/>
      <c r="BO213" s="2"/>
      <c r="BP213" s="2"/>
      <c r="BQ213" s="2"/>
      <c r="BR213" s="2"/>
      <c r="BS213" s="2"/>
      <c r="BT213" s="2"/>
      <c r="BU213" s="2"/>
      <c r="BV213" s="2"/>
      <c r="BW213" s="2"/>
    </row>
    <row r="214" spans="1:95" x14ac:dyDescent="0.25">
      <c r="O214" s="1650" t="str">
        <f>'A1. Submodels &amp; data'!B205</f>
        <v xml:space="preserve"> - Jordan</v>
      </c>
      <c r="P214" s="180">
        <v>62</v>
      </c>
      <c r="Q214" s="77" t="s">
        <v>351</v>
      </c>
      <c r="R214" s="180"/>
      <c r="S214" s="180">
        <f>0</f>
        <v>0</v>
      </c>
      <c r="T214" s="180" t="str">
        <f t="shared" si="23"/>
        <v>Middle East</v>
      </c>
      <c r="U214" s="356"/>
      <c r="V214" s="2"/>
      <c r="W214" s="1637"/>
      <c r="X214" s="3"/>
      <c r="Y214" s="3"/>
      <c r="Z214" s="3"/>
      <c r="AA214" s="3"/>
      <c r="AB214" s="3"/>
      <c r="AC214" s="3"/>
      <c r="AD214" s="3"/>
      <c r="AE214" s="3"/>
      <c r="AF214" s="3"/>
      <c r="AG214" s="3"/>
      <c r="AH214" s="3"/>
      <c r="AI214" s="3"/>
      <c r="AJ214" s="3"/>
      <c r="AK214" s="3"/>
      <c r="AL214" s="3"/>
      <c r="AM214" s="1638"/>
      <c r="AN214" s="2"/>
      <c r="AO214" s="2"/>
      <c r="AP214" s="149"/>
      <c r="AQ214" s="1639"/>
      <c r="AR214" s="180">
        <f>'A1. Submodels &amp; data'!A439</f>
        <v>14</v>
      </c>
      <c r="AS214" s="180" t="str">
        <f>'A1. Submodels &amp; data'!B439</f>
        <v>Potato</v>
      </c>
      <c r="AT214" s="180" t="str">
        <f>'A1. Submodels &amp; data'!C439</f>
        <v>Tuber</v>
      </c>
      <c r="AU214" s="180" t="str">
        <f>'A1. Submodels &amp; data'!D439</f>
        <v>Other crop</v>
      </c>
      <c r="AV214" s="180">
        <v>0</v>
      </c>
      <c r="AW214" s="149"/>
      <c r="AX214" s="149"/>
      <c r="AY214" s="149"/>
      <c r="AZ214" s="149"/>
      <c r="BA214" s="149"/>
      <c r="BB214" s="149"/>
      <c r="BC214" s="149"/>
      <c r="BD214" s="149"/>
      <c r="BE214" s="149"/>
      <c r="BF214" s="149"/>
      <c r="BG214" s="3"/>
      <c r="BH214" s="3"/>
      <c r="BI214" s="3"/>
      <c r="BJ214" s="1638"/>
      <c r="BK214" s="166"/>
      <c r="BL214" s="166"/>
      <c r="BM214" s="2"/>
      <c r="BN214" s="2"/>
      <c r="BO214" s="2"/>
      <c r="BP214" s="2"/>
      <c r="BQ214" s="2"/>
      <c r="BR214" s="2"/>
      <c r="BS214" s="2"/>
      <c r="BT214" s="2"/>
      <c r="BU214" s="2"/>
      <c r="BV214" s="2"/>
      <c r="BW214" s="2"/>
    </row>
    <row r="215" spans="1:95" x14ac:dyDescent="0.25">
      <c r="O215" s="1650" t="str">
        <f>'A1. Submodels &amp; data'!B206</f>
        <v xml:space="preserve"> - Kazakhstan</v>
      </c>
      <c r="P215" s="180">
        <v>63</v>
      </c>
      <c r="Q215" s="77" t="s">
        <v>1936</v>
      </c>
      <c r="R215" s="180"/>
      <c r="S215" s="180">
        <f>0</f>
        <v>0</v>
      </c>
      <c r="T215" s="180" t="str">
        <f>'3.Sequestration'!AE71</f>
        <v>Asia, continental</v>
      </c>
      <c r="U215" s="356"/>
      <c r="V215" s="2"/>
      <c r="W215" s="1637"/>
      <c r="X215" s="3"/>
      <c r="Y215" s="3"/>
      <c r="Z215" s="3"/>
      <c r="AA215" s="3"/>
      <c r="AB215" s="3"/>
      <c r="AC215" s="3"/>
      <c r="AD215" s="3"/>
      <c r="AE215" s="3"/>
      <c r="AF215" s="3"/>
      <c r="AG215" s="3"/>
      <c r="AH215" s="3"/>
      <c r="AI215" s="3"/>
      <c r="AJ215" s="3"/>
      <c r="AK215" s="3"/>
      <c r="AL215" s="3"/>
      <c r="AM215" s="1638"/>
      <c r="AN215" s="2"/>
      <c r="AO215" s="2"/>
      <c r="AP215" s="149"/>
      <c r="AQ215" s="1639"/>
      <c r="AR215" s="180">
        <f>'A1. Submodels &amp; data'!A440</f>
        <v>15</v>
      </c>
      <c r="AS215" s="180" t="str">
        <f>'A1. Submodels &amp; data'!B440</f>
        <v>Rice</v>
      </c>
      <c r="AT215" s="180" t="str">
        <f>'A1. Submodels &amp; data'!C440</f>
        <v>Grain</v>
      </c>
      <c r="AU215" s="180" t="s">
        <v>1446</v>
      </c>
      <c r="AV215" s="180">
        <v>1</v>
      </c>
      <c r="AW215" s="149"/>
      <c r="AX215" s="149"/>
      <c r="AY215" s="149"/>
      <c r="AZ215" s="149"/>
      <c r="BA215" s="149"/>
      <c r="BB215" s="149"/>
      <c r="BC215" s="149"/>
      <c r="BD215" s="149"/>
      <c r="BE215" s="149"/>
      <c r="BF215" s="149"/>
      <c r="BG215" s="3"/>
      <c r="BH215" s="3"/>
      <c r="BI215" s="3"/>
      <c r="BJ215" s="1638"/>
      <c r="BK215" s="166"/>
      <c r="BL215" s="166"/>
      <c r="BM215" s="2"/>
      <c r="BN215" s="2"/>
      <c r="BO215" s="2"/>
      <c r="BP215" s="2"/>
      <c r="BQ215" s="2"/>
      <c r="BR215" s="2"/>
      <c r="BS215" s="2"/>
      <c r="BT215" s="2"/>
      <c r="BU215" s="2"/>
      <c r="BV215" s="2"/>
      <c r="BW215" s="2"/>
    </row>
    <row r="216" spans="1:95" x14ac:dyDescent="0.25">
      <c r="O216" s="1650" t="str">
        <f>'A1. Submodels &amp; data'!B207</f>
        <v xml:space="preserve"> - Kenya</v>
      </c>
      <c r="P216" s="180">
        <v>64</v>
      </c>
      <c r="Q216" s="77" t="s">
        <v>212</v>
      </c>
      <c r="R216" s="180"/>
      <c r="S216" s="180">
        <f>0</f>
        <v>0</v>
      </c>
      <c r="T216" s="180" t="str">
        <f t="shared" si="23"/>
        <v>Africa</v>
      </c>
      <c r="U216" s="356"/>
      <c r="V216" s="2"/>
      <c r="W216" s="1637"/>
      <c r="X216" s="3"/>
      <c r="Y216" s="3"/>
      <c r="Z216" s="3"/>
      <c r="AA216" s="3"/>
      <c r="AB216" s="3"/>
      <c r="AC216" s="3"/>
      <c r="AD216" s="3"/>
      <c r="AE216" s="3"/>
      <c r="AF216" s="3"/>
      <c r="AG216" s="3"/>
      <c r="AH216" s="3"/>
      <c r="AI216" s="3"/>
      <c r="AJ216" s="3"/>
      <c r="AK216" s="3"/>
      <c r="AL216" s="3"/>
      <c r="AM216" s="1638"/>
      <c r="AN216" s="2"/>
      <c r="AO216" s="2"/>
      <c r="AP216" s="149"/>
      <c r="AQ216" s="1639"/>
      <c r="AR216" s="180">
        <f>'A1. Submodels &amp; data'!A441</f>
        <v>16</v>
      </c>
      <c r="AS216" s="180" t="str">
        <f>'A1. Submodels &amp; data'!B441</f>
        <v>Rye</v>
      </c>
      <c r="AT216" s="180" t="str">
        <f>'A1. Submodels &amp; data'!C441</f>
        <v>Grain</v>
      </c>
      <c r="AU216" s="180" t="str">
        <f>'A1. Submodels &amp; data'!D441</f>
        <v>Other crop</v>
      </c>
      <c r="AV216" s="180">
        <v>0</v>
      </c>
      <c r="AW216" s="149"/>
      <c r="AX216" s="149"/>
      <c r="AY216" s="149"/>
      <c r="AZ216" s="149"/>
      <c r="BA216" s="149"/>
      <c r="BB216" s="149"/>
      <c r="BC216" s="149"/>
      <c r="BD216" s="149"/>
      <c r="BE216" s="149"/>
      <c r="BF216" s="149"/>
      <c r="BG216" s="3"/>
      <c r="BH216" s="3"/>
      <c r="BI216" s="3"/>
      <c r="BJ216" s="1638"/>
      <c r="BK216" s="166"/>
      <c r="BL216" s="166"/>
      <c r="BM216" s="2"/>
      <c r="BN216" s="2"/>
      <c r="BO216" s="2"/>
      <c r="BP216" s="2"/>
      <c r="BQ216" s="2"/>
      <c r="BR216" s="2"/>
      <c r="BS216" s="2"/>
      <c r="BT216" s="2"/>
      <c r="BU216" s="2"/>
      <c r="BV216" s="2"/>
      <c r="BW216" s="2"/>
    </row>
    <row r="217" spans="1:95" x14ac:dyDescent="0.25">
      <c r="O217" s="1650" t="str">
        <f>'A1. Submodels &amp; data'!B208</f>
        <v xml:space="preserve"> - Korea, Dem Rep. of</v>
      </c>
      <c r="P217" s="180">
        <v>65</v>
      </c>
      <c r="Q217" s="77" t="s">
        <v>1936</v>
      </c>
      <c r="R217" s="180"/>
      <c r="S217" s="180">
        <f>0</f>
        <v>0</v>
      </c>
      <c r="T217" s="180" t="str">
        <f>'3.Sequestration'!AE71</f>
        <v>Asia, continental</v>
      </c>
      <c r="U217" s="356"/>
      <c r="V217" s="2"/>
      <c r="W217" s="1637"/>
      <c r="X217" s="3"/>
      <c r="Y217" s="3"/>
      <c r="Z217" s="3"/>
      <c r="AA217" s="3"/>
      <c r="AB217" s="3"/>
      <c r="AC217" s="3"/>
      <c r="AD217" s="3"/>
      <c r="AE217" s="3"/>
      <c r="AF217" s="3"/>
      <c r="AG217" s="3"/>
      <c r="AH217" s="3"/>
      <c r="AI217" s="3"/>
      <c r="AJ217" s="3"/>
      <c r="AK217" s="3"/>
      <c r="AL217" s="3"/>
      <c r="AM217" s="1638"/>
      <c r="AN217" s="2"/>
      <c r="AO217" s="2"/>
      <c r="AP217" s="149"/>
      <c r="AQ217" s="1639"/>
      <c r="AR217" s="180">
        <f>'A1. Submodels &amp; data'!A442</f>
        <v>17</v>
      </c>
      <c r="AS217" s="180" t="str">
        <f>'A1. Submodels &amp; data'!B442</f>
        <v>Sorghum</v>
      </c>
      <c r="AT217" s="180" t="str">
        <f>'A1. Submodels &amp; data'!C442</f>
        <v>Grain</v>
      </c>
      <c r="AU217" s="180" t="str">
        <f>'A1. Submodels &amp; data'!D442</f>
        <v>Other crop</v>
      </c>
      <c r="AV217" s="180">
        <v>0</v>
      </c>
      <c r="AW217" s="149"/>
      <c r="AX217" s="149"/>
      <c r="AY217" s="149"/>
      <c r="AZ217" s="149"/>
      <c r="BA217" s="149"/>
      <c r="BB217" s="149"/>
      <c r="BC217" s="149"/>
      <c r="BD217" s="149"/>
      <c r="BE217" s="149"/>
      <c r="BF217" s="149"/>
      <c r="BG217" s="3"/>
      <c r="BH217" s="3"/>
      <c r="BI217" s="3"/>
      <c r="BJ217" s="1638"/>
      <c r="BK217" s="166"/>
      <c r="BL217" s="166"/>
      <c r="BM217" s="2"/>
      <c r="BN217" s="2"/>
      <c r="BO217" s="2"/>
      <c r="BP217" s="2"/>
      <c r="BQ217" s="2"/>
      <c r="BR217" s="2"/>
      <c r="BS217" s="2"/>
      <c r="BT217" s="2"/>
      <c r="BU217" s="2"/>
      <c r="BV217" s="2"/>
      <c r="BW217" s="2"/>
    </row>
    <row r="218" spans="1:95" x14ac:dyDescent="0.25">
      <c r="O218" s="1650" t="str">
        <f>'A1. Submodels &amp; data'!B209</f>
        <v xml:space="preserve"> - Korea, Rep. of</v>
      </c>
      <c r="P218" s="180">
        <v>66</v>
      </c>
      <c r="Q218" s="77" t="s">
        <v>1936</v>
      </c>
      <c r="R218" s="180"/>
      <c r="S218" s="180">
        <v>1</v>
      </c>
      <c r="T218" s="180" t="str">
        <f>'3.Sequestration'!AE71</f>
        <v>Asia, continental</v>
      </c>
      <c r="U218" s="356"/>
      <c r="V218" s="2"/>
      <c r="W218" s="1637"/>
      <c r="X218" s="3"/>
      <c r="Y218" s="3"/>
      <c r="Z218" s="3"/>
      <c r="AA218" s="3"/>
      <c r="AB218" s="3"/>
      <c r="AC218" s="3"/>
      <c r="AD218" s="3"/>
      <c r="AE218" s="3"/>
      <c r="AF218" s="3"/>
      <c r="AG218" s="3"/>
      <c r="AH218" s="3"/>
      <c r="AI218" s="3"/>
      <c r="AJ218" s="3"/>
      <c r="AK218" s="3"/>
      <c r="AL218" s="3"/>
      <c r="AM218" s="1638"/>
      <c r="AN218" s="2"/>
      <c r="AO218" s="2"/>
      <c r="AP218" s="149"/>
      <c r="AQ218" s="1639"/>
      <c r="AR218" s="180">
        <f>'A1. Submodels &amp; data'!A443</f>
        <v>18</v>
      </c>
      <c r="AS218" s="180" t="str">
        <f>'A1. Submodels &amp; data'!B443</f>
        <v>Soyabean</v>
      </c>
      <c r="AT218" s="180" t="str">
        <f>'A1. Submodels &amp; data'!C443</f>
        <v>Beans &amp; pulses</v>
      </c>
      <c r="AU218" s="180" t="str">
        <f>'A1. Submodels &amp; data'!D443</f>
        <v>Legume</v>
      </c>
      <c r="AV218" s="180">
        <v>0</v>
      </c>
      <c r="AW218" s="149"/>
      <c r="AX218" s="3"/>
      <c r="AY218" s="3"/>
      <c r="AZ218" s="3"/>
      <c r="BA218" s="3"/>
      <c r="BB218" s="149"/>
      <c r="BC218" s="149"/>
      <c r="BD218" s="149"/>
      <c r="BE218" s="149"/>
      <c r="BF218" s="149"/>
      <c r="BG218" s="3"/>
      <c r="BH218" s="3"/>
      <c r="BI218" s="3"/>
      <c r="BJ218" s="1638"/>
      <c r="BK218" s="166"/>
      <c r="BL218" s="166"/>
      <c r="BM218" s="2"/>
      <c r="BN218" s="2"/>
      <c r="BO218" s="2"/>
      <c r="BP218" s="2"/>
      <c r="BQ218" s="2"/>
      <c r="BR218" s="2"/>
      <c r="BS218" s="2"/>
      <c r="BT218" s="2"/>
      <c r="BU218" s="2"/>
      <c r="BV218" s="2"/>
      <c r="BW218" s="2"/>
    </row>
    <row r="219" spans="1:95" x14ac:dyDescent="0.25">
      <c r="O219" s="1650" t="str">
        <f>'A1. Submodels &amp; data'!B210</f>
        <v xml:space="preserve"> - Kuwait</v>
      </c>
      <c r="P219" s="180">
        <v>67</v>
      </c>
      <c r="Q219" s="77" t="s">
        <v>351</v>
      </c>
      <c r="R219" s="180"/>
      <c r="S219" s="180">
        <v>1</v>
      </c>
      <c r="T219" s="180" t="str">
        <f t="shared" ref="T219:T282" si="24">Q219</f>
        <v>Middle East</v>
      </c>
      <c r="U219" s="356"/>
      <c r="V219" s="2"/>
      <c r="W219" s="1637"/>
      <c r="X219" s="3"/>
      <c r="Y219" s="3"/>
      <c r="Z219" s="3"/>
      <c r="AA219" s="3"/>
      <c r="AB219" s="3"/>
      <c r="AC219" s="3"/>
      <c r="AD219" s="3"/>
      <c r="AE219" s="3"/>
      <c r="AF219" s="3"/>
      <c r="AG219" s="3"/>
      <c r="AH219" s="3"/>
      <c r="AI219" s="3"/>
      <c r="AJ219" s="3"/>
      <c r="AK219" s="3"/>
      <c r="AL219" s="3"/>
      <c r="AM219" s="1638"/>
      <c r="AN219" s="2"/>
      <c r="AO219" s="2"/>
      <c r="AP219" s="149"/>
      <c r="AQ219" s="1639"/>
      <c r="AR219" s="180">
        <f>'A1. Submodels &amp; data'!A444</f>
        <v>19</v>
      </c>
      <c r="AS219" s="180" t="str">
        <f>'A1. Submodels &amp; data'!B444</f>
        <v>Spring wheat</v>
      </c>
      <c r="AT219" s="180" t="str">
        <f>'A1. Submodels &amp; data'!C444</f>
        <v>Grain</v>
      </c>
      <c r="AU219" s="180" t="str">
        <f>'A1. Submodels &amp; data'!D444</f>
        <v>Other crop</v>
      </c>
      <c r="AV219" s="180">
        <v>0</v>
      </c>
      <c r="AW219" s="149"/>
      <c r="AX219" s="3"/>
      <c r="AY219" s="3"/>
      <c r="AZ219" s="3"/>
      <c r="BA219" s="3"/>
      <c r="BB219" s="149"/>
      <c r="BC219" s="149"/>
      <c r="BD219" s="149"/>
      <c r="BE219" s="149"/>
      <c r="BF219" s="149"/>
      <c r="BG219" s="3"/>
      <c r="BH219" s="3"/>
      <c r="BI219" s="3"/>
      <c r="BJ219" s="1638"/>
      <c r="BK219" s="166"/>
      <c r="BL219" s="166"/>
      <c r="BM219" s="2"/>
      <c r="BN219" s="2"/>
      <c r="BO219" s="2"/>
      <c r="BP219" s="2"/>
      <c r="BQ219" s="2"/>
      <c r="BR219" s="2"/>
      <c r="BS219" s="2"/>
      <c r="BT219" s="2"/>
      <c r="BU219" s="2"/>
      <c r="BV219" s="2"/>
      <c r="BW219" s="2"/>
    </row>
    <row r="220" spans="1:95" ht="13.25" thickBot="1" x14ac:dyDescent="0.3">
      <c r="O220" s="1650" t="str">
        <f>'A1. Submodels &amp; data'!B211</f>
        <v xml:space="preserve"> - Kyrgyzstan</v>
      </c>
      <c r="P220" s="180">
        <v>68</v>
      </c>
      <c r="Q220" s="77" t="s">
        <v>1936</v>
      </c>
      <c r="R220" s="180"/>
      <c r="S220" s="180">
        <f>0</f>
        <v>0</v>
      </c>
      <c r="T220" s="180" t="str">
        <f>'3.Sequestration'!AE71</f>
        <v>Asia, continental</v>
      </c>
      <c r="U220" s="356"/>
      <c r="V220" s="2"/>
      <c r="W220" s="1641"/>
      <c r="X220" s="1642"/>
      <c r="Y220" s="1642"/>
      <c r="Z220" s="1642"/>
      <c r="AA220" s="1642"/>
      <c r="AB220" s="1642"/>
      <c r="AC220" s="1642"/>
      <c r="AD220" s="1642"/>
      <c r="AE220" s="1642"/>
      <c r="AF220" s="1642"/>
      <c r="AG220" s="1642"/>
      <c r="AH220" s="1642"/>
      <c r="AI220" s="1642"/>
      <c r="AJ220" s="1642"/>
      <c r="AK220" s="1642"/>
      <c r="AL220" s="1642"/>
      <c r="AM220" s="1643"/>
      <c r="AN220" s="2"/>
      <c r="AO220" s="2"/>
      <c r="AP220" s="2"/>
      <c r="AQ220" s="1639"/>
      <c r="AR220" s="180">
        <f>'A1. Submodels &amp; data'!A445</f>
        <v>20</v>
      </c>
      <c r="AS220" s="180" t="str">
        <f>'A1. Submodels &amp; data'!B445</f>
        <v>Tea</v>
      </c>
      <c r="AT220" s="180" t="str">
        <f>'A1. Submodels &amp; data'!C445</f>
        <v>Tree Crop</v>
      </c>
      <c r="AU220" s="180" t="str">
        <f>'A1. Submodels &amp; data'!D445</f>
        <v>Other crop</v>
      </c>
      <c r="AV220" s="180">
        <v>0</v>
      </c>
      <c r="AW220" s="149"/>
      <c r="AX220" s="3"/>
      <c r="AY220" s="3"/>
      <c r="AZ220" s="3"/>
      <c r="BA220" s="3"/>
      <c r="BB220" s="149"/>
      <c r="BC220" s="149"/>
      <c r="BD220" s="149"/>
      <c r="BE220" s="149"/>
      <c r="BF220" s="149"/>
      <c r="BG220" s="3"/>
      <c r="BH220" s="3"/>
      <c r="BI220" s="3"/>
      <c r="BJ220" s="1638"/>
      <c r="BK220" s="2"/>
      <c r="BL220" s="2"/>
      <c r="BM220" s="2"/>
      <c r="BN220" s="2"/>
      <c r="BO220" s="2"/>
      <c r="BP220" s="2"/>
      <c r="BQ220" s="2"/>
      <c r="BR220" s="2"/>
      <c r="BS220" s="2"/>
      <c r="BT220" s="2"/>
      <c r="BU220" s="2"/>
      <c r="BV220" s="2"/>
      <c r="BW220" s="2"/>
    </row>
    <row r="221" spans="1:95" x14ac:dyDescent="0.25">
      <c r="O221" s="1650" t="str">
        <f>'A1. Submodels &amp; data'!B212</f>
        <v xml:space="preserve"> - Latvia</v>
      </c>
      <c r="P221" s="180">
        <v>69</v>
      </c>
      <c r="Q221" s="77" t="s">
        <v>721</v>
      </c>
      <c r="R221" s="77"/>
      <c r="S221" s="180">
        <f>0</f>
        <v>0</v>
      </c>
      <c r="T221" s="180" t="str">
        <f t="shared" si="24"/>
        <v>Eastern Europe</v>
      </c>
      <c r="U221" s="356"/>
      <c r="V221" s="2"/>
      <c r="W221" s="2"/>
      <c r="X221" s="2"/>
      <c r="Y221" s="2"/>
      <c r="Z221" s="2"/>
      <c r="AA221" s="2"/>
      <c r="AB221" s="2"/>
      <c r="AC221" s="2"/>
      <c r="AD221" s="2"/>
      <c r="AE221" s="2"/>
      <c r="AF221" s="2"/>
      <c r="AG221" s="2"/>
      <c r="AH221" s="2"/>
      <c r="AI221" s="2"/>
      <c r="AJ221" s="2"/>
      <c r="AK221" s="2"/>
      <c r="AL221" s="2"/>
      <c r="AM221" s="2"/>
      <c r="AN221" s="2"/>
      <c r="AO221" s="2"/>
      <c r="AP221" s="2"/>
      <c r="AQ221" s="1639"/>
      <c r="AR221" s="180">
        <f>'A1. Submodels &amp; data'!A446</f>
        <v>21</v>
      </c>
      <c r="AS221" s="180" t="str">
        <f>'A1. Submodels &amp; data'!B446</f>
        <v>Tomato</v>
      </c>
      <c r="AT221" s="180" t="str">
        <f>'A1. Submodels &amp; data'!C446</f>
        <v>Tomato</v>
      </c>
      <c r="AU221" s="180" t="str">
        <f>'A1. Submodels &amp; data'!D446</f>
        <v>Other crop</v>
      </c>
      <c r="AV221" s="180">
        <v>0</v>
      </c>
      <c r="AW221" s="149"/>
      <c r="AX221" s="3"/>
      <c r="AY221" s="3"/>
      <c r="AZ221" s="3"/>
      <c r="BA221" s="3"/>
      <c r="BB221" s="149"/>
      <c r="BC221" s="149"/>
      <c r="BD221" s="149"/>
      <c r="BE221" s="149"/>
      <c r="BF221" s="149"/>
      <c r="BG221" s="3"/>
      <c r="BH221" s="3"/>
      <c r="BI221" s="3"/>
      <c r="BJ221" s="1638"/>
      <c r="BK221" s="2"/>
      <c r="BL221" s="2"/>
      <c r="BM221" s="2"/>
      <c r="BN221" s="2"/>
      <c r="BO221" s="2"/>
      <c r="BP221" s="2"/>
      <c r="BQ221" s="2"/>
      <c r="BR221" s="2"/>
      <c r="BS221" s="2"/>
      <c r="BT221" s="2"/>
      <c r="BU221" s="2"/>
      <c r="BV221" s="2"/>
      <c r="BW221" s="2"/>
    </row>
    <row r="222" spans="1:95" x14ac:dyDescent="0.25">
      <c r="O222" s="1650" t="str">
        <f>'A1. Submodels &amp; data'!B213</f>
        <v xml:space="preserve"> - Lebanon</v>
      </c>
      <c r="P222" s="180">
        <v>70</v>
      </c>
      <c r="Q222" s="77" t="s">
        <v>351</v>
      </c>
      <c r="R222" s="180"/>
      <c r="S222" s="180">
        <f>0</f>
        <v>0</v>
      </c>
      <c r="T222" s="180" t="str">
        <f t="shared" si="24"/>
        <v>Middle East</v>
      </c>
      <c r="U222" s="356"/>
      <c r="V222" s="2"/>
      <c r="W222" s="2"/>
      <c r="X222" s="2"/>
      <c r="Y222" s="2"/>
      <c r="Z222" s="2"/>
      <c r="AA222" s="2"/>
      <c r="AB222" s="2"/>
      <c r="AC222" s="2"/>
      <c r="AD222" s="2"/>
      <c r="AE222" s="2"/>
      <c r="AF222" s="2"/>
      <c r="AG222" s="2"/>
      <c r="AH222" s="2"/>
      <c r="AI222" s="2"/>
      <c r="AJ222" s="2"/>
      <c r="AK222" s="2"/>
      <c r="AL222" s="2"/>
      <c r="AM222" s="2"/>
      <c r="AN222" s="2"/>
      <c r="AO222" s="2"/>
      <c r="AP222" s="2"/>
      <c r="AQ222" s="1639"/>
      <c r="AR222" s="180">
        <f>'A1. Submodels &amp; data'!A447</f>
        <v>22</v>
      </c>
      <c r="AS222" s="180" t="str">
        <f>'A1. Submodels &amp; data'!B447</f>
        <v>Tree Crop</v>
      </c>
      <c r="AT222" s="180" t="str">
        <f>'A1. Submodels &amp; data'!C447</f>
        <v>Bush crop</v>
      </c>
      <c r="AU222" s="180" t="str">
        <f>'A1. Submodels &amp; data'!D447</f>
        <v>Other crop</v>
      </c>
      <c r="AV222" s="180">
        <v>0</v>
      </c>
      <c r="AW222" s="149"/>
      <c r="AX222" s="3"/>
      <c r="AY222" s="3"/>
      <c r="AZ222" s="3"/>
      <c r="BA222" s="3"/>
      <c r="BB222" s="149"/>
      <c r="BC222" s="149"/>
      <c r="BD222" s="149"/>
      <c r="BE222" s="149"/>
      <c r="BF222" s="149"/>
      <c r="BG222" s="3"/>
      <c r="BH222" s="3"/>
      <c r="BI222" s="3"/>
      <c r="BJ222" s="1638"/>
      <c r="BK222" s="2"/>
      <c r="BL222" s="2"/>
      <c r="BM222" s="2"/>
      <c r="BN222" s="2"/>
      <c r="BO222" s="2"/>
      <c r="BP222" s="2"/>
      <c r="BQ222" s="2"/>
      <c r="BR222" s="2"/>
      <c r="BS222" s="2"/>
      <c r="BT222" s="2"/>
      <c r="BU222" s="2"/>
      <c r="BV222" s="2"/>
      <c r="BW222" s="2"/>
    </row>
    <row r="223" spans="1:95" x14ac:dyDescent="0.25">
      <c r="O223" s="1650" t="str">
        <f>'A1. Submodels &amp; data'!B214</f>
        <v xml:space="preserve"> - Libya</v>
      </c>
      <c r="P223" s="180">
        <v>71</v>
      </c>
      <c r="Q223" s="77" t="s">
        <v>212</v>
      </c>
      <c r="R223" s="180"/>
      <c r="S223" s="180">
        <f>0</f>
        <v>0</v>
      </c>
      <c r="T223" s="180" t="str">
        <f t="shared" si="24"/>
        <v>Africa</v>
      </c>
      <c r="U223" s="356"/>
      <c r="V223" s="2"/>
      <c r="W223" s="2"/>
      <c r="X223" s="2"/>
      <c r="Y223" s="2"/>
      <c r="Z223" s="2"/>
      <c r="AA223" s="2"/>
      <c r="AB223" s="2"/>
      <c r="AC223" s="2"/>
      <c r="AD223" s="2"/>
      <c r="AE223" s="2"/>
      <c r="AF223" s="2"/>
      <c r="AG223" s="2"/>
      <c r="AH223" s="2"/>
      <c r="AI223" s="2"/>
      <c r="AJ223" s="2"/>
      <c r="AK223" s="2"/>
      <c r="AL223" s="2"/>
      <c r="AM223" s="2"/>
      <c r="AN223" s="2"/>
      <c r="AO223" s="2"/>
      <c r="AP223" s="2"/>
      <c r="AQ223" s="1639"/>
      <c r="AR223" s="180">
        <f>'A1. Submodels &amp; data'!A448</f>
        <v>23</v>
      </c>
      <c r="AS223" s="180" t="str">
        <f>'A1. Submodels &amp; data'!B448</f>
        <v>Vegetable</v>
      </c>
      <c r="AT223" s="180" t="str">
        <f>'A1. Submodels &amp; data'!C448</f>
        <v>Vegetable</v>
      </c>
      <c r="AU223" s="180" t="str">
        <f>'A1. Submodels &amp; data'!D448</f>
        <v>Other crop</v>
      </c>
      <c r="AV223" s="180">
        <v>0</v>
      </c>
      <c r="AW223" s="149"/>
      <c r="AX223" s="3"/>
      <c r="AY223" s="3"/>
      <c r="AZ223" s="3"/>
      <c r="BA223" s="3"/>
      <c r="BB223" s="149"/>
      <c r="BC223" s="149"/>
      <c r="BD223" s="149"/>
      <c r="BE223" s="149"/>
      <c r="BF223" s="149"/>
      <c r="BG223" s="3"/>
      <c r="BH223" s="3"/>
      <c r="BI223" s="3"/>
      <c r="BJ223" s="1638"/>
      <c r="BK223" s="2"/>
      <c r="BL223" s="2"/>
      <c r="BM223" s="2"/>
      <c r="BN223" s="2"/>
      <c r="BO223" s="2"/>
      <c r="BP223" s="2"/>
      <c r="BQ223" s="2"/>
      <c r="BR223" s="2"/>
      <c r="BS223" s="2"/>
      <c r="BT223" s="2"/>
      <c r="BU223" s="2"/>
      <c r="BV223" s="2"/>
      <c r="BW223" s="2"/>
    </row>
    <row r="224" spans="1:95" x14ac:dyDescent="0.25">
      <c r="O224" s="1650" t="str">
        <f>'A1. Submodels &amp; data'!B215</f>
        <v xml:space="preserve"> - Lithuania</v>
      </c>
      <c r="P224" s="180">
        <v>72</v>
      </c>
      <c r="Q224" s="77" t="s">
        <v>721</v>
      </c>
      <c r="R224" s="180"/>
      <c r="S224" s="180">
        <f>0</f>
        <v>0</v>
      </c>
      <c r="T224" s="180" t="str">
        <f t="shared" si="24"/>
        <v>Eastern Europe</v>
      </c>
      <c r="U224" s="356"/>
      <c r="V224" s="2"/>
      <c r="W224" s="2"/>
      <c r="X224" s="2"/>
      <c r="Y224" s="2"/>
      <c r="Z224" s="2"/>
      <c r="AA224" s="2"/>
      <c r="AB224" s="2"/>
      <c r="AC224" s="2"/>
      <c r="AD224" s="2"/>
      <c r="AE224" s="2"/>
      <c r="AF224" s="2"/>
      <c r="AG224" s="2"/>
      <c r="AH224" s="2"/>
      <c r="AI224" s="2"/>
      <c r="AJ224" s="2"/>
      <c r="AK224" s="2"/>
      <c r="AL224" s="2"/>
      <c r="AM224" s="2"/>
      <c r="AN224" s="2"/>
      <c r="AO224" s="2"/>
      <c r="AP224" s="2"/>
      <c r="AQ224" s="1639"/>
      <c r="AR224" s="180">
        <f>'A1. Submodels &amp; data'!A449</f>
        <v>24</v>
      </c>
      <c r="AS224" s="180" t="str">
        <f>'A1. Submodels &amp; data'!B449</f>
        <v>Winter wheat</v>
      </c>
      <c r="AT224" s="180" t="str">
        <f>'A1. Submodels &amp; data'!C449</f>
        <v>Grain</v>
      </c>
      <c r="AU224" s="180" t="str">
        <f>'A1. Submodels &amp; data'!D449</f>
        <v>Other crop</v>
      </c>
      <c r="AV224" s="180">
        <v>0</v>
      </c>
      <c r="AW224" s="149"/>
      <c r="AX224" s="3"/>
      <c r="AY224" s="3"/>
      <c r="AZ224" s="3"/>
      <c r="BA224" s="3"/>
      <c r="BB224" s="149"/>
      <c r="BC224" s="149"/>
      <c r="BD224" s="149"/>
      <c r="BE224" s="149"/>
      <c r="BF224" s="149"/>
      <c r="BG224" s="3"/>
      <c r="BH224" s="3"/>
      <c r="BI224" s="3"/>
      <c r="BJ224" s="1638"/>
      <c r="BK224" s="2"/>
      <c r="BL224" s="2"/>
      <c r="BM224" s="2"/>
      <c r="BN224" s="2"/>
      <c r="BO224" s="2"/>
      <c r="BP224" s="2"/>
      <c r="BQ224" s="2"/>
      <c r="BR224" s="2"/>
      <c r="BS224" s="2"/>
      <c r="BT224" s="2"/>
      <c r="BU224" s="2"/>
      <c r="BV224" s="2"/>
      <c r="BW224" s="2"/>
    </row>
    <row r="225" spans="15:75" x14ac:dyDescent="0.25">
      <c r="O225" s="1650" t="str">
        <f>'A1. Submodels &amp; data'!B216</f>
        <v xml:space="preserve"> - Luxembourg</v>
      </c>
      <c r="P225" s="180">
        <v>73</v>
      </c>
      <c r="Q225" s="77" t="s">
        <v>771</v>
      </c>
      <c r="R225" s="180"/>
      <c r="S225" s="180">
        <v>1</v>
      </c>
      <c r="T225" s="180" t="str">
        <f t="shared" si="24"/>
        <v>Western Europe</v>
      </c>
      <c r="U225" s="356"/>
      <c r="V225" s="2"/>
      <c r="W225" s="2"/>
      <c r="X225" s="2"/>
      <c r="Y225" s="2"/>
      <c r="Z225" s="2"/>
      <c r="AA225" s="2"/>
      <c r="AB225" s="2"/>
      <c r="AC225" s="2"/>
      <c r="AD225" s="2"/>
      <c r="AE225" s="2"/>
      <c r="AF225" s="2"/>
      <c r="AG225" s="2"/>
      <c r="AH225" s="2"/>
      <c r="AI225" s="2"/>
      <c r="AJ225" s="2"/>
      <c r="AK225" s="2"/>
      <c r="AL225" s="2"/>
      <c r="AM225" s="2"/>
      <c r="AN225" s="2"/>
      <c r="AO225" s="2"/>
      <c r="AP225" s="2"/>
      <c r="AQ225" s="1639"/>
      <c r="AR225" s="180">
        <f>'A1. Submodels &amp; data'!A450</f>
        <v>25</v>
      </c>
      <c r="AS225" s="180" t="str">
        <f>'A1. Submodels &amp; data'!B450</f>
        <v>Other grain</v>
      </c>
      <c r="AT225" s="180" t="str">
        <f>'A1. Submodels &amp; data'!C450</f>
        <v>Grain</v>
      </c>
      <c r="AU225" s="180" t="str">
        <f>'A1. Submodels &amp; data'!D450</f>
        <v>Other crop</v>
      </c>
      <c r="AV225" s="180">
        <v>0</v>
      </c>
      <c r="AW225" s="149"/>
      <c r="AX225" s="3"/>
      <c r="AY225" s="3"/>
      <c r="AZ225" s="3"/>
      <c r="BA225" s="3"/>
      <c r="BB225" s="149"/>
      <c r="BC225" s="149"/>
      <c r="BD225" s="149"/>
      <c r="BE225" s="149"/>
      <c r="BF225" s="149"/>
      <c r="BG225" s="3"/>
      <c r="BH225" s="3"/>
      <c r="BI225" s="3"/>
      <c r="BJ225" s="1638"/>
      <c r="BK225" s="2"/>
      <c r="BL225" s="2"/>
      <c r="BM225" s="2"/>
      <c r="BN225" s="2"/>
      <c r="BO225" s="2"/>
      <c r="BP225" s="2"/>
      <c r="BQ225" s="2"/>
      <c r="BR225" s="2"/>
      <c r="BS225" s="2"/>
      <c r="BT225" s="2"/>
      <c r="BU225" s="2"/>
      <c r="BV225" s="2"/>
      <c r="BW225" s="2"/>
    </row>
    <row r="226" spans="15:75" x14ac:dyDescent="0.25">
      <c r="O226" s="1650" t="str">
        <f>'A1. Submodels &amp; data'!B217</f>
        <v xml:space="preserve"> - Malaysia</v>
      </c>
      <c r="P226" s="180">
        <v>74</v>
      </c>
      <c r="Q226" s="77" t="s">
        <v>1936</v>
      </c>
      <c r="R226" s="180"/>
      <c r="S226" s="180">
        <f>0</f>
        <v>0</v>
      </c>
      <c r="T226" s="180" t="s">
        <v>1745</v>
      </c>
      <c r="U226" s="356"/>
      <c r="V226" s="2"/>
      <c r="W226" s="2"/>
      <c r="X226" s="2"/>
      <c r="Y226" s="2"/>
      <c r="Z226" s="2"/>
      <c r="AA226" s="2"/>
      <c r="AB226" s="2"/>
      <c r="AC226" s="2"/>
      <c r="AD226" s="2"/>
      <c r="AE226" s="2"/>
      <c r="AF226" s="2"/>
      <c r="AG226" s="2"/>
      <c r="AH226" s="2"/>
      <c r="AI226" s="2"/>
      <c r="AJ226" s="2"/>
      <c r="AK226" s="2"/>
      <c r="AL226" s="2"/>
      <c r="AM226" s="2"/>
      <c r="AN226" s="2"/>
      <c r="AO226" s="2"/>
      <c r="AP226" s="2"/>
      <c r="AQ226" s="1639"/>
      <c r="AR226" s="180">
        <f>'A1. Submodels &amp; data'!A451</f>
        <v>26</v>
      </c>
      <c r="AS226" s="180" t="str">
        <f>'A1. Submodels &amp; data'!B451</f>
        <v>Other legume</v>
      </c>
      <c r="AT226" s="180" t="str">
        <f>'A1. Submodels &amp; data'!C451</f>
        <v>Beans &amp; pulses</v>
      </c>
      <c r="AU226" s="180" t="str">
        <f>'A1. Submodels &amp; data'!D451</f>
        <v>Legume</v>
      </c>
      <c r="AV226" s="180">
        <v>0</v>
      </c>
      <c r="AW226" s="149"/>
      <c r="AX226" s="3"/>
      <c r="AY226" s="3"/>
      <c r="AZ226" s="3"/>
      <c r="BA226" s="3"/>
      <c r="BB226" s="149"/>
      <c r="BC226" s="149"/>
      <c r="BD226" s="149"/>
      <c r="BE226" s="149"/>
      <c r="BF226" s="149"/>
      <c r="BG226" s="3"/>
      <c r="BH226" s="3"/>
      <c r="BI226" s="3"/>
      <c r="BJ226" s="1638"/>
      <c r="BK226" s="2"/>
      <c r="BL226" s="2"/>
      <c r="BM226" s="2"/>
      <c r="BN226" s="2"/>
      <c r="BO226" s="2"/>
      <c r="BP226" s="2"/>
      <c r="BQ226" s="2"/>
      <c r="BR226" s="2"/>
      <c r="BS226" s="2"/>
      <c r="BT226" s="2"/>
      <c r="BU226" s="2"/>
      <c r="BV226" s="2"/>
      <c r="BW226" s="2"/>
    </row>
    <row r="227" spans="15:75" x14ac:dyDescent="0.25">
      <c r="O227" s="1650" t="str">
        <f>'A1. Submodels &amp; data'!B218</f>
        <v xml:space="preserve"> - Malta</v>
      </c>
      <c r="P227" s="180">
        <v>75</v>
      </c>
      <c r="Q227" s="77" t="s">
        <v>771</v>
      </c>
      <c r="R227" s="180"/>
      <c r="S227" s="180">
        <v>1</v>
      </c>
      <c r="T227" s="180" t="str">
        <f t="shared" si="24"/>
        <v>Western Europe</v>
      </c>
      <c r="U227" s="356"/>
      <c r="V227" s="2"/>
      <c r="W227" s="2"/>
      <c r="X227" s="2"/>
      <c r="Y227" s="2"/>
      <c r="Z227" s="2"/>
      <c r="AA227" s="2"/>
      <c r="AB227" s="2"/>
      <c r="AC227" s="2"/>
      <c r="AD227" s="2"/>
      <c r="AE227" s="2"/>
      <c r="AF227" s="2"/>
      <c r="AG227" s="2"/>
      <c r="AH227" s="2"/>
      <c r="AI227" s="2"/>
      <c r="AJ227" s="2"/>
      <c r="AK227" s="2"/>
      <c r="AL227" s="2"/>
      <c r="AM227" s="2"/>
      <c r="AN227" s="2"/>
      <c r="AO227" s="2"/>
      <c r="AP227" s="2"/>
      <c r="AQ227" s="1639"/>
      <c r="AR227" s="180">
        <f>'A1. Submodels &amp; data'!A452</f>
        <v>27</v>
      </c>
      <c r="AS227" s="180" t="str">
        <f>'A1. Submodels &amp; data'!B452</f>
        <v>Other N-fixing forage</v>
      </c>
      <c r="AT227" s="180" t="str">
        <f>'A1. Submodels &amp; data'!C452</f>
        <v>N-fixing forage</v>
      </c>
      <c r="AU227" s="180" t="str">
        <f>'A1. Submodels &amp; data'!D452</f>
        <v>Legume</v>
      </c>
      <c r="AV227" s="180">
        <v>0</v>
      </c>
      <c r="AW227" s="149"/>
      <c r="AX227" s="3"/>
      <c r="AY227" s="3"/>
      <c r="AZ227" s="3"/>
      <c r="BA227" s="3"/>
      <c r="BB227" s="149"/>
      <c r="BC227" s="149"/>
      <c r="BD227" s="149"/>
      <c r="BE227" s="149"/>
      <c r="BF227" s="149"/>
      <c r="BG227" s="3"/>
      <c r="BH227" s="3"/>
      <c r="BI227" s="3"/>
      <c r="BJ227" s="1638"/>
      <c r="BK227" s="2"/>
      <c r="BL227" s="2"/>
      <c r="BM227" s="2"/>
      <c r="BN227" s="2"/>
      <c r="BO227" s="2"/>
      <c r="BP227" s="2"/>
      <c r="BQ227" s="2"/>
      <c r="BR227" s="2"/>
      <c r="BS227" s="2"/>
      <c r="BT227" s="2"/>
      <c r="BU227" s="2"/>
      <c r="BV227" s="2"/>
      <c r="BW227" s="2"/>
    </row>
    <row r="228" spans="15:75" x14ac:dyDescent="0.25">
      <c r="O228" s="1650" t="str">
        <f>'A1. Submodels &amp; data'!B219</f>
        <v xml:space="preserve"> - Mexico</v>
      </c>
      <c r="P228" s="180">
        <v>76</v>
      </c>
      <c r="Q228" s="77" t="s">
        <v>2049</v>
      </c>
      <c r="R228" s="180"/>
      <c r="S228" s="180">
        <f>0</f>
        <v>0</v>
      </c>
      <c r="T228" s="180" t="str">
        <f t="shared" si="24"/>
        <v>North America</v>
      </c>
      <c r="U228" s="356"/>
      <c r="V228" s="2"/>
      <c r="W228" s="2"/>
      <c r="X228" s="2"/>
      <c r="Y228" s="2"/>
      <c r="Z228" s="2"/>
      <c r="AA228" s="2"/>
      <c r="AB228" s="2"/>
      <c r="AC228" s="2"/>
      <c r="AD228" s="2"/>
      <c r="AE228" s="2"/>
      <c r="AF228" s="2"/>
      <c r="AG228" s="2"/>
      <c r="AH228" s="2"/>
      <c r="AI228" s="2"/>
      <c r="AJ228" s="2"/>
      <c r="AK228" s="2"/>
      <c r="AL228" s="2"/>
      <c r="AM228" s="2"/>
      <c r="AN228" s="2"/>
      <c r="AO228" s="2"/>
      <c r="AP228" s="2"/>
      <c r="AQ228" s="1639"/>
      <c r="AR228" s="180">
        <f>'A1. Submodels &amp; data'!A453</f>
        <v>28</v>
      </c>
      <c r="AS228" s="180" t="str">
        <f>'A1. Submodels &amp; data'!B453</f>
        <v>Other Non-N-fixing forage</v>
      </c>
      <c r="AT228" s="180" t="str">
        <f>'A1. Submodels &amp; data'!C453</f>
        <v>Non-N-fixing forage</v>
      </c>
      <c r="AU228" s="180" t="str">
        <f>'A1. Submodels &amp; data'!D453</f>
        <v>Grass</v>
      </c>
      <c r="AV228" s="180">
        <v>0</v>
      </c>
      <c r="AW228" s="149"/>
      <c r="AX228" s="3"/>
      <c r="AY228" s="3"/>
      <c r="AZ228" s="3"/>
      <c r="BA228" s="3"/>
      <c r="BB228" s="149"/>
      <c r="BC228" s="149"/>
      <c r="BD228" s="149"/>
      <c r="BE228" s="149"/>
      <c r="BF228" s="149"/>
      <c r="BG228" s="3"/>
      <c r="BH228" s="3"/>
      <c r="BI228" s="3"/>
      <c r="BJ228" s="1638"/>
      <c r="BK228" s="2"/>
      <c r="BL228" s="2"/>
      <c r="BM228" s="2"/>
      <c r="BN228" s="2"/>
      <c r="BO228" s="2"/>
      <c r="BP228" s="2"/>
      <c r="BQ228" s="2"/>
      <c r="BR228" s="2"/>
      <c r="BS228" s="2"/>
      <c r="BT228" s="2"/>
      <c r="BU228" s="2"/>
      <c r="BV228" s="2"/>
      <c r="BW228" s="2"/>
    </row>
    <row r="229" spans="15:75" x14ac:dyDescent="0.25">
      <c r="O229" s="1650" t="str">
        <f>'A1. Submodels &amp; data'!B220</f>
        <v xml:space="preserve"> - Moldova</v>
      </c>
      <c r="P229" s="180">
        <v>77</v>
      </c>
      <c r="Q229" s="77" t="s">
        <v>721</v>
      </c>
      <c r="R229" s="180"/>
      <c r="S229" s="180">
        <f>0</f>
        <v>0</v>
      </c>
      <c r="T229" s="180" t="str">
        <f t="shared" si="24"/>
        <v>Eastern Europe</v>
      </c>
      <c r="U229" s="356"/>
      <c r="V229" s="2"/>
      <c r="W229" s="2"/>
      <c r="X229" s="2"/>
      <c r="Y229" s="2"/>
      <c r="Z229" s="2"/>
      <c r="AA229" s="2"/>
      <c r="AB229" s="2"/>
      <c r="AC229" s="2"/>
      <c r="AD229" s="2"/>
      <c r="AE229" s="2"/>
      <c r="AF229" s="2"/>
      <c r="AG229" s="2"/>
      <c r="AH229" s="2"/>
      <c r="AI229" s="2"/>
      <c r="AJ229" s="2"/>
      <c r="AK229" s="2"/>
      <c r="AL229" s="2"/>
      <c r="AM229" s="2"/>
      <c r="AN229" s="2"/>
      <c r="AO229" s="2"/>
      <c r="AP229" s="2"/>
      <c r="AQ229" s="1639"/>
      <c r="AR229" s="180">
        <f>'A1. Submodels &amp; data'!A454</f>
        <v>29</v>
      </c>
      <c r="AS229" s="180" t="str">
        <f>'A1. Submodels &amp; data'!B454</f>
        <v>Other root crops</v>
      </c>
      <c r="AT229" s="180" t="str">
        <f>'A1. Submodels &amp; data'!C454</f>
        <v>Root crop</v>
      </c>
      <c r="AU229" s="180" t="str">
        <f>'A1. Submodels &amp; data'!D454</f>
        <v>Other crop</v>
      </c>
      <c r="AV229" s="180">
        <v>0</v>
      </c>
      <c r="AW229" s="149"/>
      <c r="AX229" s="3"/>
      <c r="AY229" s="3"/>
      <c r="AZ229" s="3"/>
      <c r="BA229" s="3"/>
      <c r="BB229" s="149"/>
      <c r="BC229" s="149"/>
      <c r="BD229" s="149"/>
      <c r="BE229" s="149"/>
      <c r="BF229" s="149"/>
      <c r="BG229" s="3"/>
      <c r="BH229" s="3"/>
      <c r="BI229" s="3"/>
      <c r="BJ229" s="1638"/>
      <c r="BK229" s="2"/>
      <c r="BL229" s="2"/>
      <c r="BM229" s="2"/>
      <c r="BN229" s="2"/>
      <c r="BO229" s="2"/>
      <c r="BP229" s="2"/>
      <c r="BQ229" s="2"/>
      <c r="BR229" s="2"/>
      <c r="BS229" s="2"/>
      <c r="BT229" s="2"/>
      <c r="BU229" s="2"/>
      <c r="BV229" s="2"/>
      <c r="BW229" s="2"/>
    </row>
    <row r="230" spans="15:75" x14ac:dyDescent="0.25">
      <c r="O230" s="1650" t="str">
        <f>'A1. Submodels &amp; data'!B221</f>
        <v xml:space="preserve"> - Morocco</v>
      </c>
      <c r="P230" s="180">
        <v>78</v>
      </c>
      <c r="Q230" s="77" t="s">
        <v>212</v>
      </c>
      <c r="R230" s="180"/>
      <c r="S230" s="180">
        <f>0</f>
        <v>0</v>
      </c>
      <c r="T230" s="180" t="str">
        <f t="shared" si="24"/>
        <v>Africa</v>
      </c>
      <c r="U230" s="356"/>
      <c r="V230" s="2"/>
      <c r="W230" s="2"/>
      <c r="X230" s="2"/>
      <c r="Y230" s="2"/>
      <c r="Z230" s="2"/>
      <c r="AA230" s="2"/>
      <c r="AB230" s="2"/>
      <c r="AC230" s="2"/>
      <c r="AD230" s="2"/>
      <c r="AE230" s="2"/>
      <c r="AF230" s="2"/>
      <c r="AG230" s="2"/>
      <c r="AH230" s="2"/>
      <c r="AI230" s="2"/>
      <c r="AJ230" s="2"/>
      <c r="AK230" s="2"/>
      <c r="AL230" s="2"/>
      <c r="AM230" s="2"/>
      <c r="AN230" s="2"/>
      <c r="AO230" s="2"/>
      <c r="AP230" s="2"/>
      <c r="AQ230" s="1639"/>
      <c r="AR230" s="180">
        <f>'A1. Submodels &amp; data'!A455</f>
        <v>30</v>
      </c>
      <c r="AS230" s="180" t="str">
        <f>'A1. Submodels &amp; data'!B455</f>
        <v>Other tuber crop</v>
      </c>
      <c r="AT230" s="180" t="str">
        <f>'A1. Submodels &amp; data'!C455</f>
        <v>Tuber</v>
      </c>
      <c r="AU230" s="180" t="str">
        <f>'A1. Submodels &amp; data'!D455</f>
        <v>Other crop</v>
      </c>
      <c r="AV230" s="180">
        <v>0</v>
      </c>
      <c r="AW230" s="149"/>
      <c r="AX230" s="3"/>
      <c r="AY230" s="3"/>
      <c r="AZ230" s="3"/>
      <c r="BA230" s="3"/>
      <c r="BB230" s="149"/>
      <c r="BC230" s="149"/>
      <c r="BD230" s="149"/>
      <c r="BE230" s="149"/>
      <c r="BF230" s="149"/>
      <c r="BG230" s="3"/>
      <c r="BH230" s="3"/>
      <c r="BI230" s="3"/>
      <c r="BJ230" s="1638"/>
      <c r="BK230" s="2"/>
      <c r="BL230" s="2"/>
      <c r="BM230" s="2"/>
      <c r="BN230" s="2"/>
      <c r="BO230" s="2"/>
      <c r="BP230" s="2"/>
      <c r="BQ230" s="2"/>
      <c r="BR230" s="2"/>
      <c r="BS230" s="2"/>
      <c r="BT230" s="2"/>
      <c r="BU230" s="2"/>
      <c r="BV230" s="2"/>
      <c r="BW230" s="2"/>
    </row>
    <row r="231" spans="15:75" x14ac:dyDescent="0.25">
      <c r="O231" s="1650" t="str">
        <f>'A1. Submodels &amp; data'!B222</f>
        <v xml:space="preserve"> - Mozambique</v>
      </c>
      <c r="P231" s="180">
        <v>79</v>
      </c>
      <c r="Q231" s="77" t="s">
        <v>212</v>
      </c>
      <c r="R231" s="180"/>
      <c r="S231" s="180">
        <f>0</f>
        <v>0</v>
      </c>
      <c r="T231" s="180" t="str">
        <f t="shared" si="24"/>
        <v>Africa</v>
      </c>
      <c r="U231" s="356"/>
      <c r="V231" s="2"/>
      <c r="W231" s="2"/>
      <c r="X231" s="2"/>
      <c r="Y231" s="2"/>
      <c r="Z231" s="2"/>
      <c r="AA231" s="2"/>
      <c r="AB231" s="2"/>
      <c r="AC231" s="2"/>
      <c r="AD231" s="2"/>
      <c r="AE231" s="2"/>
      <c r="AF231" s="2"/>
      <c r="AG231" s="2"/>
      <c r="AH231" s="2"/>
      <c r="AI231" s="2"/>
      <c r="AJ231" s="2"/>
      <c r="AK231" s="2"/>
      <c r="AL231" s="2"/>
      <c r="AM231" s="2"/>
      <c r="AN231" s="2"/>
      <c r="AO231" s="2"/>
      <c r="AP231" s="2"/>
      <c r="AQ231" s="1639"/>
      <c r="AR231" s="180">
        <f>'A1. Submodels &amp; data'!A456</f>
        <v>31</v>
      </c>
      <c r="AS231" s="180" t="str">
        <f>'A1. Submodels &amp; data'!B456</f>
        <v>Other</v>
      </c>
      <c r="AT231" s="180" t="str">
        <f>'A1. Submodels &amp; data'!C456</f>
        <v>Other</v>
      </c>
      <c r="AU231" s="180" t="str">
        <f>'A1. Submodels &amp; data'!D456</f>
        <v>Other crop</v>
      </c>
      <c r="AV231" s="180">
        <v>0</v>
      </c>
      <c r="AW231" s="149"/>
      <c r="AX231" s="3"/>
      <c r="AY231" s="3"/>
      <c r="AZ231" s="3"/>
      <c r="BA231" s="3"/>
      <c r="BB231" s="149"/>
      <c r="BC231" s="149"/>
      <c r="BD231" s="149"/>
      <c r="BE231" s="149"/>
      <c r="BF231" s="149"/>
      <c r="BG231" s="3"/>
      <c r="BH231" s="3"/>
      <c r="BI231" s="3"/>
      <c r="BJ231" s="1638"/>
      <c r="BK231" s="2"/>
      <c r="BL231" s="2"/>
      <c r="BM231" s="2"/>
      <c r="BN231" s="2"/>
      <c r="BO231" s="2"/>
      <c r="BP231" s="2"/>
      <c r="BQ231" s="2"/>
      <c r="BR231" s="2"/>
      <c r="BS231" s="2"/>
      <c r="BT231" s="2"/>
      <c r="BU231" s="2"/>
      <c r="BV231" s="2"/>
      <c r="BW231" s="2"/>
    </row>
    <row r="232" spans="15:75" x14ac:dyDescent="0.25">
      <c r="O232" s="1650" t="str">
        <f>'A1. Submodels &amp; data'!B223</f>
        <v xml:space="preserve"> - Myanmar</v>
      </c>
      <c r="P232" s="180">
        <v>80</v>
      </c>
      <c r="Q232" s="77" t="s">
        <v>1936</v>
      </c>
      <c r="R232" s="180"/>
      <c r="S232" s="180">
        <f>0</f>
        <v>0</v>
      </c>
      <c r="T232" s="180" t="str">
        <f>'3.Sequestration'!AE71</f>
        <v>Asia, continental</v>
      </c>
      <c r="U232" s="356"/>
      <c r="V232" s="2"/>
      <c r="W232" s="2"/>
      <c r="X232" s="2"/>
      <c r="Y232" s="2"/>
      <c r="Z232" s="2"/>
      <c r="AA232" s="2"/>
      <c r="AB232" s="2"/>
      <c r="AC232" s="2"/>
      <c r="AD232" s="2"/>
      <c r="AE232" s="2"/>
      <c r="AF232" s="2"/>
      <c r="AG232" s="2"/>
      <c r="AH232" s="2"/>
      <c r="AI232" s="2"/>
      <c r="AJ232" s="2"/>
      <c r="AK232" s="2"/>
      <c r="AL232" s="2"/>
      <c r="AM232" s="2"/>
      <c r="AN232" s="2"/>
      <c r="AO232" s="2"/>
      <c r="AP232" s="2"/>
      <c r="AQ232" s="1639"/>
      <c r="AR232" s="149"/>
      <c r="AS232" s="149"/>
      <c r="AT232" s="149"/>
      <c r="AU232" s="149"/>
      <c r="AV232" s="149"/>
      <c r="AW232" s="149"/>
      <c r="AX232" s="3"/>
      <c r="AY232" s="3"/>
      <c r="AZ232" s="3"/>
      <c r="BA232" s="3"/>
      <c r="BB232" s="149"/>
      <c r="BC232" s="149"/>
      <c r="BD232" s="149"/>
      <c r="BE232" s="149"/>
      <c r="BF232" s="149"/>
      <c r="BG232" s="3"/>
      <c r="BH232" s="3"/>
      <c r="BI232" s="3"/>
      <c r="BJ232" s="1638"/>
      <c r="BK232" s="2"/>
      <c r="BL232" s="2"/>
      <c r="BM232" s="2"/>
      <c r="BN232" s="2"/>
      <c r="BO232" s="2"/>
      <c r="BP232" s="2"/>
      <c r="BQ232" s="2"/>
      <c r="BR232" s="2"/>
      <c r="BS232" s="2"/>
      <c r="BT232" s="2"/>
      <c r="BU232" s="2"/>
      <c r="BV232" s="2"/>
      <c r="BW232" s="2"/>
    </row>
    <row r="233" spans="15:75" x14ac:dyDescent="0.25">
      <c r="O233" s="1650" t="str">
        <f>'A1. Submodels &amp; data'!B224</f>
        <v xml:space="preserve"> - Namibia</v>
      </c>
      <c r="P233" s="180">
        <v>81</v>
      </c>
      <c r="Q233" s="77" t="s">
        <v>212</v>
      </c>
      <c r="R233" s="180"/>
      <c r="S233" s="180">
        <f>0</f>
        <v>0</v>
      </c>
      <c r="T233" s="180" t="str">
        <f t="shared" si="24"/>
        <v>Africa</v>
      </c>
      <c r="U233" s="356"/>
      <c r="V233" s="2"/>
      <c r="W233" s="2"/>
      <c r="X233" s="2"/>
      <c r="Y233" s="2"/>
      <c r="Z233" s="2"/>
      <c r="AA233" s="2"/>
      <c r="AB233" s="2"/>
      <c r="AC233" s="2"/>
      <c r="AD233" s="2"/>
      <c r="AE233" s="2"/>
      <c r="AF233" s="2"/>
      <c r="AG233" s="2"/>
      <c r="AH233" s="2"/>
      <c r="AI233" s="2"/>
      <c r="AJ233" s="2"/>
      <c r="AK233" s="2"/>
      <c r="AL233" s="2"/>
      <c r="AM233" s="2"/>
      <c r="AN233" s="2"/>
      <c r="AO233" s="2"/>
      <c r="AP233" s="2"/>
      <c r="AQ233" s="1639"/>
      <c r="AR233" s="149"/>
      <c r="AS233" s="149"/>
      <c r="AT233" s="149"/>
      <c r="AU233" s="149"/>
      <c r="AV233" s="149"/>
      <c r="AW233" s="149"/>
      <c r="AX233" s="3"/>
      <c r="AY233" s="3"/>
      <c r="AZ233" s="3"/>
      <c r="BA233" s="3"/>
      <c r="BB233" s="149"/>
      <c r="BC233" s="149"/>
      <c r="BD233" s="149"/>
      <c r="BE233" s="149"/>
      <c r="BF233" s="149"/>
      <c r="BG233" s="3"/>
      <c r="BH233" s="3"/>
      <c r="BI233" s="3"/>
      <c r="BJ233" s="1638"/>
      <c r="BK233" s="2"/>
      <c r="BL233" s="2"/>
      <c r="BM233" s="2"/>
      <c r="BN233" s="2"/>
      <c r="BO233" s="2"/>
      <c r="BP233" s="2"/>
      <c r="BQ233" s="2"/>
      <c r="BR233" s="2"/>
      <c r="BS233" s="2"/>
      <c r="BT233" s="2"/>
      <c r="BU233" s="2"/>
      <c r="BV233" s="2"/>
      <c r="BW233" s="2"/>
    </row>
    <row r="234" spans="15:75" x14ac:dyDescent="0.25">
      <c r="O234" s="1650" t="str">
        <f>'A1. Submodels &amp; data'!B225</f>
        <v xml:space="preserve"> - Nepal</v>
      </c>
      <c r="P234" s="180">
        <v>82</v>
      </c>
      <c r="Q234" s="77" t="s">
        <v>637</v>
      </c>
      <c r="R234" s="180"/>
      <c r="S234" s="180">
        <f>0</f>
        <v>0</v>
      </c>
      <c r="T234" s="180" t="str">
        <f t="shared" si="24"/>
        <v>Indian Subcontinent</v>
      </c>
      <c r="U234" s="356"/>
      <c r="V234" s="2"/>
      <c r="W234" s="2"/>
      <c r="X234" s="2"/>
      <c r="Y234" s="2"/>
      <c r="Z234" s="2"/>
      <c r="AA234" s="2"/>
      <c r="AB234" s="2"/>
      <c r="AC234" s="2"/>
      <c r="AD234" s="2"/>
      <c r="AE234" s="2"/>
      <c r="AF234" s="2"/>
      <c r="AG234" s="2"/>
      <c r="AH234" s="2"/>
      <c r="AI234" s="2"/>
      <c r="AJ234" s="2"/>
      <c r="AK234" s="2"/>
      <c r="AL234" s="2"/>
      <c r="AM234" s="2"/>
      <c r="AN234" s="2"/>
      <c r="AO234" s="2"/>
      <c r="AP234" s="2"/>
      <c r="AQ234" s="1639"/>
      <c r="AR234" s="149"/>
      <c r="AS234" s="149"/>
      <c r="AT234" s="149"/>
      <c r="AU234" s="149"/>
      <c r="AV234" s="149"/>
      <c r="AW234" s="149"/>
      <c r="AX234" s="3"/>
      <c r="AY234" s="3"/>
      <c r="AZ234" s="3"/>
      <c r="BA234" s="3"/>
      <c r="BB234" s="149"/>
      <c r="BC234" s="149"/>
      <c r="BD234" s="149"/>
      <c r="BE234" s="149"/>
      <c r="BF234" s="149"/>
      <c r="BG234" s="3"/>
      <c r="BH234" s="3"/>
      <c r="BI234" s="3"/>
      <c r="BJ234" s="1638"/>
      <c r="BK234" s="2"/>
      <c r="BL234" s="2"/>
      <c r="BM234" s="2"/>
      <c r="BN234" s="2"/>
      <c r="BO234" s="2"/>
      <c r="BP234" s="2"/>
      <c r="BQ234" s="2"/>
      <c r="BR234" s="2"/>
      <c r="BS234" s="2"/>
      <c r="BT234" s="2"/>
      <c r="BU234" s="2"/>
      <c r="BV234" s="2"/>
      <c r="BW234" s="2"/>
    </row>
    <row r="235" spans="15:75" x14ac:dyDescent="0.25">
      <c r="O235" s="1650" t="str">
        <f>'A1. Submodels &amp; data'!B226</f>
        <v xml:space="preserve"> - Netherlands</v>
      </c>
      <c r="P235" s="180">
        <v>83</v>
      </c>
      <c r="Q235" s="77" t="s">
        <v>771</v>
      </c>
      <c r="R235" s="180"/>
      <c r="S235" s="180">
        <v>1</v>
      </c>
      <c r="T235" s="180" t="str">
        <f t="shared" si="24"/>
        <v>Western Europe</v>
      </c>
      <c r="U235" s="356"/>
      <c r="V235" s="2"/>
      <c r="W235" s="2"/>
      <c r="X235" s="2"/>
      <c r="Y235" s="2"/>
      <c r="Z235" s="2"/>
      <c r="AA235" s="2"/>
      <c r="AB235" s="2"/>
      <c r="AC235" s="2"/>
      <c r="AD235" s="2"/>
      <c r="AE235" s="2"/>
      <c r="AF235" s="2"/>
      <c r="AG235" s="2"/>
      <c r="AH235" s="2"/>
      <c r="AI235" s="2"/>
      <c r="AJ235" s="2"/>
      <c r="AK235" s="2"/>
      <c r="AL235" s="2"/>
      <c r="AM235" s="2"/>
      <c r="AN235" s="2"/>
      <c r="AO235" s="2"/>
      <c r="AP235" s="2"/>
      <c r="AQ235" s="1639"/>
      <c r="AR235" s="149"/>
      <c r="AS235" s="149"/>
      <c r="AT235" s="149"/>
      <c r="AU235" s="149"/>
      <c r="AV235" s="149"/>
      <c r="AW235" s="149"/>
      <c r="AX235" s="3"/>
      <c r="AY235" s="3"/>
      <c r="AZ235" s="3"/>
      <c r="BA235" s="3"/>
      <c r="BB235" s="149"/>
      <c r="BC235" s="149"/>
      <c r="BD235" s="149"/>
      <c r="BE235" s="149"/>
      <c r="BF235" s="149"/>
      <c r="BG235" s="3"/>
      <c r="BH235" s="3"/>
      <c r="BI235" s="3"/>
      <c r="BJ235" s="1638"/>
      <c r="BK235" s="2"/>
      <c r="BL235" s="2"/>
      <c r="BM235" s="2"/>
      <c r="BN235" s="2"/>
      <c r="BO235" s="2"/>
      <c r="BP235" s="2"/>
      <c r="BQ235" s="2"/>
      <c r="BR235" s="2"/>
      <c r="BS235" s="2"/>
      <c r="BT235" s="2"/>
      <c r="BU235" s="2"/>
      <c r="BV235" s="2"/>
      <c r="BW235" s="2"/>
    </row>
    <row r="236" spans="15:75" x14ac:dyDescent="0.25">
      <c r="O236" s="1650" t="str">
        <f>'A1. Submodels &amp; data'!B227</f>
        <v xml:space="preserve"> - Netherlands Antilles</v>
      </c>
      <c r="P236" s="180">
        <v>84</v>
      </c>
      <c r="Q236" s="77" t="s">
        <v>1695</v>
      </c>
      <c r="R236" s="180"/>
      <c r="S236" s="180">
        <f>0</f>
        <v>0</v>
      </c>
      <c r="T236" s="180" t="str">
        <f t="shared" si="24"/>
        <v>Latin America</v>
      </c>
      <c r="U236" s="356"/>
      <c r="V236" s="2"/>
      <c r="W236" s="2"/>
      <c r="X236" s="2"/>
      <c r="Y236" s="2"/>
      <c r="Z236" s="2"/>
      <c r="AA236" s="2"/>
      <c r="AB236" s="2"/>
      <c r="AC236" s="2"/>
      <c r="AD236" s="2"/>
      <c r="AE236" s="2"/>
      <c r="AF236" s="2"/>
      <c r="AG236" s="2"/>
      <c r="AH236" s="2"/>
      <c r="AI236" s="2"/>
      <c r="AJ236" s="2"/>
      <c r="AK236" s="2"/>
      <c r="AL236" s="2"/>
      <c r="AM236" s="2"/>
      <c r="AN236" s="2"/>
      <c r="AO236" s="2"/>
      <c r="AP236" s="2"/>
      <c r="AQ236" s="1639"/>
      <c r="AR236" s="180"/>
      <c r="AS236" s="180" t="s">
        <v>219</v>
      </c>
      <c r="AT236" s="180">
        <v>1</v>
      </c>
      <c r="AU236" s="180">
        <v>2</v>
      </c>
      <c r="AV236" s="149"/>
      <c r="AW236" s="149"/>
      <c r="AX236" s="3"/>
      <c r="AY236" s="3"/>
      <c r="AZ236" s="3"/>
      <c r="BA236" s="3"/>
      <c r="BB236" s="149"/>
      <c r="BC236" s="149"/>
      <c r="BD236" s="149"/>
      <c r="BE236" s="149"/>
      <c r="BF236" s="149"/>
      <c r="BG236" s="3"/>
      <c r="BH236" s="3"/>
      <c r="BI236" s="3"/>
      <c r="BJ236" s="1638"/>
      <c r="BK236" s="2"/>
      <c r="BL236" s="2"/>
      <c r="BM236" s="2"/>
      <c r="BN236" s="2"/>
      <c r="BO236" s="2"/>
      <c r="BP236" s="2"/>
      <c r="BQ236" s="2"/>
      <c r="BR236" s="2"/>
      <c r="BS236" s="2"/>
      <c r="BT236" s="2"/>
      <c r="BU236" s="2"/>
      <c r="BV236" s="2"/>
      <c r="BW236" s="2"/>
    </row>
    <row r="237" spans="15:75" x14ac:dyDescent="0.25">
      <c r="O237" s="1650" t="str">
        <f>'A1. Submodels &amp; data'!B228</f>
        <v xml:space="preserve"> - New Zealand</v>
      </c>
      <c r="P237" s="180">
        <v>85</v>
      </c>
      <c r="Q237" s="77" t="s">
        <v>722</v>
      </c>
      <c r="R237" s="180"/>
      <c r="S237" s="180">
        <v>1</v>
      </c>
      <c r="T237" s="180" t="str">
        <f t="shared" si="24"/>
        <v>Oceania</v>
      </c>
      <c r="U237" s="356"/>
      <c r="V237" s="2"/>
      <c r="W237" s="2"/>
      <c r="X237" s="2"/>
      <c r="Y237" s="2"/>
      <c r="Z237" s="2"/>
      <c r="AA237" s="2"/>
      <c r="AB237" s="2"/>
      <c r="AC237" s="2"/>
      <c r="AD237" s="2"/>
      <c r="AE237" s="2"/>
      <c r="AF237" s="2"/>
      <c r="AG237" s="2"/>
      <c r="AH237" s="2"/>
      <c r="AI237" s="2"/>
      <c r="AJ237" s="2"/>
      <c r="AK237" s="2"/>
      <c r="AL237" s="2"/>
      <c r="AM237" s="2"/>
      <c r="AN237" s="2"/>
      <c r="AO237" s="2"/>
      <c r="AP237" s="2"/>
      <c r="AQ237" s="1639"/>
      <c r="AR237" s="180"/>
      <c r="AS237" s="180"/>
      <c r="AT237" s="180" t="str">
        <f>BB167</f>
        <v>Grass</v>
      </c>
      <c r="AU237" s="180" t="s">
        <v>2034</v>
      </c>
      <c r="AV237" s="149"/>
      <c r="AW237" s="149"/>
      <c r="AX237" s="3"/>
      <c r="AY237" s="3"/>
      <c r="AZ237" s="3"/>
      <c r="BA237" s="3"/>
      <c r="BB237" s="149"/>
      <c r="BC237" s="149"/>
      <c r="BD237" s="149"/>
      <c r="BE237" s="149"/>
      <c r="BF237" s="149"/>
      <c r="BG237" s="3"/>
      <c r="BH237" s="3"/>
      <c r="BI237" s="3"/>
      <c r="BJ237" s="1638"/>
      <c r="BK237" s="2"/>
      <c r="BL237" s="2"/>
      <c r="BM237" s="2"/>
      <c r="BN237" s="2"/>
      <c r="BO237" s="2"/>
      <c r="BP237" s="2"/>
      <c r="BQ237" s="2"/>
      <c r="BR237" s="2"/>
      <c r="BS237" s="2"/>
      <c r="BT237" s="2"/>
      <c r="BU237" s="2"/>
      <c r="BV237" s="2"/>
      <c r="BW237" s="2"/>
    </row>
    <row r="238" spans="15:75" x14ac:dyDescent="0.25">
      <c r="O238" s="1650" t="str">
        <f>'A1. Submodels &amp; data'!B229</f>
        <v xml:space="preserve"> - Nicaragua</v>
      </c>
      <c r="P238" s="180">
        <v>86</v>
      </c>
      <c r="Q238" s="77" t="s">
        <v>1695</v>
      </c>
      <c r="R238" s="180"/>
      <c r="S238" s="180">
        <f>0</f>
        <v>0</v>
      </c>
      <c r="T238" s="180" t="str">
        <f t="shared" si="24"/>
        <v>Latin America</v>
      </c>
      <c r="U238" s="356"/>
      <c r="V238" s="2"/>
      <c r="W238" s="2"/>
      <c r="X238" s="2"/>
      <c r="Y238" s="2"/>
      <c r="Z238" s="2"/>
      <c r="AA238" s="2"/>
      <c r="AB238" s="2"/>
      <c r="AC238" s="2"/>
      <c r="AD238" s="2"/>
      <c r="AE238" s="2"/>
      <c r="AF238" s="2"/>
      <c r="AG238" s="2"/>
      <c r="AH238" s="2"/>
      <c r="AI238" s="2"/>
      <c r="AJ238" s="2"/>
      <c r="AK238" s="2"/>
      <c r="AL238" s="2"/>
      <c r="AM238" s="2"/>
      <c r="AN238" s="2"/>
      <c r="AO238" s="2"/>
      <c r="AP238" s="2"/>
      <c r="AQ238" s="1639"/>
      <c r="AR238" s="180">
        <v>0</v>
      </c>
      <c r="AS238" s="180" t="s">
        <v>228</v>
      </c>
      <c r="AT238" s="180">
        <v>1</v>
      </c>
      <c r="AU238" s="180">
        <v>1</v>
      </c>
      <c r="AV238" s="149"/>
      <c r="AW238" s="149"/>
      <c r="AX238" s="3"/>
      <c r="AY238" s="3"/>
      <c r="AZ238" s="3"/>
      <c r="BA238" s="3"/>
      <c r="BB238" s="149"/>
      <c r="BC238" s="149"/>
      <c r="BD238" s="149"/>
      <c r="BE238" s="149"/>
      <c r="BF238" s="149"/>
      <c r="BG238" s="3"/>
      <c r="BH238" s="3"/>
      <c r="BI238" s="3"/>
      <c r="BJ238" s="1638"/>
      <c r="BK238" s="2"/>
      <c r="BL238" s="2"/>
      <c r="BM238" s="2"/>
      <c r="BN238" s="2"/>
      <c r="BO238" s="2"/>
      <c r="BP238" s="2"/>
      <c r="BQ238" s="2"/>
      <c r="BR238" s="2"/>
      <c r="BS238" s="2"/>
      <c r="BT238" s="2"/>
      <c r="BU238" s="2"/>
      <c r="BV238" s="2"/>
      <c r="BW238" s="2"/>
    </row>
    <row r="239" spans="15:75" x14ac:dyDescent="0.25">
      <c r="O239" s="1650" t="str">
        <f>'A1. Submodels &amp; data'!B230</f>
        <v xml:space="preserve"> - Nigeria</v>
      </c>
      <c r="P239" s="180">
        <v>87</v>
      </c>
      <c r="Q239" s="77" t="s">
        <v>212</v>
      </c>
      <c r="R239" s="180"/>
      <c r="S239" s="180">
        <f>0</f>
        <v>0</v>
      </c>
      <c r="T239" s="180" t="str">
        <f t="shared" si="24"/>
        <v>Africa</v>
      </c>
      <c r="U239" s="356"/>
      <c r="V239" s="2"/>
      <c r="W239" s="2"/>
      <c r="X239" s="2"/>
      <c r="Y239" s="2"/>
      <c r="Z239" s="2"/>
      <c r="AA239" s="2"/>
      <c r="AB239" s="2"/>
      <c r="AC239" s="2"/>
      <c r="AD239" s="2"/>
      <c r="AE239" s="2"/>
      <c r="AF239" s="2"/>
      <c r="AG239" s="2"/>
      <c r="AH239" s="2"/>
      <c r="AI239" s="2"/>
      <c r="AJ239" s="2"/>
      <c r="AK239" s="2"/>
      <c r="AL239" s="2"/>
      <c r="AM239" s="2"/>
      <c r="AN239" s="2"/>
      <c r="AO239" s="2"/>
      <c r="AP239" s="2"/>
      <c r="AQ239" s="1639"/>
      <c r="AR239" s="180">
        <v>1</v>
      </c>
      <c r="AS239" s="180" t="s">
        <v>220</v>
      </c>
      <c r="AT239" s="180">
        <v>0.4</v>
      </c>
      <c r="AU239" s="180">
        <v>0.63</v>
      </c>
      <c r="AV239" s="149"/>
      <c r="AW239" s="149"/>
      <c r="AX239" s="3"/>
      <c r="AY239" s="3"/>
      <c r="AZ239" s="3"/>
      <c r="BA239" s="3"/>
      <c r="BB239" s="149"/>
      <c r="BC239" s="149"/>
      <c r="BD239" s="149"/>
      <c r="BE239" s="149"/>
      <c r="BF239" s="149"/>
      <c r="BG239" s="3"/>
      <c r="BH239" s="3"/>
      <c r="BI239" s="3"/>
      <c r="BJ239" s="1638"/>
      <c r="BK239" s="2"/>
      <c r="BL239" s="2"/>
      <c r="BM239" s="2"/>
      <c r="BN239" s="2"/>
      <c r="BO239" s="2"/>
      <c r="BP239" s="2"/>
      <c r="BQ239" s="2"/>
      <c r="BR239" s="2"/>
      <c r="BS239" s="2"/>
      <c r="BT239" s="2"/>
      <c r="BU239" s="2"/>
      <c r="BV239" s="2"/>
      <c r="BW239" s="2"/>
    </row>
    <row r="240" spans="15:75" x14ac:dyDescent="0.25">
      <c r="O240" s="1650" t="str">
        <f>'A1. Submodels &amp; data'!B231</f>
        <v xml:space="preserve"> - Norway</v>
      </c>
      <c r="P240" s="180">
        <v>88</v>
      </c>
      <c r="Q240" s="77" t="s">
        <v>771</v>
      </c>
      <c r="R240" s="180"/>
      <c r="S240" s="180">
        <v>1</v>
      </c>
      <c r="T240" s="180" t="str">
        <f t="shared" si="24"/>
        <v>Western Europe</v>
      </c>
      <c r="U240" s="356"/>
      <c r="V240" s="2"/>
      <c r="W240" s="2"/>
      <c r="X240" s="2"/>
      <c r="Y240" s="2"/>
      <c r="Z240" s="2"/>
      <c r="AA240" s="2"/>
      <c r="AB240" s="2"/>
      <c r="AC240" s="2"/>
      <c r="AD240" s="2"/>
      <c r="AE240" s="2"/>
      <c r="AF240" s="2"/>
      <c r="AG240" s="2"/>
      <c r="AH240" s="2"/>
      <c r="AI240" s="2"/>
      <c r="AJ240" s="2"/>
      <c r="AK240" s="2"/>
      <c r="AL240" s="2"/>
      <c r="AM240" s="2"/>
      <c r="AN240" s="2"/>
      <c r="AO240" s="2"/>
      <c r="AP240" s="2"/>
      <c r="AQ240" s="1639"/>
      <c r="AR240" s="180">
        <v>2</v>
      </c>
      <c r="AS240" s="180" t="s">
        <v>243</v>
      </c>
      <c r="AT240" s="180">
        <v>0.23</v>
      </c>
      <c r="AU240" s="180">
        <v>1</v>
      </c>
      <c r="AV240" s="149"/>
      <c r="AW240" s="149"/>
      <c r="AX240" s="3"/>
      <c r="AY240" s="3"/>
      <c r="AZ240" s="3"/>
      <c r="BA240" s="3"/>
      <c r="BB240" s="149"/>
      <c r="BC240" s="149"/>
      <c r="BD240" s="149"/>
      <c r="BE240" s="149"/>
      <c r="BF240" s="149"/>
      <c r="BG240" s="3"/>
      <c r="BH240" s="3"/>
      <c r="BI240" s="3"/>
      <c r="BJ240" s="1638"/>
      <c r="BK240" s="2"/>
      <c r="BL240" s="2"/>
      <c r="BM240" s="2"/>
      <c r="BN240" s="2"/>
      <c r="BO240" s="2"/>
      <c r="BP240" s="2"/>
      <c r="BQ240" s="2"/>
      <c r="BR240" s="2"/>
      <c r="BS240" s="2"/>
      <c r="BT240" s="2"/>
      <c r="BU240" s="2"/>
      <c r="BV240" s="2"/>
      <c r="BW240" s="2"/>
    </row>
    <row r="241" spans="15:75" x14ac:dyDescent="0.25">
      <c r="O241" s="1650" t="str">
        <f>'A1. Submodels &amp; data'!B232</f>
        <v xml:space="preserve"> - Oman</v>
      </c>
      <c r="P241" s="180">
        <v>89</v>
      </c>
      <c r="Q241" s="77" t="s">
        <v>351</v>
      </c>
      <c r="R241" s="180"/>
      <c r="S241" s="180">
        <f>0</f>
        <v>0</v>
      </c>
      <c r="T241" s="180" t="str">
        <f t="shared" si="24"/>
        <v>Middle East</v>
      </c>
      <c r="U241" s="356"/>
      <c r="V241" s="2"/>
      <c r="W241" s="2"/>
      <c r="X241" s="2"/>
      <c r="Y241" s="2"/>
      <c r="Z241" s="2"/>
      <c r="AA241" s="2"/>
      <c r="AB241" s="2"/>
      <c r="AC241" s="2"/>
      <c r="AD241" s="2"/>
      <c r="AE241" s="2"/>
      <c r="AF241" s="2"/>
      <c r="AG241" s="2"/>
      <c r="AH241" s="2"/>
      <c r="AI241" s="2"/>
      <c r="AJ241" s="2"/>
      <c r="AK241" s="2"/>
      <c r="AL241" s="2"/>
      <c r="AM241" s="2"/>
      <c r="AN241" s="2"/>
      <c r="AO241" s="2"/>
      <c r="AP241" s="2"/>
      <c r="AQ241" s="1639"/>
      <c r="AR241" s="180"/>
      <c r="AS241" s="180"/>
      <c r="AT241" s="180"/>
      <c r="AU241" s="180"/>
      <c r="AV241" s="149"/>
      <c r="AW241" s="149"/>
      <c r="AX241" s="3"/>
      <c r="AY241" s="3"/>
      <c r="AZ241" s="3"/>
      <c r="BA241" s="3"/>
      <c r="BB241" s="149"/>
      <c r="BC241" s="149"/>
      <c r="BD241" s="149"/>
      <c r="BE241" s="149"/>
      <c r="BF241" s="149"/>
      <c r="BG241" s="3"/>
      <c r="BH241" s="3"/>
      <c r="BI241" s="3"/>
      <c r="BJ241" s="1638"/>
      <c r="BK241" s="2"/>
      <c r="BL241" s="2"/>
      <c r="BM241" s="2"/>
      <c r="BN241" s="2"/>
      <c r="BO241" s="2"/>
      <c r="BP241" s="2"/>
      <c r="BQ241" s="2"/>
      <c r="BR241" s="2"/>
      <c r="BS241" s="2"/>
      <c r="BT241" s="2"/>
      <c r="BU241" s="2"/>
      <c r="BV241" s="2"/>
      <c r="BW241" s="2"/>
    </row>
    <row r="242" spans="15:75" x14ac:dyDescent="0.25">
      <c r="O242" s="1650" t="str">
        <f>'A1. Submodels &amp; data'!B233</f>
        <v xml:space="preserve"> - Pakistan</v>
      </c>
      <c r="P242" s="180">
        <v>90</v>
      </c>
      <c r="Q242" s="77" t="s">
        <v>637</v>
      </c>
      <c r="R242" s="180"/>
      <c r="S242" s="180">
        <f>0</f>
        <v>0</v>
      </c>
      <c r="T242" s="180" t="str">
        <f t="shared" si="24"/>
        <v>Indian Subcontinent</v>
      </c>
      <c r="U242" s="356"/>
      <c r="V242" s="2"/>
      <c r="W242" s="2"/>
      <c r="X242" s="2"/>
      <c r="Y242" s="2"/>
      <c r="Z242" s="2"/>
      <c r="AA242" s="2"/>
      <c r="AB242" s="2"/>
      <c r="AC242" s="2"/>
      <c r="AD242" s="2"/>
      <c r="AE242" s="2"/>
      <c r="AF242" s="2"/>
      <c r="AG242" s="2"/>
      <c r="AH242" s="2"/>
      <c r="AI242" s="2"/>
      <c r="AJ242" s="2"/>
      <c r="AK242" s="2"/>
      <c r="AL242" s="2"/>
      <c r="AM242" s="2"/>
      <c r="AN242" s="2"/>
      <c r="AO242" s="2"/>
      <c r="AP242" s="2"/>
      <c r="AQ242" s="1639"/>
      <c r="AR242" s="180"/>
      <c r="AS242" s="180" t="s">
        <v>244</v>
      </c>
      <c r="AT242" s="180">
        <v>1</v>
      </c>
      <c r="AU242" s="180">
        <v>2</v>
      </c>
      <c r="AV242" s="149"/>
      <c r="AW242" s="149"/>
      <c r="AX242" s="3"/>
      <c r="AY242" s="3"/>
      <c r="AZ242" s="3"/>
      <c r="BA242" s="3"/>
      <c r="BB242" s="149"/>
      <c r="BC242" s="149"/>
      <c r="BD242" s="149"/>
      <c r="BE242" s="149"/>
      <c r="BF242" s="149"/>
      <c r="BG242" s="3"/>
      <c r="BH242" s="3"/>
      <c r="BI242" s="3"/>
      <c r="BJ242" s="1638"/>
      <c r="BK242" s="2"/>
      <c r="BL242" s="2"/>
      <c r="BM242" s="2"/>
      <c r="BN242" s="2"/>
      <c r="BO242" s="2"/>
      <c r="BP242" s="2"/>
      <c r="BQ242" s="2"/>
      <c r="BR242" s="2"/>
      <c r="BS242" s="2"/>
      <c r="BT242" s="2"/>
      <c r="BU242" s="2"/>
      <c r="BV242" s="2"/>
      <c r="BW242" s="2"/>
    </row>
    <row r="243" spans="15:75" x14ac:dyDescent="0.25">
      <c r="O243" s="1650" t="str">
        <f>'A1. Submodels &amp; data'!B234</f>
        <v xml:space="preserve"> - Panama</v>
      </c>
      <c r="P243" s="180">
        <v>91</v>
      </c>
      <c r="Q243" s="77" t="s">
        <v>1695</v>
      </c>
      <c r="R243" s="180"/>
      <c r="S243" s="180">
        <f>0</f>
        <v>0</v>
      </c>
      <c r="T243" s="180" t="str">
        <f t="shared" si="24"/>
        <v>Latin America</v>
      </c>
      <c r="U243" s="356"/>
      <c r="V243" s="2"/>
      <c r="W243" s="2"/>
      <c r="X243" s="2"/>
      <c r="Y243" s="2"/>
      <c r="Z243" s="2"/>
      <c r="AA243" s="2"/>
      <c r="AB243" s="2"/>
      <c r="AC243" s="2"/>
      <c r="AD243" s="2"/>
      <c r="AE243" s="2"/>
      <c r="AF243" s="2"/>
      <c r="AG243" s="2"/>
      <c r="AH243" s="2"/>
      <c r="AI243" s="2"/>
      <c r="AJ243" s="2"/>
      <c r="AK243" s="2"/>
      <c r="AL243" s="2"/>
      <c r="AM243" s="2"/>
      <c r="AN243" s="2"/>
      <c r="AO243" s="2"/>
      <c r="AP243" s="2"/>
      <c r="AQ243" s="1639"/>
      <c r="AR243" s="180"/>
      <c r="AS243" s="180"/>
      <c r="AT243" s="180" t="s">
        <v>1413</v>
      </c>
      <c r="AU243" s="180" t="s">
        <v>2034</v>
      </c>
      <c r="AV243" s="149"/>
      <c r="AW243" s="149"/>
      <c r="AX243" s="3"/>
      <c r="AY243" s="3"/>
      <c r="AZ243" s="3"/>
      <c r="BA243" s="3"/>
      <c r="BB243" s="149"/>
      <c r="BC243" s="149"/>
      <c r="BD243" s="149"/>
      <c r="BE243" s="149"/>
      <c r="BF243" s="149"/>
      <c r="BG243" s="3"/>
      <c r="BH243" s="3"/>
      <c r="BI243" s="3"/>
      <c r="BJ243" s="1638"/>
      <c r="BK243" s="2"/>
      <c r="BL243" s="2"/>
      <c r="BM243" s="2"/>
      <c r="BN243" s="2"/>
      <c r="BO243" s="2"/>
      <c r="BP243" s="2"/>
      <c r="BQ243" s="2"/>
      <c r="BR243" s="2"/>
      <c r="BS243" s="2"/>
      <c r="BT243" s="2"/>
      <c r="BU243" s="2"/>
      <c r="BV243" s="2"/>
      <c r="BW243" s="2"/>
    </row>
    <row r="244" spans="15:75" x14ac:dyDescent="0.25">
      <c r="O244" s="1650" t="str">
        <f>'A1. Submodels &amp; data'!B235</f>
        <v xml:space="preserve"> - Paraguay</v>
      </c>
      <c r="P244" s="180">
        <v>92</v>
      </c>
      <c r="Q244" s="77" t="s">
        <v>1695</v>
      </c>
      <c r="R244" s="180"/>
      <c r="S244" s="180">
        <f>0</f>
        <v>0</v>
      </c>
      <c r="T244" s="180" t="str">
        <f t="shared" si="24"/>
        <v>Latin America</v>
      </c>
      <c r="U244" s="356"/>
      <c r="V244" s="2"/>
      <c r="W244" s="2"/>
      <c r="X244" s="2"/>
      <c r="Y244" s="2"/>
      <c r="Z244" s="2"/>
      <c r="AA244" s="2"/>
      <c r="AB244" s="2"/>
      <c r="AC244" s="2"/>
      <c r="AD244" s="2"/>
      <c r="AE244" s="2"/>
      <c r="AF244" s="2"/>
      <c r="AG244" s="2"/>
      <c r="AH244" s="2"/>
      <c r="AI244" s="2"/>
      <c r="AJ244" s="2"/>
      <c r="AK244" s="2"/>
      <c r="AL244" s="2"/>
      <c r="AM244" s="2"/>
      <c r="AN244" s="2"/>
      <c r="AO244" s="2"/>
      <c r="AP244" s="2"/>
      <c r="AQ244" s="1639"/>
      <c r="AR244" s="180">
        <v>0</v>
      </c>
      <c r="AS244" s="180" t="s">
        <v>228</v>
      </c>
      <c r="AT244" s="180">
        <v>1</v>
      </c>
      <c r="AU244" s="180">
        <v>1</v>
      </c>
      <c r="AV244" s="149"/>
      <c r="AW244" s="149"/>
      <c r="AX244" s="3"/>
      <c r="AY244" s="3"/>
      <c r="AZ244" s="3"/>
      <c r="BA244" s="3"/>
      <c r="BB244" s="149"/>
      <c r="BC244" s="149"/>
      <c r="BD244" s="149"/>
      <c r="BE244" s="149"/>
      <c r="BF244" s="149"/>
      <c r="BG244" s="3"/>
      <c r="BH244" s="3"/>
      <c r="BI244" s="3"/>
      <c r="BJ244" s="1638"/>
      <c r="BK244" s="2"/>
      <c r="BL244" s="2"/>
      <c r="BM244" s="2"/>
      <c r="BN244" s="2"/>
      <c r="BO244" s="2"/>
      <c r="BP244" s="2"/>
      <c r="BQ244" s="2"/>
      <c r="BR244" s="2"/>
      <c r="BS244" s="2"/>
      <c r="BT244" s="2"/>
      <c r="BU244" s="2"/>
      <c r="BV244" s="2"/>
      <c r="BW244" s="2"/>
    </row>
    <row r="245" spans="15:75" x14ac:dyDescent="0.25">
      <c r="O245" s="1650" t="str">
        <f>'A1. Submodels &amp; data'!B236</f>
        <v xml:space="preserve"> - Peru</v>
      </c>
      <c r="P245" s="180">
        <v>93</v>
      </c>
      <c r="Q245" s="77" t="s">
        <v>1695</v>
      </c>
      <c r="R245" s="180"/>
      <c r="S245" s="180">
        <f>0</f>
        <v>0</v>
      </c>
      <c r="T245" s="180" t="str">
        <f t="shared" si="24"/>
        <v>Latin America</v>
      </c>
      <c r="U245" s="356"/>
      <c r="V245" s="2"/>
      <c r="W245" s="2"/>
      <c r="X245" s="2"/>
      <c r="Y245" s="2"/>
      <c r="Z245" s="2"/>
      <c r="AA245" s="2"/>
      <c r="AB245" s="2"/>
      <c r="AC245" s="2"/>
      <c r="AD245" s="2"/>
      <c r="AE245" s="2"/>
      <c r="AF245" s="2"/>
      <c r="AG245" s="2"/>
      <c r="AH245" s="2"/>
      <c r="AI245" s="2"/>
      <c r="AJ245" s="2"/>
      <c r="AK245" s="2"/>
      <c r="AL245" s="2"/>
      <c r="AM245" s="2"/>
      <c r="AN245" s="2"/>
      <c r="AO245" s="2"/>
      <c r="AP245" s="2"/>
      <c r="AQ245" s="1639"/>
      <c r="AR245" s="180">
        <v>1</v>
      </c>
      <c r="AS245" s="180" t="s">
        <v>220</v>
      </c>
      <c r="AT245" s="180">
        <v>0.54</v>
      </c>
      <c r="AU245" s="180">
        <v>0.54</v>
      </c>
      <c r="AV245" s="149"/>
      <c r="AW245" s="149"/>
      <c r="AX245" s="3"/>
      <c r="AY245" s="3"/>
      <c r="AZ245" s="3"/>
      <c r="BA245" s="3"/>
      <c r="BB245" s="149"/>
      <c r="BC245" s="149"/>
      <c r="BD245" s="149"/>
      <c r="BE245" s="149"/>
      <c r="BF245" s="149"/>
      <c r="BG245" s="3"/>
      <c r="BH245" s="3"/>
      <c r="BI245" s="3"/>
      <c r="BJ245" s="1638"/>
      <c r="BK245" s="2"/>
      <c r="BL245" s="2"/>
      <c r="BM245" s="2"/>
      <c r="BN245" s="2"/>
      <c r="BO245" s="2"/>
      <c r="BP245" s="2"/>
      <c r="BQ245" s="2"/>
      <c r="BR245" s="2"/>
      <c r="BS245" s="2"/>
      <c r="BT245" s="2"/>
      <c r="BU245" s="2"/>
      <c r="BV245" s="2"/>
      <c r="BW245" s="2"/>
    </row>
    <row r="246" spans="15:75" x14ac:dyDescent="0.25">
      <c r="O246" s="1650" t="str">
        <f>'A1. Submodels &amp; data'!B237</f>
        <v xml:space="preserve"> - Philippines</v>
      </c>
      <c r="P246" s="180">
        <v>94</v>
      </c>
      <c r="Q246" s="77" t="s">
        <v>1936</v>
      </c>
      <c r="R246" s="180"/>
      <c r="S246" s="180">
        <f>0</f>
        <v>0</v>
      </c>
      <c r="T246" s="180" t="str">
        <f t="shared" si="24"/>
        <v>Asia</v>
      </c>
      <c r="U246" s="356"/>
      <c r="V246" s="2"/>
      <c r="W246" s="2"/>
      <c r="X246" s="2"/>
      <c r="Y246" s="2"/>
      <c r="Z246" s="2"/>
      <c r="AA246" s="2"/>
      <c r="AB246" s="2"/>
      <c r="AC246" s="2"/>
      <c r="AD246" s="2"/>
      <c r="AE246" s="2"/>
      <c r="AF246" s="2"/>
      <c r="AG246" s="2"/>
      <c r="AH246" s="2"/>
      <c r="AI246" s="2"/>
      <c r="AJ246" s="2"/>
      <c r="AK246" s="2"/>
      <c r="AL246" s="2"/>
      <c r="AM246" s="2"/>
      <c r="AN246" s="2"/>
      <c r="AO246" s="2"/>
      <c r="AP246" s="2"/>
      <c r="AQ246" s="1639"/>
      <c r="AR246" s="180">
        <v>2</v>
      </c>
      <c r="AS246" s="180" t="s">
        <v>243</v>
      </c>
      <c r="AT246" s="180">
        <v>0.6</v>
      </c>
      <c r="AU246" s="180">
        <v>0.6</v>
      </c>
      <c r="AV246" s="149"/>
      <c r="AW246" s="149"/>
      <c r="AX246" s="3"/>
      <c r="AY246" s="3"/>
      <c r="AZ246" s="3"/>
      <c r="BA246" s="3"/>
      <c r="BB246" s="149"/>
      <c r="BC246" s="149"/>
      <c r="BD246" s="149"/>
      <c r="BE246" s="149"/>
      <c r="BF246" s="149"/>
      <c r="BG246" s="3"/>
      <c r="BH246" s="3"/>
      <c r="BI246" s="3"/>
      <c r="BJ246" s="1638"/>
      <c r="BK246" s="2"/>
      <c r="BL246" s="2"/>
      <c r="BM246" s="2"/>
      <c r="BN246" s="2"/>
      <c r="BO246" s="2"/>
      <c r="BP246" s="2"/>
      <c r="BQ246" s="2"/>
      <c r="BR246" s="2"/>
      <c r="BS246" s="2"/>
      <c r="BT246" s="2"/>
      <c r="BU246" s="2"/>
      <c r="BV246" s="2"/>
      <c r="BW246" s="2"/>
    </row>
    <row r="247" spans="15:75" x14ac:dyDescent="0.25">
      <c r="O247" s="1650" t="str">
        <f>'A1. Submodels &amp; data'!B238</f>
        <v xml:space="preserve"> - Poland</v>
      </c>
      <c r="P247" s="180">
        <v>95</v>
      </c>
      <c r="Q247" s="77" t="s">
        <v>721</v>
      </c>
      <c r="R247" s="180"/>
      <c r="S247" s="180">
        <f>0</f>
        <v>0</v>
      </c>
      <c r="T247" s="180" t="str">
        <f t="shared" si="24"/>
        <v>Eastern Europe</v>
      </c>
      <c r="U247" s="356"/>
      <c r="V247" s="2"/>
      <c r="W247" s="2"/>
      <c r="X247" s="2"/>
      <c r="Y247" s="2"/>
      <c r="Z247" s="2"/>
      <c r="AA247" s="2"/>
      <c r="AB247" s="2"/>
      <c r="AC247" s="2"/>
      <c r="AD247" s="2"/>
      <c r="AE247" s="2"/>
      <c r="AF247" s="2"/>
      <c r="AG247" s="2"/>
      <c r="AH247" s="2"/>
      <c r="AI247" s="2"/>
      <c r="AJ247" s="2"/>
      <c r="AK247" s="2"/>
      <c r="AL247" s="2"/>
      <c r="AM247" s="2"/>
      <c r="AN247" s="2"/>
      <c r="AO247" s="2"/>
      <c r="AP247" s="2"/>
      <c r="AQ247" s="1639"/>
      <c r="AR247" s="149"/>
      <c r="AS247" s="149"/>
      <c r="AT247" s="149"/>
      <c r="AU247" s="149"/>
      <c r="AV247" s="149"/>
      <c r="AW247" s="149"/>
      <c r="AX247" s="3"/>
      <c r="AY247" s="3"/>
      <c r="AZ247" s="3"/>
      <c r="BA247" s="3"/>
      <c r="BB247" s="149"/>
      <c r="BC247" s="149"/>
      <c r="BD247" s="149"/>
      <c r="BE247" s="149"/>
      <c r="BF247" s="149"/>
      <c r="BG247" s="3"/>
      <c r="BH247" s="3"/>
      <c r="BI247" s="3"/>
      <c r="BJ247" s="1638"/>
      <c r="BK247" s="2"/>
      <c r="BL247" s="2"/>
      <c r="BM247" s="2"/>
      <c r="BN247" s="2"/>
      <c r="BO247" s="2"/>
      <c r="BP247" s="2"/>
      <c r="BQ247" s="2"/>
      <c r="BR247" s="2"/>
      <c r="BS247" s="2"/>
      <c r="BT247" s="2"/>
      <c r="BU247" s="2"/>
      <c r="BV247" s="2"/>
      <c r="BW247" s="2"/>
    </row>
    <row r="248" spans="15:75" x14ac:dyDescent="0.25">
      <c r="O248" s="1650" t="str">
        <f>'A1. Submodels &amp; data'!B239</f>
        <v xml:space="preserve"> - Poland</v>
      </c>
      <c r="P248" s="180">
        <v>96</v>
      </c>
      <c r="Q248" s="77" t="s">
        <v>771</v>
      </c>
      <c r="R248" s="180"/>
      <c r="S248" s="180">
        <f>0</f>
        <v>0</v>
      </c>
      <c r="T248" s="180" t="str">
        <f t="shared" si="24"/>
        <v>Western Europe</v>
      </c>
      <c r="U248" s="356"/>
      <c r="V248" s="2"/>
      <c r="W248" s="2"/>
      <c r="X248" s="2"/>
      <c r="Y248" s="2"/>
      <c r="Z248" s="2"/>
      <c r="AA248" s="2"/>
      <c r="AB248" s="2"/>
      <c r="AC248" s="2"/>
      <c r="AD248" s="2"/>
      <c r="AE248" s="2"/>
      <c r="AF248" s="2"/>
      <c r="AG248" s="2"/>
      <c r="AH248" s="2"/>
      <c r="AI248" s="2"/>
      <c r="AJ248" s="2"/>
      <c r="AK248" s="2"/>
      <c r="AL248" s="2"/>
      <c r="AM248" s="2"/>
      <c r="AN248" s="2"/>
      <c r="AO248" s="2"/>
      <c r="AP248" s="2"/>
      <c r="AQ248" s="1639"/>
      <c r="AR248" s="174" t="s">
        <v>1392</v>
      </c>
      <c r="AS248" s="149"/>
      <c r="AT248" s="149"/>
      <c r="AU248" s="149"/>
      <c r="AV248" s="149"/>
      <c r="AW248" s="149"/>
      <c r="AX248" s="3"/>
      <c r="AY248" s="3"/>
      <c r="AZ248" s="3"/>
      <c r="BA248" s="3"/>
      <c r="BB248" s="149"/>
      <c r="BC248" s="149"/>
      <c r="BD248" s="149"/>
      <c r="BE248" s="149"/>
      <c r="BF248" s="149"/>
      <c r="BG248" s="3"/>
      <c r="BH248" s="3"/>
      <c r="BI248" s="3"/>
      <c r="BJ248" s="1638"/>
      <c r="BK248" s="2"/>
      <c r="BL248" s="2"/>
      <c r="BM248" s="2"/>
      <c r="BN248" s="2"/>
      <c r="BO248" s="2"/>
      <c r="BP248" s="2"/>
      <c r="BQ248" s="2"/>
      <c r="BR248" s="2"/>
      <c r="BS248" s="2"/>
      <c r="BT248" s="2"/>
      <c r="BU248" s="2"/>
      <c r="BV248" s="2"/>
      <c r="BW248" s="2"/>
    </row>
    <row r="249" spans="15:75" ht="13.25" thickBot="1" x14ac:dyDescent="0.3">
      <c r="O249" s="1650" t="str">
        <f>'A1. Submodels &amp; data'!B240</f>
        <v xml:space="preserve"> - Portugal</v>
      </c>
      <c r="P249" s="180">
        <v>97</v>
      </c>
      <c r="Q249" s="77" t="s">
        <v>771</v>
      </c>
      <c r="R249" s="180"/>
      <c r="S249" s="180">
        <v>1</v>
      </c>
      <c r="T249" s="180" t="str">
        <f t="shared" si="24"/>
        <v>Western Europe</v>
      </c>
      <c r="U249" s="356"/>
      <c r="V249" s="2"/>
      <c r="W249" s="2"/>
      <c r="X249" s="2"/>
      <c r="Y249" s="2"/>
      <c r="Z249" s="2"/>
      <c r="AA249" s="2"/>
      <c r="AB249" s="2"/>
      <c r="AC249" s="2"/>
      <c r="AD249" s="2"/>
      <c r="AE249" s="2"/>
      <c r="AF249" s="2"/>
      <c r="AG249" s="2"/>
      <c r="AH249" s="2"/>
      <c r="AI249" s="2"/>
      <c r="AJ249" s="2"/>
      <c r="AK249" s="2"/>
      <c r="AL249" s="2"/>
      <c r="AM249" s="2"/>
      <c r="AN249" s="2"/>
      <c r="AO249" s="2"/>
      <c r="AP249" s="2"/>
      <c r="AQ249" s="1641"/>
      <c r="AR249" s="1642"/>
      <c r="AS249" s="1642"/>
      <c r="AT249" s="1642"/>
      <c r="AU249" s="1642"/>
      <c r="AV249" s="1642"/>
      <c r="AW249" s="1642"/>
      <c r="AX249" s="1642"/>
      <c r="AY249" s="1642"/>
      <c r="AZ249" s="1642"/>
      <c r="BA249" s="1642"/>
      <c r="BB249" s="385"/>
      <c r="BC249" s="385"/>
      <c r="BD249" s="385"/>
      <c r="BE249" s="385"/>
      <c r="BF249" s="385"/>
      <c r="BG249" s="1642"/>
      <c r="BH249" s="1642"/>
      <c r="BI249" s="1642"/>
      <c r="BJ249" s="1643"/>
      <c r="BK249" s="2"/>
      <c r="BL249" s="2"/>
      <c r="BM249" s="2"/>
      <c r="BN249" s="2"/>
      <c r="BO249" s="2"/>
      <c r="BP249" s="2"/>
      <c r="BQ249" s="2"/>
      <c r="BR249" s="2"/>
      <c r="BS249" s="2"/>
      <c r="BT249" s="2"/>
      <c r="BU249" s="2"/>
      <c r="BV249" s="2"/>
      <c r="BW249" s="2"/>
    </row>
    <row r="250" spans="15:75" x14ac:dyDescent="0.25">
      <c r="O250" s="1650" t="str">
        <f>'A1. Submodels &amp; data'!B241</f>
        <v xml:space="preserve"> - Qatar</v>
      </c>
      <c r="P250" s="180">
        <v>98</v>
      </c>
      <c r="Q250" s="77" t="s">
        <v>351</v>
      </c>
      <c r="R250" s="180"/>
      <c r="S250" s="180">
        <f>0</f>
        <v>0</v>
      </c>
      <c r="T250" s="180" t="str">
        <f t="shared" si="24"/>
        <v>Middle East</v>
      </c>
      <c r="U250" s="356"/>
    </row>
    <row r="251" spans="15:75" x14ac:dyDescent="0.25">
      <c r="O251" s="1650" t="str">
        <f>'A1. Submodels &amp; data'!B242</f>
        <v xml:space="preserve"> - Romania</v>
      </c>
      <c r="P251" s="180">
        <v>99</v>
      </c>
      <c r="Q251" s="77" t="s">
        <v>721</v>
      </c>
      <c r="R251" s="180"/>
      <c r="S251" s="180">
        <f>0</f>
        <v>0</v>
      </c>
      <c r="T251" s="180" t="str">
        <f t="shared" si="24"/>
        <v>Eastern Europe</v>
      </c>
      <c r="U251" s="356"/>
    </row>
    <row r="252" spans="15:75" x14ac:dyDescent="0.25">
      <c r="O252" s="1650" t="str">
        <f>'A1. Submodels &amp; data'!B243</f>
        <v xml:space="preserve"> - Russia</v>
      </c>
      <c r="P252" s="180">
        <v>100</v>
      </c>
      <c r="Q252" s="77" t="s">
        <v>1936</v>
      </c>
      <c r="R252" s="180"/>
      <c r="S252" s="180">
        <f>0</f>
        <v>0</v>
      </c>
      <c r="T252" s="180" t="str">
        <f>'3.Sequestration'!AE71</f>
        <v>Asia, continental</v>
      </c>
      <c r="U252" s="356"/>
    </row>
    <row r="253" spans="15:75" x14ac:dyDescent="0.25">
      <c r="O253" s="1650" t="str">
        <f>'A1. Submodels &amp; data'!B244</f>
        <v xml:space="preserve"> - Saudi Arabia</v>
      </c>
      <c r="P253" s="180">
        <v>101</v>
      </c>
      <c r="Q253" s="77" t="s">
        <v>351</v>
      </c>
      <c r="R253" s="180"/>
      <c r="S253" s="180">
        <f>0</f>
        <v>0</v>
      </c>
      <c r="T253" s="180" t="str">
        <f t="shared" si="24"/>
        <v>Middle East</v>
      </c>
      <c r="U253" s="356"/>
    </row>
    <row r="254" spans="15:75" x14ac:dyDescent="0.25">
      <c r="O254" s="1650" t="str">
        <f>'A1. Submodels &amp; data'!B245</f>
        <v xml:space="preserve"> - Senegal</v>
      </c>
      <c r="P254" s="180">
        <v>102</v>
      </c>
      <c r="Q254" s="77" t="s">
        <v>212</v>
      </c>
      <c r="R254" s="180"/>
      <c r="S254" s="180">
        <f>0</f>
        <v>0</v>
      </c>
      <c r="T254" s="180" t="str">
        <f t="shared" si="24"/>
        <v>Africa</v>
      </c>
      <c r="U254" s="356"/>
    </row>
    <row r="255" spans="15:75" x14ac:dyDescent="0.25">
      <c r="O255" s="1650" t="str">
        <f>'A1. Submodels &amp; data'!B246</f>
        <v xml:space="preserve"> - Serbia &amp; Montenegro</v>
      </c>
      <c r="P255" s="180">
        <v>103</v>
      </c>
      <c r="Q255" s="77" t="s">
        <v>721</v>
      </c>
      <c r="R255" s="180"/>
      <c r="S255" s="180">
        <f>0</f>
        <v>0</v>
      </c>
      <c r="T255" s="180" t="str">
        <f t="shared" si="24"/>
        <v>Eastern Europe</v>
      </c>
      <c r="U255" s="356"/>
    </row>
    <row r="256" spans="15:75" x14ac:dyDescent="0.25">
      <c r="O256" s="1650" t="str">
        <f>'A1. Submodels &amp; data'!B247</f>
        <v xml:space="preserve"> - Singapore</v>
      </c>
      <c r="P256" s="180">
        <v>104</v>
      </c>
      <c r="Q256" s="77" t="s">
        <v>1936</v>
      </c>
      <c r="R256" s="180"/>
      <c r="S256" s="180">
        <v>1</v>
      </c>
      <c r="T256" s="180" t="s">
        <v>1745</v>
      </c>
      <c r="U256" s="356"/>
    </row>
    <row r="257" spans="15:21" x14ac:dyDescent="0.25">
      <c r="O257" s="1650" t="str">
        <f>'A1. Submodels &amp; data'!B248</f>
        <v xml:space="preserve"> - Slovak Republic</v>
      </c>
      <c r="P257" s="180">
        <v>105</v>
      </c>
      <c r="Q257" s="77" t="s">
        <v>771</v>
      </c>
      <c r="R257" s="180"/>
      <c r="S257" s="180">
        <v>1</v>
      </c>
      <c r="T257" s="180" t="str">
        <f t="shared" si="24"/>
        <v>Western Europe</v>
      </c>
      <c r="U257" s="356"/>
    </row>
    <row r="258" spans="15:21" x14ac:dyDescent="0.25">
      <c r="O258" s="1650" t="str">
        <f>'A1. Submodels &amp; data'!B249</f>
        <v xml:space="preserve"> - Slovenia</v>
      </c>
      <c r="P258" s="180">
        <v>106</v>
      </c>
      <c r="Q258" s="77" t="s">
        <v>721</v>
      </c>
      <c r="R258" s="180"/>
      <c r="S258" s="180">
        <v>1</v>
      </c>
      <c r="T258" s="180" t="str">
        <f t="shared" si="24"/>
        <v>Eastern Europe</v>
      </c>
      <c r="U258" s="356"/>
    </row>
    <row r="259" spans="15:21" x14ac:dyDescent="0.25">
      <c r="O259" s="1650" t="str">
        <f>'A1. Submodels &amp; data'!B250</f>
        <v xml:space="preserve"> - South Africa</v>
      </c>
      <c r="P259" s="180">
        <v>107</v>
      </c>
      <c r="Q259" s="77" t="s">
        <v>212</v>
      </c>
      <c r="R259" s="180"/>
      <c r="S259" s="180">
        <f>0</f>
        <v>0</v>
      </c>
      <c r="T259" s="180" t="str">
        <f t="shared" si="24"/>
        <v>Africa</v>
      </c>
      <c r="U259" s="356"/>
    </row>
    <row r="260" spans="15:21" x14ac:dyDescent="0.25">
      <c r="O260" s="1650" t="str">
        <f>'A1. Submodels &amp; data'!B251</f>
        <v xml:space="preserve"> - Spain</v>
      </c>
      <c r="P260" s="180">
        <v>108</v>
      </c>
      <c r="Q260" s="77" t="s">
        <v>771</v>
      </c>
      <c r="R260" s="180"/>
      <c r="S260" s="180">
        <v>1</v>
      </c>
      <c r="T260" s="180" t="str">
        <f t="shared" si="24"/>
        <v>Western Europe</v>
      </c>
      <c r="U260" s="356"/>
    </row>
    <row r="261" spans="15:21" x14ac:dyDescent="0.25">
      <c r="O261" s="1650" t="str">
        <f>'A1. Submodels &amp; data'!B252</f>
        <v xml:space="preserve"> - Sri Lanka</v>
      </c>
      <c r="P261" s="180">
        <v>109</v>
      </c>
      <c r="Q261" s="77" t="s">
        <v>637</v>
      </c>
      <c r="R261" s="180"/>
      <c r="S261" s="180">
        <f>0</f>
        <v>0</v>
      </c>
      <c r="T261" s="180" t="str">
        <f t="shared" si="24"/>
        <v>Indian Subcontinent</v>
      </c>
      <c r="U261" s="356"/>
    </row>
    <row r="262" spans="15:21" x14ac:dyDescent="0.25">
      <c r="O262" s="1650" t="str">
        <f>'A1. Submodels &amp; data'!B253</f>
        <v xml:space="preserve"> - Sudan</v>
      </c>
      <c r="P262" s="180">
        <v>110</v>
      </c>
      <c r="Q262" s="77" t="s">
        <v>212</v>
      </c>
      <c r="R262" s="180"/>
      <c r="S262" s="180">
        <f>0</f>
        <v>0</v>
      </c>
      <c r="T262" s="180" t="str">
        <f t="shared" si="24"/>
        <v>Africa</v>
      </c>
      <c r="U262" s="356"/>
    </row>
    <row r="263" spans="15:21" x14ac:dyDescent="0.25">
      <c r="O263" s="1650" t="str">
        <f>'A1. Submodels &amp; data'!B254</f>
        <v xml:space="preserve"> - Sweden</v>
      </c>
      <c r="P263" s="180">
        <v>111</v>
      </c>
      <c r="Q263" s="77" t="s">
        <v>771</v>
      </c>
      <c r="R263" s="180"/>
      <c r="S263" s="180">
        <v>1</v>
      </c>
      <c r="T263" s="180" t="str">
        <f t="shared" si="24"/>
        <v>Western Europe</v>
      </c>
      <c r="U263" s="356"/>
    </row>
    <row r="264" spans="15:21" x14ac:dyDescent="0.25">
      <c r="O264" s="1650" t="str">
        <f>'A1. Submodels &amp; data'!B255</f>
        <v xml:space="preserve"> - Switzerland</v>
      </c>
      <c r="P264" s="180">
        <v>112</v>
      </c>
      <c r="Q264" s="77" t="s">
        <v>771</v>
      </c>
      <c r="R264" s="180"/>
      <c r="S264" s="180">
        <v>1</v>
      </c>
      <c r="T264" s="180" t="str">
        <f t="shared" si="24"/>
        <v>Western Europe</v>
      </c>
      <c r="U264" s="356"/>
    </row>
    <row r="265" spans="15:21" x14ac:dyDescent="0.25">
      <c r="O265" s="1650" t="str">
        <f>'A1. Submodels &amp; data'!B256</f>
        <v xml:space="preserve"> - Syria</v>
      </c>
      <c r="P265" s="180">
        <v>113</v>
      </c>
      <c r="Q265" s="77" t="s">
        <v>351</v>
      </c>
      <c r="R265" s="180"/>
      <c r="S265" s="180">
        <f>0</f>
        <v>0</v>
      </c>
      <c r="T265" s="180" t="str">
        <f t="shared" si="24"/>
        <v>Middle East</v>
      </c>
      <c r="U265" s="356"/>
    </row>
    <row r="266" spans="15:21" x14ac:dyDescent="0.25">
      <c r="O266" s="1650" t="str">
        <f>'A1. Submodels &amp; data'!B257</f>
        <v xml:space="preserve"> - Tajikistan</v>
      </c>
      <c r="P266" s="180">
        <v>114</v>
      </c>
      <c r="Q266" s="77" t="s">
        <v>1936</v>
      </c>
      <c r="R266" s="180"/>
      <c r="S266" s="180">
        <f>0</f>
        <v>0</v>
      </c>
      <c r="T266" s="180" t="str">
        <f>T232</f>
        <v>Asia, continental</v>
      </c>
      <c r="U266" s="356"/>
    </row>
    <row r="267" spans="15:21" x14ac:dyDescent="0.25">
      <c r="O267" s="1650" t="str">
        <f>'A1. Submodels &amp; data'!B258</f>
        <v xml:space="preserve"> - Tanzania United Rep.</v>
      </c>
      <c r="P267" s="180">
        <v>115</v>
      </c>
      <c r="Q267" s="77" t="s">
        <v>212</v>
      </c>
      <c r="R267" s="180"/>
      <c r="S267" s="180">
        <f>0</f>
        <v>0</v>
      </c>
      <c r="T267" s="180" t="str">
        <f t="shared" si="24"/>
        <v>Africa</v>
      </c>
      <c r="U267" s="356"/>
    </row>
    <row r="268" spans="15:21" x14ac:dyDescent="0.25">
      <c r="O268" s="1650" t="str">
        <f>'A1. Submodels &amp; data'!B259</f>
        <v xml:space="preserve"> - Thailand</v>
      </c>
      <c r="P268" s="180">
        <v>116</v>
      </c>
      <c r="Q268" s="77" t="s">
        <v>1936</v>
      </c>
      <c r="R268" s="180"/>
      <c r="S268" s="180">
        <f>0</f>
        <v>0</v>
      </c>
      <c r="T268" s="180" t="str">
        <f>T266</f>
        <v>Asia, continental</v>
      </c>
      <c r="U268" s="356"/>
    </row>
    <row r="269" spans="15:21" x14ac:dyDescent="0.25">
      <c r="O269" s="1650" t="str">
        <f>'A1. Submodels &amp; data'!B260</f>
        <v xml:space="preserve"> - The former Yugoslav Republic of Macedonia</v>
      </c>
      <c r="P269" s="180">
        <v>117</v>
      </c>
      <c r="Q269" s="77" t="s">
        <v>721</v>
      </c>
      <c r="R269" s="180"/>
      <c r="S269" s="180">
        <f>0</f>
        <v>0</v>
      </c>
      <c r="T269" s="180" t="str">
        <f t="shared" si="24"/>
        <v>Eastern Europe</v>
      </c>
      <c r="U269" s="356"/>
    </row>
    <row r="270" spans="15:21" x14ac:dyDescent="0.25">
      <c r="O270" s="1650" t="str">
        <f>'A1. Submodels &amp; data'!B261</f>
        <v xml:space="preserve"> - Togo</v>
      </c>
      <c r="P270" s="180">
        <v>118</v>
      </c>
      <c r="Q270" s="77" t="s">
        <v>212</v>
      </c>
      <c r="R270" s="180"/>
      <c r="S270" s="180">
        <f>0</f>
        <v>0</v>
      </c>
      <c r="T270" s="180" t="str">
        <f t="shared" si="24"/>
        <v>Africa</v>
      </c>
      <c r="U270" s="356"/>
    </row>
    <row r="271" spans="15:21" x14ac:dyDescent="0.25">
      <c r="O271" s="1650" t="str">
        <f>'A1. Submodels &amp; data'!B262</f>
        <v xml:space="preserve"> - Trinidad &amp; Tobago</v>
      </c>
      <c r="P271" s="180">
        <v>119</v>
      </c>
      <c r="Q271" s="77" t="s">
        <v>1695</v>
      </c>
      <c r="R271" s="180"/>
      <c r="S271" s="180">
        <f>0</f>
        <v>0</v>
      </c>
      <c r="T271" s="180" t="str">
        <f t="shared" si="24"/>
        <v>Latin America</v>
      </c>
      <c r="U271" s="356"/>
    </row>
    <row r="272" spans="15:21" x14ac:dyDescent="0.25">
      <c r="O272" s="1650" t="str">
        <f>'A1. Submodels &amp; data'!B263</f>
        <v xml:space="preserve"> - Tunisia</v>
      </c>
      <c r="P272" s="180">
        <v>120</v>
      </c>
      <c r="Q272" s="77" t="s">
        <v>212</v>
      </c>
      <c r="R272" s="180"/>
      <c r="S272" s="180">
        <f>0</f>
        <v>0</v>
      </c>
      <c r="T272" s="180" t="str">
        <f t="shared" si="24"/>
        <v>Africa</v>
      </c>
      <c r="U272" s="356"/>
    </row>
    <row r="273" spans="15:21" x14ac:dyDescent="0.25">
      <c r="O273" s="1650" t="str">
        <f>'A1. Submodels &amp; data'!B264</f>
        <v xml:space="preserve"> - Turkey</v>
      </c>
      <c r="P273" s="180">
        <v>121</v>
      </c>
      <c r="Q273" s="77" t="s">
        <v>771</v>
      </c>
      <c r="R273" s="180"/>
      <c r="S273" s="180">
        <f>0</f>
        <v>0</v>
      </c>
      <c r="T273" s="180" t="str">
        <f t="shared" si="24"/>
        <v>Western Europe</v>
      </c>
      <c r="U273" s="356"/>
    </row>
    <row r="274" spans="15:21" x14ac:dyDescent="0.25">
      <c r="O274" s="1650" t="str">
        <f>'A1. Submodels &amp; data'!B265</f>
        <v xml:space="preserve"> - Turkmenistan</v>
      </c>
      <c r="P274" s="180">
        <v>122</v>
      </c>
      <c r="Q274" s="77" t="s">
        <v>1936</v>
      </c>
      <c r="R274" s="180"/>
      <c r="S274" s="180">
        <f>0</f>
        <v>0</v>
      </c>
      <c r="T274" s="180" t="str">
        <f>T268</f>
        <v>Asia, continental</v>
      </c>
      <c r="U274" s="356"/>
    </row>
    <row r="275" spans="15:21" x14ac:dyDescent="0.25">
      <c r="O275" s="1650" t="str">
        <f>'A1. Submodels &amp; data'!B266</f>
        <v xml:space="preserve"> - Ukraine</v>
      </c>
      <c r="P275" s="180">
        <v>123</v>
      </c>
      <c r="Q275" s="77" t="s">
        <v>721</v>
      </c>
      <c r="R275" s="180"/>
      <c r="S275" s="180">
        <f>0</f>
        <v>0</v>
      </c>
      <c r="T275" s="180" t="str">
        <f t="shared" si="24"/>
        <v>Eastern Europe</v>
      </c>
      <c r="U275" s="356"/>
    </row>
    <row r="276" spans="15:21" x14ac:dyDescent="0.25">
      <c r="O276" s="1650" t="str">
        <f>'A1. Submodels &amp; data'!B267</f>
        <v xml:space="preserve"> - United Arab Emirates</v>
      </c>
      <c r="P276" s="180">
        <v>124</v>
      </c>
      <c r="Q276" s="77" t="s">
        <v>351</v>
      </c>
      <c r="R276" s="180"/>
      <c r="S276" s="180">
        <v>1</v>
      </c>
      <c r="T276" s="180" t="str">
        <f t="shared" si="24"/>
        <v>Middle East</v>
      </c>
      <c r="U276" s="356"/>
    </row>
    <row r="277" spans="15:21" x14ac:dyDescent="0.25">
      <c r="O277" s="1650" t="str">
        <f>'A1. Submodels &amp; data'!B268</f>
        <v xml:space="preserve"> - United Kingdom</v>
      </c>
      <c r="P277" s="180">
        <v>125</v>
      </c>
      <c r="Q277" s="77" t="s">
        <v>771</v>
      </c>
      <c r="R277" s="180"/>
      <c r="S277" s="180">
        <v>1</v>
      </c>
      <c r="T277" s="180" t="str">
        <f t="shared" si="24"/>
        <v>Western Europe</v>
      </c>
      <c r="U277" s="356"/>
    </row>
    <row r="278" spans="15:21" x14ac:dyDescent="0.25">
      <c r="O278" s="1650" t="str">
        <f>'A1. Submodels &amp; data'!B269</f>
        <v xml:space="preserve"> - United States</v>
      </c>
      <c r="P278" s="180">
        <v>126</v>
      </c>
      <c r="Q278" s="77" t="s">
        <v>2049</v>
      </c>
      <c r="R278" s="180"/>
      <c r="S278" s="180">
        <v>1</v>
      </c>
      <c r="T278" s="180" t="str">
        <f t="shared" si="24"/>
        <v>North America</v>
      </c>
      <c r="U278" s="356"/>
    </row>
    <row r="279" spans="15:21" x14ac:dyDescent="0.25">
      <c r="O279" s="1650" t="s">
        <v>2046</v>
      </c>
      <c r="P279" s="180">
        <v>127</v>
      </c>
      <c r="Q279" s="77" t="s">
        <v>2049</v>
      </c>
      <c r="R279" s="180"/>
      <c r="S279" s="180">
        <v>1</v>
      </c>
      <c r="T279" s="180" t="str">
        <f t="shared" si="24"/>
        <v>North America</v>
      </c>
      <c r="U279" s="356"/>
    </row>
    <row r="280" spans="15:21" x14ac:dyDescent="0.25">
      <c r="O280" s="1650" t="s">
        <v>2047</v>
      </c>
      <c r="P280" s="180">
        <v>128</v>
      </c>
      <c r="Q280" s="77" t="s">
        <v>2049</v>
      </c>
      <c r="R280" s="180"/>
      <c r="S280" s="180">
        <v>1</v>
      </c>
      <c r="T280" s="180" t="str">
        <f t="shared" si="24"/>
        <v>North America</v>
      </c>
      <c r="U280" s="356"/>
    </row>
    <row r="281" spans="15:21" x14ac:dyDescent="0.25">
      <c r="O281" s="1650" t="s">
        <v>2048</v>
      </c>
      <c r="P281" s="180">
        <v>129</v>
      </c>
      <c r="Q281" s="77" t="s">
        <v>2049</v>
      </c>
      <c r="R281" s="180"/>
      <c r="S281" s="180">
        <v>1</v>
      </c>
      <c r="T281" s="180" t="str">
        <f t="shared" si="24"/>
        <v>North America</v>
      </c>
      <c r="U281" s="356"/>
    </row>
    <row r="282" spans="15:21" x14ac:dyDescent="0.25">
      <c r="O282" s="1650" t="s">
        <v>1531</v>
      </c>
      <c r="P282" s="180">
        <v>130</v>
      </c>
      <c r="Q282" s="77" t="s">
        <v>2049</v>
      </c>
      <c r="R282" s="180"/>
      <c r="S282" s="180">
        <v>1</v>
      </c>
      <c r="T282" s="180" t="str">
        <f t="shared" si="24"/>
        <v>North America</v>
      </c>
      <c r="U282" s="356"/>
    </row>
    <row r="283" spans="15:21" x14ac:dyDescent="0.25">
      <c r="O283" s="1650" t="s">
        <v>1532</v>
      </c>
      <c r="P283" s="180">
        <v>131</v>
      </c>
      <c r="Q283" s="77" t="s">
        <v>2049</v>
      </c>
      <c r="R283" s="180"/>
      <c r="S283" s="180">
        <v>1</v>
      </c>
      <c r="T283" s="180" t="str">
        <f t="shared" ref="T283:T344" si="25">Q283</f>
        <v>North America</v>
      </c>
      <c r="U283" s="356"/>
    </row>
    <row r="284" spans="15:21" x14ac:dyDescent="0.25">
      <c r="O284" s="1650" t="s">
        <v>1533</v>
      </c>
      <c r="P284" s="180">
        <v>132</v>
      </c>
      <c r="Q284" s="77" t="s">
        <v>2049</v>
      </c>
      <c r="R284" s="180"/>
      <c r="S284" s="180">
        <v>1</v>
      </c>
      <c r="T284" s="180" t="str">
        <f t="shared" si="25"/>
        <v>North America</v>
      </c>
      <c r="U284" s="356"/>
    </row>
    <row r="285" spans="15:21" x14ac:dyDescent="0.25">
      <c r="O285" s="1650" t="s">
        <v>1534</v>
      </c>
      <c r="P285" s="180">
        <v>133</v>
      </c>
      <c r="Q285" s="77" t="s">
        <v>2049</v>
      </c>
      <c r="R285" s="180"/>
      <c r="S285" s="180">
        <v>1</v>
      </c>
      <c r="T285" s="180" t="str">
        <f t="shared" si="25"/>
        <v>North America</v>
      </c>
      <c r="U285" s="356"/>
    </row>
    <row r="286" spans="15:21" x14ac:dyDescent="0.25">
      <c r="O286" s="1650" t="s">
        <v>1535</v>
      </c>
      <c r="P286" s="180">
        <v>134</v>
      </c>
      <c r="Q286" s="77" t="s">
        <v>2049</v>
      </c>
      <c r="R286" s="180"/>
      <c r="S286" s="180">
        <v>1</v>
      </c>
      <c r="T286" s="180" t="str">
        <f t="shared" si="25"/>
        <v>North America</v>
      </c>
      <c r="U286" s="356"/>
    </row>
    <row r="287" spans="15:21" x14ac:dyDescent="0.25">
      <c r="O287" s="1650" t="s">
        <v>1536</v>
      </c>
      <c r="P287" s="180">
        <v>135</v>
      </c>
      <c r="Q287" s="77" t="s">
        <v>2049</v>
      </c>
      <c r="R287" s="180"/>
      <c r="S287" s="180">
        <v>1</v>
      </c>
      <c r="T287" s="180" t="str">
        <f t="shared" si="25"/>
        <v>North America</v>
      </c>
      <c r="U287" s="356"/>
    </row>
    <row r="288" spans="15:21" x14ac:dyDescent="0.25">
      <c r="O288" s="1650" t="s">
        <v>1537</v>
      </c>
      <c r="P288" s="180">
        <v>136</v>
      </c>
      <c r="Q288" s="77" t="s">
        <v>2049</v>
      </c>
      <c r="R288" s="180"/>
      <c r="S288" s="180">
        <v>1</v>
      </c>
      <c r="T288" s="180" t="str">
        <f t="shared" si="25"/>
        <v>North America</v>
      </c>
      <c r="U288" s="356"/>
    </row>
    <row r="289" spans="15:21" x14ac:dyDescent="0.25">
      <c r="O289" s="1650" t="s">
        <v>1538</v>
      </c>
      <c r="P289" s="180">
        <v>137</v>
      </c>
      <c r="Q289" s="77" t="s">
        <v>2049</v>
      </c>
      <c r="R289" s="180"/>
      <c r="S289" s="180">
        <v>1</v>
      </c>
      <c r="T289" s="180" t="str">
        <f t="shared" si="25"/>
        <v>North America</v>
      </c>
      <c r="U289" s="356"/>
    </row>
    <row r="290" spans="15:21" x14ac:dyDescent="0.25">
      <c r="O290" s="1650" t="s">
        <v>1539</v>
      </c>
      <c r="P290" s="180">
        <v>138</v>
      </c>
      <c r="Q290" s="77" t="s">
        <v>2049</v>
      </c>
      <c r="R290" s="180"/>
      <c r="S290" s="180">
        <v>1</v>
      </c>
      <c r="T290" s="180" t="str">
        <f t="shared" si="25"/>
        <v>North America</v>
      </c>
      <c r="U290" s="356"/>
    </row>
    <row r="291" spans="15:21" x14ac:dyDescent="0.25">
      <c r="O291" s="1650" t="s">
        <v>1540</v>
      </c>
      <c r="P291" s="180">
        <v>139</v>
      </c>
      <c r="Q291" s="77" t="s">
        <v>2049</v>
      </c>
      <c r="R291" s="180"/>
      <c r="S291" s="180">
        <v>1</v>
      </c>
      <c r="T291" s="180" t="str">
        <f t="shared" si="25"/>
        <v>North America</v>
      </c>
      <c r="U291" s="356"/>
    </row>
    <row r="292" spans="15:21" x14ac:dyDescent="0.25">
      <c r="O292" s="1650" t="s">
        <v>1541</v>
      </c>
      <c r="P292" s="180">
        <v>140</v>
      </c>
      <c r="Q292" s="77" t="s">
        <v>2049</v>
      </c>
      <c r="R292" s="180"/>
      <c r="S292" s="180">
        <v>1</v>
      </c>
      <c r="T292" s="180" t="str">
        <f t="shared" si="25"/>
        <v>North America</v>
      </c>
      <c r="U292" s="356"/>
    </row>
    <row r="293" spans="15:21" x14ac:dyDescent="0.25">
      <c r="O293" s="1650" t="s">
        <v>1542</v>
      </c>
      <c r="P293" s="180">
        <v>141</v>
      </c>
      <c r="Q293" s="77" t="s">
        <v>2049</v>
      </c>
      <c r="R293" s="180"/>
      <c r="S293" s="180">
        <v>1</v>
      </c>
      <c r="T293" s="180" t="str">
        <f t="shared" si="25"/>
        <v>North America</v>
      </c>
      <c r="U293" s="356"/>
    </row>
    <row r="294" spans="15:21" x14ac:dyDescent="0.25">
      <c r="O294" s="1650" t="s">
        <v>1957</v>
      </c>
      <c r="P294" s="180">
        <v>142</v>
      </c>
      <c r="Q294" s="77" t="s">
        <v>2049</v>
      </c>
      <c r="R294" s="180"/>
      <c r="S294" s="180">
        <v>1</v>
      </c>
      <c r="T294" s="180" t="str">
        <f t="shared" si="25"/>
        <v>North America</v>
      </c>
      <c r="U294" s="356"/>
    </row>
    <row r="295" spans="15:21" x14ac:dyDescent="0.25">
      <c r="O295" s="1650" t="s">
        <v>1958</v>
      </c>
      <c r="P295" s="180">
        <v>143</v>
      </c>
      <c r="Q295" s="77" t="s">
        <v>2049</v>
      </c>
      <c r="R295" s="180"/>
      <c r="S295" s="180">
        <v>1</v>
      </c>
      <c r="T295" s="180" t="str">
        <f t="shared" si="25"/>
        <v>North America</v>
      </c>
      <c r="U295" s="356"/>
    </row>
    <row r="296" spans="15:21" x14ac:dyDescent="0.25">
      <c r="O296" s="1650" t="s">
        <v>1959</v>
      </c>
      <c r="P296" s="180">
        <v>144</v>
      </c>
      <c r="Q296" s="77" t="s">
        <v>2049</v>
      </c>
      <c r="R296" s="180"/>
      <c r="S296" s="180">
        <v>1</v>
      </c>
      <c r="T296" s="180" t="str">
        <f t="shared" si="25"/>
        <v>North America</v>
      </c>
      <c r="U296" s="356"/>
    </row>
    <row r="297" spans="15:21" x14ac:dyDescent="0.25">
      <c r="O297" s="1650" t="s">
        <v>1960</v>
      </c>
      <c r="P297" s="180">
        <v>145</v>
      </c>
      <c r="Q297" s="77" t="s">
        <v>2049</v>
      </c>
      <c r="R297" s="180"/>
      <c r="S297" s="180">
        <v>1</v>
      </c>
      <c r="T297" s="180" t="str">
        <f t="shared" si="25"/>
        <v>North America</v>
      </c>
      <c r="U297" s="356"/>
    </row>
    <row r="298" spans="15:21" x14ac:dyDescent="0.25">
      <c r="O298" s="1650" t="s">
        <v>1961</v>
      </c>
      <c r="P298" s="180">
        <v>146</v>
      </c>
      <c r="Q298" s="77" t="s">
        <v>2049</v>
      </c>
      <c r="R298" s="180"/>
      <c r="S298" s="180">
        <v>1</v>
      </c>
      <c r="T298" s="180" t="str">
        <f t="shared" si="25"/>
        <v>North America</v>
      </c>
      <c r="U298" s="356"/>
    </row>
    <row r="299" spans="15:21" x14ac:dyDescent="0.25">
      <c r="O299" s="1650" t="s">
        <v>1962</v>
      </c>
      <c r="P299" s="180">
        <v>147</v>
      </c>
      <c r="Q299" s="77" t="s">
        <v>2049</v>
      </c>
      <c r="R299" s="180"/>
      <c r="S299" s="180">
        <v>1</v>
      </c>
      <c r="T299" s="180" t="str">
        <f t="shared" si="25"/>
        <v>North America</v>
      </c>
      <c r="U299" s="356"/>
    </row>
    <row r="300" spans="15:21" x14ac:dyDescent="0.25">
      <c r="O300" s="1650" t="s">
        <v>1963</v>
      </c>
      <c r="P300" s="180">
        <v>148</v>
      </c>
      <c r="Q300" s="77" t="s">
        <v>2049</v>
      </c>
      <c r="R300" s="180"/>
      <c r="S300" s="180">
        <v>1</v>
      </c>
      <c r="T300" s="180" t="str">
        <f t="shared" si="25"/>
        <v>North America</v>
      </c>
      <c r="U300" s="356"/>
    </row>
    <row r="301" spans="15:21" x14ac:dyDescent="0.25">
      <c r="O301" s="1650" t="s">
        <v>1804</v>
      </c>
      <c r="P301" s="180">
        <v>149</v>
      </c>
      <c r="Q301" s="77" t="s">
        <v>2049</v>
      </c>
      <c r="R301" s="180"/>
      <c r="S301" s="180">
        <v>1</v>
      </c>
      <c r="T301" s="180" t="str">
        <f t="shared" si="25"/>
        <v>North America</v>
      </c>
      <c r="U301" s="356"/>
    </row>
    <row r="302" spans="15:21" x14ac:dyDescent="0.25">
      <c r="O302" s="1650" t="s">
        <v>1805</v>
      </c>
      <c r="P302" s="180">
        <v>150</v>
      </c>
      <c r="Q302" s="77" t="s">
        <v>2049</v>
      </c>
      <c r="R302" s="180"/>
      <c r="S302" s="180">
        <v>1</v>
      </c>
      <c r="T302" s="180" t="str">
        <f t="shared" si="25"/>
        <v>North America</v>
      </c>
      <c r="U302" s="356"/>
    </row>
    <row r="303" spans="15:21" x14ac:dyDescent="0.25">
      <c r="O303" s="1650" t="s">
        <v>1806</v>
      </c>
      <c r="P303" s="180">
        <v>151</v>
      </c>
      <c r="Q303" s="77" t="s">
        <v>2049</v>
      </c>
      <c r="R303" s="180"/>
      <c r="S303" s="180">
        <v>1</v>
      </c>
      <c r="T303" s="180" t="str">
        <f t="shared" si="25"/>
        <v>North America</v>
      </c>
      <c r="U303" s="356"/>
    </row>
    <row r="304" spans="15:21" x14ac:dyDescent="0.25">
      <c r="O304" s="1650" t="s">
        <v>1807</v>
      </c>
      <c r="P304" s="180">
        <v>152</v>
      </c>
      <c r="Q304" s="77" t="s">
        <v>2049</v>
      </c>
      <c r="R304" s="180"/>
      <c r="S304" s="180">
        <v>1</v>
      </c>
      <c r="T304" s="180" t="str">
        <f t="shared" si="25"/>
        <v>North America</v>
      </c>
      <c r="U304" s="356"/>
    </row>
    <row r="305" spans="15:21" x14ac:dyDescent="0.25">
      <c r="O305" s="1650" t="s">
        <v>1808</v>
      </c>
      <c r="P305" s="180">
        <v>153</v>
      </c>
      <c r="Q305" s="77" t="s">
        <v>2049</v>
      </c>
      <c r="R305" s="180"/>
      <c r="S305" s="180">
        <v>1</v>
      </c>
      <c r="T305" s="180" t="str">
        <f t="shared" si="25"/>
        <v>North America</v>
      </c>
      <c r="U305" s="356"/>
    </row>
    <row r="306" spans="15:21" x14ac:dyDescent="0.25">
      <c r="O306" s="1650" t="s">
        <v>1512</v>
      </c>
      <c r="P306" s="180">
        <v>154</v>
      </c>
      <c r="Q306" s="77" t="s">
        <v>2049</v>
      </c>
      <c r="R306" s="180"/>
      <c r="S306" s="180">
        <v>1</v>
      </c>
      <c r="T306" s="180" t="str">
        <f t="shared" si="25"/>
        <v>North America</v>
      </c>
      <c r="U306" s="356"/>
    </row>
    <row r="307" spans="15:21" x14ac:dyDescent="0.25">
      <c r="O307" s="1650" t="s">
        <v>1523</v>
      </c>
      <c r="P307" s="180">
        <v>155</v>
      </c>
      <c r="Q307" s="77" t="s">
        <v>2049</v>
      </c>
      <c r="R307" s="180"/>
      <c r="S307" s="180">
        <v>1</v>
      </c>
      <c r="T307" s="180" t="str">
        <f t="shared" si="25"/>
        <v>North America</v>
      </c>
      <c r="U307" s="356"/>
    </row>
    <row r="308" spans="15:21" x14ac:dyDescent="0.25">
      <c r="O308" s="1650" t="s">
        <v>1524</v>
      </c>
      <c r="P308" s="180">
        <v>156</v>
      </c>
      <c r="Q308" s="77" t="s">
        <v>2049</v>
      </c>
      <c r="R308" s="180"/>
      <c r="S308" s="180">
        <v>1</v>
      </c>
      <c r="T308" s="180" t="str">
        <f t="shared" si="25"/>
        <v>North America</v>
      </c>
      <c r="U308" s="356"/>
    </row>
    <row r="309" spans="15:21" x14ac:dyDescent="0.25">
      <c r="O309" s="1650" t="s">
        <v>1525</v>
      </c>
      <c r="P309" s="180">
        <v>157</v>
      </c>
      <c r="Q309" s="77" t="s">
        <v>2049</v>
      </c>
      <c r="R309" s="180"/>
      <c r="S309" s="180">
        <v>1</v>
      </c>
      <c r="T309" s="180" t="str">
        <f t="shared" si="25"/>
        <v>North America</v>
      </c>
      <c r="U309" s="356"/>
    </row>
    <row r="310" spans="15:21" x14ac:dyDescent="0.25">
      <c r="O310" s="1650" t="s">
        <v>1742</v>
      </c>
      <c r="P310" s="180">
        <v>158</v>
      </c>
      <c r="Q310" s="77" t="s">
        <v>2049</v>
      </c>
      <c r="R310" s="180"/>
      <c r="S310" s="180">
        <v>1</v>
      </c>
      <c r="T310" s="180" t="str">
        <f t="shared" si="25"/>
        <v>North America</v>
      </c>
      <c r="U310" s="356"/>
    </row>
    <row r="311" spans="15:21" x14ac:dyDescent="0.25">
      <c r="O311" s="1650" t="s">
        <v>1604</v>
      </c>
      <c r="P311" s="180">
        <v>159</v>
      </c>
      <c r="Q311" s="77" t="s">
        <v>2049</v>
      </c>
      <c r="R311" s="180"/>
      <c r="S311" s="180">
        <v>1</v>
      </c>
      <c r="T311" s="180" t="str">
        <f t="shared" si="25"/>
        <v>North America</v>
      </c>
      <c r="U311" s="356"/>
    </row>
    <row r="312" spans="15:21" x14ac:dyDescent="0.25">
      <c r="O312" s="1650" t="s">
        <v>1605</v>
      </c>
      <c r="P312" s="180">
        <v>160</v>
      </c>
      <c r="Q312" s="77" t="s">
        <v>2049</v>
      </c>
      <c r="R312" s="180"/>
      <c r="S312" s="180">
        <v>1</v>
      </c>
      <c r="T312" s="180" t="str">
        <f t="shared" si="25"/>
        <v>North America</v>
      </c>
      <c r="U312" s="356"/>
    </row>
    <row r="313" spans="15:21" x14ac:dyDescent="0.25">
      <c r="O313" s="1650" t="s">
        <v>1628</v>
      </c>
      <c r="P313" s="180">
        <v>161</v>
      </c>
      <c r="Q313" s="77" t="s">
        <v>2049</v>
      </c>
      <c r="R313" s="180"/>
      <c r="S313" s="180">
        <v>1</v>
      </c>
      <c r="T313" s="180" t="str">
        <f t="shared" si="25"/>
        <v>North America</v>
      </c>
      <c r="U313" s="356"/>
    </row>
    <row r="314" spans="15:21" x14ac:dyDescent="0.25">
      <c r="O314" s="1650" t="s">
        <v>1629</v>
      </c>
      <c r="P314" s="180">
        <v>162</v>
      </c>
      <c r="Q314" s="77" t="s">
        <v>2049</v>
      </c>
      <c r="R314" s="180"/>
      <c r="S314" s="180">
        <v>1</v>
      </c>
      <c r="T314" s="180" t="str">
        <f t="shared" si="25"/>
        <v>North America</v>
      </c>
      <c r="U314" s="356"/>
    </row>
    <row r="315" spans="15:21" x14ac:dyDescent="0.25">
      <c r="O315" s="1650" t="s">
        <v>1630</v>
      </c>
      <c r="P315" s="180">
        <v>163</v>
      </c>
      <c r="Q315" s="77" t="s">
        <v>2049</v>
      </c>
      <c r="R315" s="180"/>
      <c r="S315" s="180">
        <v>1</v>
      </c>
      <c r="T315" s="180" t="str">
        <f t="shared" si="25"/>
        <v>North America</v>
      </c>
      <c r="U315" s="356"/>
    </row>
    <row r="316" spans="15:21" x14ac:dyDescent="0.25">
      <c r="O316" s="1650" t="s">
        <v>1996</v>
      </c>
      <c r="P316" s="180">
        <v>164</v>
      </c>
      <c r="Q316" s="77" t="s">
        <v>2049</v>
      </c>
      <c r="R316" s="180"/>
      <c r="S316" s="180">
        <v>1</v>
      </c>
      <c r="T316" s="180" t="str">
        <f t="shared" si="25"/>
        <v>North America</v>
      </c>
      <c r="U316" s="356"/>
    </row>
    <row r="317" spans="15:21" x14ac:dyDescent="0.25">
      <c r="O317" s="1650" t="s">
        <v>1997</v>
      </c>
      <c r="P317" s="180">
        <v>165</v>
      </c>
      <c r="Q317" s="77" t="s">
        <v>2049</v>
      </c>
      <c r="R317" s="180"/>
      <c r="S317" s="180">
        <v>1</v>
      </c>
      <c r="T317" s="180" t="str">
        <f t="shared" si="25"/>
        <v>North America</v>
      </c>
      <c r="U317" s="356"/>
    </row>
    <row r="318" spans="15:21" x14ac:dyDescent="0.25">
      <c r="O318" s="1650" t="s">
        <v>1998</v>
      </c>
      <c r="P318" s="180">
        <v>166</v>
      </c>
      <c r="Q318" s="77" t="s">
        <v>2049</v>
      </c>
      <c r="R318" s="180"/>
      <c r="S318" s="180">
        <v>1</v>
      </c>
      <c r="T318" s="180" t="str">
        <f t="shared" si="25"/>
        <v>North America</v>
      </c>
      <c r="U318" s="356"/>
    </row>
    <row r="319" spans="15:21" x14ac:dyDescent="0.25">
      <c r="O319" s="1650" t="s">
        <v>2052</v>
      </c>
      <c r="P319" s="180">
        <v>167</v>
      </c>
      <c r="Q319" s="77" t="s">
        <v>2049</v>
      </c>
      <c r="R319" s="180"/>
      <c r="S319" s="180">
        <v>1</v>
      </c>
      <c r="T319" s="180" t="str">
        <f t="shared" si="25"/>
        <v>North America</v>
      </c>
      <c r="U319" s="356"/>
    </row>
    <row r="320" spans="15:21" x14ac:dyDescent="0.25">
      <c r="O320" s="1650" t="s">
        <v>2053</v>
      </c>
      <c r="P320" s="180">
        <v>168</v>
      </c>
      <c r="Q320" s="77" t="s">
        <v>2049</v>
      </c>
      <c r="R320" s="180"/>
      <c r="S320" s="180">
        <v>1</v>
      </c>
      <c r="T320" s="180" t="str">
        <f t="shared" si="25"/>
        <v>North America</v>
      </c>
      <c r="U320" s="356"/>
    </row>
    <row r="321" spans="15:21" x14ac:dyDescent="0.25">
      <c r="O321" s="1650" t="s">
        <v>2054</v>
      </c>
      <c r="P321" s="180">
        <v>169</v>
      </c>
      <c r="Q321" s="77" t="s">
        <v>2049</v>
      </c>
      <c r="R321" s="180"/>
      <c r="S321" s="180">
        <v>1</v>
      </c>
      <c r="T321" s="180" t="str">
        <f t="shared" si="25"/>
        <v>North America</v>
      </c>
      <c r="U321" s="356"/>
    </row>
    <row r="322" spans="15:21" x14ac:dyDescent="0.25">
      <c r="O322" s="1650" t="s">
        <v>2055</v>
      </c>
      <c r="P322" s="180">
        <v>170</v>
      </c>
      <c r="Q322" s="77" t="s">
        <v>2049</v>
      </c>
      <c r="R322" s="180"/>
      <c r="S322" s="180">
        <v>1</v>
      </c>
      <c r="T322" s="180" t="str">
        <f t="shared" si="25"/>
        <v>North America</v>
      </c>
      <c r="U322" s="356"/>
    </row>
    <row r="323" spans="15:21" x14ac:dyDescent="0.25">
      <c r="O323" s="1650" t="s">
        <v>2056</v>
      </c>
      <c r="P323" s="180">
        <v>171</v>
      </c>
      <c r="Q323" s="77" t="s">
        <v>2049</v>
      </c>
      <c r="R323" s="180"/>
      <c r="S323" s="180">
        <v>1</v>
      </c>
      <c r="T323" s="180" t="str">
        <f t="shared" si="25"/>
        <v>North America</v>
      </c>
      <c r="U323" s="356"/>
    </row>
    <row r="324" spans="15:21" x14ac:dyDescent="0.25">
      <c r="O324" s="1650" t="s">
        <v>2057</v>
      </c>
      <c r="P324" s="180">
        <v>172</v>
      </c>
      <c r="Q324" s="77" t="s">
        <v>2049</v>
      </c>
      <c r="R324" s="180"/>
      <c r="S324" s="180">
        <v>1</v>
      </c>
      <c r="T324" s="180" t="str">
        <f t="shared" si="25"/>
        <v>North America</v>
      </c>
      <c r="U324" s="356"/>
    </row>
    <row r="325" spans="15:21" x14ac:dyDescent="0.25">
      <c r="O325" s="1650" t="s">
        <v>2058</v>
      </c>
      <c r="P325" s="180">
        <v>173</v>
      </c>
      <c r="Q325" s="77" t="s">
        <v>2049</v>
      </c>
      <c r="R325" s="180"/>
      <c r="S325" s="180">
        <v>1</v>
      </c>
      <c r="T325" s="180" t="str">
        <f t="shared" si="25"/>
        <v>North America</v>
      </c>
      <c r="U325" s="356"/>
    </row>
    <row r="326" spans="15:21" x14ac:dyDescent="0.25">
      <c r="O326" s="1650" t="s">
        <v>2059</v>
      </c>
      <c r="P326" s="180">
        <v>174</v>
      </c>
      <c r="Q326" s="77" t="s">
        <v>2049</v>
      </c>
      <c r="R326" s="180"/>
      <c r="S326" s="180">
        <v>1</v>
      </c>
      <c r="T326" s="180" t="str">
        <f t="shared" si="25"/>
        <v>North America</v>
      </c>
      <c r="U326" s="356"/>
    </row>
    <row r="327" spans="15:21" x14ac:dyDescent="0.25">
      <c r="O327" s="1650" t="s">
        <v>2060</v>
      </c>
      <c r="P327" s="180">
        <v>175</v>
      </c>
      <c r="Q327" s="77" t="s">
        <v>2049</v>
      </c>
      <c r="R327" s="180"/>
      <c r="S327" s="180">
        <v>1</v>
      </c>
      <c r="T327" s="180" t="str">
        <f t="shared" si="25"/>
        <v>North America</v>
      </c>
      <c r="U327" s="356"/>
    </row>
    <row r="328" spans="15:21" x14ac:dyDescent="0.25">
      <c r="O328" s="1650" t="s">
        <v>1827</v>
      </c>
      <c r="P328" s="180">
        <v>176</v>
      </c>
      <c r="Q328" s="77" t="s">
        <v>2049</v>
      </c>
      <c r="R328" s="180"/>
      <c r="S328" s="180">
        <v>1</v>
      </c>
      <c r="T328" s="180" t="str">
        <f t="shared" si="25"/>
        <v>North America</v>
      </c>
      <c r="U328" s="356"/>
    </row>
    <row r="329" spans="15:21" x14ac:dyDescent="0.25">
      <c r="O329" s="1652" t="s">
        <v>1828</v>
      </c>
      <c r="P329" s="180">
        <v>177</v>
      </c>
      <c r="Q329" s="77" t="s">
        <v>2049</v>
      </c>
      <c r="R329" s="180"/>
      <c r="S329" s="180">
        <v>1</v>
      </c>
      <c r="T329" s="180" t="str">
        <f t="shared" si="25"/>
        <v>North America</v>
      </c>
      <c r="U329" s="356"/>
    </row>
    <row r="330" spans="15:21" x14ac:dyDescent="0.25">
      <c r="O330" s="1650" t="str">
        <f>'A1. Submodels &amp; data'!B321</f>
        <v xml:space="preserve"> - Uruguay</v>
      </c>
      <c r="P330" s="180">
        <v>178</v>
      </c>
      <c r="Q330" s="77" t="s">
        <v>1695</v>
      </c>
      <c r="R330" s="180"/>
      <c r="S330" s="180">
        <f>0</f>
        <v>0</v>
      </c>
      <c r="T330" s="180" t="str">
        <f t="shared" si="25"/>
        <v>Latin America</v>
      </c>
      <c r="U330" s="356"/>
    </row>
    <row r="331" spans="15:21" x14ac:dyDescent="0.25">
      <c r="O331" s="1650" t="str">
        <f>'A1. Submodels &amp; data'!B322</f>
        <v xml:space="preserve"> - Uzbekistan</v>
      </c>
      <c r="P331" s="180">
        <v>179</v>
      </c>
      <c r="Q331" s="77" t="s">
        <v>1936</v>
      </c>
      <c r="R331" s="180"/>
      <c r="S331" s="180">
        <f>0</f>
        <v>0</v>
      </c>
      <c r="T331" s="180" t="str">
        <f>'3.Sequestration'!AE71</f>
        <v>Asia, continental</v>
      </c>
      <c r="U331" s="356"/>
    </row>
    <row r="332" spans="15:21" x14ac:dyDescent="0.25">
      <c r="O332" s="1650" t="str">
        <f>'A1. Submodels &amp; data'!B323</f>
        <v xml:space="preserve"> - Venezuela</v>
      </c>
      <c r="P332" s="180">
        <v>180</v>
      </c>
      <c r="Q332" s="77" t="s">
        <v>1695</v>
      </c>
      <c r="R332" s="180"/>
      <c r="S332" s="180">
        <f>0</f>
        <v>0</v>
      </c>
      <c r="T332" s="180" t="str">
        <f t="shared" si="25"/>
        <v>Latin America</v>
      </c>
      <c r="U332" s="356"/>
    </row>
    <row r="333" spans="15:21" x14ac:dyDescent="0.25">
      <c r="O333" s="1650" t="str">
        <f>'A1. Submodels &amp; data'!B324</f>
        <v xml:space="preserve"> - Vietnam</v>
      </c>
      <c r="P333" s="180">
        <v>181</v>
      </c>
      <c r="Q333" s="77" t="s">
        <v>1936</v>
      </c>
      <c r="R333" s="180"/>
      <c r="S333" s="180">
        <f>0</f>
        <v>0</v>
      </c>
      <c r="T333" s="180" t="str">
        <f>T331</f>
        <v>Asia, continental</v>
      </c>
      <c r="U333" s="356"/>
    </row>
    <row r="334" spans="15:21" x14ac:dyDescent="0.25">
      <c r="O334" s="1650" t="str">
        <f>'A1. Submodels &amp; data'!B325</f>
        <v xml:space="preserve"> - Yemen</v>
      </c>
      <c r="P334" s="180">
        <v>182</v>
      </c>
      <c r="Q334" s="77" t="s">
        <v>351</v>
      </c>
      <c r="R334" s="180"/>
      <c r="S334" s="180">
        <f>0</f>
        <v>0</v>
      </c>
      <c r="T334" s="180" t="str">
        <f t="shared" si="25"/>
        <v>Middle East</v>
      </c>
      <c r="U334" s="356"/>
    </row>
    <row r="335" spans="15:21" x14ac:dyDescent="0.25">
      <c r="O335" s="1650" t="str">
        <f>'A1. Submodels &amp; data'!B326</f>
        <v xml:space="preserve"> - Zambia</v>
      </c>
      <c r="P335" s="180">
        <v>183</v>
      </c>
      <c r="Q335" s="77" t="s">
        <v>212</v>
      </c>
      <c r="R335" s="180"/>
      <c r="S335" s="180">
        <f>0</f>
        <v>0</v>
      </c>
      <c r="T335" s="180" t="str">
        <f t="shared" si="25"/>
        <v>Africa</v>
      </c>
      <c r="U335" s="356"/>
    </row>
    <row r="336" spans="15:21" x14ac:dyDescent="0.25">
      <c r="O336" s="1650" t="str">
        <f>'A1. Submodels &amp; data'!B327</f>
        <v xml:space="preserve"> - Zimbabwe</v>
      </c>
      <c r="P336" s="180">
        <v>184</v>
      </c>
      <c r="Q336" s="77" t="s">
        <v>212</v>
      </c>
      <c r="R336" s="180"/>
      <c r="S336" s="180">
        <f>0</f>
        <v>0</v>
      </c>
      <c r="T336" s="180" t="str">
        <f t="shared" si="25"/>
        <v>Africa</v>
      </c>
      <c r="U336" s="356"/>
    </row>
    <row r="337" spans="15:21" x14ac:dyDescent="0.25">
      <c r="O337" s="1650" t="str">
        <f>'A1. Submodels &amp; data'!B328</f>
        <v>Africa</v>
      </c>
      <c r="P337" s="180">
        <v>185</v>
      </c>
      <c r="Q337" s="77" t="s">
        <v>212</v>
      </c>
      <c r="R337" s="180"/>
      <c r="S337" s="180">
        <f>0</f>
        <v>0</v>
      </c>
      <c r="T337" s="180" t="str">
        <f t="shared" si="25"/>
        <v>Africa</v>
      </c>
      <c r="U337" s="356"/>
    </row>
    <row r="338" spans="15:21" x14ac:dyDescent="0.25">
      <c r="O338" s="1650" t="str">
        <f>'A1. Submodels &amp; data'!B329</f>
        <v>Asia</v>
      </c>
      <c r="P338" s="180">
        <v>186</v>
      </c>
      <c r="Q338" s="77" t="s">
        <v>1936</v>
      </c>
      <c r="R338" s="180"/>
      <c r="S338" s="180">
        <f>0</f>
        <v>0</v>
      </c>
      <c r="T338" s="180" t="str">
        <f>T333</f>
        <v>Asia, continental</v>
      </c>
      <c r="U338" s="356"/>
    </row>
    <row r="339" spans="15:21" x14ac:dyDescent="0.25">
      <c r="O339" s="1650" t="str">
        <f>'A1. Submodels &amp; data'!B330</f>
        <v>Central and Eastern Europe</v>
      </c>
      <c r="P339" s="180">
        <v>187</v>
      </c>
      <c r="Q339" s="77" t="s">
        <v>721</v>
      </c>
      <c r="R339" s="180">
        <f>SUMIF(BF250:BF278,E125,BG250:BG278)</f>
        <v>0</v>
      </c>
      <c r="S339" s="180">
        <f>0</f>
        <v>0</v>
      </c>
      <c r="T339" s="180" t="str">
        <f t="shared" si="25"/>
        <v>Eastern Europe</v>
      </c>
      <c r="U339" s="356"/>
    </row>
    <row r="340" spans="15:21" x14ac:dyDescent="0.25">
      <c r="O340" s="1650" t="str">
        <f>'A1. Submodels &amp; data'!B331</f>
        <v>China (including Hong Kong)</v>
      </c>
      <c r="P340" s="180">
        <v>188</v>
      </c>
      <c r="Q340" s="77" t="s">
        <v>1936</v>
      </c>
      <c r="R340" s="180"/>
      <c r="S340" s="180">
        <f>0</f>
        <v>0</v>
      </c>
      <c r="T340" s="180" t="str">
        <f>T333</f>
        <v>Asia, continental</v>
      </c>
      <c r="U340" s="356"/>
    </row>
    <row r="341" spans="15:21" x14ac:dyDescent="0.25">
      <c r="O341" s="1650" t="str">
        <f>'A1. Submodels &amp; data'!B332</f>
        <v>Former USSR</v>
      </c>
      <c r="P341" s="180">
        <v>189</v>
      </c>
      <c r="Q341" s="77" t="s">
        <v>1936</v>
      </c>
      <c r="R341" s="180"/>
      <c r="S341" s="180">
        <f>0</f>
        <v>0</v>
      </c>
      <c r="T341" s="180" t="str">
        <f>T340</f>
        <v>Asia, continental</v>
      </c>
      <c r="U341" s="356"/>
    </row>
    <row r="342" spans="15:21" x14ac:dyDescent="0.25">
      <c r="O342" s="1650" t="str">
        <f>'A1. Submodels &amp; data'!B333</f>
        <v>Latin America</v>
      </c>
      <c r="P342" s="180">
        <v>190</v>
      </c>
      <c r="Q342" s="77" t="s">
        <v>1695</v>
      </c>
      <c r="R342" s="180"/>
      <c r="S342" s="180">
        <f>0</f>
        <v>0</v>
      </c>
      <c r="T342" s="180" t="str">
        <f t="shared" si="25"/>
        <v>Latin America</v>
      </c>
      <c r="U342" s="356"/>
    </row>
    <row r="343" spans="15:21" x14ac:dyDescent="0.25">
      <c r="O343" s="1650" t="str">
        <f>'A1. Submodels &amp; data'!B334</f>
        <v>Middle East</v>
      </c>
      <c r="P343" s="180">
        <v>191</v>
      </c>
      <c r="Q343" s="77" t="s">
        <v>351</v>
      </c>
      <c r="R343" s="180"/>
      <c r="S343" s="180">
        <f>0</f>
        <v>0</v>
      </c>
      <c r="T343" s="180" t="str">
        <f t="shared" si="25"/>
        <v>Middle East</v>
      </c>
      <c r="U343" s="356"/>
    </row>
    <row r="344" spans="15:21" x14ac:dyDescent="0.25">
      <c r="O344" s="1650" t="str">
        <f>'A1. Submodels &amp; data'!B335</f>
        <v>North America</v>
      </c>
      <c r="P344" s="180">
        <v>192</v>
      </c>
      <c r="Q344" s="77" t="s">
        <v>2049</v>
      </c>
      <c r="R344" s="180"/>
      <c r="S344" s="180">
        <f>0</f>
        <v>0</v>
      </c>
      <c r="T344" s="180" t="str">
        <f t="shared" si="25"/>
        <v>North America</v>
      </c>
      <c r="U344" s="356"/>
    </row>
    <row r="345" spans="15:21" x14ac:dyDescent="0.25">
      <c r="O345" s="1650" t="str">
        <f>'A1. Submodels &amp; data'!B336</f>
        <v>Pacific</v>
      </c>
      <c r="P345" s="180">
        <v>193</v>
      </c>
      <c r="Q345" s="77" t="s">
        <v>1936</v>
      </c>
      <c r="R345" s="180"/>
      <c r="S345" s="180">
        <f>0</f>
        <v>0</v>
      </c>
      <c r="T345" s="180" t="s">
        <v>1745</v>
      </c>
      <c r="U345" s="356"/>
    </row>
    <row r="346" spans="15:21" x14ac:dyDescent="0.25">
      <c r="O346" s="1650" t="str">
        <f>'A1. Submodels &amp; data'!B337</f>
        <v>Rest of Europe</v>
      </c>
      <c r="P346" s="180">
        <v>194</v>
      </c>
      <c r="Q346" s="77" t="s">
        <v>771</v>
      </c>
      <c r="R346" s="180"/>
      <c r="S346" s="180">
        <f>0</f>
        <v>0</v>
      </c>
      <c r="T346" s="180" t="str">
        <f>Q346</f>
        <v>Western Europe</v>
      </c>
      <c r="U346" s="356"/>
    </row>
    <row r="347" spans="15:21" x14ac:dyDescent="0.25">
      <c r="O347" s="1637"/>
      <c r="P347" s="3"/>
      <c r="Q347" s="3"/>
      <c r="R347" s="3"/>
      <c r="S347" s="3"/>
      <c r="T347" s="3"/>
      <c r="U347" s="1638"/>
    </row>
    <row r="348" spans="15:21" ht="13.25" thickBot="1" x14ac:dyDescent="0.3">
      <c r="O348" s="1641"/>
      <c r="P348" s="1642"/>
      <c r="Q348" s="1642"/>
      <c r="R348" s="1642"/>
      <c r="S348" s="1642"/>
      <c r="T348" s="1642"/>
      <c r="U348" s="1643"/>
    </row>
  </sheetData>
  <sheetProtection password="838D" sheet="1" objects="1" scenarios="1"/>
  <customSheetViews>
    <customSheetView guid="{BD1481C3-A8C6-46E4-9B09-3BB5EA0E455E}" scale="66" showRuler="0">
      <selection activeCell="C9" sqref="C9"/>
      <pageMargins left="0.7" right="0.7" top="0.75" bottom="0.75" header="0.3" footer="0.3"/>
      <pageSetup orientation="portrait" horizontalDpi="1200" verticalDpi="1200"/>
      <headerFooter>
        <oddHeader>&amp;C&amp;A</oddHeader>
        <oddFooter>&amp;CPage &amp;P</oddFooter>
      </headerFooter>
    </customSheetView>
  </customSheetViews>
  <mergeCells count="14">
    <mergeCell ref="BH4:BN5"/>
    <mergeCell ref="AQ149:AT151"/>
    <mergeCell ref="AU149:BF151"/>
    <mergeCell ref="Q33:S34"/>
    <mergeCell ref="AO15:AO17"/>
    <mergeCell ref="O8:R12"/>
    <mergeCell ref="B29:B32"/>
    <mergeCell ref="B2:J3"/>
    <mergeCell ref="I30:J30"/>
    <mergeCell ref="H37:J38"/>
    <mergeCell ref="B11:B17"/>
    <mergeCell ref="B26:B28"/>
    <mergeCell ref="B20:B25"/>
    <mergeCell ref="E25:J25"/>
  </mergeCells>
  <phoneticPr fontId="3" type="noConversion"/>
  <conditionalFormatting sqref="Q17:T17 N20:N23 N18">
    <cfRule type="cellIs" dxfId="15" priority="11" stopIfTrue="1" operator="equal">
      <formula>0</formula>
    </cfRule>
  </conditionalFormatting>
  <conditionalFormatting sqref="H4">
    <cfRule type="cellIs" dxfId="14" priority="7" stopIfTrue="1" operator="equal">
      <formula>""""""</formula>
    </cfRule>
    <cfRule type="cellIs" dxfId="13" priority="8" stopIfTrue="1" operator="notEqual">
      <formula>""""""</formula>
    </cfRule>
  </conditionalFormatting>
  <conditionalFormatting sqref="G4">
    <cfRule type="cellIs" dxfId="12" priority="12" stopIfTrue="1" operator="equal">
      <formula>TRUE</formula>
    </cfRule>
  </conditionalFormatting>
  <conditionalFormatting sqref="H5:H7">
    <cfRule type="cellIs" dxfId="11" priority="26" stopIfTrue="1" operator="equal">
      <formula>"Rice"</formula>
    </cfRule>
  </conditionalFormatting>
  <conditionalFormatting sqref="G5">
    <cfRule type="cellIs" dxfId="10" priority="27" stopIfTrue="1" operator="equal">
      <formula>"Rice only"</formula>
    </cfRule>
  </conditionalFormatting>
  <conditionalFormatting sqref="I30:J30">
    <cfRule type="cellIs" dxfId="9" priority="34" stopIfTrue="1" operator="equal">
      <formula>$U$72</formula>
    </cfRule>
  </conditionalFormatting>
  <dataValidations xWindow="703" yWindow="638" count="43">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26" xr:uid="{00000000-0002-0000-0200-000000000000}"/>
    <dataValidation operator="equal" allowBlank="1" sqref="W163:X165 AW26:AW29 Z163:AB165 AQ29:AV29 Y164:Y165 E10:F10" xr:uid="{00000000-0002-0000-0200-000001000000}"/>
    <dataValidation type="list" operator="equal" allowBlank="1" showDropDown="1" promptTitle="This can be estimated from fertiliser input data" sqref="N17:P17 Q16:R16" xr:uid="{00000000-0002-0000-0200-000002000000}">
      <formula1>""</formula1>
      <formula2>0</formula2>
    </dataValidation>
    <dataValidation operator="equal" allowBlank="1" promptTitle="This can be estimated from fertiliser input data" sqref="BC157" xr:uid="{00000000-0002-0000-0200-000003000000}"/>
    <dataValidation allowBlank="1" showInputMessage="1" showErrorMessage="1" prompt="For manure this should be dry weight (typically around around 10-15% of fresh weight)." sqref="G18" xr:uid="{00000000-0002-0000-0200-000004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M26" xr:uid="{00000000-0002-0000-0200-000005000000}"/>
    <dataValidation type="list" operator="equal" allowBlank="1" sqref="T11" xr:uid="{00000000-0002-0000-0200-000006000000}">
      <formula1>"Grass,Grass-clover,Legume,Other upland crops,Wetland rice"</formula1>
      <formula2>0</formula2>
    </dataValidation>
    <dataValidation type="list" operator="equal" allowBlank="1" sqref="T12" xr:uid="{00000000-0002-0000-0200-000007000000}">
      <formula1>"Fine,Medium,Coarse"</formula1>
      <formula2>0</formula2>
    </dataValidation>
    <dataValidation type="list" operator="equal" allowBlank="1" sqref="T15 T13" xr:uid="{00000000-0002-0000-0200-000008000000}">
      <formula1>"SOC &lt;= 1.0,1.0 &lt; SOC &lt;= 3.0,3.0 &lt; SOC &lt;= 6.0,6.0 &lt; SOC"</formula1>
      <formula2>0</formula2>
    </dataValidation>
    <dataValidation type="list" operator="equal" allowBlank="1" sqref="T16" xr:uid="{00000000-0002-0000-0200-000009000000}">
      <formula1>"pH &lt;= 5.5,5.5 &lt; pH &lt;= 7.3,7.3 &lt; pH &lt;= 8.5,pH &gt; 8.5"</formula1>
      <formula2>0</formula2>
    </dataValidation>
    <dataValidation allowBlank="1" showInputMessage="1" showErrorMessage="1" prompt="This would often be the same as the above fresh product - but may be different in some cases. For example, from oilseed rape you may have 3 tonnes/hectare of fresh product (seed), but 1 tonne/hectare of finihsed product (oil) after post-harvest processing" sqref="D4" xr:uid="{00000000-0002-0000-0200-00000A000000}"/>
    <dataValidation allowBlank="1" showInputMessage="1" showErrorMessage="1" prompt="&quot;Coarse&quot; includes sand, loamy sand, sandy loam, loam, silt loam and silt._x000d_&quot;Medium&quot; includes sandy clay loam, clay loam, and silty clay loam._x000d_&quot;Fine&quot; includes sandy clay, silty  clay, and clay.&quot;" sqref="D12" xr:uid="{00000000-0002-0000-0200-00000B000000}"/>
    <dataValidation allowBlank="1" showInputMessage="1" showErrorMessage="1" promptTitle="Percent Soil Organic Matter" prompt="If known exactly you may enter this value - if not choose from drop-down list. If you have Soil Organic Carbon  (SOC), but not Soil Organic Matter (SOM), then convert as follows: SOM = SOC*1.72._x000d_Affects both N2O and CO2 emissions from soil." sqref="D13" xr:uid="{00000000-0002-0000-0200-00000C000000}"/>
    <dataValidation allowBlank="1" showInputMessage="1" showErrorMessage="1" promptTitle="Soil drainage properties" prompt="Typically clay soils with restricted drainage should be classed &quot;Poor&quot;. For other cases put &quot;Good&quot;._x000d_This mainly affects N2O emissions from soil." sqref="D15" xr:uid="{00000000-0002-0000-0200-00000D000000}"/>
    <dataValidation allowBlank="1" showInputMessage="1" showErrorMessage="1" promptTitle="Soil moisture" prompt="&quot;Moist&quot; soils are those without any significant water constraints (including irrigated soils). Put &quot;Dry&quot; if for significant periods of the growing season water is limited (evaporation exceeds rainfall)." sqref="D14" xr:uid="{00000000-0002-0000-0200-00000E000000}"/>
    <dataValidation type="list" allowBlank="1" showInputMessage="1" showErrorMessage="1" sqref="AU201:AU231" xr:uid="{00000000-0002-0000-0200-00000F000000}">
      <formula1>$BB$167:$BB$171</formula1>
    </dataValidation>
    <dataValidation type="list" allowBlank="1" showInputMessage="1" showErrorMessage="1" sqref="T77" xr:uid="{00000000-0002-0000-0200-000010000000}">
      <formula1>$AF$86:$AF$89</formula1>
    </dataValidation>
    <dataValidation type="list" allowBlank="1" showInputMessage="1" showErrorMessage="1" sqref="T78" xr:uid="{00000000-0002-0000-0200-000011000000}">
      <formula1>$AF$75:$AF$82</formula1>
    </dataValidation>
    <dataValidation operator="equal" allowBlank="1" showInputMessage="1" sqref="E6:E7 C7 D6" xr:uid="{00000000-0002-0000-0200-000012000000}"/>
    <dataValidation allowBlank="1" showInputMessage="1" sqref="T84:T85" xr:uid="{00000000-0002-0000-0200-000014000000}"/>
    <dataValidation allowBlank="1" showInputMessage="1" showErrorMessage="1" prompt="This affects both the direct and indirect emissions from N fertiliser application. It also affects the default crop residue calculation and the corresponding N related emissions if residues are incorporated into the soil." sqref="D5" xr:uid="{00000000-0002-0000-0200-000015000000}"/>
    <dataValidation type="list" allowBlank="1" showInputMessage="1" sqref="E31" xr:uid="{00000000-0002-0000-0200-000016000000}">
      <formula1>$Y$41:$Y$46</formula1>
    </dataValidation>
    <dataValidation type="list" allowBlank="1" showInputMessage="1" showErrorMessage="1" sqref="G35" xr:uid="{00000000-0002-0000-0200-000017000000}">
      <formula1>$X$194:$X$197</formula1>
    </dataValidation>
    <dataValidation allowBlank="1" showInputMessage="1" showErrorMessage="1" prompt="Choose the specific nutrient if you apply fertiliser based on the pure nutrient content per area. Choose &quot;product&quot; (at end of list) if you apply a mixed nutrient fertiliser." sqref="F18" xr:uid="{00000000-0002-0000-0200-000018000000}"/>
    <dataValidation allowBlank="1" showInputMessage="1" showErrorMessage="1" prompt="Select closest matching fertiliser from the drop-down list._x000d_For organic amendments, all animal manure options refer to uncomposted manure. For any composted fertilisers choose the closest compost option. " sqref="D19:D24" xr:uid="{00000000-0002-0000-0200-000019000000}"/>
    <dataValidation type="list" operator="equal" allowBlank="1" sqref="T10 T6" xr:uid="{00000000-0002-0000-0200-00001A000000}">
      <formula1>$AR$120:$AR$124</formula1>
    </dataValidation>
    <dataValidation type="list" operator="equal" allowBlank="1" showInputMessage="1" showErrorMessage="1" sqref="E15" xr:uid="{00000000-0002-0000-0200-00001B000000}">
      <formula1>$BB$173:$BB$175</formula1>
    </dataValidation>
    <dataValidation type="list" operator="equal" allowBlank="1" showInputMessage="1" showErrorMessage="1" sqref="E12" xr:uid="{00000000-0002-0000-0200-00001C000000}">
      <formula1>$BF$190:$BF$193</formula1>
    </dataValidation>
    <dataValidation type="list" allowBlank="1" showInputMessage="1" showErrorMessage="1" sqref="E14" xr:uid="{00000000-0002-0000-0200-00001D000000}">
      <formula1>$BB$185:$BB$187</formula1>
    </dataValidation>
    <dataValidation type="list" operator="equal" allowBlank="1" showErrorMessage="1" sqref="E16" xr:uid="{00000000-0002-0000-0200-00001E000000}">
      <formula1>$BH$154:$BH$158</formula1>
    </dataValidation>
    <dataValidation type="list" operator="equal" allowBlank="1" showInputMessage="1" sqref="E13" xr:uid="{00000000-0002-0000-0200-00001F000000}">
      <formula1>$BF$161:$BF$165</formula1>
    </dataValidation>
    <dataValidation type="list" allowBlank="1" showInputMessage="1" sqref="F30" xr:uid="{00000000-0002-0000-0200-000020000000}">
      <formula1>$W$169:$W$173</formula1>
    </dataValidation>
    <dataValidation type="list" allowBlank="1" showInputMessage="1" sqref="H6" xr:uid="{00000000-0002-0000-0200-000021000000}">
      <formula1>$AA$86:$AA$89</formula1>
    </dataValidation>
    <dataValidation type="list" allowBlank="1" showInputMessage="1" sqref="H7" xr:uid="{00000000-0002-0000-0200-000022000000}">
      <formula1>$AA$75:$AA$82</formula1>
    </dataValidation>
    <dataValidation type="list" operator="equal" allowBlank="1" showInputMessage="1" showErrorMessage="1" errorTitle="Invalid crop type" error="If you don't see your exact crop on the list, select the one closest to the product you are evaluating.  " promptTitle="Choose from the dropdown list" prompt="For the Tool to calculate correctly, you must choose the closest crop type from the list. If you don't see your exact crop on the list, select the one closest to the product you are evaluating.  " sqref="E5" xr:uid="{00000000-0002-0000-0200-000023000000}">
      <formula1>$AS$200:$AS$231</formula1>
    </dataValidation>
    <dataValidation type="list" allowBlank="1" showInputMessage="1" showErrorMessage="1" error="Please pick a value from the drop down list" sqref="E19:E24" xr:uid="{00000000-0002-0000-0200-000024000000}">
      <formula1>$AR$155:$AR$195</formula1>
    </dataValidation>
    <dataValidation type="list" operator="equal" allowBlank="1" showInputMessage="1" showErrorMessage="1" sqref="F19:F24" xr:uid="{00000000-0002-0000-0200-000025000000}">
      <formula1>$BF$171:$BF$183</formula1>
    </dataValidation>
    <dataValidation type="list" allowBlank="1" showInputMessage="1" showErrorMessage="1" sqref="H19:H24" xr:uid="{00000000-0002-0000-0200-000026000000}">
      <formula1>$X$168:$X$179</formula1>
    </dataValidation>
    <dataValidation type="list" allowBlank="1" showInputMessage="1" showErrorMessage="1" sqref="J19:J24" xr:uid="{00000000-0002-0000-0200-000027000000}">
      <formula1>$AS$238:$AS$240</formula1>
    </dataValidation>
    <dataValidation type="list" allowBlank="1" showInputMessage="1" sqref="I30:J30" xr:uid="{00000000-0002-0000-0200-000028000000}">
      <formula1>$T$83:$T$85</formula1>
    </dataValidation>
    <dataValidation type="list" allowBlank="1" showInputMessage="1" showErrorMessage="1" sqref="K19:K24" xr:uid="{00000000-0002-0000-0200-000029000000}">
      <formula1>$AF$14:$AI$14</formula1>
    </dataValidation>
    <dataValidation type="list" allowBlank="1" showInputMessage="1" showErrorMessage="1" sqref="I19:I24" xr:uid="{00000000-0002-0000-0200-00002A000000}">
      <formula1>$BB$177:$BB$183</formula1>
    </dataValidation>
    <dataValidation type="list" allowBlank="1" showInputMessage="1" showErrorMessage="1" sqref="T81:T82" xr:uid="{00000000-0002-0000-0200-00002B000000}">
      <formula1>$AA$95:$AA$96</formula1>
    </dataValidation>
  </dataValidations>
  <pageMargins left="0.75" right="0.75" top="1" bottom="1" header="0.5" footer="0.5"/>
  <pageSetup orientation="portrait" horizontalDpi="1200" verticalDpi="1200"/>
  <headerFooter>
    <oddHeader>&amp;C&amp;A</oddHeader>
    <oddFooter>&amp;CPage &amp;P</oddFooter>
  </headerFooter>
  <cellWatches>
    <cellWatch r="G42"/>
  </cellWatche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R291"/>
  <sheetViews>
    <sheetView tabSelected="1" workbookViewId="0">
      <pane ySplit="1" topLeftCell="A2" activePane="bottomLeft" state="frozen"/>
      <selection activeCell="E31" sqref="E31"/>
      <selection pane="bottomLeft" activeCell="I4" sqref="I4"/>
    </sheetView>
  </sheetViews>
  <sheetFormatPr defaultColWidth="8.77734375" defaultRowHeight="12.7" x14ac:dyDescent="0.25"/>
  <cols>
    <col min="1" max="1" width="5.6640625" customWidth="1" collapsed="1"/>
    <col min="2" max="2" width="14.44140625" customWidth="1" collapsed="1"/>
    <col min="3" max="3" width="1.33203125" customWidth="1" collapsed="1"/>
    <col min="4" max="4" width="21.44140625" customWidth="1" collapsed="1"/>
    <col min="5" max="5" width="21.33203125" customWidth="1" collapsed="1"/>
    <col min="6" max="6" width="16" customWidth="1" collapsed="1"/>
    <col min="7" max="7" width="13.44140625" customWidth="1" collapsed="1"/>
    <col min="8" max="8" width="9" bestFit="1" customWidth="1" collapsed="1"/>
    <col min="9" max="9" width="21.21875" customWidth="1" collapsed="1"/>
    <col min="10" max="10" width="8.21875" customWidth="1" collapsed="1"/>
    <col min="11" max="11" width="14.33203125" customWidth="1" collapsed="1"/>
    <col min="12" max="12" width="9.44140625" customWidth="1" collapsed="1"/>
    <col min="13" max="13" width="14.44140625" customWidth="1" collapsed="1"/>
    <col min="14" max="16" width="22" customWidth="1" collapsed="1"/>
    <col min="18" max="18" width="28.44140625" customWidth="1" collapsed="1"/>
    <col min="19" max="21" width="22.77734375" customWidth="1" collapsed="1"/>
    <col min="22" max="23" width="26.44140625" customWidth="1" collapsed="1"/>
    <col min="24" max="24" width="28.77734375" customWidth="1" collapsed="1"/>
    <col min="25" max="25" width="10.77734375" customWidth="1" collapsed="1"/>
    <col min="26" max="30" width="16.44140625" customWidth="1" collapsed="1"/>
    <col min="31" max="31" width="14.44140625" customWidth="1" collapsed="1"/>
    <col min="32" max="32" width="11.77734375" customWidth="1" collapsed="1"/>
    <col min="33" max="33" width="13.6640625" customWidth="1" collapsed="1"/>
    <col min="34" max="34" width="13" customWidth="1" collapsed="1"/>
    <col min="35" max="35" width="13.44140625" customWidth="1" collapsed="1"/>
    <col min="36" max="36" width="22.44140625" customWidth="1" collapsed="1"/>
    <col min="37" max="37" width="36.44140625" customWidth="1" collapsed="1"/>
    <col min="38" max="39" width="12.33203125" customWidth="1" collapsed="1"/>
    <col min="40" max="40" width="12.21875" customWidth="1" collapsed="1"/>
    <col min="42" max="42" width="19.77734375" customWidth="1" collapsed="1"/>
    <col min="43" max="44" width="20" customWidth="1" collapsed="1"/>
    <col min="45" max="45" width="13.44140625" customWidth="1" collapsed="1"/>
    <col min="47" max="47" width="11.21875" customWidth="1" collapsed="1"/>
    <col min="48" max="48" width="16.6640625" customWidth="1" collapsed="1"/>
    <col min="49" max="49" width="12.77734375" customWidth="1" collapsed="1"/>
    <col min="50" max="50" width="13.77734375" customWidth="1" collapsed="1"/>
    <col min="51" max="51" width="12.44140625" customWidth="1" collapsed="1"/>
    <col min="52" max="52" width="20" customWidth="1" collapsed="1"/>
    <col min="53" max="53" width="19.21875" customWidth="1" collapsed="1"/>
    <col min="54" max="54" width="18" customWidth="1" collapsed="1"/>
  </cols>
  <sheetData>
    <row r="1" spans="1:70" ht="97.5" customHeight="1" thickBot="1" x14ac:dyDescent="0.3">
      <c r="A1" s="1038"/>
      <c r="B1" s="1038"/>
      <c r="C1" s="1038"/>
      <c r="D1" s="1038"/>
      <c r="E1" s="1038"/>
      <c r="F1" s="1038"/>
      <c r="G1" s="1038"/>
      <c r="H1" s="1038"/>
      <c r="I1" s="1038"/>
      <c r="J1" s="1038"/>
      <c r="K1" s="1038"/>
      <c r="L1" s="1038"/>
      <c r="M1" s="1038"/>
      <c r="N1" s="1038"/>
      <c r="O1" s="1038"/>
      <c r="P1" s="1039"/>
      <c r="Q1" s="304"/>
      <c r="R1" s="304"/>
      <c r="S1" s="304"/>
      <c r="T1" s="304"/>
      <c r="U1" s="304"/>
      <c r="V1" s="304"/>
      <c r="W1" s="304"/>
      <c r="X1" s="304"/>
      <c r="Y1" s="304"/>
      <c r="Z1" s="304"/>
      <c r="AA1" s="304"/>
      <c r="AB1" s="304"/>
      <c r="AC1" s="304"/>
      <c r="AD1" s="304"/>
      <c r="AE1" s="304"/>
      <c r="AF1" s="304"/>
      <c r="AG1" s="304"/>
      <c r="AH1" s="304"/>
      <c r="AI1" s="304"/>
      <c r="AJ1" s="304"/>
      <c r="AK1" s="304"/>
      <c r="AL1" s="1039"/>
      <c r="AM1" s="304"/>
      <c r="AN1" s="320"/>
      <c r="AO1" s="320"/>
      <c r="AP1" s="320"/>
      <c r="AQ1" s="320"/>
      <c r="AR1" s="320"/>
      <c r="AS1" s="320"/>
      <c r="AT1" s="320"/>
      <c r="AU1" s="320"/>
      <c r="AV1" s="320"/>
      <c r="AW1" s="320"/>
      <c r="AX1" s="320"/>
      <c r="AY1" s="320"/>
      <c r="AZ1" s="320"/>
      <c r="BA1" s="320"/>
      <c r="BB1" s="320"/>
      <c r="BC1" s="320"/>
      <c r="BD1" s="320"/>
      <c r="BE1" s="1040"/>
      <c r="BF1" s="1040"/>
      <c r="BG1" s="1040"/>
      <c r="BH1" s="1040"/>
      <c r="BI1" s="1040"/>
      <c r="BJ1" s="1040"/>
      <c r="BK1" s="1040"/>
      <c r="BL1" s="1040"/>
      <c r="BM1" s="1040"/>
      <c r="BN1" s="1040"/>
    </row>
    <row r="2" spans="1:70" ht="15.7" customHeight="1" thickBot="1" x14ac:dyDescent="0.3">
      <c r="A2" s="853" t="s">
        <v>1855</v>
      </c>
      <c r="B2" s="1037"/>
      <c r="C2" s="853"/>
      <c r="D2" s="853"/>
      <c r="E2" s="853"/>
      <c r="F2" s="853"/>
      <c r="G2" s="853"/>
      <c r="H2" s="853"/>
      <c r="I2" s="853"/>
      <c r="J2" s="853"/>
      <c r="K2" s="853"/>
      <c r="L2" s="853"/>
      <c r="M2" s="300"/>
      <c r="N2" s="300"/>
      <c r="O2" s="300"/>
      <c r="P2" s="304"/>
      <c r="Q2" s="2083"/>
      <c r="R2" s="2084"/>
      <c r="S2" s="2084"/>
      <c r="T2" s="2084"/>
      <c r="U2" s="2084"/>
      <c r="V2" s="2084"/>
      <c r="W2" s="2084"/>
      <c r="X2" s="2084"/>
      <c r="Y2" s="2084"/>
      <c r="Z2" s="2084"/>
      <c r="AA2" s="2084"/>
      <c r="AB2" s="2369" t="s">
        <v>535</v>
      </c>
      <c r="AC2" s="2360" t="s">
        <v>2036</v>
      </c>
      <c r="AD2" s="2341" t="s">
        <v>36</v>
      </c>
      <c r="AE2" s="2341" t="s">
        <v>534</v>
      </c>
      <c r="AF2" s="2360" t="s">
        <v>37</v>
      </c>
      <c r="AG2" s="2341" t="s">
        <v>1971</v>
      </c>
      <c r="AH2" s="1635"/>
      <c r="AI2" s="1635"/>
      <c r="AJ2" s="1635"/>
      <c r="AK2" s="2085"/>
      <c r="AL2" s="316"/>
      <c r="AM2" s="2083"/>
      <c r="AN2" s="1635"/>
      <c r="AO2" s="1635"/>
      <c r="AP2" s="1635"/>
      <c r="AQ2" s="1635"/>
      <c r="AR2" s="1635"/>
      <c r="AS2" s="2084"/>
      <c r="AT2" s="2084"/>
      <c r="AU2" s="2084"/>
      <c r="AV2" s="1635"/>
      <c r="AW2" s="2084"/>
      <c r="AX2" s="2084"/>
      <c r="AY2" s="2084"/>
      <c r="AZ2" s="1635"/>
      <c r="BA2" s="1635"/>
      <c r="BB2" s="1635"/>
      <c r="BC2" s="1635"/>
      <c r="BD2" s="1635"/>
      <c r="BE2" s="2084"/>
      <c r="BF2" s="2084"/>
      <c r="BG2" s="2084"/>
      <c r="BH2" s="2085"/>
      <c r="BI2" s="316"/>
      <c r="BJ2" s="316"/>
      <c r="BK2" s="316"/>
      <c r="BL2" s="316"/>
      <c r="BM2" s="316"/>
      <c r="BN2" s="316"/>
      <c r="BO2" s="1616"/>
      <c r="BP2" s="1616"/>
      <c r="BQ2" s="1616"/>
      <c r="BR2" s="1616"/>
    </row>
    <row r="3" spans="1:70" ht="58.5" customHeight="1" x14ac:dyDescent="0.4">
      <c r="A3" s="300"/>
      <c r="B3" s="2319" t="s">
        <v>1865</v>
      </c>
      <c r="C3" s="305"/>
      <c r="D3" s="322"/>
      <c r="E3" s="323" t="s">
        <v>1272</v>
      </c>
      <c r="F3" s="324" t="s">
        <v>1761</v>
      </c>
      <c r="G3" s="324" t="s">
        <v>840</v>
      </c>
      <c r="H3" s="324"/>
      <c r="I3" s="323"/>
      <c r="J3" s="323"/>
      <c r="K3" s="323"/>
      <c r="L3" s="325"/>
      <c r="M3" s="300"/>
      <c r="N3" s="301"/>
      <c r="O3" s="301"/>
      <c r="P3" s="302"/>
      <c r="Q3" s="2086"/>
      <c r="R3" s="2068" t="s">
        <v>322</v>
      </c>
      <c r="S3" s="2087"/>
      <c r="T3" s="2068"/>
      <c r="U3" s="1058"/>
      <c r="V3" s="3"/>
      <c r="W3" s="300"/>
      <c r="X3" s="129"/>
      <c r="Y3" s="306" t="s">
        <v>2082</v>
      </c>
      <c r="Z3" s="306" t="s">
        <v>2083</v>
      </c>
      <c r="AA3" s="306" t="s">
        <v>2084</v>
      </c>
      <c r="AB3" s="2370"/>
      <c r="AC3" s="2361"/>
      <c r="AD3" s="2342"/>
      <c r="AE3" s="2342"/>
      <c r="AF3" s="2361"/>
      <c r="AG3" s="2342"/>
      <c r="AH3" s="3"/>
      <c r="AI3" s="3"/>
      <c r="AJ3" s="3"/>
      <c r="AK3" s="2088"/>
      <c r="AL3" s="314"/>
      <c r="AM3" s="2086"/>
      <c r="AN3" s="3"/>
      <c r="AO3" s="2343" t="s">
        <v>1248</v>
      </c>
      <c r="AP3" s="2343"/>
      <c r="AQ3" s="2343"/>
      <c r="AR3" s="3"/>
      <c r="AS3" s="3"/>
      <c r="AT3" s="3"/>
      <c r="AU3" s="3"/>
      <c r="AV3" s="2211" t="s">
        <v>1385</v>
      </c>
      <c r="AW3" s="2212" t="s">
        <v>2088</v>
      </c>
      <c r="AX3" s="2212" t="s">
        <v>874</v>
      </c>
      <c r="AY3" s="2212" t="s">
        <v>2089</v>
      </c>
      <c r="AZ3" s="2213" t="s">
        <v>119</v>
      </c>
      <c r="BA3" s="3"/>
      <c r="BB3" s="3"/>
      <c r="BC3" s="3"/>
      <c r="BD3" s="3"/>
      <c r="BE3" s="300"/>
      <c r="BF3" s="300"/>
      <c r="BG3" s="300"/>
      <c r="BH3" s="2088"/>
      <c r="BI3" s="314"/>
      <c r="BJ3" s="314"/>
      <c r="BK3" s="314"/>
      <c r="BL3" s="314"/>
      <c r="BM3" s="314"/>
      <c r="BN3" s="314"/>
      <c r="BO3" s="1616"/>
      <c r="BP3" s="1616"/>
      <c r="BQ3" s="1616"/>
      <c r="BR3" s="1616"/>
    </row>
    <row r="4" spans="1:70" ht="18.75" customHeight="1" thickBot="1" x14ac:dyDescent="0.3">
      <c r="A4" s="300"/>
      <c r="B4" s="2320"/>
      <c r="C4" s="304"/>
      <c r="D4" s="1226" t="s">
        <v>1667</v>
      </c>
      <c r="E4" s="1193" t="str">
        <f>IF(ISBLANK(Import!D61),, Import!D61)</f>
        <v>No</v>
      </c>
      <c r="F4" s="1193">
        <f>IF(ISBLANK(Import!D62),"", Import!D62)</f>
        <v>0</v>
      </c>
      <c r="G4" s="1193">
        <f>IF(ISBLANK(Import!D63),"", Import!D63)</f>
        <v>0</v>
      </c>
      <c r="H4" s="327"/>
      <c r="I4" s="311"/>
      <c r="J4" s="311"/>
      <c r="K4" s="311"/>
      <c r="L4" s="307"/>
      <c r="M4" s="300"/>
      <c r="N4" s="301"/>
      <c r="O4" s="301"/>
      <c r="P4" s="302"/>
      <c r="Q4" s="2086"/>
      <c r="R4" s="2069" t="s">
        <v>2079</v>
      </c>
      <c r="S4" s="1715">
        <f>IF('2.CropManagement'!$T$10='2.CropManagement'!$BB$155,1,IF('2.CropManagement'!$T$10='2.CropManagement'!$BB$156,2,IF('2.CropManagement'!$T$10='2.CropManagement'!$BB$157,3,IF('2.CropManagement'!$T$10='2.CropManagement'!$BB$158,4,0))))</f>
        <v>1</v>
      </c>
      <c r="T4" s="3"/>
      <c r="U4" s="243"/>
      <c r="V4" s="3"/>
      <c r="W4" s="300"/>
      <c r="X4" s="129" t="s">
        <v>184</v>
      </c>
      <c r="Y4" s="229">
        <f>SUMIF($AK49:$AK55,$E4,AL49:AL55)</f>
        <v>0</v>
      </c>
      <c r="Z4" s="229">
        <f>SUMIF($AK49:$AK55,$E4,AM49:AM55)</f>
        <v>0</v>
      </c>
      <c r="AA4" s="1523"/>
      <c r="AB4" s="308">
        <f ca="1">IF(F4&lt;20,1+((1/20)*(AD4-1)),1)</f>
        <v>1</v>
      </c>
      <c r="AC4" s="328">
        <f ca="1">IF(F4&lt;20,1+((F4/20)*(AD4-1)),AD4)</f>
        <v>1</v>
      </c>
      <c r="AD4" s="306">
        <f ca="1">IF(E4&lt;&gt;"No",OFFSET('A1. Submodels &amp; data'!A105,Y4,Z4+5*($S$4-1)),1)</f>
        <v>1</v>
      </c>
      <c r="AE4" s="329">
        <f ca="1">($G4/100)*AB4+(100-$G4)/100*1</f>
        <v>1</v>
      </c>
      <c r="AF4" s="329">
        <f ca="1">($G4/100)*AC4+(100-$G4)/100*1</f>
        <v>1</v>
      </c>
      <c r="AG4" s="329">
        <f ca="1">($G4/100)*AD4+(100-$G4)/100*1</f>
        <v>1</v>
      </c>
      <c r="AH4" s="3"/>
      <c r="AI4" s="3"/>
      <c r="AJ4" s="3"/>
      <c r="AK4" s="2088"/>
      <c r="AL4" s="314"/>
      <c r="AM4" s="2086"/>
      <c r="AN4" s="3"/>
      <c r="AO4" s="3"/>
      <c r="AP4" s="3"/>
      <c r="AQ4" s="3"/>
      <c r="AR4" s="3"/>
      <c r="AS4" s="3"/>
      <c r="AT4" s="3"/>
      <c r="AU4" s="3"/>
      <c r="AV4" s="2117">
        <f>SUMIF(AK49:AK55,E4,AN49:AN55)</f>
        <v>0</v>
      </c>
      <c r="AW4" s="2118">
        <f>SUMIF('2.CropManagement'!O153:O346,'1.GeneralInfo'!E7,'2.CropManagement'!P153:P346)</f>
        <v>125</v>
      </c>
      <c r="AX4" s="2118" t="str">
        <f ca="1">OFFSET('2.CropManagement'!T152,SUMIF('2.CropManagement'!O153:O346,'1.GeneralInfo'!E7,'2.CropManagement'!P153:P346),0)</f>
        <v>Western Europe</v>
      </c>
      <c r="AY4" s="2118">
        <f ca="1">16*($AR7-1)+2*($AS7-1)+$AT7</f>
        <v>-5</v>
      </c>
      <c r="AZ4" s="2119">
        <f>1000*44/12</f>
        <v>3666.6666666666665</v>
      </c>
      <c r="BA4" s="3"/>
      <c r="BB4" s="3"/>
      <c r="BC4" s="3"/>
      <c r="BD4" s="3"/>
      <c r="BE4" s="300"/>
      <c r="BF4" s="300"/>
      <c r="BG4" s="300"/>
      <c r="BH4" s="2088"/>
      <c r="BI4" s="314"/>
      <c r="BJ4" s="314"/>
      <c r="BK4" s="314"/>
      <c r="BL4" s="314"/>
      <c r="BM4" s="314"/>
      <c r="BN4" s="314"/>
      <c r="BO4" s="1616"/>
      <c r="BP4" s="1616"/>
      <c r="BQ4" s="1616"/>
      <c r="BR4" s="1616"/>
    </row>
    <row r="5" spans="1:70" ht="24.8" customHeight="1" thickBot="1" x14ac:dyDescent="0.3">
      <c r="A5" s="300"/>
      <c r="B5" s="2320"/>
      <c r="C5" s="304"/>
      <c r="D5" s="968"/>
      <c r="E5" s="304"/>
      <c r="F5" s="304"/>
      <c r="G5" s="330"/>
      <c r="H5" s="311"/>
      <c r="I5" s="311"/>
      <c r="J5" s="311"/>
      <c r="K5" s="311"/>
      <c r="L5" s="307"/>
      <c r="M5" s="300"/>
      <c r="N5" s="301"/>
      <c r="O5" s="301"/>
      <c r="P5" s="302"/>
      <c r="Q5" s="2086"/>
      <c r="R5" s="2069" t="s">
        <v>2081</v>
      </c>
      <c r="S5" s="1715">
        <f>IF(SUMIF('2.CropManagement'!BF162:BF166,'2.CropManagement'!E13,'2.CropManagement'!BI162:BI166)=1,1,0)</f>
        <v>1</v>
      </c>
      <c r="T5" s="3"/>
      <c r="U5" s="3"/>
      <c r="V5" s="300"/>
      <c r="W5" s="300"/>
      <c r="X5" s="2073"/>
      <c r="Y5" s="2073"/>
      <c r="Z5" s="2073"/>
      <c r="AA5" s="2074"/>
      <c r="AB5" s="2075"/>
      <c r="AC5" s="2076"/>
      <c r="AD5" s="2073"/>
      <c r="AE5" s="2073"/>
      <c r="AF5" s="2073"/>
      <c r="AG5" s="2073"/>
      <c r="AH5" s="3"/>
      <c r="AI5" s="3"/>
      <c r="AJ5" s="3"/>
      <c r="AK5" s="2088"/>
      <c r="AL5" s="314"/>
      <c r="AM5" s="2086"/>
      <c r="AN5" s="300"/>
      <c r="AO5" s="300"/>
      <c r="AP5" s="300"/>
      <c r="AQ5" s="300"/>
      <c r="AR5" s="300"/>
      <c r="AS5" s="300"/>
      <c r="AT5" s="300"/>
      <c r="AU5" s="2214"/>
      <c r="AV5" s="3"/>
      <c r="AW5" s="300"/>
      <c r="AX5" s="300"/>
      <c r="AY5" s="3"/>
      <c r="AZ5" s="3"/>
      <c r="BA5" s="3"/>
      <c r="BB5" s="3"/>
      <c r="BC5" s="3"/>
      <c r="BD5" s="3"/>
      <c r="BE5" s="3"/>
      <c r="BF5" s="3"/>
      <c r="BG5" s="3"/>
      <c r="BH5" s="1638"/>
      <c r="BL5" s="314"/>
      <c r="BM5" s="314"/>
      <c r="BN5" s="314"/>
      <c r="BO5" s="1616"/>
      <c r="BP5" s="1616"/>
      <c r="BQ5" s="1616"/>
      <c r="BR5" s="1616"/>
    </row>
    <row r="6" spans="1:70" ht="40.5" customHeight="1" x14ac:dyDescent="0.25">
      <c r="A6" s="300"/>
      <c r="B6" s="2320"/>
      <c r="C6" s="304"/>
      <c r="D6" s="2321" t="s">
        <v>1619</v>
      </c>
      <c r="E6" s="330" t="s">
        <v>2022</v>
      </c>
      <c r="F6" s="969" t="s">
        <v>1673</v>
      </c>
      <c r="G6" s="311"/>
      <c r="H6" s="304"/>
      <c r="I6" s="304"/>
      <c r="J6" s="311"/>
      <c r="K6" s="304"/>
      <c r="L6" s="307"/>
      <c r="M6" s="300"/>
      <c r="N6" s="301"/>
      <c r="O6" s="301"/>
      <c r="P6" s="302"/>
      <c r="Q6" s="2086"/>
      <c r="R6" s="2069" t="s">
        <v>2080</v>
      </c>
      <c r="S6" s="1701">
        <f>SUMIF('2.CropManagement'!BF191:BF193,'2.CropManagement'!E12,'2.CropManagement'!BI191:BI193)</f>
        <v>1.3</v>
      </c>
      <c r="T6" s="243"/>
      <c r="U6" s="300"/>
      <c r="V6" s="300"/>
      <c r="W6" s="300"/>
      <c r="X6" s="300" t="s">
        <v>2087</v>
      </c>
      <c r="Y6" s="300" t="s">
        <v>2087</v>
      </c>
      <c r="Z6" s="300" t="s">
        <v>2087</v>
      </c>
      <c r="AA6" s="300" t="s">
        <v>2087</v>
      </c>
      <c r="AB6" s="300" t="s">
        <v>2087</v>
      </c>
      <c r="AC6" s="300" t="s">
        <v>2087</v>
      </c>
      <c r="AD6" s="300" t="s">
        <v>2087</v>
      </c>
      <c r="AE6" s="300" t="s">
        <v>2087</v>
      </c>
      <c r="AF6" s="300" t="s">
        <v>2087</v>
      </c>
      <c r="AG6" s="300" t="s">
        <v>2087</v>
      </c>
      <c r="AH6" s="3"/>
      <c r="AI6" s="3"/>
      <c r="AJ6" s="3"/>
      <c r="AK6" s="2088"/>
      <c r="AL6" s="314"/>
      <c r="AM6" s="2086"/>
      <c r="AN6" s="2215"/>
      <c r="AO6" s="2120"/>
      <c r="AP6" s="2113"/>
      <c r="AQ6" s="2216"/>
      <c r="AR6" s="2211" t="s">
        <v>1670</v>
      </c>
      <c r="AS6" s="2212" t="s">
        <v>1671</v>
      </c>
      <c r="AT6" s="2217" t="s">
        <v>1866</v>
      </c>
      <c r="AU6" s="2211" t="s">
        <v>1631</v>
      </c>
      <c r="AV6" s="2212" t="s">
        <v>1632</v>
      </c>
      <c r="AW6" s="2212" t="s">
        <v>1633</v>
      </c>
      <c r="AX6" s="2218" t="s">
        <v>1867</v>
      </c>
      <c r="AY6" s="2213" t="s">
        <v>1999</v>
      </c>
      <c r="AZ6" s="2211" t="s">
        <v>1634</v>
      </c>
      <c r="BA6" s="2212" t="s">
        <v>1635</v>
      </c>
      <c r="BB6" s="2212" t="s">
        <v>1636</v>
      </c>
      <c r="BC6" s="2213" t="s">
        <v>1637</v>
      </c>
      <c r="BD6" s="2219" t="s">
        <v>1638</v>
      </c>
      <c r="BE6" s="2220" t="s">
        <v>1639</v>
      </c>
      <c r="BF6" s="2212" t="s">
        <v>1640</v>
      </c>
      <c r="BG6" s="2213" t="s">
        <v>1641</v>
      </c>
      <c r="BH6" s="1638"/>
      <c r="BL6" s="314"/>
      <c r="BM6" s="314"/>
      <c r="BN6" s="314"/>
      <c r="BO6" s="1616"/>
      <c r="BP6" s="1616"/>
      <c r="BQ6" s="1616"/>
      <c r="BR6" s="1616"/>
    </row>
    <row r="7" spans="1:70" ht="24.8" customHeight="1" x14ac:dyDescent="0.25">
      <c r="A7" s="300"/>
      <c r="B7" s="2320"/>
      <c r="C7" s="304"/>
      <c r="D7" s="2321"/>
      <c r="E7" s="1184" t="str">
        <f>IF(ISBLANK(Import!D64),, Import!D64)</f>
        <v>[select]</v>
      </c>
      <c r="F7" s="1193">
        <f>IF(ISBLANK(Import!D65),"", Import!D65)</f>
        <v>0</v>
      </c>
      <c r="G7" s="1222"/>
      <c r="H7" s="2306" t="str">
        <f ca="1">IF(ISNA(AU7),"No data for this land cover type in your region. Please select an alternative classification.","")</f>
        <v/>
      </c>
      <c r="I7" s="2306"/>
      <c r="J7" s="2306"/>
      <c r="K7" s="2306"/>
      <c r="L7" s="307"/>
      <c r="M7" s="300"/>
      <c r="N7" s="301"/>
      <c r="O7" s="301"/>
      <c r="P7" s="302"/>
      <c r="Q7" s="2086"/>
      <c r="R7" s="2070" t="s">
        <v>2070</v>
      </c>
      <c r="S7" s="1715">
        <f ca="1">IF($S$5=1,OFFSET('2.CropManagement'!BG162,'2.CropManagement'!Y13-1,0)*1000*'3.Sequestration'!S6,'2.CropManagement'!BG162*'2.CropManagement'!$E$13*1000*'3.Sequestration'!S6/1.72)</f>
        <v>78000</v>
      </c>
      <c r="T7" s="3"/>
      <c r="U7" s="300"/>
      <c r="V7" s="3"/>
      <c r="W7" s="300"/>
      <c r="X7" s="300" t="s">
        <v>2087</v>
      </c>
      <c r="Y7" s="300" t="s">
        <v>2087</v>
      </c>
      <c r="Z7" s="300" t="s">
        <v>2087</v>
      </c>
      <c r="AA7" s="300" t="s">
        <v>2087</v>
      </c>
      <c r="AB7" s="300" t="s">
        <v>2087</v>
      </c>
      <c r="AC7" s="300" t="s">
        <v>2087</v>
      </c>
      <c r="AD7" s="300" t="s">
        <v>2087</v>
      </c>
      <c r="AE7" s="300" t="s">
        <v>2087</v>
      </c>
      <c r="AF7" s="300" t="s">
        <v>2087</v>
      </c>
      <c r="AG7" s="300" t="s">
        <v>2087</v>
      </c>
      <c r="AH7" s="3"/>
      <c r="AI7" s="3"/>
      <c r="AJ7" s="3"/>
      <c r="AK7" s="2088"/>
      <c r="AL7" s="314"/>
      <c r="AM7" s="2086"/>
      <c r="AN7" s="2344" t="s">
        <v>1619</v>
      </c>
      <c r="AO7" s="2345"/>
      <c r="AP7" s="2345"/>
      <c r="AQ7" s="2221"/>
      <c r="AR7" s="2115">
        <f>SUMIF(AE$49:AE$63,E7,AF$49:AF$63)</f>
        <v>0</v>
      </c>
      <c r="AS7" s="306">
        <f ca="1">SUMIF(AE$68:AE$81,AX4,AF$68:AF$81)</f>
        <v>6</v>
      </c>
      <c r="AT7" s="2116">
        <f>IF(F7&lt;=20,1,2)</f>
        <v>1</v>
      </c>
      <c r="AU7" s="2115">
        <f ca="1">OFFSET($W$48,16*($AR7-1)+2*($AS7-1)+1,0)</f>
        <v>0</v>
      </c>
      <c r="AV7" s="2072">
        <f ca="1">OFFSET($W$48,16*($AR7-1)+2*($AS7-1)+2,0)</f>
        <v>0</v>
      </c>
      <c r="AW7" s="306">
        <f ca="1">OFFSET($Y$48,16*($AR7-1)+2*($AS7-1)+2,0)</f>
        <v>0</v>
      </c>
      <c r="AX7" s="2222">
        <f ca="1">IF(F7&gt;20,OFFSET($AA$48,16*($AR7-1)+2*($AS7-1)+2,0),((20-F7)*OFFSET($AA$48,16*($AR7-1)+2*($AS7-1)+1,0)+F7*OFFSET($AA$48,16*($AR7-1)+2*($AS7-1)+2,0))/20)</f>
        <v>0</v>
      </c>
      <c r="AY7" s="2116">
        <f ca="1">AW7*OFFSET($AA$48,16*($AR7-1)+2*($AS7-1)+2,0)</f>
        <v>0</v>
      </c>
      <c r="AZ7" s="2115">
        <f ca="1">MIN(AW7,IF(AT7=1,$F7*$AU7,20*AU7+(F7-20)*AV7))</f>
        <v>0</v>
      </c>
      <c r="BA7" s="306">
        <f ca="1">MIN(AY7,AZ7*AX7)</f>
        <v>0</v>
      </c>
      <c r="BB7" s="2072" t="e">
        <f>NA()</f>
        <v>#N/A</v>
      </c>
      <c r="BC7" s="2116" t="e">
        <f>NA()</f>
        <v>#N/A</v>
      </c>
      <c r="BD7" s="2223">
        <f ca="1">$AZ$4*AZ7/100*$G$4*$AV$4</f>
        <v>0</v>
      </c>
      <c r="BE7" s="2224">
        <f ca="1">$AZ$4*BA7/100*$G$4*$AV$4</f>
        <v>0</v>
      </c>
      <c r="BF7" s="306" t="e">
        <f>NA()</f>
        <v>#N/A</v>
      </c>
      <c r="BG7" s="2116" t="e">
        <f>NA()</f>
        <v>#N/A</v>
      </c>
      <c r="BH7" s="1638"/>
      <c r="BL7" s="314"/>
      <c r="BM7" s="314"/>
      <c r="BN7" s="314"/>
      <c r="BO7" s="1616"/>
      <c r="BP7" s="1616"/>
      <c r="BQ7" s="1616"/>
      <c r="BR7" s="1616"/>
    </row>
    <row r="8" spans="1:70" ht="12.85" customHeight="1" x14ac:dyDescent="0.25">
      <c r="A8" s="300"/>
      <c r="B8" s="2320"/>
      <c r="C8" s="304"/>
      <c r="D8" s="2321" t="s">
        <v>1620</v>
      </c>
      <c r="E8" s="331"/>
      <c r="F8" s="330" t="s">
        <v>2051</v>
      </c>
      <c r="G8" s="311"/>
      <c r="H8" s="304"/>
      <c r="I8" s="304"/>
      <c r="J8" s="311"/>
      <c r="K8" s="304"/>
      <c r="L8" s="307"/>
      <c r="M8" s="300"/>
      <c r="N8" s="301"/>
      <c r="O8" s="301"/>
      <c r="P8" s="302"/>
      <c r="Q8" s="2086"/>
      <c r="R8" s="300"/>
      <c r="S8" s="300"/>
      <c r="T8" s="300"/>
      <c r="U8" s="300"/>
      <c r="V8" s="3"/>
      <c r="W8" s="300"/>
      <c r="X8" s="300" t="s">
        <v>2087</v>
      </c>
      <c r="Y8" s="300" t="s">
        <v>2087</v>
      </c>
      <c r="Z8" s="300" t="s">
        <v>2087</v>
      </c>
      <c r="AA8" s="300" t="s">
        <v>2087</v>
      </c>
      <c r="AB8" s="300" t="s">
        <v>2087</v>
      </c>
      <c r="AC8" s="300" t="s">
        <v>2087</v>
      </c>
      <c r="AD8" s="300" t="s">
        <v>2087</v>
      </c>
      <c r="AE8" s="300" t="s">
        <v>2087</v>
      </c>
      <c r="AF8" s="300" t="s">
        <v>2087</v>
      </c>
      <c r="AG8" s="300" t="s">
        <v>2087</v>
      </c>
      <c r="AH8" s="3"/>
      <c r="AI8" s="3"/>
      <c r="AJ8" s="3"/>
      <c r="AK8" s="2088"/>
      <c r="AL8" s="314"/>
      <c r="AM8" s="2086"/>
      <c r="AN8" s="2115"/>
      <c r="AO8" s="306"/>
      <c r="AP8" s="306"/>
      <c r="AQ8" s="2225"/>
      <c r="AR8" s="2115"/>
      <c r="AS8" s="306"/>
      <c r="AT8" s="2116"/>
      <c r="AU8" s="2115"/>
      <c r="AV8" s="2072"/>
      <c r="AW8" s="306"/>
      <c r="AX8" s="2222"/>
      <c r="AY8" s="2116"/>
      <c r="AZ8" s="2115"/>
      <c r="BA8" s="306"/>
      <c r="BB8" s="2072"/>
      <c r="BC8" s="2116"/>
      <c r="BD8" s="2226"/>
      <c r="BE8" s="2072"/>
      <c r="BF8" s="2072"/>
      <c r="BG8" s="2225"/>
      <c r="BH8" s="1638"/>
      <c r="BL8" s="314"/>
      <c r="BM8" s="314"/>
      <c r="BN8" s="314"/>
      <c r="BO8" s="1616"/>
      <c r="BP8" s="1616"/>
      <c r="BQ8" s="1616"/>
      <c r="BR8" s="1616"/>
    </row>
    <row r="9" spans="1:70" ht="25.5" customHeight="1" thickBot="1" x14ac:dyDescent="0.3">
      <c r="A9" s="300"/>
      <c r="B9" s="2320"/>
      <c r="C9" s="304"/>
      <c r="D9" s="2321"/>
      <c r="E9" s="1184" t="str">
        <f>IF(ISBLANK(Import!D66),, Import!D66)</f>
        <v>[select]</v>
      </c>
      <c r="F9" s="1193">
        <f>IF(ISBLANK(Import!D67), "", Import!D67)</f>
        <v>0</v>
      </c>
      <c r="G9" s="311"/>
      <c r="H9" s="2306" t="str">
        <f ca="1">IF(ISNA(AU9),"No data for this land cover type in your region. Please select an alternative classification.","")</f>
        <v/>
      </c>
      <c r="I9" s="2306"/>
      <c r="J9" s="2306"/>
      <c r="K9" s="2306"/>
      <c r="L9" s="307"/>
      <c r="M9" s="300"/>
      <c r="N9" s="301"/>
      <c r="O9" s="301"/>
      <c r="P9" s="302"/>
      <c r="Q9" s="2086"/>
      <c r="R9" s="300"/>
      <c r="S9" s="300"/>
      <c r="T9" s="300"/>
      <c r="U9" s="300"/>
      <c r="V9" s="300"/>
      <c r="W9" s="300"/>
      <c r="X9" s="300" t="s">
        <v>2087</v>
      </c>
      <c r="Y9" s="300" t="s">
        <v>2087</v>
      </c>
      <c r="Z9" s="300" t="s">
        <v>2087</v>
      </c>
      <c r="AA9" s="300" t="s">
        <v>2087</v>
      </c>
      <c r="AB9" s="300" t="s">
        <v>2087</v>
      </c>
      <c r="AC9" s="300" t="s">
        <v>2087</v>
      </c>
      <c r="AD9" s="300" t="s">
        <v>2087</v>
      </c>
      <c r="AE9" s="300" t="s">
        <v>2087</v>
      </c>
      <c r="AF9" s="300" t="s">
        <v>2087</v>
      </c>
      <c r="AG9" s="300" t="s">
        <v>2087</v>
      </c>
      <c r="AH9" s="3"/>
      <c r="AI9" s="3"/>
      <c r="AJ9" s="3"/>
      <c r="AK9" s="2088"/>
      <c r="AL9" s="314"/>
      <c r="AM9" s="2086"/>
      <c r="AN9" s="2339" t="s">
        <v>1620</v>
      </c>
      <c r="AO9" s="2340"/>
      <c r="AP9" s="2340"/>
      <c r="AQ9" s="2227"/>
      <c r="AR9" s="2117">
        <f>SUMIF(AE$49:AE$63,E9,AF$49:AF$63)</f>
        <v>0</v>
      </c>
      <c r="AS9" s="2118">
        <f ca="1">SUMIF(AE$68:AE$81,AX4,AF$68:AF$81)</f>
        <v>6</v>
      </c>
      <c r="AT9" s="2119">
        <f>IF(F9&lt;=20,1,2)</f>
        <v>1</v>
      </c>
      <c r="AU9" s="2117">
        <f ca="1">OFFSET($W$48,16*($AR9-1)+2*($AS9-1)+$AT9,0)</f>
        <v>0</v>
      </c>
      <c r="AV9" s="2121">
        <f ca="1">OFFSET($W$48,16*($AR9-1)+2*($AS9-1)+2,0)</f>
        <v>0</v>
      </c>
      <c r="AW9" s="2118">
        <f ca="1">OFFSET($Y$48,16*($AR9-1)+2*($AS9-1)+2,0)</f>
        <v>0</v>
      </c>
      <c r="AX9" s="2228">
        <f ca="1">IF(F9&gt;20,OFFSET($AA$48,16*($AR9-1)+2*($AS9-1)+2,0),((20-F9)*OFFSET($AA$48,16*($AR9-1)+2*($AS9-1)+1,0)+F9*OFFSET($AA$48,16*($AR9-1)+2*($AS9-1)+2,0))/20)</f>
        <v>0</v>
      </c>
      <c r="AY9" s="2119">
        <f ca="1">AW9*OFFSET($AA$48,16*($AR9-1)+2*($AS9-1)+2,0)</f>
        <v>0</v>
      </c>
      <c r="AZ9" s="2117">
        <f ca="1">MIN(AW9,IF(AT9=1,$F9*$AU9,20*AU9+(F9-20)*AV9))</f>
        <v>0</v>
      </c>
      <c r="BA9" s="2118">
        <f ca="1">MIN(AY9,AZ9*AX9)</f>
        <v>0</v>
      </c>
      <c r="BB9" s="2121">
        <f ca="1">IF(AT9=1,AU9,AV9)</f>
        <v>0</v>
      </c>
      <c r="BC9" s="2119">
        <f ca="1">$AU9*$AX9</f>
        <v>0</v>
      </c>
      <c r="BD9" s="2229">
        <f ca="1">$AZ$4*AZ9/100*$G$4*$AV$4</f>
        <v>0</v>
      </c>
      <c r="BE9" s="2230">
        <f ca="1">$AZ$4*BA9/100*$G$4*$AV$4</f>
        <v>0</v>
      </c>
      <c r="BF9" s="2230">
        <f ca="1">$AZ$4*BB9/100*$G$4*$AV$4</f>
        <v>0</v>
      </c>
      <c r="BG9" s="2231">
        <f ca="1">$AZ$4*BC9/100*$G$4*$AV$4</f>
        <v>0</v>
      </c>
      <c r="BH9" s="1638"/>
      <c r="BL9" s="314"/>
      <c r="BM9" s="314"/>
      <c r="BN9" s="314"/>
      <c r="BO9" s="1616"/>
      <c r="BP9" s="1616"/>
      <c r="BQ9" s="1616"/>
      <c r="BR9" s="1616"/>
    </row>
    <row r="10" spans="1:70" ht="6.8" customHeight="1" thickBot="1" x14ac:dyDescent="0.3">
      <c r="A10" s="300"/>
      <c r="B10" s="899"/>
      <c r="C10" s="309"/>
      <c r="D10" s="54"/>
      <c r="E10" s="309"/>
      <c r="F10" s="309"/>
      <c r="G10" s="309"/>
      <c r="H10" s="309"/>
      <c r="I10" s="53"/>
      <c r="J10" s="309"/>
      <c r="K10" s="309"/>
      <c r="L10" s="310"/>
      <c r="M10" s="300"/>
      <c r="N10" s="301"/>
      <c r="O10" s="301"/>
      <c r="P10" s="302"/>
      <c r="Q10" s="2086"/>
      <c r="R10" s="300"/>
      <c r="S10" s="300"/>
      <c r="T10" s="300"/>
      <c r="U10" s="300"/>
      <c r="V10" s="300"/>
      <c r="W10" s="300"/>
      <c r="X10" s="300"/>
      <c r="Y10" s="300"/>
      <c r="Z10" s="300"/>
      <c r="AA10" s="300"/>
      <c r="AB10" s="300"/>
      <c r="AC10" s="300"/>
      <c r="AD10" s="300"/>
      <c r="AE10" s="300"/>
      <c r="AF10" s="300"/>
      <c r="AG10" s="300"/>
      <c r="AH10" s="3"/>
      <c r="AI10" s="3"/>
      <c r="AJ10" s="3"/>
      <c r="AK10" s="2088"/>
      <c r="AL10" s="314"/>
      <c r="AM10" s="2086"/>
      <c r="AN10" s="300"/>
      <c r="AO10" s="300"/>
      <c r="AP10" s="300"/>
      <c r="AQ10" s="300"/>
      <c r="AR10" s="300"/>
      <c r="AS10" s="300"/>
      <c r="AT10" s="300"/>
      <c r="AU10" s="300"/>
      <c r="AV10" s="3"/>
      <c r="AW10" s="300"/>
      <c r="AX10" s="300"/>
      <c r="AY10" s="300"/>
      <c r="AZ10" s="300"/>
      <c r="BA10" s="300"/>
      <c r="BB10" s="300"/>
      <c r="BC10" s="300"/>
      <c r="BD10" s="300"/>
      <c r="BE10" s="300"/>
      <c r="BF10" s="3"/>
      <c r="BG10" s="3"/>
      <c r="BH10" s="1638"/>
      <c r="BL10" s="314"/>
      <c r="BM10" s="314"/>
      <c r="BN10" s="314"/>
      <c r="BO10" s="1616"/>
      <c r="BP10" s="1616"/>
      <c r="BQ10" s="1616"/>
      <c r="BR10" s="1616"/>
    </row>
    <row r="11" spans="1:70" ht="56.3" customHeight="1" x14ac:dyDescent="0.25">
      <c r="A11" s="300"/>
      <c r="B11" s="2327" t="s">
        <v>1797</v>
      </c>
      <c r="C11" s="305"/>
      <c r="D11" s="1187"/>
      <c r="E11" s="1188"/>
      <c r="F11" s="324" t="s">
        <v>935</v>
      </c>
      <c r="G11" s="324" t="s">
        <v>533</v>
      </c>
      <c r="H11" s="324"/>
      <c r="I11" s="1188"/>
      <c r="J11" s="305"/>
      <c r="K11" s="1188"/>
      <c r="L11" s="1189"/>
      <c r="M11" s="300"/>
      <c r="N11" s="301"/>
      <c r="O11" s="301"/>
      <c r="P11" s="302"/>
      <c r="Q11" s="2086"/>
      <c r="R11" s="3"/>
      <c r="S11" s="3"/>
      <c r="T11" s="300"/>
      <c r="U11" s="300"/>
      <c r="V11" s="3"/>
      <c r="W11" s="300"/>
      <c r="X11" s="2077"/>
      <c r="Y11" s="2078"/>
      <c r="Z11" s="2078"/>
      <c r="AA11" s="2078"/>
      <c r="AB11" s="2079"/>
      <c r="AC11" s="2080"/>
      <c r="AD11" s="2081"/>
      <c r="AE11" s="2082"/>
      <c r="AF11" s="2081"/>
      <c r="AG11" s="2082"/>
      <c r="AH11" s="3"/>
      <c r="AI11" s="3"/>
      <c r="AJ11" s="3"/>
      <c r="AK11" s="2088"/>
      <c r="AL11" s="314"/>
      <c r="AM11" s="2086"/>
      <c r="AN11" s="300"/>
      <c r="AO11" s="300"/>
      <c r="AP11" s="3"/>
      <c r="AQ11" s="3"/>
      <c r="AR11" s="300"/>
      <c r="AS11" s="300"/>
      <c r="AT11" s="300"/>
      <c r="AU11" s="300"/>
      <c r="AV11" s="3"/>
      <c r="AW11" s="300"/>
      <c r="AX11" s="2"/>
      <c r="AY11" s="3"/>
      <c r="AZ11" s="3"/>
      <c r="BA11" s="3"/>
      <c r="BB11" s="3"/>
      <c r="BC11" s="3"/>
      <c r="BD11" s="300"/>
      <c r="BE11" s="300"/>
      <c r="BF11" s="3"/>
      <c r="BG11" s="3"/>
      <c r="BH11" s="1638"/>
      <c r="BL11" s="314"/>
      <c r="BM11" s="314"/>
      <c r="BN11" s="314"/>
      <c r="BO11" s="1616"/>
      <c r="BP11" s="1616"/>
      <c r="BQ11" s="1616"/>
      <c r="BR11" s="1616"/>
    </row>
    <row r="12" spans="1:70" ht="18.75" customHeight="1" x14ac:dyDescent="0.25">
      <c r="A12" s="300"/>
      <c r="B12" s="2328"/>
      <c r="C12" s="304"/>
      <c r="D12" s="1226" t="s">
        <v>841</v>
      </c>
      <c r="E12" s="1184" t="s">
        <v>1403</v>
      </c>
      <c r="F12" s="1184">
        <v>1</v>
      </c>
      <c r="G12" s="1184">
        <v>100</v>
      </c>
      <c r="H12" s="304" t="s">
        <v>1440</v>
      </c>
      <c r="I12" s="311"/>
      <c r="J12" s="304"/>
      <c r="K12" s="304"/>
      <c r="L12" s="307"/>
      <c r="M12" s="300"/>
      <c r="N12" s="301"/>
      <c r="O12" s="301"/>
      <c r="P12" s="302"/>
      <c r="Q12" s="2086"/>
      <c r="R12" s="3"/>
      <c r="S12" s="3"/>
      <c r="T12" s="300"/>
      <c r="U12" s="300"/>
      <c r="V12" s="300"/>
      <c r="W12" s="300"/>
      <c r="X12" s="129" t="s">
        <v>183</v>
      </c>
      <c r="Y12" s="229">
        <f>SUMIF($AK58:$AK64,$E12,AL58:AL64)</f>
        <v>3</v>
      </c>
      <c r="Z12" s="229">
        <f>SUMIF($AK58:$AK64,$E12,AM58:AM64)</f>
        <v>2</v>
      </c>
      <c r="AA12" s="306">
        <f>Z12-Y12</f>
        <v>-1</v>
      </c>
      <c r="AB12" s="308">
        <f ca="1">IF(F12&lt;20,1+((1/20)*(AD12-1)),1)</f>
        <v>1.0044999999999999</v>
      </c>
      <c r="AC12" s="328">
        <f ca="1">IF(F12&lt;20,1+((F12/20)*(AD12-1)),AD12)</f>
        <v>1.0044999999999999</v>
      </c>
      <c r="AD12" s="76">
        <f ca="1">IF(F12&lt;&gt;"",IF(E12&lt;&gt;AK58,OFFSET('A1. Submodels &amp; data'!A111,Y12,Z12+5*($S$4-1)),1),1)</f>
        <v>1.0900000000000001</v>
      </c>
      <c r="AE12" s="332">
        <f t="shared" ref="AE12:AG16" ca="1" si="0">($G12/100)*AB12+(100-$G12)/100*1</f>
        <v>1.0044999999999999</v>
      </c>
      <c r="AF12" s="332">
        <f t="shared" ca="1" si="0"/>
        <v>1.0044999999999999</v>
      </c>
      <c r="AG12" s="332">
        <f t="shared" ca="1" si="0"/>
        <v>1.0900000000000001</v>
      </c>
      <c r="AH12" s="3"/>
      <c r="AI12" s="3"/>
      <c r="AJ12" s="3"/>
      <c r="AK12" s="2088"/>
      <c r="AL12" s="314"/>
      <c r="AM12" s="2086"/>
      <c r="AN12" s="300"/>
      <c r="AO12" s="300"/>
      <c r="AP12" s="300"/>
      <c r="AQ12" s="300"/>
      <c r="AR12" s="300"/>
      <c r="AS12" s="300"/>
      <c r="AT12" s="300"/>
      <c r="AU12" s="300"/>
      <c r="AV12" s="3"/>
      <c r="AW12" s="3"/>
      <c r="AX12" s="2"/>
      <c r="AY12" s="3"/>
      <c r="AZ12" s="3"/>
      <c r="BA12" s="3"/>
      <c r="BB12" s="3"/>
      <c r="BC12" s="3"/>
      <c r="BD12" s="300"/>
      <c r="BE12" s="300"/>
      <c r="BF12" s="3"/>
      <c r="BG12" s="3"/>
      <c r="BH12" s="1638"/>
      <c r="BL12" s="314"/>
      <c r="BM12" s="314"/>
      <c r="BN12" s="314"/>
      <c r="BO12" s="1616"/>
      <c r="BP12" s="1616"/>
      <c r="BQ12" s="1616"/>
      <c r="BR12" s="1616"/>
    </row>
    <row r="13" spans="1:70" ht="19.45" customHeight="1" x14ac:dyDescent="0.25">
      <c r="A13" s="300"/>
      <c r="B13" s="2328"/>
      <c r="C13" s="304"/>
      <c r="D13" s="1226" t="s">
        <v>799</v>
      </c>
      <c r="E13" s="1184" t="s">
        <v>366</v>
      </c>
      <c r="F13" s="1184">
        <f>IF(ISBLANK(Import!E289), "", Import!E289)</f>
        <v>0</v>
      </c>
      <c r="G13" s="1184">
        <f>IF(ISBLANK(Import!F289), "", Import!F289)</f>
        <v>0</v>
      </c>
      <c r="H13" s="304" t="s">
        <v>1440</v>
      </c>
      <c r="I13" s="311"/>
      <c r="J13" s="304"/>
      <c r="K13" s="304"/>
      <c r="L13" s="307"/>
      <c r="M13" s="300"/>
      <c r="N13" s="301"/>
      <c r="O13" s="301"/>
      <c r="P13" s="302"/>
      <c r="Q13" s="2086"/>
      <c r="R13" s="2367" t="s">
        <v>2035</v>
      </c>
      <c r="S13" s="2071"/>
      <c r="T13" s="3"/>
      <c r="U13" s="300"/>
      <c r="V13" s="300"/>
      <c r="W13" s="300"/>
      <c r="X13" s="129" t="s">
        <v>399</v>
      </c>
      <c r="Y13" s="229">
        <f>SUMIF(AK$68:AK$70,E13,AM$68:AM$70)+1</f>
        <v>1</v>
      </c>
      <c r="Z13" s="229">
        <f>SUMIF(AK$68:AK$70,E13,AN$68:AN$70)+1</f>
        <v>1</v>
      </c>
      <c r="AA13" s="306">
        <f>Z13-Y13</f>
        <v>0</v>
      </c>
      <c r="AB13" s="308">
        <f ca="1">IF(F13&lt;20,1+((1/20)*(AD13-1)),1)</f>
        <v>1</v>
      </c>
      <c r="AC13" s="328">
        <f ca="1">IF(F13&lt;20,1+((F13/20)*(AD13-1)),AD13)</f>
        <v>1</v>
      </c>
      <c r="AD13" s="76">
        <f ca="1">IF(F13&lt;&gt;"",IF(E13&lt;&gt;AK68,OFFSET('A1. Submodels &amp; data'!A118,Y13,Z13+5*($S$4-1)),1),1)</f>
        <v>1</v>
      </c>
      <c r="AE13" s="332">
        <f t="shared" ca="1" si="0"/>
        <v>1</v>
      </c>
      <c r="AF13" s="332">
        <f t="shared" ca="1" si="0"/>
        <v>1</v>
      </c>
      <c r="AG13" s="332">
        <f t="shared" ca="1" si="0"/>
        <v>1</v>
      </c>
      <c r="AH13" s="3"/>
      <c r="AI13" s="3"/>
      <c r="AJ13" s="3"/>
      <c r="AK13" s="2088"/>
      <c r="AL13" s="314"/>
      <c r="AM13" s="2086"/>
      <c r="AN13" s="300"/>
      <c r="AO13" s="300"/>
      <c r="AP13" s="300"/>
      <c r="AQ13" s="300"/>
      <c r="AR13" s="300"/>
      <c r="AS13" s="300"/>
      <c r="AT13" s="300"/>
      <c r="AU13" s="300"/>
      <c r="AV13" s="3"/>
      <c r="AW13" s="3"/>
      <c r="AX13" s="2"/>
      <c r="AY13" s="300"/>
      <c r="AZ13" s="3"/>
      <c r="BA13" s="3"/>
      <c r="BB13" s="300"/>
      <c r="BC13" s="300"/>
      <c r="BD13" s="300"/>
      <c r="BE13" s="300"/>
      <c r="BF13" s="3"/>
      <c r="BG13" s="3"/>
      <c r="BH13" s="1638"/>
      <c r="BL13" s="314"/>
      <c r="BM13" s="314"/>
      <c r="BN13" s="314"/>
      <c r="BO13" s="1616"/>
      <c r="BP13" s="1616"/>
      <c r="BQ13" s="1616"/>
      <c r="BR13" s="1616"/>
    </row>
    <row r="14" spans="1:70" ht="24.8" customHeight="1" x14ac:dyDescent="0.25">
      <c r="A14" s="300"/>
      <c r="B14" s="2328"/>
      <c r="C14" s="304"/>
      <c r="D14" s="1226" t="s">
        <v>920</v>
      </c>
      <c r="E14" s="1184" t="s">
        <v>366</v>
      </c>
      <c r="F14" s="1184">
        <f>IF(ISBLANK(Import!E290), "", Import!E290)</f>
        <v>0</v>
      </c>
      <c r="G14" s="1184">
        <f>IF(ISBLANK(Import!F290), "", Import!F290)</f>
        <v>0</v>
      </c>
      <c r="H14" s="304" t="s">
        <v>1440</v>
      </c>
      <c r="I14" s="2307" t="str">
        <f>IF(E14="started incorporating",IF('2.CropManagement'!$BG$40=0,"Cannot calculate sequestration from compost unless compost is indicated as a fertiliser in the Crop Management Tab.",""),"")</f>
        <v/>
      </c>
      <c r="J14" s="2307"/>
      <c r="K14" s="2307"/>
      <c r="L14" s="2308"/>
      <c r="M14" s="300"/>
      <c r="N14" s="301"/>
      <c r="O14" s="301"/>
      <c r="P14" s="302"/>
      <c r="Q14" s="1637"/>
      <c r="R14" s="2367"/>
      <c r="S14" s="2071"/>
      <c r="T14" s="306"/>
      <c r="U14" s="306" t="s">
        <v>584</v>
      </c>
      <c r="V14" s="2072" t="s">
        <v>1642</v>
      </c>
      <c r="W14" s="300"/>
      <c r="X14" s="129" t="s">
        <v>1266</v>
      </c>
      <c r="Y14" s="306">
        <f>SUMIF(AL$68:AL$70,E14,AM$68:AM$70)</f>
        <v>0</v>
      </c>
      <c r="Z14" s="306">
        <f>SUMIF(AL$68:AL$70,E14,AN$68:AN$70)</f>
        <v>0</v>
      </c>
      <c r="AA14" s="306">
        <f>Z14-Y14</f>
        <v>0</v>
      </c>
      <c r="AB14" s="306">
        <f>IF(F14&lt;20,1+((1/20)*(AD14-1)),1)</f>
        <v>1</v>
      </c>
      <c r="AC14" s="328">
        <f>IF(F14&lt;20,1+((F14/20)*(AD14-1)),AD14)</f>
        <v>1</v>
      </c>
      <c r="AD14" s="76">
        <f>1+(V15-1)*20</f>
        <v>1</v>
      </c>
      <c r="AE14" s="332">
        <f t="shared" si="0"/>
        <v>1</v>
      </c>
      <c r="AF14" s="332">
        <f t="shared" si="0"/>
        <v>1</v>
      </c>
      <c r="AG14" s="332">
        <f t="shared" si="0"/>
        <v>1</v>
      </c>
      <c r="AH14" s="3"/>
      <c r="AI14" s="3"/>
      <c r="AJ14" s="3"/>
      <c r="AK14" s="2088"/>
      <c r="AL14" s="314"/>
      <c r="AM14" s="2086"/>
      <c r="AN14" s="300"/>
      <c r="AO14" s="300"/>
      <c r="AP14" s="300"/>
      <c r="AQ14" s="300"/>
      <c r="AR14" s="300"/>
      <c r="AS14" s="300"/>
      <c r="AT14" s="300"/>
      <c r="AU14" s="300"/>
      <c r="AV14" s="3"/>
      <c r="AW14" s="300"/>
      <c r="AX14" s="2"/>
      <c r="AY14" s="300"/>
      <c r="AZ14" s="300"/>
      <c r="BA14" s="300"/>
      <c r="BB14" s="300"/>
      <c r="BC14" s="300"/>
      <c r="BD14" s="300"/>
      <c r="BE14" s="300"/>
      <c r="BF14" s="300"/>
      <c r="BG14" s="300"/>
      <c r="BH14" s="2088"/>
      <c r="BI14" s="314"/>
      <c r="BJ14" s="314"/>
      <c r="BK14" s="314"/>
      <c r="BL14" s="314"/>
      <c r="BM14" s="314"/>
      <c r="BN14" s="314"/>
      <c r="BO14" s="1616"/>
      <c r="BP14" s="1616"/>
      <c r="BQ14" s="1616"/>
      <c r="BR14" s="1616"/>
    </row>
    <row r="15" spans="1:70" ht="25.5" customHeight="1" thickBot="1" x14ac:dyDescent="0.3">
      <c r="A15" s="300"/>
      <c r="B15" s="2328"/>
      <c r="C15" s="304"/>
      <c r="D15" s="1226" t="s">
        <v>700</v>
      </c>
      <c r="E15" s="1184" t="s">
        <v>366</v>
      </c>
      <c r="F15" s="1184">
        <f>IF(ISBLANK(Import!E291), "", Import!E291)</f>
        <v>0</v>
      </c>
      <c r="G15" s="1184">
        <f>IF(ISBLANK(Import!F291), "", Import!F291)</f>
        <v>0</v>
      </c>
      <c r="H15" s="304" t="s">
        <v>1440</v>
      </c>
      <c r="I15" s="2307" t="str">
        <f>IF(E15="started incorporating",IF('2.CropManagement'!$BF$40=0,"Cannot calculate sequestration from manure additions unless manure is indicated as a fertiliser in the Crop Management Tab.",""),"")</f>
        <v/>
      </c>
      <c r="J15" s="2307"/>
      <c r="K15" s="2307"/>
      <c r="L15" s="2308"/>
      <c r="M15" s="300"/>
      <c r="N15" s="301"/>
      <c r="O15" s="301"/>
      <c r="P15" s="302"/>
      <c r="Q15" s="1637"/>
      <c r="R15" s="2368" t="s">
        <v>2086</v>
      </c>
      <c r="S15" s="516"/>
      <c r="T15" s="306" t="str">
        <f>D14</f>
        <v>Compost</v>
      </c>
      <c r="U15" s="306">
        <f>'2.CropManagement'!AH25/'1.GeneralInfo'!$S$12</f>
        <v>0</v>
      </c>
      <c r="V15" s="333">
        <f>IF(F14&lt;&gt;"",IF(AA14&gt;0,MAX(1,'A1. Submodels &amp; data'!B384+'A1. Submodels &amp; data'!C384*U15/1000),IF(AA14&lt;0,1/MAX(1,'A1. Submodels &amp; data'!B384+'A1. Submodels &amp; data'!C384*U15/1000),1)),1)</f>
        <v>1</v>
      </c>
      <c r="W15" s="300"/>
      <c r="X15" s="129" t="s">
        <v>181</v>
      </c>
      <c r="Y15" s="306">
        <f>SUMIF(AL$68:AL$70,E15,AM$68:AM$70)</f>
        <v>0</v>
      </c>
      <c r="Z15" s="306">
        <f>SUMIF(AL$68:AL$70,E15,AN$68:AN$70)</f>
        <v>0</v>
      </c>
      <c r="AA15" s="306">
        <f>Z15-Y15</f>
        <v>0</v>
      </c>
      <c r="AB15" s="306">
        <f>IF(F15&lt;20,1+((1/20)*(AD15-1)),1)</f>
        <v>1</v>
      </c>
      <c r="AC15" s="328">
        <f>IF(F15&lt;20,1+((F15/20)*(AD15-1)),AD15)</f>
        <v>1</v>
      </c>
      <c r="AD15" s="76">
        <f>1+(V16-1)*20</f>
        <v>1</v>
      </c>
      <c r="AE15" s="332">
        <f t="shared" si="0"/>
        <v>1</v>
      </c>
      <c r="AF15" s="332">
        <f t="shared" si="0"/>
        <v>1</v>
      </c>
      <c r="AG15" s="332">
        <f t="shared" si="0"/>
        <v>1</v>
      </c>
      <c r="AH15" s="3"/>
      <c r="AI15" s="3"/>
      <c r="AJ15" s="3"/>
      <c r="AK15" s="2088"/>
      <c r="AL15" s="314"/>
      <c r="AM15" s="2089"/>
      <c r="AN15" s="2090"/>
      <c r="AO15" s="2090"/>
      <c r="AP15" s="2090"/>
      <c r="AQ15" s="2090"/>
      <c r="AR15" s="2090"/>
      <c r="AS15" s="2090"/>
      <c r="AT15" s="2090"/>
      <c r="AU15" s="2090"/>
      <c r="AV15" s="1642"/>
      <c r="AW15" s="2090"/>
      <c r="AX15" s="2090"/>
      <c r="AY15" s="2090"/>
      <c r="AZ15" s="2090"/>
      <c r="BA15" s="2090"/>
      <c r="BB15" s="2090"/>
      <c r="BC15" s="2090"/>
      <c r="BD15" s="2090"/>
      <c r="BE15" s="2090"/>
      <c r="BF15" s="2090"/>
      <c r="BG15" s="2090"/>
      <c r="BH15" s="2092"/>
      <c r="BI15" s="314"/>
      <c r="BJ15" s="314"/>
      <c r="BK15" s="314"/>
      <c r="BL15" s="314"/>
      <c r="BM15" s="314"/>
      <c r="BN15" s="314"/>
      <c r="BO15" s="1616"/>
      <c r="BP15" s="1616"/>
      <c r="BQ15" s="1616"/>
      <c r="BR15" s="1616"/>
    </row>
    <row r="16" spans="1:70" ht="25.5" customHeight="1" x14ac:dyDescent="0.25">
      <c r="A16" s="300"/>
      <c r="B16" s="2328"/>
      <c r="C16" s="304"/>
      <c r="D16" s="1226" t="s">
        <v>701</v>
      </c>
      <c r="E16" s="1184" t="s">
        <v>730</v>
      </c>
      <c r="F16" s="1184">
        <v>1</v>
      </c>
      <c r="G16" s="1184">
        <v>100</v>
      </c>
      <c r="H16" s="304" t="s">
        <v>1440</v>
      </c>
      <c r="I16" s="2307" t="str">
        <f>IF(E16="started incorporating",IF('2.CropManagement'!E31&lt;&gt;"left on field; incorporated or mulch","Cannot calculate sequestration from residue incorporation unless residue  is indicated as 'Left on field; incorporated or mulch' in the Crop Management Tab.",""),"")</f>
        <v/>
      </c>
      <c r="J16" s="2307"/>
      <c r="K16" s="2307"/>
      <c r="L16" s="2308"/>
      <c r="M16" s="300"/>
      <c r="N16" s="301"/>
      <c r="O16" s="301"/>
      <c r="P16" s="302"/>
      <c r="Q16" s="1637"/>
      <c r="R16" s="2368"/>
      <c r="S16" s="516"/>
      <c r="T16" s="306" t="str">
        <f>D15</f>
        <v>Manure additions</v>
      </c>
      <c r="U16" s="306">
        <f>'2.CropManagement'!AG25/'1.GeneralInfo'!$S$12</f>
        <v>0</v>
      </c>
      <c r="V16" s="333">
        <f>IF(F15&lt;&gt;"",IF(AA15&gt;0,MAX(1,'A1. Submodels &amp; data'!B385+'A1. Submodels &amp; data'!C385*U16/1000),IF(AA15&lt;0,1/MAX(1,'A1. Submodels &amp; data'!B385+'A1. Submodels &amp; data'!C385*U16/1000),1)),1)</f>
        <v>1</v>
      </c>
      <c r="W16" s="300"/>
      <c r="X16" s="76" t="s">
        <v>354</v>
      </c>
      <c r="Y16" s="306">
        <f>SUMIF(AL$68:AL$70,E16,AM$68:AM$70)</f>
        <v>0</v>
      </c>
      <c r="Z16" s="306">
        <f>SUMIF(AL$68:AL$70,E16,AN$68:AN$70)</f>
        <v>1</v>
      </c>
      <c r="AA16" s="306">
        <f>Z16-Y16</f>
        <v>1</v>
      </c>
      <c r="AB16" s="306">
        <f>IF(F16&lt;20,1+((1/20)*(AD16-1)),1)</f>
        <v>1</v>
      </c>
      <c r="AC16" s="328">
        <f>IF(F16&lt;20,1+((F16/20)*(AD16-1)),AD16)</f>
        <v>1</v>
      </c>
      <c r="AD16" s="76">
        <f>1+(V17-1)*20</f>
        <v>1</v>
      </c>
      <c r="AE16" s="332">
        <f t="shared" si="0"/>
        <v>1</v>
      </c>
      <c r="AF16" s="332">
        <f t="shared" si="0"/>
        <v>1</v>
      </c>
      <c r="AG16" s="332">
        <f t="shared" si="0"/>
        <v>1</v>
      </c>
      <c r="AH16" s="3"/>
      <c r="AI16" s="3"/>
      <c r="AJ16" s="3"/>
      <c r="AK16" s="2088"/>
      <c r="AL16" s="314"/>
      <c r="AM16" s="314"/>
      <c r="AN16" s="314"/>
      <c r="AO16" s="314"/>
      <c r="AP16" s="314"/>
      <c r="AQ16" s="314"/>
      <c r="AR16" s="314"/>
      <c r="AS16" s="314"/>
      <c r="AT16" s="314"/>
      <c r="AU16" s="314"/>
      <c r="AV16" s="314"/>
      <c r="AW16" s="314"/>
      <c r="AX16" s="314"/>
      <c r="AY16" s="314"/>
      <c r="AZ16" s="314"/>
      <c r="BA16" s="314"/>
      <c r="BB16" s="314"/>
      <c r="BC16" s="314"/>
      <c r="BD16" s="314"/>
      <c r="BE16" s="314"/>
      <c r="BF16" s="314"/>
      <c r="BG16" s="314"/>
      <c r="BH16" s="314"/>
      <c r="BI16" s="314"/>
      <c r="BJ16" s="314"/>
      <c r="BK16" s="314"/>
      <c r="BL16" s="314"/>
      <c r="BM16" s="314"/>
      <c r="BN16" s="314"/>
      <c r="BO16" s="1616"/>
      <c r="BP16" s="1616"/>
      <c r="BQ16" s="1616"/>
      <c r="BR16" s="1616"/>
    </row>
    <row r="17" spans="1:70" ht="15" customHeight="1" thickBot="1" x14ac:dyDescent="0.3">
      <c r="A17" s="300"/>
      <c r="B17" s="2329"/>
      <c r="C17" s="309"/>
      <c r="D17" s="334"/>
      <c r="E17" s="335"/>
      <c r="F17" s="336"/>
      <c r="G17" s="336"/>
      <c r="H17" s="336"/>
      <c r="I17" s="2315"/>
      <c r="J17" s="2315"/>
      <c r="K17" s="2315"/>
      <c r="L17" s="2316"/>
      <c r="M17" s="300"/>
      <c r="N17" s="301"/>
      <c r="O17" s="301"/>
      <c r="P17" s="302"/>
      <c r="Q17" s="1637"/>
      <c r="R17" s="2368"/>
      <c r="S17" s="516"/>
      <c r="T17" s="306" t="str">
        <f>D16</f>
        <v>Residue incorporation</v>
      </c>
      <c r="U17" s="306">
        <f>IF(ISERROR('2.CropManagement'!S48*1000),0,'2.CropManagement'!S48*1000)/'1.GeneralInfo'!$S$12</f>
        <v>0</v>
      </c>
      <c r="V17" s="333">
        <f>IF(F16&lt;&gt;"",IF(AA16&gt;0,MAX(1,'A1. Submodels &amp; data'!B386+'A1. Submodels &amp; data'!C386*U17/1000),IF(AA16&lt;0,1/MAX(1,'A1. Submodels &amp; data'!B386+'A1. Submodels &amp; data'!C386*U17/1000),1)),1)</f>
        <v>1</v>
      </c>
      <c r="W17" s="300"/>
      <c r="X17" s="326" t="s">
        <v>2033</v>
      </c>
      <c r="Y17" s="180"/>
      <c r="Z17" s="326"/>
      <c r="AA17" s="326"/>
      <c r="AB17" s="326">
        <f t="shared" ref="AB17:AG17" ca="1" si="1">PRODUCT(AB4:AB16)</f>
        <v>1.0044999999999999</v>
      </c>
      <c r="AC17" s="326">
        <f t="shared" ca="1" si="1"/>
        <v>1.0044999999999999</v>
      </c>
      <c r="AD17" s="326">
        <f t="shared" ca="1" si="1"/>
        <v>1.0900000000000001</v>
      </c>
      <c r="AE17" s="326">
        <f t="shared" ca="1" si="1"/>
        <v>1.0044999999999999</v>
      </c>
      <c r="AF17" s="326">
        <f t="shared" ca="1" si="1"/>
        <v>1.0044999999999999</v>
      </c>
      <c r="AG17" s="326">
        <f t="shared" ca="1" si="1"/>
        <v>1.0900000000000001</v>
      </c>
      <c r="AH17" s="3"/>
      <c r="AI17" s="3"/>
      <c r="AJ17" s="3"/>
      <c r="AK17" s="2088"/>
      <c r="AL17" s="314"/>
      <c r="AM17" s="314"/>
      <c r="AN17" s="314"/>
      <c r="AO17" s="314"/>
      <c r="AP17" s="314"/>
      <c r="AQ17" s="314"/>
      <c r="AR17" s="314"/>
      <c r="AS17" s="314"/>
      <c r="AT17" s="314"/>
      <c r="AU17" s="314"/>
      <c r="AV17" s="314"/>
      <c r="AW17" s="314"/>
      <c r="AX17" s="314"/>
      <c r="AY17" s="314"/>
      <c r="AZ17" s="314"/>
      <c r="BA17" s="314"/>
      <c r="BB17" s="314"/>
      <c r="BC17" s="314"/>
      <c r="BD17" s="314"/>
      <c r="BE17" s="314"/>
      <c r="BF17" s="314"/>
      <c r="BG17" s="314"/>
      <c r="BH17" s="314"/>
      <c r="BI17" s="314"/>
      <c r="BJ17" s="314"/>
      <c r="BK17" s="314"/>
      <c r="BL17" s="314"/>
      <c r="BM17" s="314"/>
      <c r="BN17" s="314"/>
      <c r="BO17" s="1616"/>
      <c r="BP17" s="1616"/>
      <c r="BQ17" s="1616"/>
      <c r="BR17" s="1616"/>
    </row>
    <row r="18" spans="1:70" ht="15.7" customHeight="1" x14ac:dyDescent="0.25">
      <c r="A18" s="300"/>
      <c r="B18" s="2325" t="s">
        <v>646</v>
      </c>
      <c r="C18" s="304"/>
      <c r="D18" s="304"/>
      <c r="E18" s="304"/>
      <c r="F18" s="304"/>
      <c r="G18" s="304"/>
      <c r="H18" s="304"/>
      <c r="I18" s="304"/>
      <c r="J18" s="304"/>
      <c r="K18" s="304"/>
      <c r="L18" s="307"/>
      <c r="M18" s="300"/>
      <c r="N18" s="301"/>
      <c r="O18" s="301"/>
      <c r="P18" s="302"/>
      <c r="Q18" s="2086"/>
      <c r="R18" s="300"/>
      <c r="S18" s="300"/>
      <c r="T18" s="300"/>
      <c r="U18" s="300"/>
      <c r="V18" s="300"/>
      <c r="W18" s="300"/>
      <c r="X18" s="129" t="s">
        <v>2085</v>
      </c>
      <c r="Y18" s="180"/>
      <c r="Z18" s="129"/>
      <c r="AA18" s="129"/>
      <c r="AB18" s="129">
        <f ca="1">(-1 * $S$7*($AB$17-1))*'1.GeneralInfo'!$S$12</f>
        <v>-2527.1999999999712</v>
      </c>
      <c r="AC18" s="129">
        <f ca="1">-1*((AC17-1)*$S$7)*'1.GeneralInfo'!$S$12</f>
        <v>-2527.1999999999712</v>
      </c>
      <c r="AD18" s="129">
        <f ca="1">-1*((AD17-1)*$S$7)*'1.GeneralInfo'!$S$12</f>
        <v>-50544.000000000044</v>
      </c>
      <c r="AE18" s="129">
        <f ca="1">(-1*$S$7*($AE$17-1)*'1.GeneralInfo'!$S$12)</f>
        <v>-2527.1999999999712</v>
      </c>
      <c r="AF18" s="129">
        <f ca="1">-1*((AF17-1)*$S$7)*'1.GeneralInfo'!$S$12</f>
        <v>-2527.1999999999712</v>
      </c>
      <c r="AG18" s="129">
        <f ca="1">-1*((AG17-1)*$S$7)*'1.GeneralInfo'!$S$12</f>
        <v>-50544.000000000044</v>
      </c>
      <c r="AH18" s="3"/>
      <c r="AI18" s="3"/>
      <c r="AJ18" s="3"/>
      <c r="AK18" s="2088"/>
      <c r="AL18" s="314"/>
      <c r="AM18" s="314"/>
      <c r="AN18" s="314"/>
      <c r="AO18" s="314"/>
      <c r="AP18" s="314"/>
      <c r="AQ18" s="314"/>
      <c r="AR18" s="314"/>
      <c r="AS18" s="314"/>
      <c r="AT18" s="314"/>
      <c r="AU18" s="314"/>
      <c r="AV18" s="314"/>
      <c r="AW18" s="314"/>
      <c r="AX18" s="314"/>
      <c r="AY18" s="314"/>
      <c r="AZ18" s="314"/>
      <c r="BA18" s="314"/>
      <c r="BB18" s="314"/>
      <c r="BC18" s="314"/>
      <c r="BD18" s="314"/>
      <c r="BE18" s="314"/>
      <c r="BF18" s="314"/>
      <c r="BG18" s="314"/>
      <c r="BH18" s="314"/>
      <c r="BI18" s="314"/>
      <c r="BJ18" s="314"/>
      <c r="BK18" s="314"/>
      <c r="BL18" s="314"/>
      <c r="BM18" s="314"/>
      <c r="BN18" s="314"/>
      <c r="BO18" s="1616"/>
      <c r="BP18" s="1616"/>
      <c r="BQ18" s="1616"/>
      <c r="BR18" s="1616"/>
    </row>
    <row r="19" spans="1:70" ht="0.75" customHeight="1" x14ac:dyDescent="0.25">
      <c r="A19" s="300"/>
      <c r="B19" s="2326"/>
      <c r="C19" s="304"/>
      <c r="D19" s="304"/>
      <c r="E19" s="304"/>
      <c r="F19" s="304"/>
      <c r="G19" s="304"/>
      <c r="H19" s="304"/>
      <c r="I19" s="1191"/>
      <c r="J19" s="304"/>
      <c r="K19" s="304"/>
      <c r="L19" s="307"/>
      <c r="M19" s="300"/>
      <c r="N19" s="301"/>
      <c r="O19" s="301"/>
      <c r="P19" s="302"/>
      <c r="Q19" s="2086"/>
      <c r="R19" s="300"/>
      <c r="S19" s="300"/>
      <c r="T19" s="300"/>
      <c r="U19" s="300"/>
      <c r="V19" s="300"/>
      <c r="W19" s="300"/>
      <c r="X19" s="1319"/>
      <c r="Y19" s="1319"/>
      <c r="Z19" s="1319"/>
      <c r="AA19" s="1319"/>
      <c r="AB19" s="1319"/>
      <c r="AC19" s="1319"/>
      <c r="AD19" s="1319"/>
      <c r="AE19" s="1319"/>
      <c r="AF19" s="1319"/>
      <c r="AG19" s="1319"/>
      <c r="AH19" s="3"/>
      <c r="AI19" s="3"/>
      <c r="AJ19" s="3"/>
      <c r="AK19" s="2088"/>
      <c r="AL19" s="314"/>
      <c r="AM19" s="314"/>
      <c r="AN19" s="314"/>
      <c r="AO19" s="314"/>
      <c r="AP19" s="314"/>
      <c r="AQ19" s="314"/>
      <c r="AR19" s="314"/>
      <c r="AS19" s="314"/>
      <c r="AT19" s="314"/>
      <c r="AU19" s="314"/>
      <c r="AV19" s="314"/>
      <c r="AW19" s="314"/>
      <c r="AX19" s="314"/>
      <c r="AY19" s="314"/>
      <c r="AZ19" s="314"/>
      <c r="BA19" s="314"/>
      <c r="BB19" s="314"/>
      <c r="BC19" s="314"/>
      <c r="BD19" s="314"/>
      <c r="BE19" s="314"/>
      <c r="BF19" s="314"/>
      <c r="BG19" s="314"/>
      <c r="BH19" s="314"/>
      <c r="BI19" s="314"/>
      <c r="BJ19" s="314"/>
      <c r="BK19" s="314"/>
      <c r="BL19" s="314"/>
      <c r="BM19" s="314"/>
      <c r="BN19" s="314"/>
      <c r="BO19" s="1616"/>
      <c r="BP19" s="1616"/>
      <c r="BQ19" s="1616"/>
      <c r="BR19" s="1616"/>
    </row>
    <row r="20" spans="1:70" ht="44.25" customHeight="1" thickBot="1" x14ac:dyDescent="0.3">
      <c r="A20" s="300"/>
      <c r="B20" s="2326"/>
      <c r="C20" s="304"/>
      <c r="D20" s="304"/>
      <c r="E20" s="969" t="s">
        <v>1798</v>
      </c>
      <c r="F20" s="969" t="str">
        <f ca="1">"density (trees per " &amp;OFFSET('2.CropManagement'!AA151,SUMIF('2.CropManagement'!X152:X153,'1.GeneralInfo'!F12,'2.CropManagement'!AB152:AB153),0) &amp; ") last year"</f>
        <v>density (trees per hectare) last year</v>
      </c>
      <c r="G20" s="969"/>
      <c r="H20" s="1190" t="s">
        <v>11</v>
      </c>
      <c r="I20" s="1227" t="s">
        <v>12</v>
      </c>
      <c r="J20" s="330" t="s">
        <v>1602</v>
      </c>
      <c r="K20" s="1227" t="s">
        <v>1334</v>
      </c>
      <c r="L20" s="307"/>
      <c r="M20" s="300"/>
      <c r="N20" s="301"/>
      <c r="O20" s="301"/>
      <c r="P20" s="302"/>
      <c r="Q20" s="2089"/>
      <c r="R20" s="2090"/>
      <c r="S20" s="2090"/>
      <c r="T20" s="2090"/>
      <c r="U20" s="2090"/>
      <c r="V20" s="2090"/>
      <c r="W20" s="2090"/>
      <c r="X20" s="2091" t="s">
        <v>2074</v>
      </c>
      <c r="Y20" s="1703"/>
      <c r="Z20" s="2091"/>
      <c r="AA20" s="2091"/>
      <c r="AB20" s="2091">
        <f t="shared" ref="AB20:AG20" ca="1" si="2">44/12*AB18</f>
        <v>-9266.3999999998941</v>
      </c>
      <c r="AC20" s="2091">
        <f t="shared" ca="1" si="2"/>
        <v>-9266.3999999998941</v>
      </c>
      <c r="AD20" s="2091">
        <f t="shared" ca="1" si="2"/>
        <v>-185328.00000000015</v>
      </c>
      <c r="AE20" s="1342">
        <f t="shared" ca="1" si="2"/>
        <v>-9266.3999999998941</v>
      </c>
      <c r="AF20" s="1342">
        <f t="shared" ca="1" si="2"/>
        <v>-9266.3999999998941</v>
      </c>
      <c r="AG20" s="2091">
        <f t="shared" ca="1" si="2"/>
        <v>-185328.00000000015</v>
      </c>
      <c r="AH20" s="1642"/>
      <c r="AI20" s="1642"/>
      <c r="AJ20" s="1642"/>
      <c r="AK20" s="2092"/>
      <c r="AL20" s="314"/>
      <c r="AM20" s="314"/>
      <c r="AN20" s="314"/>
      <c r="AO20" s="314"/>
      <c r="AP20" s="314"/>
      <c r="AQ20" s="314"/>
      <c r="AR20" s="314"/>
      <c r="AS20" s="314"/>
      <c r="AT20" s="314"/>
      <c r="AU20" s="314"/>
      <c r="AV20" s="314"/>
      <c r="AW20" s="314"/>
      <c r="AX20" s="314"/>
      <c r="AY20" s="314"/>
      <c r="AZ20" s="314"/>
      <c r="BA20" s="314"/>
      <c r="BB20" s="314"/>
      <c r="BC20" s="314"/>
      <c r="BD20" s="314"/>
      <c r="BE20" s="314"/>
      <c r="BF20" s="314"/>
      <c r="BG20" s="314"/>
      <c r="BH20" s="314"/>
      <c r="BI20" s="314"/>
      <c r="BJ20" s="314"/>
      <c r="BK20" s="314"/>
      <c r="BL20" s="314"/>
      <c r="BM20" s="314"/>
      <c r="BN20" s="314"/>
      <c r="BO20" s="1616"/>
      <c r="BP20" s="1616"/>
      <c r="BQ20" s="1616"/>
      <c r="BR20" s="1616"/>
    </row>
    <row r="21" spans="1:70" ht="20.3" customHeight="1" x14ac:dyDescent="0.25">
      <c r="A21" s="300"/>
      <c r="B21" s="2326"/>
      <c r="C21" s="304"/>
      <c r="D21" s="967" t="s">
        <v>42</v>
      </c>
      <c r="E21" s="1184" t="str">
        <f>IF(ISBLANK(Import!D76), " ", Import!D76)</f>
        <v>[select]</v>
      </c>
      <c r="F21" s="1184">
        <f>IF(ISBLANK(Import!E76), " ", Import!E76)</f>
        <v>0</v>
      </c>
      <c r="G21" s="1253">
        <f ca="1">IF(ISBLANK(Import!F76),OFFSET(AR$129,SUMIF(AE$130:AE$146,E21,AF$130:AF$146),0), Import!F76)</f>
        <v>0</v>
      </c>
      <c r="H21" s="1184">
        <f>IF(ISBLANK(Import!G76), " ", Import!G76)</f>
        <v>0</v>
      </c>
      <c r="I21" s="1184">
        <f>IF(ISBLANK(Import!H76),H21, Import!H76)</f>
        <v>0</v>
      </c>
      <c r="J21" s="1184" t="str">
        <f ca="1">IF(ISBLANK(Import!I76),OFFSET('2.CropManagement'!AI$182,SUMIF('2.CropManagement'!W$183:W$184,'1.GeneralInfo'!$E$8,'2.CropManagement'!X$183:X$184),0),Import!I76)</f>
        <v>cm</v>
      </c>
      <c r="K21" s="1184">
        <f>IF(ISBLANK(Import!J76), "", Import!J76)</f>
        <v>0</v>
      </c>
      <c r="L21" s="307"/>
      <c r="M21" s="300"/>
      <c r="N21" s="300"/>
      <c r="O21" s="300"/>
      <c r="P21" s="304"/>
      <c r="Q21" s="2083"/>
      <c r="R21" s="2084"/>
      <c r="S21" s="2084"/>
      <c r="T21" s="2084"/>
      <c r="U21" s="2084"/>
      <c r="V21" s="2084"/>
      <c r="W21" s="2084"/>
      <c r="X21" s="2084"/>
      <c r="Y21" s="2084"/>
      <c r="Z21" s="2084"/>
      <c r="AA21" s="2084"/>
      <c r="AB21" s="2084"/>
      <c r="AC21" s="2084"/>
      <c r="AD21" s="2084"/>
      <c r="AE21" s="2084"/>
      <c r="AF21" s="2084"/>
      <c r="AG21" s="2084"/>
      <c r="AH21" s="2084"/>
      <c r="AI21" s="2084"/>
      <c r="AJ21" s="2084"/>
      <c r="AK21" s="2085"/>
      <c r="AL21" s="314"/>
      <c r="AM21" s="314"/>
      <c r="AN21" s="314"/>
      <c r="AO21" s="314"/>
      <c r="AP21" s="314"/>
      <c r="AQ21" s="314"/>
      <c r="AR21" s="314"/>
      <c r="AS21" s="314"/>
      <c r="AT21" s="314"/>
      <c r="AU21" s="314"/>
      <c r="AV21" s="314"/>
      <c r="AW21" s="314"/>
      <c r="AX21" s="314"/>
      <c r="AY21" s="314"/>
      <c r="AZ21" s="314"/>
      <c r="BA21" s="314"/>
      <c r="BB21" s="314"/>
      <c r="BC21" s="314"/>
      <c r="BD21" s="314"/>
      <c r="BE21" s="314"/>
      <c r="BF21" s="314"/>
      <c r="BG21" s="314"/>
      <c r="BH21" s="314"/>
      <c r="BI21" s="314"/>
      <c r="BJ21" s="314"/>
      <c r="BK21" s="314"/>
      <c r="BL21" s="314"/>
      <c r="BM21" s="314"/>
      <c r="BN21" s="314"/>
      <c r="BO21" s="1616"/>
      <c r="BP21" s="1616"/>
      <c r="BQ21" s="1616"/>
      <c r="BR21" s="1616"/>
    </row>
    <row r="22" spans="1:70" ht="36.75" customHeight="1" x14ac:dyDescent="0.25">
      <c r="A22" s="300"/>
      <c r="B22" s="2326"/>
      <c r="C22" s="304"/>
      <c r="D22" s="967" t="s">
        <v>43</v>
      </c>
      <c r="E22" s="1184" t="str">
        <f>IF(ISBLANK(Import!D77), " ", Import!D77)</f>
        <v>[select]</v>
      </c>
      <c r="F22" s="1184">
        <f>IF(ISBLANK(Import!E77), " ", Import!E77)</f>
        <v>0</v>
      </c>
      <c r="G22" s="1253">
        <f ca="1">IF(ISBLANK(Import!F77),OFFSET(AR$129,SUMIF(AE$130:AE$146,E22,AF$130:AF$146),0), Import!F77)</f>
        <v>0</v>
      </c>
      <c r="H22" s="1184">
        <f>IF(ISBLANK(Import!G77), " ", Import!G77)</f>
        <v>0</v>
      </c>
      <c r="I22" s="1184">
        <f>IF(ISBLANK(Import!H77),H22, Import!H77)</f>
        <v>0</v>
      </c>
      <c r="J22" s="1184" t="str">
        <f ca="1">IF(ISBLANK(Import!I77),OFFSET('2.CropManagement'!AI$182,SUMIF('2.CropManagement'!W$183:W$184,'1.GeneralInfo'!$E$8,'2.CropManagement'!X$183:X$184),0),Import!I77)</f>
        <v>cm</v>
      </c>
      <c r="K22" s="1184">
        <f>IF(ISBLANK(Import!J77), "", Import!J77)</f>
        <v>0</v>
      </c>
      <c r="L22" s="307"/>
      <c r="M22" s="300"/>
      <c r="N22" s="300"/>
      <c r="O22" s="300"/>
      <c r="P22" s="304"/>
      <c r="Q22" s="2086"/>
      <c r="R22" s="2366" t="s">
        <v>1247</v>
      </c>
      <c r="S22" s="306" t="s">
        <v>1615</v>
      </c>
      <c r="T22" s="306" t="s">
        <v>1450</v>
      </c>
      <c r="U22" s="306" t="s">
        <v>906</v>
      </c>
      <c r="V22" s="306" t="s">
        <v>1785</v>
      </c>
      <c r="W22" s="306" t="s">
        <v>1786</v>
      </c>
      <c r="X22" s="154" t="s">
        <v>99</v>
      </c>
      <c r="Y22" s="2241" t="s">
        <v>100</v>
      </c>
      <c r="Z22" s="2241" t="s">
        <v>1517</v>
      </c>
      <c r="AA22" s="2241" t="s">
        <v>1519</v>
      </c>
      <c r="AB22" s="2241" t="s">
        <v>1518</v>
      </c>
      <c r="AC22" s="2241" t="s">
        <v>101</v>
      </c>
      <c r="AD22" s="2241" t="s">
        <v>1366</v>
      </c>
      <c r="AE22" s="2241" t="s">
        <v>1747</v>
      </c>
      <c r="AF22" s="2241" t="s">
        <v>1520</v>
      </c>
      <c r="AG22" s="2241" t="s">
        <v>1521</v>
      </c>
      <c r="AH22" s="2241" t="s">
        <v>1455</v>
      </c>
      <c r="AI22" s="2241" t="s">
        <v>1515</v>
      </c>
      <c r="AJ22" s="306" t="s">
        <v>1750</v>
      </c>
      <c r="AK22" s="2088"/>
      <c r="AL22" s="314"/>
      <c r="AM22" s="314"/>
      <c r="AN22" s="314"/>
      <c r="AO22" s="314"/>
      <c r="AP22" s="314"/>
      <c r="AQ22" s="314"/>
      <c r="AR22" s="314"/>
      <c r="AS22" s="314"/>
      <c r="AT22" s="314"/>
      <c r="AU22" s="314"/>
      <c r="AV22" s="314"/>
      <c r="AW22" s="314"/>
      <c r="AX22" s="314"/>
      <c r="AY22" s="314"/>
      <c r="AZ22" s="314"/>
      <c r="BA22" s="314"/>
      <c r="BB22" s="314"/>
      <c r="BC22" s="314"/>
      <c r="BD22" s="314"/>
      <c r="BE22" s="314"/>
      <c r="BF22" s="314"/>
      <c r="BG22" s="314"/>
      <c r="BH22" s="314"/>
      <c r="BI22" s="314"/>
      <c r="BJ22" s="314"/>
      <c r="BK22" s="314"/>
      <c r="BL22" s="314"/>
      <c r="BM22" s="314"/>
      <c r="BN22" s="314"/>
      <c r="BO22" s="1616"/>
      <c r="BP22" s="1616"/>
      <c r="BQ22" s="1616"/>
      <c r="BR22" s="1616"/>
    </row>
    <row r="23" spans="1:70" ht="20.3" customHeight="1" x14ac:dyDescent="0.25">
      <c r="A23" s="300"/>
      <c r="B23" s="2326"/>
      <c r="C23" s="304"/>
      <c r="D23" s="967" t="s">
        <v>44</v>
      </c>
      <c r="E23" s="1184" t="str">
        <f>IF(ISBLANK(Import!D78), " ", Import!D78)</f>
        <v>[select]</v>
      </c>
      <c r="F23" s="1184">
        <f>IF(ISBLANK(Import!E78), " ", Import!E78)</f>
        <v>0</v>
      </c>
      <c r="G23" s="1253">
        <f ca="1">IF(ISBLANK(Import!F78),OFFSET(AR$129,SUMIF(AE$130:AE$146,E23,AF$130:AF$146),0), Import!F78)</f>
        <v>0</v>
      </c>
      <c r="H23" s="1184">
        <f>IF(ISBLANK(Import!G78), " ", Import!G78)</f>
        <v>0</v>
      </c>
      <c r="I23" s="1184">
        <f>IF(ISBLANK(Import!H78),H23, Import!H78)</f>
        <v>0</v>
      </c>
      <c r="J23" s="1184" t="str">
        <f ca="1">IF(ISBLANK(Import!I78),OFFSET('2.CropManagement'!AI$182,SUMIF('2.CropManagement'!W$183:W$184,'1.GeneralInfo'!$E$8,'2.CropManagement'!X$183:X$184),0),Import!I78)</f>
        <v>cm</v>
      </c>
      <c r="K23" s="1184">
        <f>IF(ISBLANK(Import!J78), "", Import!J78)</f>
        <v>0</v>
      </c>
      <c r="L23" s="307"/>
      <c r="M23" s="300"/>
      <c r="N23" s="300"/>
      <c r="O23" s="300"/>
      <c r="P23" s="304"/>
      <c r="Q23" s="2086"/>
      <c r="R23" s="2366"/>
      <c r="S23" s="306">
        <f t="shared" ref="S23:S32" si="3">F21/AJ23</f>
        <v>0</v>
      </c>
      <c r="T23" s="306">
        <f>-K21/AJ23</f>
        <v>0</v>
      </c>
      <c r="U23" s="306">
        <f t="shared" ref="U23:U32" si="4">SUMIF(AE$130:AE$146,E21,AF$130:AF$146)</f>
        <v>0</v>
      </c>
      <c r="V23" s="306">
        <f t="shared" ref="V23:V32" ca="1" si="5">SUMIF($AK$98:$AK$102,J21,$AL$98:$AL$102)*$H21</f>
        <v>0</v>
      </c>
      <c r="W23" s="306">
        <f t="shared" ref="W23:W32" ca="1" si="6">SUMIF($AK$98:$AK$102,J21,$AL$98:$AL$102)*$I21</f>
        <v>0</v>
      </c>
      <c r="X23" s="306">
        <f ca="1">IF(ISNA(OFFSET($AF155,0,$U23)),0,OFFSET($AF155,0,$U23))</f>
        <v>1</v>
      </c>
      <c r="Y23" s="306">
        <f ca="1">IF(ISNA(OFFSET($AF165,0,$U23)),0,OFFSET($AF165,0,$U23))</f>
        <v>1</v>
      </c>
      <c r="Z23" s="306">
        <f t="shared" ref="Z23:Z32" ca="1" si="7">IF(E21&lt;&gt;$AE$129,IF(E21&lt;&gt;"",X23*S23*OFFSET(AM$129,U23,0)*OFFSET(AN$129,U23,0)-AC23,0),0)</f>
        <v>0</v>
      </c>
      <c r="AA23" s="306">
        <f t="shared" ref="AA23:AA32" ca="1" si="8">44/12*Z23</f>
        <v>0</v>
      </c>
      <c r="AB23" s="306">
        <f t="shared" ref="AB23:AB32" ca="1" si="9">IF(E21&lt;&gt;$AE$129,IF(E21&lt;&gt;"",Y23*S23*OFFSET(AM$129,U23,0)*OFFSET(AN$129,U23,0)-AC23,0),0)</f>
        <v>0</v>
      </c>
      <c r="AC23" s="306">
        <f ca="1">-1*T23*Y23</f>
        <v>0</v>
      </c>
      <c r="AD23" s="306">
        <f ca="1">Z23-AB23+AC23</f>
        <v>0</v>
      </c>
      <c r="AE23" s="306">
        <f ca="1">44/12*AD23</f>
        <v>0</v>
      </c>
      <c r="AF23" s="306">
        <f ca="1">IF(ISERROR(AD23*OFFSET(AL$129,U23,0)),0,AD23*OFFSET(AL$129,U23,0))</f>
        <v>0</v>
      </c>
      <c r="AG23" s="306">
        <f ca="1">44/12*AF23</f>
        <v>0</v>
      </c>
      <c r="AH23" s="306">
        <f t="shared" ref="AH23:AH32" ca="1" si="10">IF(E21&lt;&gt;$AE$129,IF(E21&lt;&gt;"",X23*S23*OFFSET(AL$129,U23,0)*OFFSET(AM$129,U23,0)*OFFSET(AN$129,U23,0)-AC23,0),0)</f>
        <v>0</v>
      </c>
      <c r="AI23" s="306">
        <f t="shared" ref="AI23:AI32" ca="1" si="11">44/12*AH23</f>
        <v>0</v>
      </c>
      <c r="AJ23" s="306">
        <f>SUMIF('2.CropManagement'!X$152:X$153,'1.GeneralInfo'!F$12,'2.CropManagement'!Y$152:Y$153)</f>
        <v>1</v>
      </c>
      <c r="AK23" s="2088"/>
      <c r="AL23" s="303"/>
      <c r="AM23" s="303"/>
      <c r="AN23" s="303"/>
      <c r="AO23" s="303"/>
      <c r="AP23" s="303"/>
      <c r="AQ23" s="303"/>
      <c r="AR23" s="303"/>
      <c r="AS23" s="303"/>
      <c r="AT23" s="303"/>
      <c r="AU23" s="303"/>
      <c r="AV23" s="303"/>
      <c r="AW23" s="303"/>
      <c r="AX23" s="303"/>
      <c r="AY23" s="303"/>
      <c r="AZ23" s="303"/>
      <c r="BA23" s="303"/>
      <c r="BB23" s="303"/>
      <c r="BC23" s="303"/>
      <c r="BD23" s="303"/>
      <c r="BE23" s="303"/>
      <c r="BF23" s="303"/>
      <c r="BG23" s="303"/>
      <c r="BH23" s="303"/>
      <c r="BI23" s="303"/>
      <c r="BJ23" s="303"/>
      <c r="BK23" s="303"/>
      <c r="BL23" s="303"/>
      <c r="BM23" s="303"/>
      <c r="BN23" s="303"/>
    </row>
    <row r="24" spans="1:70" ht="20.3" customHeight="1" x14ac:dyDescent="0.25">
      <c r="A24" s="300"/>
      <c r="B24" s="2326"/>
      <c r="C24" s="304"/>
      <c r="D24" s="967" t="s">
        <v>45</v>
      </c>
      <c r="E24" s="1184" t="str">
        <f>IF(ISBLANK(Import!D79), " ", Import!D79)</f>
        <v>[select]</v>
      </c>
      <c r="F24" s="1184">
        <f>IF(ISBLANK(Import!E79), " ", Import!E79)</f>
        <v>0</v>
      </c>
      <c r="G24" s="1253">
        <f ca="1">IF(ISBLANK(Import!F79),OFFSET(AR$129,SUMIF(AE$130:AE$146,E24,AF$130:AF$146),0), Import!F79)</f>
        <v>0</v>
      </c>
      <c r="H24" s="1184">
        <f>IF(ISBLANK(Import!G79), " ", Import!G79)</f>
        <v>0</v>
      </c>
      <c r="I24" s="1184">
        <f>IF(ISBLANK(Import!H79),H24, Import!H79)</f>
        <v>0</v>
      </c>
      <c r="J24" s="1184" t="str">
        <f ca="1">IF(ISBLANK(Import!I79),OFFSET('2.CropManagement'!AI$182,SUMIF('2.CropManagement'!W$183:W$184,'1.GeneralInfo'!$E$8,'2.CropManagement'!X$183:X$184),0),Import!I79)</f>
        <v>cm</v>
      </c>
      <c r="K24" s="1184">
        <f>IF(ISBLANK(Import!J79), "", Import!J79)</f>
        <v>0</v>
      </c>
      <c r="L24" s="307"/>
      <c r="M24" s="300"/>
      <c r="N24" s="300"/>
      <c r="O24" s="300"/>
      <c r="P24" s="304"/>
      <c r="Q24" s="2086"/>
      <c r="R24" s="2366"/>
      <c r="S24" s="306">
        <f t="shared" si="3"/>
        <v>0</v>
      </c>
      <c r="T24" s="306">
        <f t="shared" ref="T24:T32" si="12">-K22/AJ24</f>
        <v>0</v>
      </c>
      <c r="U24" s="306">
        <f t="shared" si="4"/>
        <v>0</v>
      </c>
      <c r="V24" s="306">
        <f t="shared" ca="1" si="5"/>
        <v>0</v>
      </c>
      <c r="W24" s="306">
        <f t="shared" ca="1" si="6"/>
        <v>0</v>
      </c>
      <c r="X24" s="306">
        <f t="shared" ref="X24:X32" ca="1" si="13">IF(ISNA(OFFSET($AF156,0,$U24)),0,OFFSET($AF156,0,$U24))</f>
        <v>2</v>
      </c>
      <c r="Y24" s="306">
        <f t="shared" ref="Y24:Y32" ca="1" si="14">IF(ISNA(OFFSET($AF166,0,$U24)),0,OFFSET($AF166,0,$U24))</f>
        <v>2</v>
      </c>
      <c r="Z24" s="306">
        <f t="shared" ca="1" si="7"/>
        <v>0</v>
      </c>
      <c r="AA24" s="306">
        <f t="shared" ca="1" si="8"/>
        <v>0</v>
      </c>
      <c r="AB24" s="306">
        <f t="shared" ca="1" si="9"/>
        <v>0</v>
      </c>
      <c r="AC24" s="306">
        <f t="shared" ref="AC24:AC32" ca="1" si="15">-1*T24*Y24</f>
        <v>0</v>
      </c>
      <c r="AD24" s="306">
        <f t="shared" ref="AD24:AD32" ca="1" si="16">Z24-AB24+AC24</f>
        <v>0</v>
      </c>
      <c r="AE24" s="306">
        <f t="shared" ref="AE24:AE32" ca="1" si="17">44/12*AD24</f>
        <v>0</v>
      </c>
      <c r="AF24" s="306">
        <f t="shared" ref="AF24:AF32" ca="1" si="18">IF(ISERROR(AD24*OFFSET(AL$129,U24,0)),0,AD24*OFFSET(AL$129,U24,0))</f>
        <v>0</v>
      </c>
      <c r="AG24" s="306">
        <f t="shared" ref="AG24:AG32" ca="1" si="19">44/12*AF24</f>
        <v>0</v>
      </c>
      <c r="AH24" s="306">
        <f t="shared" ca="1" si="10"/>
        <v>0</v>
      </c>
      <c r="AI24" s="306">
        <f t="shared" ca="1" si="11"/>
        <v>0</v>
      </c>
      <c r="AJ24" s="306">
        <f>SUMIF('2.CropManagement'!X$152:X$153,'1.GeneralInfo'!F$12,'2.CropManagement'!Y$152:Y$153)</f>
        <v>1</v>
      </c>
      <c r="AK24" s="2088"/>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row>
    <row r="25" spans="1:70" ht="20.3" customHeight="1" x14ac:dyDescent="0.25">
      <c r="A25" s="300"/>
      <c r="B25" s="900"/>
      <c r="C25" s="304"/>
      <c r="D25" s="967" t="s">
        <v>46</v>
      </c>
      <c r="E25" s="1184" t="str">
        <f>IF(ISBLANK(Import!D80), " ", Import!D80)</f>
        <v>[select]</v>
      </c>
      <c r="F25" s="1184">
        <f>IF(ISBLANK(Import!E80), " ", Import!E80)</f>
        <v>0</v>
      </c>
      <c r="G25" s="1253">
        <f ca="1">IF(ISBLANK(Import!F80),OFFSET(AR$129,SUMIF(AE$130:AE$146,E25,AF$130:AF$146),0), Import!F80)</f>
        <v>0</v>
      </c>
      <c r="H25" s="1184">
        <f>IF(ISBLANK(Import!G80), " ", Import!G80)</f>
        <v>0</v>
      </c>
      <c r="I25" s="1184">
        <f>IF(ISBLANK(Import!H80),H25, Import!H80)</f>
        <v>0</v>
      </c>
      <c r="J25" s="1184" t="str">
        <f ca="1">IF(ISBLANK(Import!I80),OFFSET('2.CropManagement'!AI$182,SUMIF('2.CropManagement'!W$183:W$184,'1.GeneralInfo'!$E$8,'2.CropManagement'!X$183:X$184),0),Import!I80)</f>
        <v>cm</v>
      </c>
      <c r="K25" s="1184">
        <f>IF(ISBLANK(Import!J80), "", Import!J80)</f>
        <v>0</v>
      </c>
      <c r="L25" s="307"/>
      <c r="M25" s="300"/>
      <c r="N25" s="300"/>
      <c r="O25" s="300"/>
      <c r="P25" s="304"/>
      <c r="Q25" s="2086"/>
      <c r="R25" s="2366"/>
      <c r="S25" s="306">
        <f t="shared" si="3"/>
        <v>0</v>
      </c>
      <c r="T25" s="306">
        <f t="shared" si="12"/>
        <v>0</v>
      </c>
      <c r="U25" s="306">
        <f t="shared" si="4"/>
        <v>0</v>
      </c>
      <c r="V25" s="306">
        <f t="shared" ca="1" si="5"/>
        <v>0</v>
      </c>
      <c r="W25" s="306">
        <f t="shared" ca="1" si="6"/>
        <v>0</v>
      </c>
      <c r="X25" s="306">
        <f t="shared" ca="1" si="13"/>
        <v>3</v>
      </c>
      <c r="Y25" s="306">
        <f t="shared" ca="1" si="14"/>
        <v>3</v>
      </c>
      <c r="Z25" s="306">
        <f t="shared" ca="1" si="7"/>
        <v>0</v>
      </c>
      <c r="AA25" s="306">
        <f t="shared" ca="1" si="8"/>
        <v>0</v>
      </c>
      <c r="AB25" s="306">
        <f t="shared" ca="1" si="9"/>
        <v>0</v>
      </c>
      <c r="AC25" s="306">
        <f t="shared" ca="1" si="15"/>
        <v>0</v>
      </c>
      <c r="AD25" s="306">
        <f t="shared" ca="1" si="16"/>
        <v>0</v>
      </c>
      <c r="AE25" s="306">
        <f t="shared" ca="1" si="17"/>
        <v>0</v>
      </c>
      <c r="AF25" s="306">
        <f t="shared" ca="1" si="18"/>
        <v>0</v>
      </c>
      <c r="AG25" s="306">
        <f t="shared" ca="1" si="19"/>
        <v>0</v>
      </c>
      <c r="AH25" s="306">
        <f t="shared" ca="1" si="10"/>
        <v>0</v>
      </c>
      <c r="AI25" s="306">
        <f t="shared" ca="1" si="11"/>
        <v>0</v>
      </c>
      <c r="AJ25" s="306">
        <f>SUMIF('2.CropManagement'!X$152:X$153,'1.GeneralInfo'!F$12,'2.CropManagement'!Y$152:Y$153)</f>
        <v>1</v>
      </c>
      <c r="AK25" s="2088"/>
      <c r="AL25" s="303"/>
      <c r="AM25" s="303"/>
      <c r="AN25" s="303"/>
      <c r="AO25" s="303"/>
      <c r="AP25" s="303"/>
      <c r="AQ25" s="303"/>
      <c r="AR25" s="303"/>
      <c r="AS25" s="303"/>
      <c r="AT25" s="303"/>
      <c r="AU25" s="303"/>
      <c r="AV25" s="303"/>
      <c r="AW25" s="303"/>
      <c r="AX25" s="303"/>
      <c r="AY25" s="303"/>
      <c r="AZ25" s="303"/>
      <c r="BA25" s="303"/>
      <c r="BB25" s="303"/>
      <c r="BC25" s="303"/>
      <c r="BD25" s="303"/>
      <c r="BE25" s="303"/>
      <c r="BF25" s="303"/>
      <c r="BG25" s="303"/>
      <c r="BH25" s="303"/>
      <c r="BI25" s="303"/>
      <c r="BJ25" s="303"/>
      <c r="BK25" s="303"/>
      <c r="BL25" s="303"/>
      <c r="BM25" s="303"/>
      <c r="BN25" s="303"/>
    </row>
    <row r="26" spans="1:70" ht="20.3" customHeight="1" x14ac:dyDescent="0.25">
      <c r="A26" s="300"/>
      <c r="B26" s="900"/>
      <c r="C26" s="304"/>
      <c r="D26" s="967" t="s">
        <v>47</v>
      </c>
      <c r="E26" s="1184" t="str">
        <f>IF(ISBLANK(Import!D81), " ", Import!D81)</f>
        <v>[select]</v>
      </c>
      <c r="F26" s="1184">
        <f>IF(ISBLANK(Import!E81), " ", Import!E81)</f>
        <v>0</v>
      </c>
      <c r="G26" s="1253">
        <f ca="1">IF(ISBLANK(Import!F81),OFFSET(AR$129,SUMIF(AE$130:AE$146,E26,AF$130:AF$146),0), Import!F81)</f>
        <v>0</v>
      </c>
      <c r="H26" s="1184">
        <f>IF(ISBLANK(Import!G81), " ", Import!G81)</f>
        <v>0</v>
      </c>
      <c r="I26" s="1184">
        <f>IF(ISBLANK(Import!H81),H26, Import!H81)</f>
        <v>0</v>
      </c>
      <c r="J26" s="1184" t="str">
        <f ca="1">IF(ISBLANK(Import!I81),OFFSET('2.CropManagement'!AI$182,SUMIF('2.CropManagement'!W$183:W$184,'1.GeneralInfo'!$E$8,'2.CropManagement'!X$183:X$184),0),Import!I81)</f>
        <v>cm</v>
      </c>
      <c r="K26" s="1184">
        <f>IF(ISBLANK(Import!J81), "", Import!J81)</f>
        <v>0</v>
      </c>
      <c r="L26" s="307"/>
      <c r="M26" s="300"/>
      <c r="N26" s="300"/>
      <c r="O26" s="300"/>
      <c r="P26" s="304"/>
      <c r="Q26" s="2086"/>
      <c r="R26" s="2366"/>
      <c r="S26" s="306">
        <f t="shared" si="3"/>
        <v>0</v>
      </c>
      <c r="T26" s="306">
        <f t="shared" si="12"/>
        <v>0</v>
      </c>
      <c r="U26" s="306">
        <f t="shared" si="4"/>
        <v>0</v>
      </c>
      <c r="V26" s="306">
        <f t="shared" ca="1" si="5"/>
        <v>0</v>
      </c>
      <c r="W26" s="306">
        <f t="shared" ca="1" si="6"/>
        <v>0</v>
      </c>
      <c r="X26" s="306">
        <f t="shared" ca="1" si="13"/>
        <v>4</v>
      </c>
      <c r="Y26" s="306">
        <f t="shared" ca="1" si="14"/>
        <v>4</v>
      </c>
      <c r="Z26" s="306">
        <f t="shared" ca="1" si="7"/>
        <v>0</v>
      </c>
      <c r="AA26" s="306">
        <f t="shared" ca="1" si="8"/>
        <v>0</v>
      </c>
      <c r="AB26" s="306">
        <f t="shared" ca="1" si="9"/>
        <v>0</v>
      </c>
      <c r="AC26" s="306">
        <f t="shared" ca="1" si="15"/>
        <v>0</v>
      </c>
      <c r="AD26" s="306">
        <f t="shared" ca="1" si="16"/>
        <v>0</v>
      </c>
      <c r="AE26" s="306">
        <f t="shared" ca="1" si="17"/>
        <v>0</v>
      </c>
      <c r="AF26" s="306">
        <f t="shared" ca="1" si="18"/>
        <v>0</v>
      </c>
      <c r="AG26" s="306">
        <f t="shared" ca="1" si="19"/>
        <v>0</v>
      </c>
      <c r="AH26" s="306">
        <f t="shared" ca="1" si="10"/>
        <v>0</v>
      </c>
      <c r="AI26" s="306">
        <f t="shared" ca="1" si="11"/>
        <v>0</v>
      </c>
      <c r="AJ26" s="306">
        <f>SUMIF('2.CropManagement'!X$152:X$153,'1.GeneralInfo'!F$12,'2.CropManagement'!Y$152:Y$153)</f>
        <v>1</v>
      </c>
      <c r="AK26" s="2088"/>
      <c r="AL26" s="303"/>
      <c r="AM26" s="303"/>
      <c r="AN26" s="303"/>
      <c r="AO26" s="303"/>
      <c r="AP26" s="303"/>
      <c r="AQ26" s="303"/>
      <c r="AR26" s="303"/>
      <c r="AS26" s="303"/>
      <c r="AT26" s="303"/>
      <c r="AU26" s="303"/>
      <c r="AV26" s="303"/>
      <c r="AW26" s="303"/>
      <c r="AX26" s="303"/>
      <c r="AY26" s="303"/>
      <c r="AZ26" s="303"/>
      <c r="BA26" s="303"/>
      <c r="BB26" s="303"/>
      <c r="BC26" s="303"/>
      <c r="BD26" s="303"/>
      <c r="BE26" s="303"/>
      <c r="BF26" s="303"/>
      <c r="BG26" s="303"/>
      <c r="BH26" s="303"/>
      <c r="BI26" s="303"/>
      <c r="BJ26" s="303"/>
      <c r="BK26" s="303"/>
      <c r="BL26" s="303"/>
      <c r="BM26" s="303"/>
      <c r="BN26" s="303"/>
    </row>
    <row r="27" spans="1:70" ht="20.3" customHeight="1" x14ac:dyDescent="0.25">
      <c r="A27" s="300"/>
      <c r="B27" s="900"/>
      <c r="C27" s="304"/>
      <c r="D27" s="967" t="s">
        <v>48</v>
      </c>
      <c r="E27" s="1184" t="str">
        <f>IF(ISBLANK(Import!D82), " ", Import!D82)</f>
        <v>[select]</v>
      </c>
      <c r="F27" s="1184">
        <f>IF(ISBLANK(Import!E82), " ", Import!E82)</f>
        <v>0</v>
      </c>
      <c r="G27" s="1253">
        <f ca="1">IF(ISBLANK(Import!F82),OFFSET(AR$129,SUMIF(AE$130:AE$146,E27,AF$130:AF$146),0), Import!F82)</f>
        <v>0</v>
      </c>
      <c r="H27" s="1184">
        <f>IF(ISBLANK(Import!G82), " ", Import!G82)</f>
        <v>0</v>
      </c>
      <c r="I27" s="1184">
        <f>IF(ISBLANK(Import!H82),H27, Import!H82)</f>
        <v>0</v>
      </c>
      <c r="J27" s="1184" t="str">
        <f ca="1">IF(ISBLANK(Import!I82),OFFSET('2.CropManagement'!AI$182,SUMIF('2.CropManagement'!W$183:W$184,'1.GeneralInfo'!$E$8,'2.CropManagement'!X$183:X$184),0),Import!I82)</f>
        <v>cm</v>
      </c>
      <c r="K27" s="1184">
        <f>IF(ISBLANK(Import!J82), "", Import!J82)</f>
        <v>0</v>
      </c>
      <c r="L27" s="307"/>
      <c r="M27" s="300"/>
      <c r="N27" s="300"/>
      <c r="O27" s="300"/>
      <c r="P27" s="304"/>
      <c r="Q27" s="2086"/>
      <c r="R27" s="300"/>
      <c r="S27" s="306">
        <f t="shared" si="3"/>
        <v>0</v>
      </c>
      <c r="T27" s="306">
        <f t="shared" si="12"/>
        <v>0</v>
      </c>
      <c r="U27" s="306">
        <f t="shared" si="4"/>
        <v>0</v>
      </c>
      <c r="V27" s="306">
        <f t="shared" ca="1" si="5"/>
        <v>0</v>
      </c>
      <c r="W27" s="306">
        <f t="shared" ca="1" si="6"/>
        <v>0</v>
      </c>
      <c r="X27" s="306">
        <f t="shared" ca="1" si="13"/>
        <v>5</v>
      </c>
      <c r="Y27" s="306">
        <f t="shared" ca="1" si="14"/>
        <v>5</v>
      </c>
      <c r="Z27" s="306">
        <f t="shared" ca="1" si="7"/>
        <v>0</v>
      </c>
      <c r="AA27" s="306">
        <f t="shared" ca="1" si="8"/>
        <v>0</v>
      </c>
      <c r="AB27" s="306">
        <f t="shared" ca="1" si="9"/>
        <v>0</v>
      </c>
      <c r="AC27" s="306">
        <f t="shared" ca="1" si="15"/>
        <v>0</v>
      </c>
      <c r="AD27" s="306">
        <f t="shared" ca="1" si="16"/>
        <v>0</v>
      </c>
      <c r="AE27" s="306">
        <f t="shared" ca="1" si="17"/>
        <v>0</v>
      </c>
      <c r="AF27" s="306">
        <f t="shared" ca="1" si="18"/>
        <v>0</v>
      </c>
      <c r="AG27" s="306">
        <f t="shared" ca="1" si="19"/>
        <v>0</v>
      </c>
      <c r="AH27" s="306">
        <f t="shared" ca="1" si="10"/>
        <v>0</v>
      </c>
      <c r="AI27" s="306">
        <f t="shared" ca="1" si="11"/>
        <v>0</v>
      </c>
      <c r="AJ27" s="306">
        <f>SUMIF('2.CropManagement'!X$152:X$153,'1.GeneralInfo'!F$12,'2.CropManagement'!Y$152:Y$153)</f>
        <v>1</v>
      </c>
      <c r="AK27" s="2088"/>
      <c r="AL27" s="303"/>
      <c r="AM27" s="303"/>
      <c r="AN27" s="303"/>
      <c r="AO27" s="303"/>
      <c r="AP27" s="303"/>
      <c r="AQ27" s="303"/>
      <c r="AR27" s="303"/>
      <c r="AS27" s="303"/>
      <c r="AT27" s="303"/>
      <c r="AU27" s="303"/>
      <c r="AV27" s="303"/>
      <c r="AW27" s="303"/>
      <c r="AX27" s="303"/>
      <c r="AY27" s="303"/>
      <c r="AZ27" s="303"/>
      <c r="BA27" s="303"/>
      <c r="BB27" s="303"/>
      <c r="BC27" s="303"/>
      <c r="BD27" s="303"/>
      <c r="BE27" s="303"/>
      <c r="BF27" s="303"/>
      <c r="BG27" s="303"/>
      <c r="BH27" s="303"/>
      <c r="BI27" s="303"/>
      <c r="BJ27" s="303"/>
      <c r="BK27" s="303"/>
      <c r="BL27" s="303"/>
      <c r="BM27" s="303"/>
      <c r="BN27" s="303"/>
    </row>
    <row r="28" spans="1:70" ht="20.3" customHeight="1" x14ac:dyDescent="0.25">
      <c r="A28" s="300"/>
      <c r="B28" s="900"/>
      <c r="C28" s="304"/>
      <c r="D28" s="967" t="s">
        <v>49</v>
      </c>
      <c r="E28" s="1184" t="str">
        <f>IF(ISBLANK(Import!D83), " ", Import!D83)</f>
        <v>[select]</v>
      </c>
      <c r="F28" s="1184">
        <f>IF(ISBLANK(Import!E83), " ", Import!E83)</f>
        <v>0</v>
      </c>
      <c r="G28" s="1253">
        <f ca="1">IF(ISBLANK(Import!F83),OFFSET(AR$129,SUMIF(AE$130:AE$146,E28,AF$130:AF$146),0), Import!F83)</f>
        <v>0</v>
      </c>
      <c r="H28" s="1184">
        <f>IF(ISBLANK(Import!G83), " ", Import!G83)</f>
        <v>0</v>
      </c>
      <c r="I28" s="1184">
        <f>IF(ISBLANK(Import!H83),H28, Import!H83)</f>
        <v>0</v>
      </c>
      <c r="J28" s="1184" t="str">
        <f ca="1">IF(ISBLANK(Import!I83),OFFSET('2.CropManagement'!AI$182,SUMIF('2.CropManagement'!W$183:W$184,'1.GeneralInfo'!$E$8,'2.CropManagement'!X$183:X$184),0),Import!I83)</f>
        <v>cm</v>
      </c>
      <c r="K28" s="1184">
        <f>IF(ISBLANK(Import!J83), "", Import!J83)</f>
        <v>0</v>
      </c>
      <c r="L28" s="307"/>
      <c r="M28" s="300"/>
      <c r="N28" s="300"/>
      <c r="O28" s="300"/>
      <c r="P28" s="304"/>
      <c r="Q28" s="2086"/>
      <c r="R28" s="300"/>
      <c r="S28" s="306">
        <f t="shared" si="3"/>
        <v>0</v>
      </c>
      <c r="T28" s="306">
        <f t="shared" si="12"/>
        <v>0</v>
      </c>
      <c r="U28" s="306">
        <f t="shared" si="4"/>
        <v>0</v>
      </c>
      <c r="V28" s="306">
        <f t="shared" ca="1" si="5"/>
        <v>0</v>
      </c>
      <c r="W28" s="306">
        <f t="shared" ca="1" si="6"/>
        <v>0</v>
      </c>
      <c r="X28" s="306">
        <f t="shared" ca="1" si="13"/>
        <v>6</v>
      </c>
      <c r="Y28" s="306">
        <f t="shared" ca="1" si="14"/>
        <v>6</v>
      </c>
      <c r="Z28" s="306">
        <f t="shared" ca="1" si="7"/>
        <v>0</v>
      </c>
      <c r="AA28" s="306">
        <f t="shared" ca="1" si="8"/>
        <v>0</v>
      </c>
      <c r="AB28" s="306">
        <f t="shared" ca="1" si="9"/>
        <v>0</v>
      </c>
      <c r="AC28" s="306">
        <f t="shared" ca="1" si="15"/>
        <v>0</v>
      </c>
      <c r="AD28" s="306">
        <f t="shared" ca="1" si="16"/>
        <v>0</v>
      </c>
      <c r="AE28" s="306">
        <f t="shared" ca="1" si="17"/>
        <v>0</v>
      </c>
      <c r="AF28" s="306">
        <f t="shared" ca="1" si="18"/>
        <v>0</v>
      </c>
      <c r="AG28" s="306">
        <f t="shared" ca="1" si="19"/>
        <v>0</v>
      </c>
      <c r="AH28" s="306">
        <f t="shared" ca="1" si="10"/>
        <v>0</v>
      </c>
      <c r="AI28" s="306">
        <f t="shared" ca="1" si="11"/>
        <v>0</v>
      </c>
      <c r="AJ28" s="306">
        <f>SUMIF('2.CropManagement'!X$152:X$153,'1.GeneralInfo'!F$12,'2.CropManagement'!Y$152:Y$153)</f>
        <v>1</v>
      </c>
      <c r="AK28" s="2088"/>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row>
    <row r="29" spans="1:70" ht="20.3" customHeight="1" x14ac:dyDescent="0.25">
      <c r="A29" s="300"/>
      <c r="B29" s="900"/>
      <c r="C29" s="304"/>
      <c r="D29" s="967" t="s">
        <v>50</v>
      </c>
      <c r="E29" s="1184" t="str">
        <f>IF(ISBLANK(Import!D84), " ", Import!D84)</f>
        <v>[select]</v>
      </c>
      <c r="F29" s="1184">
        <f>IF(ISBLANK(Import!E84), " ", Import!E84)</f>
        <v>0</v>
      </c>
      <c r="G29" s="1253">
        <f ca="1">IF(ISBLANK(Import!F84),OFFSET(AR$129,SUMIF(AE$130:AE$146,E29,AF$130:AF$146),0), Import!F84)</f>
        <v>0</v>
      </c>
      <c r="H29" s="1184">
        <f>IF(ISBLANK(Import!G84), " ", Import!G84)</f>
        <v>0</v>
      </c>
      <c r="I29" s="1184">
        <f>IF(ISBLANK(Import!H84),H29, Import!H84)</f>
        <v>0</v>
      </c>
      <c r="J29" s="1184" t="str">
        <f ca="1">IF(ISBLANK(Import!I84),OFFSET('2.CropManagement'!AI$182,SUMIF('2.CropManagement'!W$183:W$184,'1.GeneralInfo'!$E$8,'2.CropManagement'!X$183:X$184),0),Import!I84)</f>
        <v>cm</v>
      </c>
      <c r="K29" s="1184">
        <f>IF(ISBLANK(Import!J84), "", Import!J84)</f>
        <v>0</v>
      </c>
      <c r="L29" s="307"/>
      <c r="M29" s="300"/>
      <c r="N29" s="300"/>
      <c r="O29" s="300"/>
      <c r="P29" s="304"/>
      <c r="Q29" s="2086"/>
      <c r="R29" s="300"/>
      <c r="S29" s="306">
        <f t="shared" si="3"/>
        <v>0</v>
      </c>
      <c r="T29" s="306">
        <f t="shared" si="12"/>
        <v>0</v>
      </c>
      <c r="U29" s="306">
        <f t="shared" si="4"/>
        <v>0</v>
      </c>
      <c r="V29" s="306">
        <f t="shared" ca="1" si="5"/>
        <v>0</v>
      </c>
      <c r="W29" s="306">
        <f t="shared" ca="1" si="6"/>
        <v>0</v>
      </c>
      <c r="X29" s="306">
        <f t="shared" ca="1" si="13"/>
        <v>7</v>
      </c>
      <c r="Y29" s="306">
        <f t="shared" ca="1" si="14"/>
        <v>7</v>
      </c>
      <c r="Z29" s="306">
        <f t="shared" ca="1" si="7"/>
        <v>0</v>
      </c>
      <c r="AA29" s="306">
        <f t="shared" ca="1" si="8"/>
        <v>0</v>
      </c>
      <c r="AB29" s="306">
        <f t="shared" ca="1" si="9"/>
        <v>0</v>
      </c>
      <c r="AC29" s="306">
        <f t="shared" ca="1" si="15"/>
        <v>0</v>
      </c>
      <c r="AD29" s="306">
        <f t="shared" ca="1" si="16"/>
        <v>0</v>
      </c>
      <c r="AE29" s="306">
        <f t="shared" ca="1" si="17"/>
        <v>0</v>
      </c>
      <c r="AF29" s="306">
        <f t="shared" ca="1" si="18"/>
        <v>0</v>
      </c>
      <c r="AG29" s="306">
        <f t="shared" ca="1" si="19"/>
        <v>0</v>
      </c>
      <c r="AH29" s="306">
        <f t="shared" ca="1" si="10"/>
        <v>0</v>
      </c>
      <c r="AI29" s="306">
        <f t="shared" ca="1" si="11"/>
        <v>0</v>
      </c>
      <c r="AJ29" s="306">
        <f>SUMIF('2.CropManagement'!X$152:X$153,'1.GeneralInfo'!F$12,'2.CropManagement'!Y$152:Y$153)</f>
        <v>1</v>
      </c>
      <c r="AK29" s="2088"/>
      <c r="AL29" s="303"/>
      <c r="AM29" s="302"/>
      <c r="AN29" s="302"/>
      <c r="AO29" s="302"/>
      <c r="AP29" s="302"/>
      <c r="AQ29" s="302"/>
      <c r="AR29" s="303"/>
      <c r="AS29" s="303"/>
      <c r="AT29" s="303"/>
      <c r="AU29" s="303"/>
      <c r="AV29" s="303"/>
      <c r="AW29" s="303"/>
      <c r="AX29" s="303"/>
      <c r="AY29" s="303"/>
      <c r="AZ29" s="303"/>
      <c r="BA29" s="303"/>
      <c r="BB29" s="303"/>
      <c r="BC29" s="303"/>
      <c r="BD29" s="303"/>
      <c r="BE29" s="303"/>
      <c r="BF29" s="303"/>
      <c r="BG29" s="303"/>
      <c r="BH29" s="303"/>
      <c r="BI29" s="303"/>
      <c r="BJ29" s="303"/>
      <c r="BK29" s="303"/>
      <c r="BL29" s="303"/>
      <c r="BM29" s="303"/>
      <c r="BN29" s="303"/>
    </row>
    <row r="30" spans="1:70" ht="20.3" customHeight="1" x14ac:dyDescent="0.25">
      <c r="A30" s="300"/>
      <c r="B30" s="900"/>
      <c r="C30" s="304"/>
      <c r="D30" s="967" t="s">
        <v>51</v>
      </c>
      <c r="E30" s="1184" t="str">
        <f>IF(ISBLANK(Import!D85), " ", Import!D85)</f>
        <v>[select]</v>
      </c>
      <c r="F30" s="1184">
        <f>IF(ISBLANK(Import!E85), " ", Import!E85)</f>
        <v>0</v>
      </c>
      <c r="G30" s="1253">
        <f ca="1">IF(ISBLANK(Import!F85),OFFSET(AR$129,SUMIF(AE$130:AE$146,E30,AF$130:AF$146),0), Import!F85)</f>
        <v>0</v>
      </c>
      <c r="H30" s="1184">
        <f>IF(ISBLANK(Import!G85), " ", Import!G85)</f>
        <v>0</v>
      </c>
      <c r="I30" s="1184">
        <f>IF(ISBLANK(Import!H85),H30, Import!H85)</f>
        <v>0</v>
      </c>
      <c r="J30" s="1184" t="str">
        <f ca="1">IF(ISBLANK(Import!I85),OFFSET('2.CropManagement'!AI$182,SUMIF('2.CropManagement'!W$183:W$184,'1.GeneralInfo'!$E$8,'2.CropManagement'!X$183:X$184),0),Import!I85)</f>
        <v>cm</v>
      </c>
      <c r="K30" s="1184">
        <f>IF(ISBLANK(Import!J85), "", Import!J85)</f>
        <v>0</v>
      </c>
      <c r="L30" s="307"/>
      <c r="M30" s="300"/>
      <c r="N30" s="300"/>
      <c r="O30" s="300"/>
      <c r="P30" s="304"/>
      <c r="Q30" s="2086"/>
      <c r="R30" s="300"/>
      <c r="S30" s="306">
        <f t="shared" si="3"/>
        <v>0</v>
      </c>
      <c r="T30" s="306">
        <f t="shared" si="12"/>
        <v>0</v>
      </c>
      <c r="U30" s="306">
        <f t="shared" si="4"/>
        <v>0</v>
      </c>
      <c r="V30" s="306">
        <f t="shared" ca="1" si="5"/>
        <v>0</v>
      </c>
      <c r="W30" s="306">
        <f t="shared" ca="1" si="6"/>
        <v>0</v>
      </c>
      <c r="X30" s="306">
        <f t="shared" ca="1" si="13"/>
        <v>8</v>
      </c>
      <c r="Y30" s="306">
        <f t="shared" ca="1" si="14"/>
        <v>8</v>
      </c>
      <c r="Z30" s="306">
        <f t="shared" ca="1" si="7"/>
        <v>0</v>
      </c>
      <c r="AA30" s="306">
        <f t="shared" ca="1" si="8"/>
        <v>0</v>
      </c>
      <c r="AB30" s="306">
        <f t="shared" ca="1" si="9"/>
        <v>0</v>
      </c>
      <c r="AC30" s="306">
        <f t="shared" ca="1" si="15"/>
        <v>0</v>
      </c>
      <c r="AD30" s="306">
        <f t="shared" ca="1" si="16"/>
        <v>0</v>
      </c>
      <c r="AE30" s="306">
        <f t="shared" ca="1" si="17"/>
        <v>0</v>
      </c>
      <c r="AF30" s="306">
        <f t="shared" ca="1" si="18"/>
        <v>0</v>
      </c>
      <c r="AG30" s="306">
        <f t="shared" ca="1" si="19"/>
        <v>0</v>
      </c>
      <c r="AH30" s="306">
        <f t="shared" ca="1" si="10"/>
        <v>0</v>
      </c>
      <c r="AI30" s="306">
        <f t="shared" ca="1" si="11"/>
        <v>0</v>
      </c>
      <c r="AJ30" s="306">
        <f>SUMIF('2.CropManagement'!X$152:X$153,'1.GeneralInfo'!F$12,'2.CropManagement'!Y$152:Y$153)</f>
        <v>1</v>
      </c>
      <c r="AK30" s="2088"/>
      <c r="AL30" s="303"/>
      <c r="AM30" s="302"/>
      <c r="AN30" s="302"/>
      <c r="AO30" s="302"/>
      <c r="AP30" s="302"/>
      <c r="AQ30" s="302"/>
      <c r="AR30" s="303"/>
      <c r="AS30" s="303"/>
      <c r="AT30" s="303"/>
      <c r="AU30" s="303"/>
      <c r="AV30" s="303"/>
      <c r="AW30" s="303"/>
      <c r="AX30" s="303"/>
      <c r="AY30" s="303"/>
      <c r="AZ30" s="303"/>
      <c r="BA30" s="303"/>
      <c r="BB30" s="303"/>
      <c r="BC30" s="303"/>
      <c r="BD30" s="303"/>
      <c r="BE30" s="303"/>
      <c r="BF30" s="303"/>
      <c r="BG30" s="303"/>
      <c r="BH30" s="303"/>
      <c r="BI30" s="303"/>
      <c r="BJ30" s="303"/>
      <c r="BK30" s="303"/>
      <c r="BL30" s="303"/>
      <c r="BM30" s="303"/>
      <c r="BN30" s="303"/>
    </row>
    <row r="31" spans="1:70" ht="27.8" customHeight="1" x14ac:dyDescent="0.25">
      <c r="A31" s="300"/>
      <c r="B31" s="900"/>
      <c r="C31" s="304"/>
      <c r="D31" s="304"/>
      <c r="E31" s="304"/>
      <c r="F31" s="304"/>
      <c r="G31" s="304"/>
      <c r="H31" s="304"/>
      <c r="I31" s="304"/>
      <c r="J31" s="304"/>
      <c r="K31" s="304"/>
      <c r="L31" s="307"/>
      <c r="M31" s="301"/>
      <c r="N31" s="301"/>
      <c r="O31" s="301"/>
      <c r="P31" s="302"/>
      <c r="Q31" s="2086"/>
      <c r="R31" s="300"/>
      <c r="S31" s="306">
        <f t="shared" si="3"/>
        <v>0</v>
      </c>
      <c r="T31" s="306">
        <f t="shared" si="12"/>
        <v>0</v>
      </c>
      <c r="U31" s="306">
        <f t="shared" si="4"/>
        <v>0</v>
      </c>
      <c r="V31" s="306">
        <f t="shared" ca="1" si="5"/>
        <v>0</v>
      </c>
      <c r="W31" s="306">
        <f t="shared" ca="1" si="6"/>
        <v>0</v>
      </c>
      <c r="X31" s="306">
        <f t="shared" ca="1" si="13"/>
        <v>9</v>
      </c>
      <c r="Y31" s="306">
        <f t="shared" ca="1" si="14"/>
        <v>9</v>
      </c>
      <c r="Z31" s="306">
        <f t="shared" ca="1" si="7"/>
        <v>0</v>
      </c>
      <c r="AA31" s="306">
        <f t="shared" ca="1" si="8"/>
        <v>0</v>
      </c>
      <c r="AB31" s="306">
        <f t="shared" ca="1" si="9"/>
        <v>0</v>
      </c>
      <c r="AC31" s="306">
        <f t="shared" ca="1" si="15"/>
        <v>0</v>
      </c>
      <c r="AD31" s="306">
        <f t="shared" ca="1" si="16"/>
        <v>0</v>
      </c>
      <c r="AE31" s="306">
        <f t="shared" ca="1" si="17"/>
        <v>0</v>
      </c>
      <c r="AF31" s="306">
        <f t="shared" ca="1" si="18"/>
        <v>0</v>
      </c>
      <c r="AG31" s="306">
        <f t="shared" ca="1" si="19"/>
        <v>0</v>
      </c>
      <c r="AH31" s="306">
        <f t="shared" ca="1" si="10"/>
        <v>0</v>
      </c>
      <c r="AI31" s="306">
        <f t="shared" ca="1" si="11"/>
        <v>0</v>
      </c>
      <c r="AJ31" s="306">
        <f>SUMIF('2.CropManagement'!X$152:X$153,'1.GeneralInfo'!F$12,'2.CropManagement'!Y$152:Y$153)</f>
        <v>1</v>
      </c>
      <c r="AK31" s="2088"/>
      <c r="AL31" s="303"/>
      <c r="AM31" s="302"/>
      <c r="AN31" s="302"/>
      <c r="AO31" s="302"/>
      <c r="AP31" s="302"/>
      <c r="AQ31" s="302"/>
      <c r="AR31" s="303"/>
      <c r="AS31" s="303"/>
      <c r="AT31" s="303"/>
      <c r="AU31" s="303"/>
      <c r="AV31" s="303"/>
      <c r="AW31" s="303"/>
      <c r="AX31" s="303"/>
      <c r="AY31" s="303"/>
      <c r="AZ31" s="303"/>
      <c r="BA31" s="303"/>
      <c r="BB31" s="303"/>
      <c r="BC31" s="303"/>
      <c r="BD31" s="303"/>
      <c r="BE31" s="303"/>
      <c r="BF31" s="303"/>
      <c r="BG31" s="303"/>
      <c r="BH31" s="303"/>
      <c r="BI31" s="303"/>
      <c r="BJ31" s="303"/>
      <c r="BK31" s="303"/>
      <c r="BL31" s="303"/>
      <c r="BM31" s="303"/>
      <c r="BN31" s="303"/>
    </row>
    <row r="32" spans="1:70" ht="27.8" customHeight="1" x14ac:dyDescent="0.25">
      <c r="A32" s="300"/>
      <c r="B32" s="900"/>
      <c r="C32" s="304"/>
      <c r="D32" s="304"/>
      <c r="E32" s="304"/>
      <c r="F32" s="304"/>
      <c r="G32" s="304"/>
      <c r="H32" s="304"/>
      <c r="I32" s="304"/>
      <c r="J32" s="304"/>
      <c r="K32" s="304"/>
      <c r="L32" s="307"/>
      <c r="M32" s="301"/>
      <c r="N32" s="301"/>
      <c r="O32" s="301"/>
      <c r="P32" s="302"/>
      <c r="Q32" s="2086"/>
      <c r="R32" s="300"/>
      <c r="S32" s="306">
        <f t="shared" si="3"/>
        <v>0</v>
      </c>
      <c r="T32" s="306">
        <f t="shared" si="12"/>
        <v>0</v>
      </c>
      <c r="U32" s="306">
        <f t="shared" si="4"/>
        <v>0</v>
      </c>
      <c r="V32" s="306">
        <f t="shared" ca="1" si="5"/>
        <v>0</v>
      </c>
      <c r="W32" s="306">
        <f t="shared" ca="1" si="6"/>
        <v>0</v>
      </c>
      <c r="X32" s="306">
        <f t="shared" ca="1" si="13"/>
        <v>10</v>
      </c>
      <c r="Y32" s="306">
        <f t="shared" ca="1" si="14"/>
        <v>10</v>
      </c>
      <c r="Z32" s="306">
        <f t="shared" ca="1" si="7"/>
        <v>0</v>
      </c>
      <c r="AA32" s="306">
        <f t="shared" ca="1" si="8"/>
        <v>0</v>
      </c>
      <c r="AB32" s="306">
        <f t="shared" ca="1" si="9"/>
        <v>0</v>
      </c>
      <c r="AC32" s="306">
        <f t="shared" ca="1" si="15"/>
        <v>0</v>
      </c>
      <c r="AD32" s="306">
        <f t="shared" ca="1" si="16"/>
        <v>0</v>
      </c>
      <c r="AE32" s="306">
        <f t="shared" ca="1" si="17"/>
        <v>0</v>
      </c>
      <c r="AF32" s="306">
        <f t="shared" ca="1" si="18"/>
        <v>0</v>
      </c>
      <c r="AG32" s="306">
        <f t="shared" ca="1" si="19"/>
        <v>0</v>
      </c>
      <c r="AH32" s="306">
        <f t="shared" ca="1" si="10"/>
        <v>0</v>
      </c>
      <c r="AI32" s="306">
        <f t="shared" ca="1" si="11"/>
        <v>0</v>
      </c>
      <c r="AJ32" s="306">
        <f>SUMIF('2.CropManagement'!X$152:X$153,'1.GeneralInfo'!F$12,'2.CropManagement'!Y$152:Y$153)</f>
        <v>1</v>
      </c>
      <c r="AK32" s="2088"/>
      <c r="AL32" s="303"/>
      <c r="AM32" s="302"/>
      <c r="AN32" s="302"/>
      <c r="AO32" s="302"/>
      <c r="AP32" s="302"/>
      <c r="AQ32" s="302"/>
      <c r="AR32" s="303"/>
      <c r="AS32" s="303"/>
      <c r="AT32" s="303"/>
      <c r="AU32" s="303"/>
      <c r="AV32" s="303"/>
      <c r="AW32" s="303"/>
      <c r="AX32" s="303"/>
      <c r="AY32" s="303"/>
      <c r="AZ32" s="303"/>
      <c r="BA32" s="303"/>
      <c r="BB32" s="302"/>
      <c r="BC32" s="302"/>
      <c r="BD32" s="302"/>
      <c r="BE32" s="303"/>
      <c r="BF32" s="303"/>
      <c r="BG32" s="303"/>
      <c r="BH32" s="303"/>
      <c r="BI32" s="303"/>
      <c r="BJ32" s="303"/>
      <c r="BK32" s="303"/>
      <c r="BL32" s="303"/>
      <c r="BM32" s="303"/>
      <c r="BN32" s="303"/>
    </row>
    <row r="33" spans="1:66" ht="13.25" thickBot="1" x14ac:dyDescent="0.3">
      <c r="A33" s="300"/>
      <c r="B33" s="1138"/>
      <c r="C33" s="309"/>
      <c r="D33" s="309"/>
      <c r="E33" s="309"/>
      <c r="F33" s="309"/>
      <c r="G33" s="309"/>
      <c r="H33" s="309"/>
      <c r="I33" s="309"/>
      <c r="J33" s="309"/>
      <c r="K33" s="309"/>
      <c r="L33" s="310"/>
      <c r="M33" s="301"/>
      <c r="N33" s="301"/>
      <c r="O33" s="301"/>
      <c r="P33" s="302"/>
      <c r="Q33" s="2086"/>
      <c r="R33" s="300"/>
      <c r="S33" s="306"/>
      <c r="T33" s="306"/>
      <c r="U33" s="306"/>
      <c r="V33" s="306"/>
      <c r="W33" s="306"/>
      <c r="X33" s="306"/>
      <c r="Y33" s="306"/>
      <c r="Z33" s="306">
        <f ca="1">SUM(Z23:Z32)*'1.GeneralInfo'!$S$12</f>
        <v>0</v>
      </c>
      <c r="AA33" s="2224">
        <f ca="1">SUM(AA23:AA32)*'1.GeneralInfo'!$S$12</f>
        <v>0</v>
      </c>
      <c r="AB33" s="306"/>
      <c r="AC33" s="306"/>
      <c r="AD33" s="306">
        <f ca="1">SUM(AD23:AD32)*'1.GeneralInfo'!$S$12</f>
        <v>0</v>
      </c>
      <c r="AE33" s="2224">
        <f ca="1">SUM(AE23:AE32)*'1.GeneralInfo'!$S$12</f>
        <v>0</v>
      </c>
      <c r="AF33" s="306">
        <f ca="1">SUM(AF23:AF32)*'1.GeneralInfo'!$S$12</f>
        <v>0</v>
      </c>
      <c r="AG33" s="2224">
        <f ca="1">SUM(AG23:AG32)*'1.GeneralInfo'!$S$12</f>
        <v>0</v>
      </c>
      <c r="AH33" s="306">
        <f ca="1">SUM(AH23:AH32)*'1.GeneralInfo'!$S$12</f>
        <v>0</v>
      </c>
      <c r="AI33" s="2224">
        <f ca="1">SUM(AI23:AI32)*'1.GeneralInfo'!$S$12</f>
        <v>0</v>
      </c>
      <c r="AJ33" s="306">
        <f>SUMIF('2.CropManagement'!X$152:X$153,'1.GeneralInfo'!F$12,'2.CropManagement'!Y$152:Y$153)</f>
        <v>1</v>
      </c>
      <c r="AK33" s="2088"/>
      <c r="AL33" s="303"/>
      <c r="AM33" s="302"/>
      <c r="AN33" s="302"/>
      <c r="AO33" s="302"/>
      <c r="AP33" s="302"/>
      <c r="AQ33" s="302"/>
      <c r="AR33" s="303"/>
      <c r="AS33" s="303"/>
      <c r="AT33" s="303"/>
      <c r="AU33" s="303"/>
      <c r="AV33" s="303"/>
      <c r="AW33" s="303"/>
      <c r="AX33" s="303"/>
      <c r="AY33" s="303"/>
      <c r="AZ33" s="303"/>
      <c r="BA33" s="303"/>
      <c r="BB33" s="303"/>
      <c r="BC33" s="303"/>
      <c r="BD33" s="303"/>
      <c r="BE33" s="303"/>
      <c r="BF33" s="303"/>
      <c r="BG33" s="303"/>
      <c r="BH33" s="303"/>
      <c r="BI33" s="303"/>
      <c r="BJ33" s="303"/>
      <c r="BK33" s="303"/>
      <c r="BL33" s="303"/>
      <c r="BM33" s="303"/>
      <c r="BN33" s="303"/>
    </row>
    <row r="34" spans="1:66" ht="6.05" customHeight="1" thickBot="1" x14ac:dyDescent="0.3">
      <c r="A34" s="300"/>
      <c r="B34" s="301"/>
      <c r="C34" s="301"/>
      <c r="D34" s="301"/>
      <c r="E34" s="301"/>
      <c r="F34" s="301"/>
      <c r="G34" s="301"/>
      <c r="H34" s="301"/>
      <c r="I34" s="301"/>
      <c r="J34" s="301"/>
      <c r="K34" s="301"/>
      <c r="L34" s="301"/>
      <c r="M34" s="301"/>
      <c r="N34" s="301"/>
      <c r="O34" s="301"/>
      <c r="P34" s="302"/>
      <c r="Q34" s="2089"/>
      <c r="R34" s="2090"/>
      <c r="S34" s="2090"/>
      <c r="T34" s="2090"/>
      <c r="U34" s="2090"/>
      <c r="V34" s="2090"/>
      <c r="W34" s="2090"/>
      <c r="X34" s="2090"/>
      <c r="Y34" s="2090"/>
      <c r="Z34" s="2090"/>
      <c r="AA34" s="2090"/>
      <c r="AB34" s="2090"/>
      <c r="AC34" s="2090"/>
      <c r="AD34" s="2090"/>
      <c r="AE34" s="2090"/>
      <c r="AF34" s="2090"/>
      <c r="AG34" s="2090"/>
      <c r="AH34" s="2090"/>
      <c r="AI34" s="2090"/>
      <c r="AJ34" s="2090"/>
      <c r="AK34" s="2092"/>
      <c r="AL34" s="302"/>
      <c r="AM34" s="302"/>
      <c r="AN34" s="302"/>
      <c r="AO34" s="302"/>
      <c r="AP34" s="302"/>
      <c r="AQ34" s="302"/>
      <c r="AR34" s="302"/>
      <c r="AS34" s="302"/>
      <c r="AT34" s="302"/>
      <c r="AU34" s="302"/>
      <c r="AV34" s="303"/>
      <c r="AW34" s="303"/>
      <c r="AX34" s="303"/>
      <c r="AY34" s="303"/>
      <c r="AZ34" s="303"/>
      <c r="BA34" s="303"/>
      <c r="BB34" s="303"/>
      <c r="BC34" s="303"/>
      <c r="BD34" s="303"/>
      <c r="BE34" s="303"/>
      <c r="BF34" s="303"/>
      <c r="BG34" s="303"/>
      <c r="BH34" s="303"/>
      <c r="BI34" s="303"/>
      <c r="BJ34" s="303"/>
      <c r="BK34" s="303"/>
      <c r="BL34" s="303"/>
      <c r="BM34" s="303"/>
      <c r="BN34" s="303"/>
    </row>
    <row r="35" spans="1:66" ht="6.05" customHeight="1" x14ac:dyDescent="0.25">
      <c r="A35" s="300"/>
      <c r="B35" s="301"/>
      <c r="C35" s="301"/>
      <c r="D35" s="301"/>
      <c r="E35" s="301"/>
      <c r="F35" s="301"/>
      <c r="G35" s="301"/>
      <c r="H35" s="301"/>
      <c r="I35" s="301"/>
      <c r="J35" s="301"/>
      <c r="K35" s="301"/>
      <c r="L35" s="301"/>
      <c r="M35" s="312"/>
      <c r="N35" s="312"/>
      <c r="O35" s="312"/>
      <c r="P35" s="313"/>
      <c r="Q35" s="313"/>
      <c r="R35" s="313"/>
      <c r="S35" s="302"/>
      <c r="T35" s="302"/>
      <c r="U35" s="302"/>
      <c r="V35" s="302"/>
      <c r="W35" s="302"/>
      <c r="X35" s="302"/>
      <c r="Y35" s="302"/>
      <c r="Z35" s="302"/>
      <c r="AA35" s="302"/>
      <c r="AB35" s="302"/>
      <c r="AC35" s="302"/>
      <c r="AD35" s="302"/>
      <c r="AE35" s="302"/>
      <c r="AF35" s="302"/>
      <c r="AG35" s="302"/>
      <c r="AH35" s="302"/>
      <c r="AI35" s="302"/>
      <c r="AJ35" s="302"/>
      <c r="AK35" s="302"/>
      <c r="AL35" s="302"/>
      <c r="AM35" s="302"/>
      <c r="AN35" s="302"/>
      <c r="AO35" s="302"/>
      <c r="AP35" s="302"/>
      <c r="AQ35" s="302"/>
      <c r="AR35" s="302"/>
      <c r="AS35" s="302"/>
      <c r="AT35" s="302"/>
      <c r="AU35" s="302"/>
      <c r="AV35" s="303"/>
      <c r="AW35" s="303"/>
      <c r="AX35" s="303"/>
      <c r="AY35" s="303"/>
      <c r="AZ35" s="303"/>
      <c r="BA35" s="303"/>
      <c r="BB35" s="303"/>
      <c r="BC35" s="303"/>
      <c r="BD35" s="303"/>
      <c r="BE35" s="303"/>
      <c r="BF35" s="303"/>
      <c r="BG35" s="303"/>
      <c r="BH35" s="303"/>
      <c r="BI35" s="303"/>
      <c r="BJ35" s="303"/>
      <c r="BK35" s="303"/>
      <c r="BL35" s="303"/>
      <c r="BM35" s="303"/>
      <c r="BN35" s="303"/>
    </row>
    <row r="36" spans="1:66" ht="6.05" customHeight="1" thickBot="1" x14ac:dyDescent="0.3">
      <c r="A36" s="300"/>
      <c r="B36" s="301"/>
      <c r="C36" s="301"/>
      <c r="D36" s="301"/>
      <c r="E36" s="301"/>
      <c r="F36" s="301"/>
      <c r="G36" s="301"/>
      <c r="H36" s="301"/>
      <c r="I36" s="301"/>
      <c r="J36" s="301"/>
      <c r="K36" s="301"/>
      <c r="L36" s="301"/>
      <c r="M36" s="312"/>
      <c r="N36" s="312"/>
      <c r="O36" s="312"/>
      <c r="P36" s="313"/>
      <c r="Q36" s="313"/>
      <c r="R36" s="313"/>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3"/>
      <c r="BC36" s="303"/>
      <c r="BD36" s="303"/>
      <c r="BE36" s="303"/>
      <c r="BF36" s="303"/>
      <c r="BG36" s="314"/>
      <c r="BH36" s="314"/>
      <c r="BI36" s="314"/>
      <c r="BJ36" s="314"/>
      <c r="BK36" s="314"/>
      <c r="BL36" s="314"/>
      <c r="BM36" s="314"/>
      <c r="BN36" s="314"/>
    </row>
    <row r="37" spans="1:66" ht="65.25" customHeight="1" thickBot="1" x14ac:dyDescent="0.3">
      <c r="A37" s="300"/>
      <c r="B37" s="2349" t="s">
        <v>105</v>
      </c>
      <c r="C37" s="2359"/>
      <c r="D37" s="2350"/>
      <c r="E37" s="1200" t="str">
        <f>'2.CropManagement'!$G$35</f>
        <v>kg CO2 eq</v>
      </c>
      <c r="F37" s="301"/>
      <c r="G37" s="2349" t="s">
        <v>1599</v>
      </c>
      <c r="H37" s="2350"/>
      <c r="I37" s="1200" t="str">
        <f>E37</f>
        <v>kg CO2 eq</v>
      </c>
      <c r="J37" s="2317" t="s">
        <v>1618</v>
      </c>
      <c r="K37" s="2318"/>
      <c r="L37" s="2318"/>
      <c r="M37" s="2318"/>
      <c r="N37" s="312"/>
      <c r="O37" s="312"/>
      <c r="P37" s="313"/>
      <c r="Q37" s="304"/>
      <c r="R37" s="304"/>
      <c r="S37" s="304"/>
      <c r="T37" s="302"/>
      <c r="U37" s="302"/>
      <c r="V37" s="302"/>
      <c r="W37" s="302"/>
      <c r="X37" s="302"/>
      <c r="Y37" s="302"/>
      <c r="Z37" s="302"/>
      <c r="AA37" s="302"/>
      <c r="AB37" s="302"/>
      <c r="AC37" s="302"/>
      <c r="AD37" s="302"/>
      <c r="AE37" s="302"/>
      <c r="AF37" s="302"/>
      <c r="AG37" s="302"/>
      <c r="AH37" s="302"/>
      <c r="AI37" s="302"/>
      <c r="AJ37" s="302"/>
      <c r="AK37" s="302"/>
      <c r="AL37" s="302"/>
      <c r="AM37" s="302"/>
      <c r="AN37" s="302"/>
      <c r="AO37" s="302"/>
      <c r="AP37" s="302"/>
      <c r="AQ37" s="302"/>
      <c r="AR37" s="302"/>
      <c r="AS37" s="302"/>
      <c r="AT37" s="303"/>
      <c r="AU37" s="303"/>
      <c r="AV37" s="303"/>
      <c r="AW37" s="303"/>
      <c r="AX37" s="303"/>
      <c r="AY37" s="303"/>
      <c r="AZ37" s="303"/>
      <c r="BA37" s="314"/>
      <c r="BB37" s="314"/>
      <c r="BC37" s="314"/>
      <c r="BD37" s="314"/>
      <c r="BE37" s="314"/>
      <c r="BF37" s="303"/>
      <c r="BG37" s="303"/>
      <c r="BH37" s="303"/>
      <c r="BI37" s="303"/>
      <c r="BJ37" s="303"/>
      <c r="BK37" s="303"/>
      <c r="BL37" s="303"/>
      <c r="BM37" s="303"/>
      <c r="BN37" s="303"/>
    </row>
    <row r="38" spans="1:66" ht="29.95" customHeight="1" thickBot="1" x14ac:dyDescent="0.3">
      <c r="A38" s="300"/>
      <c r="B38" s="2336" t="s">
        <v>1409</v>
      </c>
      <c r="C38" s="2337"/>
      <c r="D38" s="2338"/>
      <c r="E38" s="1478">
        <f ca="1">SUMIF(AK$107:AK$110,E$37,AL$107:AL$110)*T40</f>
        <v>0</v>
      </c>
      <c r="F38" s="301"/>
      <c r="G38" s="2351" t="s">
        <v>1409</v>
      </c>
      <c r="H38" s="2352"/>
      <c r="I38" s="1478">
        <f ca="1">SUMIF(AK$107:AK$110,E$37,AL$107:AL$110)*U40</f>
        <v>0</v>
      </c>
      <c r="J38" s="315"/>
      <c r="K38" s="315"/>
      <c r="L38" s="312"/>
      <c r="M38" s="312"/>
      <c r="N38" s="312"/>
      <c r="O38" s="312"/>
      <c r="P38" s="313"/>
      <c r="Q38" s="304"/>
      <c r="R38" s="304"/>
      <c r="S38" s="304"/>
      <c r="T38" s="302"/>
      <c r="U38" s="302"/>
      <c r="V38" s="304"/>
      <c r="W38" s="304"/>
      <c r="X38" s="304"/>
      <c r="Y38" s="304"/>
      <c r="Z38" s="304"/>
      <c r="AA38" s="304"/>
      <c r="AB38" s="304"/>
      <c r="AC38" s="304"/>
      <c r="AD38" s="304"/>
      <c r="AE38" s="304"/>
      <c r="AF38" s="304"/>
      <c r="AG38" s="302"/>
      <c r="AH38" s="302"/>
      <c r="AI38" s="302"/>
      <c r="AJ38" s="302"/>
      <c r="AK38" s="302"/>
      <c r="AL38" s="302"/>
      <c r="AM38" s="302"/>
      <c r="AN38" s="302"/>
      <c r="AO38" s="302"/>
      <c r="AP38" s="302"/>
      <c r="AQ38" s="302"/>
      <c r="AR38" s="302"/>
      <c r="AS38" s="302"/>
      <c r="AT38" s="303"/>
      <c r="AU38" s="303"/>
      <c r="AV38" s="303"/>
      <c r="AW38" s="303"/>
      <c r="AX38" s="303"/>
      <c r="AY38" s="303"/>
      <c r="AZ38" s="303"/>
      <c r="BA38" s="303"/>
      <c r="BB38" s="303"/>
      <c r="BC38" s="303"/>
      <c r="BD38" s="303"/>
      <c r="BE38" s="303"/>
      <c r="BF38" s="303"/>
      <c r="BG38" s="303"/>
      <c r="BH38" s="303"/>
      <c r="BI38" s="303"/>
      <c r="BJ38" s="303"/>
      <c r="BK38" s="303"/>
      <c r="BL38" s="303"/>
      <c r="BM38" s="303"/>
      <c r="BN38" s="303"/>
    </row>
    <row r="39" spans="1:66" ht="27.8" customHeight="1" thickBot="1" x14ac:dyDescent="0.3">
      <c r="A39" s="300"/>
      <c r="B39" s="2330" t="s">
        <v>1410</v>
      </c>
      <c r="C39" s="2331"/>
      <c r="D39" s="2332"/>
      <c r="E39" s="1479">
        <f ca="1">SUMIF(AK$107:AK$110,E$37,AL$107:AL$110)*T41</f>
        <v>0</v>
      </c>
      <c r="F39" s="301"/>
      <c r="G39" s="2353" t="s">
        <v>1410</v>
      </c>
      <c r="H39" s="2354"/>
      <c r="I39" s="1479">
        <f ca="1">SUMIF(AK$107:AK$110,E$37,AL$107:AL$110)*U41</f>
        <v>0</v>
      </c>
      <c r="J39" s="315"/>
      <c r="K39" s="315"/>
      <c r="L39" s="312"/>
      <c r="M39" s="312"/>
      <c r="N39" s="312"/>
      <c r="O39" s="312"/>
      <c r="P39" s="313"/>
      <c r="Q39" s="304"/>
      <c r="R39" s="1544"/>
      <c r="S39" s="1544"/>
      <c r="T39" s="2066" t="s">
        <v>1408</v>
      </c>
      <c r="U39" s="48" t="s">
        <v>1408</v>
      </c>
      <c r="V39" s="304"/>
      <c r="W39" s="304"/>
      <c r="X39" s="304"/>
      <c r="Y39" s="304"/>
      <c r="Z39" s="304"/>
      <c r="AA39" s="304"/>
      <c r="AB39" s="304"/>
      <c r="AC39" s="304"/>
      <c r="AD39" s="304"/>
      <c r="AE39" s="304"/>
      <c r="AF39" s="304"/>
      <c r="AG39" s="302"/>
      <c r="AH39" s="302"/>
      <c r="AI39" s="302"/>
      <c r="AJ39" s="302"/>
      <c r="AK39" s="302"/>
      <c r="AL39" s="302"/>
      <c r="AM39" s="302"/>
      <c r="AN39" s="302"/>
      <c r="AO39" s="302"/>
      <c r="AP39" s="302"/>
      <c r="AQ39" s="302"/>
      <c r="AR39" s="302"/>
      <c r="AS39" s="302"/>
      <c r="AT39" s="303"/>
      <c r="AU39" s="303"/>
      <c r="AV39" s="303"/>
      <c r="AW39" s="303"/>
      <c r="AX39" s="303"/>
      <c r="AY39" s="303"/>
      <c r="AZ39" s="303"/>
      <c r="BA39" s="303"/>
      <c r="BB39" s="303"/>
      <c r="BC39" s="303"/>
      <c r="BD39" s="303"/>
      <c r="BE39" s="303"/>
      <c r="BF39" s="303"/>
      <c r="BG39" s="303"/>
      <c r="BH39" s="303"/>
      <c r="BI39" s="303"/>
      <c r="BJ39" s="303"/>
      <c r="BK39" s="303"/>
      <c r="BL39" s="303"/>
      <c r="BM39" s="303"/>
      <c r="BN39" s="303"/>
    </row>
    <row r="40" spans="1:66" ht="15" customHeight="1" x14ac:dyDescent="0.25">
      <c r="A40" s="300"/>
      <c r="B40" s="2333" t="s">
        <v>34</v>
      </c>
      <c r="C40" s="2334"/>
      <c r="D40" s="2335"/>
      <c r="E40" s="1479">
        <f ca="1">SUMIF(AK$107:AK$110,E$37,AL$107:AL$110)*T42</f>
        <v>-9266.3999999998941</v>
      </c>
      <c r="F40" s="301"/>
      <c r="G40" s="2355" t="s">
        <v>1600</v>
      </c>
      <c r="H40" s="2356"/>
      <c r="I40" s="1479">
        <f ca="1">SUMIF(AK$107:AK$110,E$37,AL$107:AL$110)*U42</f>
        <v>-9266.3999999998941</v>
      </c>
      <c r="J40" s="315"/>
      <c r="K40" s="315"/>
      <c r="L40" s="312"/>
      <c r="M40" s="312"/>
      <c r="N40" s="312"/>
      <c r="O40" s="312"/>
      <c r="P40" s="313"/>
      <c r="Q40" s="304"/>
      <c r="R40" s="1544"/>
      <c r="S40" s="1544"/>
      <c r="T40" s="318">
        <f ca="1">-AE33-BF9</f>
        <v>0</v>
      </c>
      <c r="U40" s="317">
        <f ca="1">-AA33+BD7-BD9</f>
        <v>0</v>
      </c>
      <c r="V40" s="304"/>
      <c r="W40" s="304"/>
      <c r="X40" s="304"/>
      <c r="Y40" s="304"/>
      <c r="Z40" s="304"/>
      <c r="AA40" s="304"/>
      <c r="AB40" s="304"/>
      <c r="AC40" s="304"/>
      <c r="AD40" s="304"/>
      <c r="AE40" s="304"/>
      <c r="AF40" s="304"/>
      <c r="AG40" s="302"/>
      <c r="AH40" s="302"/>
      <c r="AI40" s="302"/>
      <c r="AJ40" s="302"/>
      <c r="AK40" s="302"/>
      <c r="AL40" s="302"/>
      <c r="AM40" s="302"/>
      <c r="AN40" s="302"/>
      <c r="AO40" s="302"/>
      <c r="AP40" s="302"/>
      <c r="AQ40" s="302"/>
      <c r="AR40" s="302"/>
      <c r="AS40" s="302"/>
      <c r="AT40" s="303"/>
      <c r="AU40" s="303"/>
      <c r="AV40" s="303"/>
      <c r="AW40" s="303"/>
      <c r="AX40" s="303"/>
      <c r="AY40" s="303"/>
      <c r="AZ40" s="303"/>
      <c r="BA40" s="303"/>
      <c r="BB40" s="303"/>
      <c r="BC40" s="303"/>
      <c r="BD40" s="303"/>
      <c r="BE40" s="303"/>
      <c r="BF40" s="303"/>
      <c r="BG40" s="303"/>
      <c r="BH40" s="303"/>
      <c r="BI40" s="303"/>
      <c r="BJ40" s="303"/>
      <c r="BK40" s="303"/>
      <c r="BL40" s="303"/>
      <c r="BM40" s="303"/>
      <c r="BN40" s="303"/>
    </row>
    <row r="41" spans="1:66" ht="34.6" customHeight="1" thickBot="1" x14ac:dyDescent="0.3">
      <c r="A41" s="300"/>
      <c r="B41" s="2322"/>
      <c r="C41" s="2323"/>
      <c r="D41" s="2324"/>
      <c r="E41" s="1480"/>
      <c r="F41" s="301"/>
      <c r="G41" s="2357"/>
      <c r="H41" s="2358"/>
      <c r="I41" s="1480"/>
      <c r="J41" s="315"/>
      <c r="K41" s="315"/>
      <c r="L41" s="312"/>
      <c r="M41" s="312"/>
      <c r="N41" s="312"/>
      <c r="O41" s="312"/>
      <c r="P41" s="313"/>
      <c r="Q41" s="304"/>
      <c r="R41" s="1544"/>
      <c r="S41" s="1544"/>
      <c r="T41" s="318">
        <f ca="1">-AG33-BG9</f>
        <v>0</v>
      </c>
      <c r="U41" s="318">
        <f ca="1">-AI33+BE7-BE9</f>
        <v>0</v>
      </c>
      <c r="V41" s="304"/>
      <c r="W41" s="304"/>
      <c r="X41" s="304"/>
      <c r="Y41" s="304"/>
      <c r="Z41" s="304"/>
      <c r="AA41" s="304"/>
      <c r="AB41" s="304"/>
      <c r="AC41" s="304"/>
      <c r="AD41" s="304"/>
      <c r="AE41" s="304"/>
      <c r="AF41" s="304"/>
      <c r="AG41" s="314"/>
      <c r="AH41" s="314"/>
      <c r="AI41" s="314"/>
      <c r="AJ41" s="314"/>
      <c r="AK41" s="314"/>
      <c r="AL41" s="314"/>
      <c r="AM41" s="314"/>
      <c r="AN41" s="314"/>
      <c r="AO41" s="314"/>
      <c r="AP41" s="314"/>
      <c r="AQ41" s="314"/>
      <c r="AR41" s="314"/>
      <c r="AS41" s="314"/>
      <c r="AT41" s="314"/>
      <c r="AU41" s="314"/>
      <c r="AV41" s="314"/>
      <c r="AW41" s="314"/>
      <c r="AX41" s="314"/>
      <c r="AY41" s="314"/>
      <c r="AZ41" s="314"/>
      <c r="BA41" s="314"/>
      <c r="BB41" s="314"/>
      <c r="BC41" s="314"/>
      <c r="BD41" s="314"/>
      <c r="BE41" s="303"/>
      <c r="BF41" s="303"/>
      <c r="BG41" s="303"/>
      <c r="BH41" s="303"/>
      <c r="BI41" s="303"/>
      <c r="BJ41" s="303"/>
      <c r="BK41" s="303"/>
      <c r="BL41" s="303"/>
      <c r="BM41" s="303"/>
      <c r="BN41" s="303"/>
    </row>
    <row r="42" spans="1:66" ht="55.45" customHeight="1" thickBot="1" x14ac:dyDescent="0.3">
      <c r="A42" s="300"/>
      <c r="B42" s="2346" t="s">
        <v>312</v>
      </c>
      <c r="C42" s="2347"/>
      <c r="D42" s="2348"/>
      <c r="E42" s="1481">
        <f ca="1">SUMIF(AK$107:AK$110,E$37,AL$107:AL$110)*T44</f>
        <v>-9266.3999999998941</v>
      </c>
      <c r="F42" s="301"/>
      <c r="G42" s="1049" t="s">
        <v>312</v>
      </c>
      <c r="H42" s="1104"/>
      <c r="I42" s="1481">
        <f ca="1">SUMIF(AK$107:AK$110,E$37,AL$107:AL$110)*U44</f>
        <v>-9266.3999999998941</v>
      </c>
      <c r="J42" s="315"/>
      <c r="K42" s="315"/>
      <c r="L42" s="312"/>
      <c r="M42" s="312"/>
      <c r="N42" s="312"/>
      <c r="O42" s="301"/>
      <c r="P42" s="304"/>
      <c r="Q42" s="304"/>
      <c r="R42" s="1544"/>
      <c r="S42" s="1544"/>
      <c r="T42" s="318">
        <f ca="1">IF(ISERROR(AE20),0,AE20)</f>
        <v>-9266.3999999998941</v>
      </c>
      <c r="U42" s="318">
        <f ca="1">IF(ISERROR(AF20),0,AF20)</f>
        <v>-9266.3999999998941</v>
      </c>
      <c r="V42" s="304"/>
      <c r="W42" s="304"/>
      <c r="X42" s="304"/>
      <c r="Y42" s="304"/>
      <c r="Z42" s="304"/>
      <c r="AA42" s="304"/>
      <c r="AB42" s="304"/>
      <c r="AC42" s="304"/>
      <c r="AD42" s="304"/>
      <c r="AE42" s="304"/>
      <c r="AF42" s="304"/>
      <c r="AG42" s="302"/>
      <c r="AH42" s="302"/>
      <c r="AI42" s="302"/>
      <c r="AJ42" s="302"/>
      <c r="AK42" s="302"/>
      <c r="AL42" s="302"/>
      <c r="AM42" s="302"/>
      <c r="AN42" s="302"/>
      <c r="AO42" s="303"/>
      <c r="AP42" s="303"/>
      <c r="AQ42" s="303"/>
      <c r="AR42" s="303"/>
      <c r="AS42" s="303"/>
      <c r="AT42" s="303"/>
      <c r="AU42" s="303"/>
      <c r="AV42" s="303"/>
      <c r="AW42" s="303"/>
      <c r="AX42" s="303"/>
      <c r="AY42" s="303"/>
      <c r="AZ42" s="303"/>
      <c r="BA42" s="314"/>
      <c r="BB42" s="314"/>
      <c r="BC42" s="314"/>
      <c r="BD42" s="314"/>
      <c r="BE42" s="303"/>
      <c r="BF42" s="303"/>
      <c r="BG42" s="303"/>
      <c r="BH42" s="303"/>
      <c r="BI42" s="303"/>
      <c r="BJ42" s="303"/>
      <c r="BK42" s="303"/>
      <c r="BL42" s="303"/>
      <c r="BM42" s="303"/>
      <c r="BN42" s="303"/>
    </row>
    <row r="43" spans="1:66" ht="13.25" thickBot="1" x14ac:dyDescent="0.3">
      <c r="A43" s="300"/>
      <c r="B43" s="301"/>
      <c r="C43" s="301"/>
      <c r="D43" s="301"/>
      <c r="E43" s="301"/>
      <c r="F43" s="301"/>
      <c r="G43" s="301"/>
      <c r="H43" s="301"/>
      <c r="I43" s="301"/>
      <c r="J43" s="301"/>
      <c r="K43" s="315"/>
      <c r="L43" s="315"/>
      <c r="M43" s="301"/>
      <c r="N43" s="301"/>
      <c r="O43" s="301"/>
      <c r="P43" s="304"/>
      <c r="Q43" s="304"/>
      <c r="R43" s="304"/>
      <c r="S43" s="304"/>
      <c r="T43" s="2067"/>
      <c r="U43" s="319"/>
      <c r="V43" s="311"/>
      <c r="W43" s="304"/>
      <c r="X43" s="304"/>
      <c r="Y43" s="304"/>
      <c r="Z43" s="304"/>
      <c r="AA43" s="304"/>
      <c r="AB43" s="304"/>
      <c r="AC43" s="304"/>
      <c r="AD43" s="304"/>
      <c r="AE43" s="304"/>
      <c r="AF43" s="304"/>
      <c r="AG43" s="302"/>
      <c r="AH43" s="302"/>
      <c r="AI43" s="302"/>
      <c r="AJ43" s="302"/>
      <c r="AK43" s="302"/>
      <c r="AL43" s="302"/>
      <c r="AM43" s="302"/>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row>
    <row r="44" spans="1:66" ht="17.3" customHeight="1" thickBot="1" x14ac:dyDescent="0.3">
      <c r="A44" s="300"/>
      <c r="B44" s="301"/>
      <c r="C44" s="301"/>
      <c r="D44" s="301"/>
      <c r="E44" s="301"/>
      <c r="F44" s="301"/>
      <c r="G44" s="301"/>
      <c r="H44" s="301"/>
      <c r="I44" s="301"/>
      <c r="J44" s="301"/>
      <c r="K44" s="301"/>
      <c r="L44" s="301"/>
      <c r="M44" s="301"/>
      <c r="N44" s="301"/>
      <c r="O44" s="301"/>
      <c r="P44" s="304"/>
      <c r="Q44" s="304"/>
      <c r="R44" s="304"/>
      <c r="S44" s="304"/>
      <c r="T44" s="145">
        <f ca="1">SUM(T40:T42)</f>
        <v>-9266.3999999998941</v>
      </c>
      <c r="U44" s="145">
        <f ca="1">SUM(U40:U42)</f>
        <v>-9266.3999999998941</v>
      </c>
      <c r="V44" s="1544"/>
      <c r="W44" s="304"/>
      <c r="X44" s="304"/>
      <c r="Y44" s="304"/>
      <c r="Z44" s="304"/>
      <c r="AA44" s="304"/>
      <c r="AB44" s="304"/>
      <c r="AC44" s="304"/>
      <c r="AD44" s="304"/>
      <c r="AE44" s="304"/>
      <c r="AF44" s="304"/>
      <c r="AG44" s="302"/>
      <c r="AH44" s="302"/>
      <c r="AI44" s="302"/>
      <c r="AJ44" s="302"/>
      <c r="AK44" s="302"/>
      <c r="AL44" s="302"/>
      <c r="AM44" s="302"/>
      <c r="AN44" s="302"/>
      <c r="AO44" s="302"/>
      <c r="AP44" s="302"/>
      <c r="AQ44" s="302"/>
      <c r="AR44" s="302"/>
      <c r="AS44" s="302"/>
      <c r="AT44" s="302"/>
      <c r="AU44" s="302"/>
      <c r="AV44" s="302"/>
      <c r="AW44" s="302"/>
      <c r="AX44" s="302"/>
      <c r="AY44" s="302"/>
      <c r="AZ44" s="302"/>
      <c r="BA44" s="302"/>
      <c r="BB44" s="303"/>
      <c r="BC44" s="303"/>
      <c r="BD44" s="303"/>
      <c r="BE44" s="303"/>
      <c r="BF44" s="303"/>
      <c r="BG44" s="303"/>
      <c r="BH44" s="303"/>
      <c r="BI44" s="303"/>
      <c r="BJ44" s="303"/>
      <c r="BK44" s="303"/>
      <c r="BL44" s="303"/>
      <c r="BM44" s="303"/>
      <c r="BN44" s="303"/>
    </row>
    <row r="45" spans="1:66" ht="27.1" customHeight="1" x14ac:dyDescent="0.25">
      <c r="A45" s="300"/>
      <c r="B45" s="301"/>
      <c r="C45" s="301"/>
      <c r="D45" s="301"/>
      <c r="E45" s="301"/>
      <c r="F45" s="301"/>
      <c r="G45" s="301"/>
      <c r="H45" s="301"/>
      <c r="I45" s="301"/>
      <c r="J45" s="301"/>
      <c r="K45" s="301"/>
      <c r="L45" s="301"/>
      <c r="M45" s="301"/>
      <c r="N45" s="301"/>
      <c r="O45" s="301"/>
      <c r="P45" s="302"/>
      <c r="Q45" s="302"/>
      <c r="R45" s="302"/>
      <c r="S45" s="302"/>
      <c r="T45" s="302"/>
      <c r="U45" s="302"/>
      <c r="V45" s="302"/>
      <c r="W45" s="302"/>
      <c r="X45" s="302"/>
      <c r="Y45" s="302"/>
      <c r="Z45" s="302"/>
      <c r="AA45" s="302"/>
      <c r="AB45" s="302"/>
      <c r="AC45" s="302"/>
      <c r="AD45" s="302"/>
      <c r="AE45" s="302"/>
      <c r="AF45" s="302"/>
      <c r="AG45" s="302"/>
      <c r="AH45" s="302"/>
      <c r="AI45" s="302"/>
      <c r="AJ45" s="302"/>
      <c r="AK45" s="302"/>
      <c r="AL45" s="302"/>
      <c r="AM45" s="302"/>
      <c r="AN45" s="314"/>
      <c r="AO45" s="314"/>
      <c r="AP45" s="314"/>
      <c r="AQ45" s="314"/>
      <c r="AR45" s="314"/>
      <c r="AS45" s="314"/>
      <c r="AT45" s="314"/>
      <c r="AU45" s="314"/>
      <c r="AV45" s="314"/>
      <c r="AW45" s="302"/>
      <c r="AX45" s="302"/>
      <c r="AY45" s="302"/>
      <c r="AZ45" s="302"/>
      <c r="BA45" s="302"/>
      <c r="BB45" s="303"/>
      <c r="BC45" s="303"/>
      <c r="BD45" s="303"/>
      <c r="BE45" s="303"/>
      <c r="BF45" s="303"/>
      <c r="BG45" s="303"/>
      <c r="BH45" s="303"/>
      <c r="BI45" s="303"/>
      <c r="BJ45" s="303"/>
      <c r="BK45" s="303"/>
      <c r="BL45" s="303"/>
      <c r="BM45" s="303"/>
      <c r="BN45" s="303"/>
    </row>
    <row r="46" spans="1:66" ht="13.25" thickBot="1" x14ac:dyDescent="0.3">
      <c r="A46" s="320"/>
      <c r="B46" s="302"/>
      <c r="C46" s="302"/>
      <c r="D46" s="302"/>
      <c r="E46" s="302"/>
      <c r="F46" s="302"/>
      <c r="G46" s="302"/>
      <c r="H46" s="302"/>
      <c r="I46" s="302"/>
      <c r="J46" s="302"/>
      <c r="K46" s="302"/>
      <c r="L46" s="302"/>
      <c r="M46" s="302"/>
      <c r="N46" s="302"/>
      <c r="O46" s="302"/>
      <c r="P46" s="302"/>
      <c r="Q46" s="302"/>
      <c r="R46" s="302"/>
      <c r="S46" s="302"/>
      <c r="T46" s="302"/>
      <c r="U46" s="302"/>
      <c r="V46" s="302"/>
      <c r="W46" s="302"/>
      <c r="X46" s="302"/>
      <c r="Y46" s="302"/>
      <c r="Z46" s="302"/>
      <c r="AA46" s="302"/>
      <c r="AB46" s="302"/>
      <c r="AC46" s="302"/>
      <c r="AD46" s="302"/>
      <c r="AE46" s="302"/>
      <c r="AF46" s="302"/>
      <c r="AG46" s="302"/>
      <c r="AH46" s="302"/>
      <c r="AI46" s="302"/>
      <c r="AJ46" s="302"/>
      <c r="AK46" s="302"/>
      <c r="AL46" s="302"/>
      <c r="AM46" s="302"/>
      <c r="AN46" s="314"/>
      <c r="AO46" s="314"/>
      <c r="AP46" s="314"/>
      <c r="AQ46" s="314"/>
      <c r="AR46" s="314"/>
      <c r="AS46" s="314"/>
      <c r="AT46" s="314"/>
      <c r="AU46" s="314"/>
      <c r="AV46" s="314"/>
      <c r="AW46" s="303"/>
      <c r="AX46" s="303"/>
      <c r="AY46" s="303"/>
      <c r="AZ46" s="303"/>
      <c r="BA46" s="303"/>
      <c r="BB46" s="303"/>
      <c r="BC46" s="303"/>
      <c r="BD46" s="303"/>
      <c r="BE46" s="303"/>
      <c r="BF46" s="303"/>
      <c r="BG46" s="303"/>
      <c r="BH46" s="303"/>
      <c r="BI46" s="303"/>
      <c r="BJ46" s="303"/>
      <c r="BK46" s="303"/>
      <c r="BL46" s="303"/>
      <c r="BM46" s="303"/>
      <c r="BN46" s="303"/>
    </row>
    <row r="47" spans="1:66" ht="13.25" thickBot="1" x14ac:dyDescent="0.3">
      <c r="Q47" s="303"/>
      <c r="R47" s="303"/>
      <c r="S47" s="303"/>
      <c r="T47" s="2083"/>
      <c r="U47" s="2084"/>
      <c r="V47" s="2084"/>
      <c r="W47" s="2084"/>
      <c r="X47" s="2084"/>
      <c r="Y47" s="2084"/>
      <c r="Z47" s="2084"/>
      <c r="AA47" s="2084"/>
      <c r="AB47" s="2085"/>
      <c r="AC47" s="303"/>
      <c r="AD47" s="2313" t="s">
        <v>1253</v>
      </c>
      <c r="AE47" s="2084"/>
      <c r="AF47" s="2084"/>
      <c r="AG47" s="2085"/>
      <c r="AH47" s="303"/>
      <c r="AI47" s="303"/>
      <c r="AJ47" s="2313" t="s">
        <v>1252</v>
      </c>
      <c r="AK47" s="2084"/>
      <c r="AL47" s="2084"/>
      <c r="AM47" s="2084"/>
      <c r="AN47" s="2084"/>
      <c r="AO47" s="2085"/>
      <c r="AP47" s="314"/>
      <c r="AQ47" s="314"/>
      <c r="AR47" s="314"/>
      <c r="AS47" s="314"/>
      <c r="AT47" s="314"/>
      <c r="AU47" s="314"/>
      <c r="AV47" s="314"/>
      <c r="AW47" s="303"/>
      <c r="AX47" s="303"/>
      <c r="AY47" s="303"/>
      <c r="AZ47" s="303"/>
      <c r="BA47" s="303"/>
      <c r="BB47" s="303"/>
      <c r="BC47" s="303"/>
      <c r="BD47" s="303"/>
      <c r="BE47" s="303"/>
      <c r="BF47" s="303"/>
      <c r="BG47" s="303"/>
      <c r="BH47" s="303"/>
      <c r="BI47" s="303"/>
      <c r="BJ47" s="303"/>
      <c r="BK47" s="303"/>
      <c r="BL47" s="303"/>
      <c r="BM47" s="303"/>
      <c r="BN47" s="303"/>
    </row>
    <row r="48" spans="1:66" ht="13.25" thickBot="1" x14ac:dyDescent="0.3">
      <c r="Q48" s="303"/>
      <c r="R48" s="303"/>
      <c r="S48" s="303"/>
      <c r="T48" s="2086"/>
      <c r="U48" s="2100" t="s">
        <v>1290</v>
      </c>
      <c r="V48" s="2101"/>
      <c r="W48" s="2101" t="s">
        <v>1291</v>
      </c>
      <c r="X48" s="2101"/>
      <c r="Y48" s="2101" t="s">
        <v>1409</v>
      </c>
      <c r="Z48" s="2101"/>
      <c r="AA48" s="2102" t="s">
        <v>1292</v>
      </c>
      <c r="AB48" s="2088"/>
      <c r="AD48" s="2314"/>
      <c r="AE48" s="306" t="s">
        <v>1550</v>
      </c>
      <c r="AF48" s="306"/>
      <c r="AG48" s="1638"/>
      <c r="AJ48" s="2314"/>
      <c r="AK48" s="306" t="s">
        <v>1694</v>
      </c>
      <c r="AL48" s="306" t="s">
        <v>1665</v>
      </c>
      <c r="AM48" s="306" t="s">
        <v>1666</v>
      </c>
      <c r="AN48" s="306" t="s">
        <v>2023</v>
      </c>
      <c r="AO48" s="2088"/>
      <c r="AP48" s="1616"/>
      <c r="AQ48" s="1616"/>
      <c r="AR48" s="291"/>
      <c r="AS48" s="291"/>
      <c r="AT48" s="291"/>
      <c r="AU48" s="314"/>
      <c r="AV48" s="314"/>
      <c r="AW48" s="303"/>
      <c r="AX48" s="303"/>
      <c r="AY48" s="303"/>
      <c r="AZ48" s="303"/>
      <c r="BA48" s="303"/>
      <c r="BB48" s="303"/>
      <c r="BC48" s="303"/>
      <c r="BD48" s="303"/>
      <c r="BE48" s="303"/>
      <c r="BF48" s="303"/>
      <c r="BG48" s="303"/>
      <c r="BH48" s="303"/>
      <c r="BI48" s="303"/>
      <c r="BJ48" s="303"/>
      <c r="BK48" s="303"/>
      <c r="BL48" s="303"/>
      <c r="BM48" s="303"/>
      <c r="BN48" s="303"/>
    </row>
    <row r="49" spans="17:66" x14ac:dyDescent="0.25">
      <c r="Q49" s="303"/>
      <c r="R49" s="303"/>
      <c r="S49" s="303"/>
      <c r="T49" s="2086"/>
      <c r="U49" s="2103" t="s">
        <v>1643</v>
      </c>
      <c r="V49" s="2093" t="s">
        <v>1644</v>
      </c>
      <c r="W49" s="2099">
        <v>10</v>
      </c>
      <c r="X49" s="2099"/>
      <c r="Y49" s="2099">
        <v>310</v>
      </c>
      <c r="Z49" s="2099"/>
      <c r="AA49" s="2104">
        <v>0.37</v>
      </c>
      <c r="AB49" s="2088"/>
      <c r="AD49" s="2314"/>
      <c r="AE49" s="306" t="s">
        <v>1643</v>
      </c>
      <c r="AF49" s="306">
        <v>1</v>
      </c>
      <c r="AG49" s="2088"/>
      <c r="AJ49" s="2314"/>
      <c r="AK49" s="306" t="s">
        <v>1138</v>
      </c>
      <c r="AL49" s="306">
        <v>0</v>
      </c>
      <c r="AM49" s="306">
        <v>0</v>
      </c>
      <c r="AN49" s="306"/>
      <c r="AO49" s="2088"/>
      <c r="AP49" s="314"/>
      <c r="AQ49" s="314"/>
      <c r="AR49" s="291"/>
      <c r="AS49" s="291"/>
      <c r="AT49" s="291"/>
      <c r="AU49" s="314"/>
      <c r="AV49" s="314"/>
      <c r="AW49" s="303"/>
      <c r="AX49" s="303"/>
      <c r="AY49" s="303"/>
      <c r="AZ49" s="303"/>
      <c r="BA49" s="303"/>
      <c r="BB49" s="303"/>
      <c r="BC49" s="303"/>
      <c r="BD49" s="303"/>
      <c r="BE49" s="303"/>
      <c r="BF49" s="303"/>
      <c r="BG49" s="303"/>
      <c r="BH49" s="303"/>
      <c r="BI49" s="303"/>
      <c r="BJ49" s="303"/>
      <c r="BK49" s="303"/>
      <c r="BL49" s="303"/>
      <c r="BM49" s="303"/>
      <c r="BN49" s="303"/>
    </row>
    <row r="50" spans="17:66" x14ac:dyDescent="0.25">
      <c r="Q50" s="303"/>
      <c r="R50" s="303"/>
      <c r="S50" s="303"/>
      <c r="T50" s="2086"/>
      <c r="U50" s="2103" t="s">
        <v>1643</v>
      </c>
      <c r="V50" s="2094" t="s">
        <v>1645</v>
      </c>
      <c r="W50" s="2099">
        <v>3.1</v>
      </c>
      <c r="X50" s="2099"/>
      <c r="Y50" s="2099">
        <v>310</v>
      </c>
      <c r="Z50" s="2099"/>
      <c r="AA50" s="2104">
        <v>0.37</v>
      </c>
      <c r="AB50" s="2088"/>
      <c r="AD50" s="2314"/>
      <c r="AE50" s="306" t="s">
        <v>1672</v>
      </c>
      <c r="AF50" s="306">
        <v>2</v>
      </c>
      <c r="AG50" s="2088"/>
      <c r="AJ50" s="2314"/>
      <c r="AK50" s="306" t="s">
        <v>2028</v>
      </c>
      <c r="AL50" s="306">
        <v>1</v>
      </c>
      <c r="AM50" s="306">
        <v>2</v>
      </c>
      <c r="AN50" s="306">
        <v>1</v>
      </c>
      <c r="AO50" s="2088"/>
      <c r="AP50" s="314"/>
      <c r="AQ50" s="314"/>
      <c r="AR50" s="291"/>
      <c r="AS50" s="291"/>
      <c r="AT50" s="291"/>
      <c r="AU50" s="314"/>
      <c r="AV50" s="314"/>
      <c r="AW50" s="303"/>
      <c r="AX50" s="303"/>
      <c r="AY50" s="303"/>
      <c r="AZ50" s="303"/>
      <c r="BA50" s="303"/>
      <c r="BB50" s="303"/>
      <c r="BC50" s="303"/>
      <c r="BD50" s="303"/>
      <c r="BE50" s="303"/>
      <c r="BF50" s="303"/>
      <c r="BG50" s="303"/>
      <c r="BH50" s="303"/>
      <c r="BI50" s="303"/>
      <c r="BJ50" s="303"/>
      <c r="BK50" s="303"/>
      <c r="BL50" s="303"/>
      <c r="BM50" s="303"/>
      <c r="BN50" s="303"/>
    </row>
    <row r="51" spans="17:66" x14ac:dyDescent="0.25">
      <c r="Q51" s="303"/>
      <c r="R51" s="303"/>
      <c r="S51" s="303"/>
      <c r="T51" s="2086"/>
      <c r="U51" s="2103" t="s">
        <v>1643</v>
      </c>
      <c r="V51" s="2094" t="s">
        <v>1647</v>
      </c>
      <c r="W51" s="2099">
        <v>9.4499999999999993</v>
      </c>
      <c r="X51" s="2099" t="s">
        <v>1648</v>
      </c>
      <c r="Y51" s="2099">
        <v>300</v>
      </c>
      <c r="Z51" s="2099"/>
      <c r="AA51" s="2104">
        <v>0.37</v>
      </c>
      <c r="AB51" s="2088"/>
      <c r="AD51" s="2314"/>
      <c r="AE51" s="306" t="s">
        <v>1646</v>
      </c>
      <c r="AF51" s="306">
        <v>3</v>
      </c>
      <c r="AG51" s="2088"/>
      <c r="AJ51" s="2314"/>
      <c r="AK51" s="306" t="s">
        <v>2029</v>
      </c>
      <c r="AL51" s="306">
        <v>1</v>
      </c>
      <c r="AM51" s="306">
        <v>3</v>
      </c>
      <c r="AN51" s="306">
        <v>1</v>
      </c>
      <c r="AO51" s="2088"/>
      <c r="AP51" s="314"/>
      <c r="AQ51" s="314"/>
      <c r="AR51" s="291"/>
      <c r="AS51" s="291"/>
      <c r="AT51" s="291"/>
      <c r="AU51" s="314"/>
      <c r="AV51" s="314"/>
      <c r="AW51" s="303"/>
      <c r="AX51" s="303"/>
      <c r="AY51" s="303"/>
      <c r="AZ51" s="303"/>
      <c r="BA51" s="303"/>
      <c r="BB51" s="303"/>
      <c r="BC51" s="303"/>
      <c r="BD51" s="303"/>
      <c r="BE51" s="303"/>
      <c r="BF51" s="303"/>
      <c r="BG51" s="303"/>
      <c r="BH51" s="303"/>
      <c r="BI51" s="303"/>
      <c r="BJ51" s="303"/>
      <c r="BK51" s="303"/>
      <c r="BL51" s="303"/>
      <c r="BM51" s="303"/>
      <c r="BN51" s="303"/>
    </row>
    <row r="52" spans="17:66" x14ac:dyDescent="0.25">
      <c r="Q52" s="303"/>
      <c r="R52" s="303"/>
      <c r="S52" s="303"/>
      <c r="T52" s="2086"/>
      <c r="U52" s="2103" t="s">
        <v>1643</v>
      </c>
      <c r="V52" s="2094" t="s">
        <v>1650</v>
      </c>
      <c r="W52" s="2099">
        <v>9.4499999999999993</v>
      </c>
      <c r="X52" s="2099"/>
      <c r="Y52" s="2099">
        <v>300</v>
      </c>
      <c r="Z52" s="2099"/>
      <c r="AA52" s="2104">
        <v>0.37</v>
      </c>
      <c r="AB52" s="2088"/>
      <c r="AD52" s="2314"/>
      <c r="AE52" s="306" t="s">
        <v>1649</v>
      </c>
      <c r="AF52" s="306">
        <v>4</v>
      </c>
      <c r="AG52" s="2088"/>
      <c r="AJ52" s="2314"/>
      <c r="AK52" s="306" t="s">
        <v>2030</v>
      </c>
      <c r="AL52" s="306">
        <v>2</v>
      </c>
      <c r="AM52" s="306">
        <v>1</v>
      </c>
      <c r="AN52" s="306">
        <v>1</v>
      </c>
      <c r="AO52" s="2088"/>
      <c r="AP52" s="314"/>
      <c r="AQ52" s="314"/>
      <c r="AR52" s="291"/>
      <c r="AS52" s="291"/>
      <c r="AT52" s="291"/>
      <c r="AU52" s="314"/>
      <c r="AV52" s="314"/>
      <c r="AW52" s="303"/>
      <c r="AX52" s="303"/>
      <c r="AY52" s="303"/>
      <c r="AZ52" s="303"/>
      <c r="BA52" s="303"/>
      <c r="BB52" s="303"/>
      <c r="BC52" s="303"/>
      <c r="BD52" s="303"/>
      <c r="BE52" s="303"/>
      <c r="BF52" s="303"/>
      <c r="BG52" s="303"/>
      <c r="BH52" s="303"/>
      <c r="BI52" s="303"/>
      <c r="BJ52" s="303"/>
      <c r="BK52" s="303"/>
      <c r="BL52" s="303"/>
      <c r="BM52" s="303"/>
      <c r="BN52" s="303"/>
    </row>
    <row r="53" spans="17:66" x14ac:dyDescent="0.25">
      <c r="Q53" s="303"/>
      <c r="R53" s="303"/>
      <c r="S53" s="303"/>
      <c r="T53" s="2086"/>
      <c r="U53" s="2103" t="s">
        <v>1643</v>
      </c>
      <c r="V53" s="2094" t="s">
        <v>1417</v>
      </c>
      <c r="W53" s="2099">
        <v>11</v>
      </c>
      <c r="X53" s="2099"/>
      <c r="Y53" s="2099">
        <v>300</v>
      </c>
      <c r="Z53" s="2099"/>
      <c r="AA53" s="2104">
        <v>0.37</v>
      </c>
      <c r="AB53" s="2088"/>
      <c r="AD53" s="2314"/>
      <c r="AE53" s="306" t="s">
        <v>1511</v>
      </c>
      <c r="AF53" s="306">
        <v>5</v>
      </c>
      <c r="AG53" s="2088"/>
      <c r="AJ53" s="2314"/>
      <c r="AK53" s="306" t="s">
        <v>1554</v>
      </c>
      <c r="AL53" s="306">
        <v>2</v>
      </c>
      <c r="AM53" s="306">
        <v>3</v>
      </c>
      <c r="AN53" s="306">
        <v>0</v>
      </c>
      <c r="AO53" s="2088"/>
      <c r="AP53" s="314"/>
      <c r="AQ53" s="314"/>
      <c r="AR53" s="291"/>
      <c r="AS53" s="291"/>
      <c r="AT53" s="291"/>
      <c r="AU53" s="314"/>
      <c r="AV53" s="314"/>
      <c r="AW53" s="303"/>
      <c r="AX53" s="303"/>
      <c r="AY53" s="303"/>
      <c r="AZ53" s="303"/>
      <c r="BA53" s="303"/>
      <c r="BB53" s="303"/>
      <c r="BC53" s="303"/>
      <c r="BD53" s="303"/>
      <c r="BE53" s="303"/>
      <c r="BF53" s="303"/>
      <c r="BG53" s="303"/>
      <c r="BH53" s="303"/>
      <c r="BI53" s="303"/>
      <c r="BJ53" s="303"/>
      <c r="BK53" s="303"/>
      <c r="BL53" s="303"/>
      <c r="BM53" s="303"/>
      <c r="BN53" s="303"/>
    </row>
    <row r="54" spans="17:66" x14ac:dyDescent="0.25">
      <c r="Q54" s="303"/>
      <c r="R54" s="303"/>
      <c r="S54" s="303"/>
      <c r="T54" s="2086"/>
      <c r="U54" s="2103" t="s">
        <v>1643</v>
      </c>
      <c r="V54" s="2094" t="s">
        <v>1419</v>
      </c>
      <c r="W54" s="2099">
        <v>3.1</v>
      </c>
      <c r="X54" s="2099"/>
      <c r="Y54" s="2099">
        <v>300</v>
      </c>
      <c r="Z54" s="2099"/>
      <c r="AA54" s="2104">
        <v>0.37</v>
      </c>
      <c r="AB54" s="2088"/>
      <c r="AD54" s="2314"/>
      <c r="AE54" s="306" t="s">
        <v>1418</v>
      </c>
      <c r="AF54" s="306">
        <v>6</v>
      </c>
      <c r="AG54" s="2088"/>
      <c r="AJ54" s="2086"/>
      <c r="AK54" s="306" t="s">
        <v>1818</v>
      </c>
      <c r="AL54" s="306">
        <v>3</v>
      </c>
      <c r="AM54" s="306">
        <v>1</v>
      </c>
      <c r="AN54" s="306">
        <v>1</v>
      </c>
      <c r="AO54" s="2088"/>
      <c r="AP54" s="314"/>
      <c r="AQ54" s="314"/>
      <c r="AR54" s="291"/>
      <c r="AS54" s="291"/>
      <c r="AT54" s="291"/>
      <c r="AU54" s="314"/>
      <c r="AV54" s="314"/>
      <c r="AW54" s="303"/>
      <c r="AX54" s="303"/>
      <c r="AY54" s="303"/>
      <c r="AZ54" s="303"/>
      <c r="BA54" s="303"/>
      <c r="BB54" s="303"/>
      <c r="BC54" s="303"/>
      <c r="BD54" s="303"/>
      <c r="BE54" s="303"/>
      <c r="BF54" s="303"/>
      <c r="BG54" s="303"/>
      <c r="BH54" s="303"/>
      <c r="BI54" s="303"/>
      <c r="BJ54" s="303"/>
      <c r="BK54" s="303"/>
      <c r="BL54" s="303"/>
      <c r="BM54" s="303"/>
      <c r="BN54" s="303"/>
    </row>
    <row r="55" spans="17:66" x14ac:dyDescent="0.25">
      <c r="Q55" s="303"/>
      <c r="R55" s="303"/>
      <c r="S55" s="303"/>
      <c r="T55" s="2086"/>
      <c r="U55" s="2103" t="s">
        <v>1643</v>
      </c>
      <c r="V55" s="2094" t="s">
        <v>1421</v>
      </c>
      <c r="W55" s="2099">
        <v>7</v>
      </c>
      <c r="X55" s="2099"/>
      <c r="Y55" s="2099">
        <v>280</v>
      </c>
      <c r="Z55" s="2099"/>
      <c r="AA55" s="2104">
        <v>0.37</v>
      </c>
      <c r="AB55" s="2088"/>
      <c r="AD55" s="2314"/>
      <c r="AE55" s="306" t="s">
        <v>1420</v>
      </c>
      <c r="AF55" s="306">
        <v>7</v>
      </c>
      <c r="AG55" s="2088"/>
      <c r="AJ55" s="2086"/>
      <c r="AK55" s="306" t="s">
        <v>39</v>
      </c>
      <c r="AL55" s="306">
        <v>3</v>
      </c>
      <c r="AM55" s="306">
        <v>2</v>
      </c>
      <c r="AN55" s="306">
        <v>0</v>
      </c>
      <c r="AO55" s="2088"/>
      <c r="AP55" s="314"/>
      <c r="AQ55" s="314"/>
      <c r="AR55" s="291"/>
      <c r="AS55" s="291"/>
      <c r="AT55" s="291"/>
      <c r="AU55" s="314"/>
      <c r="AV55" s="314"/>
      <c r="AW55" s="303"/>
      <c r="AX55" s="303"/>
      <c r="AY55" s="303"/>
      <c r="AZ55" s="303"/>
      <c r="BA55" s="303"/>
      <c r="BB55" s="303"/>
      <c r="BC55" s="303"/>
      <c r="BD55" s="303"/>
      <c r="BE55" s="303"/>
      <c r="BF55" s="303"/>
      <c r="BG55" s="303"/>
      <c r="BH55" s="303"/>
      <c r="BI55" s="303"/>
      <c r="BJ55" s="303"/>
      <c r="BK55" s="303"/>
      <c r="BL55" s="303"/>
      <c r="BM55" s="303"/>
      <c r="BN55" s="303"/>
    </row>
    <row r="56" spans="17:66" x14ac:dyDescent="0.25">
      <c r="Q56" s="303"/>
      <c r="R56" s="303"/>
      <c r="S56" s="303"/>
      <c r="T56" s="2086"/>
      <c r="U56" s="2103" t="s">
        <v>1643</v>
      </c>
      <c r="V56" s="2094" t="s">
        <v>1423</v>
      </c>
      <c r="W56" s="2099">
        <v>2.2000000000000002</v>
      </c>
      <c r="X56" s="2099"/>
      <c r="Y56" s="2099">
        <v>280</v>
      </c>
      <c r="Z56" s="2099"/>
      <c r="AA56" s="2104">
        <v>0.37</v>
      </c>
      <c r="AB56" s="2088"/>
      <c r="AD56" s="2314"/>
      <c r="AE56" s="306" t="s">
        <v>1422</v>
      </c>
      <c r="AF56" s="306">
        <v>8</v>
      </c>
      <c r="AG56" s="2088"/>
      <c r="AJ56" s="2086"/>
      <c r="AK56" s="300"/>
      <c r="AL56" s="300"/>
      <c r="AM56" s="300"/>
      <c r="AN56" s="300"/>
      <c r="AO56" s="2088"/>
      <c r="AP56" s="314"/>
      <c r="AQ56" s="314"/>
      <c r="AR56" s="291"/>
      <c r="AS56" s="291"/>
      <c r="AT56" s="291"/>
      <c r="AU56" s="314"/>
      <c r="AV56" s="314"/>
      <c r="AW56" s="303"/>
      <c r="AX56" s="303"/>
      <c r="AY56" s="303"/>
      <c r="AZ56" s="303"/>
      <c r="BA56" s="303"/>
      <c r="BB56" s="303"/>
      <c r="BC56" s="303"/>
      <c r="BD56" s="303"/>
      <c r="BE56" s="303"/>
      <c r="BF56" s="303"/>
      <c r="BG56" s="303"/>
      <c r="BH56" s="303"/>
      <c r="BI56" s="303"/>
      <c r="BJ56" s="303"/>
      <c r="BK56" s="303"/>
      <c r="BL56" s="303"/>
      <c r="BM56" s="303"/>
      <c r="BN56" s="303"/>
    </row>
    <row r="57" spans="17:66" x14ac:dyDescent="0.25">
      <c r="Q57" s="303"/>
      <c r="R57" s="303"/>
      <c r="S57" s="303"/>
      <c r="T57" s="2086"/>
      <c r="U57" s="2103" t="s">
        <v>1643</v>
      </c>
      <c r="V57" s="2094" t="s">
        <v>2069</v>
      </c>
      <c r="W57" s="2099">
        <v>13</v>
      </c>
      <c r="X57" s="2099"/>
      <c r="Y57" s="2099">
        <v>350</v>
      </c>
      <c r="Z57" s="2099"/>
      <c r="AA57" s="2104">
        <v>0.37</v>
      </c>
      <c r="AB57" s="2088"/>
      <c r="AD57" s="2314"/>
      <c r="AE57" s="306" t="s">
        <v>1510</v>
      </c>
      <c r="AF57" s="306">
        <v>9</v>
      </c>
      <c r="AG57" s="2088"/>
      <c r="AJ57" s="2086"/>
      <c r="AK57" s="306" t="s">
        <v>1559</v>
      </c>
      <c r="AL57" s="306" t="s">
        <v>1665</v>
      </c>
      <c r="AM57" s="306" t="s">
        <v>1666</v>
      </c>
      <c r="AN57" s="300"/>
      <c r="AO57" s="2088"/>
      <c r="AP57" s="314"/>
      <c r="AQ57" s="314"/>
      <c r="AR57" s="291"/>
      <c r="AS57" s="291"/>
      <c r="AT57" s="291"/>
      <c r="AU57" s="314"/>
      <c r="AV57" s="314"/>
      <c r="AW57" s="303"/>
      <c r="AX57" s="303"/>
      <c r="AY57" s="303"/>
      <c r="AZ57" s="303"/>
      <c r="BA57" s="303"/>
      <c r="BB57" s="303"/>
      <c r="BC57" s="303"/>
      <c r="BD57" s="303"/>
      <c r="BE57" s="303"/>
      <c r="BF57" s="303"/>
      <c r="BG57" s="303"/>
      <c r="BH57" s="303"/>
      <c r="BI57" s="303"/>
      <c r="BJ57" s="303"/>
      <c r="BK57" s="303"/>
      <c r="BL57" s="303"/>
      <c r="BM57" s="303"/>
      <c r="BN57" s="303"/>
    </row>
    <row r="58" spans="17:66" ht="13.25" thickBot="1" x14ac:dyDescent="0.3">
      <c r="Q58" s="303"/>
      <c r="R58" s="303"/>
      <c r="S58" s="303"/>
      <c r="T58" s="2086"/>
      <c r="U58" s="2103" t="s">
        <v>1643</v>
      </c>
      <c r="V58" s="2095" t="s">
        <v>32</v>
      </c>
      <c r="W58" s="2099">
        <v>3.4</v>
      </c>
      <c r="X58" s="2099"/>
      <c r="Y58" s="2099">
        <v>350</v>
      </c>
      <c r="Z58" s="2099"/>
      <c r="AA58" s="2104">
        <v>0.37</v>
      </c>
      <c r="AB58" s="2088"/>
      <c r="AD58" s="2086"/>
      <c r="AE58" s="306" t="s">
        <v>1893</v>
      </c>
      <c r="AF58" s="306">
        <v>10</v>
      </c>
      <c r="AG58" s="2088"/>
      <c r="AJ58" s="2086"/>
      <c r="AK58" s="306" t="s">
        <v>1555</v>
      </c>
      <c r="AL58" s="306">
        <v>0</v>
      </c>
      <c r="AM58" s="306">
        <v>0</v>
      </c>
      <c r="AN58" s="300"/>
      <c r="AO58" s="2088"/>
      <c r="AP58" s="314"/>
      <c r="AQ58" s="314"/>
      <c r="AR58" s="291"/>
      <c r="AS58" s="291"/>
      <c r="AT58" s="291"/>
      <c r="AU58" s="314"/>
      <c r="AV58" s="314"/>
      <c r="AW58" s="303"/>
      <c r="AX58" s="303"/>
      <c r="AY58" s="303"/>
      <c r="AZ58" s="303"/>
      <c r="BA58" s="303"/>
      <c r="BB58" s="303"/>
      <c r="BC58" s="303"/>
      <c r="BD58" s="303"/>
      <c r="BE58" s="303"/>
      <c r="BF58" s="303"/>
      <c r="BG58" s="303"/>
      <c r="BH58" s="303"/>
      <c r="BI58" s="303"/>
      <c r="BJ58" s="303"/>
      <c r="BK58" s="303"/>
      <c r="BL58" s="303"/>
      <c r="BM58" s="303"/>
      <c r="BN58" s="303"/>
    </row>
    <row r="59" spans="17:66" x14ac:dyDescent="0.25">
      <c r="Q59" s="303"/>
      <c r="R59" s="303"/>
      <c r="S59" s="303"/>
      <c r="T59" s="2086"/>
      <c r="U59" s="2103" t="s">
        <v>1643</v>
      </c>
      <c r="V59" s="2096" t="s">
        <v>1860</v>
      </c>
      <c r="W59" s="2099" t="e">
        <f>NA()</f>
        <v>#N/A</v>
      </c>
      <c r="X59" s="2099"/>
      <c r="Y59" s="2099" t="e">
        <f>NA()</f>
        <v>#N/A</v>
      </c>
      <c r="Z59" s="2099"/>
      <c r="AA59" s="2104" t="e">
        <f>NA()</f>
        <v>#N/A</v>
      </c>
      <c r="AB59" s="2088"/>
      <c r="AD59" s="2086"/>
      <c r="AE59" s="306" t="s">
        <v>1964</v>
      </c>
      <c r="AF59" s="306">
        <v>11</v>
      </c>
      <c r="AG59" s="2088"/>
      <c r="AJ59" s="2086"/>
      <c r="AK59" s="306" t="s">
        <v>1403</v>
      </c>
      <c r="AL59" s="306">
        <v>3</v>
      </c>
      <c r="AM59" s="306">
        <v>2</v>
      </c>
      <c r="AN59" s="300"/>
      <c r="AO59" s="2088"/>
      <c r="AP59" s="314"/>
      <c r="AQ59" s="314"/>
      <c r="AR59" s="291"/>
      <c r="AS59" s="291"/>
      <c r="AT59" s="291"/>
      <c r="AU59" s="314"/>
      <c r="AV59" s="314"/>
      <c r="AW59" s="303"/>
      <c r="AX59" s="303"/>
      <c r="AY59" s="303"/>
      <c r="AZ59" s="303"/>
      <c r="BA59" s="303"/>
      <c r="BB59" s="303"/>
      <c r="BC59" s="303"/>
      <c r="BD59" s="303"/>
      <c r="BE59" s="303"/>
      <c r="BF59" s="303"/>
      <c r="BG59" s="303"/>
      <c r="BH59" s="303"/>
      <c r="BI59" s="303"/>
      <c r="BJ59" s="303"/>
      <c r="BK59" s="303"/>
      <c r="BL59" s="303"/>
      <c r="BM59" s="303"/>
      <c r="BN59" s="303"/>
    </row>
    <row r="60" spans="17:66" x14ac:dyDescent="0.25">
      <c r="Q60" s="303"/>
      <c r="R60" s="303"/>
      <c r="S60" s="303"/>
      <c r="T60" s="2086"/>
      <c r="U60" s="2103" t="s">
        <v>1643</v>
      </c>
      <c r="V60" s="2097" t="s">
        <v>1861</v>
      </c>
      <c r="W60" s="2099" t="e">
        <f>NA()</f>
        <v>#N/A</v>
      </c>
      <c r="X60" s="2099"/>
      <c r="Y60" s="2099" t="e">
        <f>NA()</f>
        <v>#N/A</v>
      </c>
      <c r="Z60" s="2099"/>
      <c r="AA60" s="2104" t="e">
        <f>NA()</f>
        <v>#N/A</v>
      </c>
      <c r="AB60" s="2088"/>
      <c r="AD60" s="2086"/>
      <c r="AE60" s="306" t="s">
        <v>1811</v>
      </c>
      <c r="AF60" s="306">
        <v>12</v>
      </c>
      <c r="AG60" s="2088"/>
      <c r="AJ60" s="2086"/>
      <c r="AK60" s="306" t="s">
        <v>1556</v>
      </c>
      <c r="AL60" s="306">
        <v>3</v>
      </c>
      <c r="AM60" s="306">
        <v>1</v>
      </c>
      <c r="AN60" s="300"/>
      <c r="AO60" s="2088"/>
      <c r="AP60" s="314"/>
      <c r="AQ60" s="314"/>
      <c r="AR60" s="159"/>
      <c r="AS60" s="291"/>
      <c r="AT60" s="291"/>
      <c r="AU60" s="314"/>
      <c r="AV60" s="314"/>
      <c r="AW60" s="303"/>
      <c r="AX60" s="303"/>
      <c r="AY60" s="303"/>
      <c r="AZ60" s="303"/>
      <c r="BA60" s="303"/>
      <c r="BB60" s="303"/>
      <c r="BC60" s="303"/>
      <c r="BD60" s="303"/>
      <c r="BE60" s="303"/>
      <c r="BF60" s="303"/>
      <c r="BG60" s="303"/>
      <c r="BH60" s="303"/>
      <c r="BI60" s="303"/>
      <c r="BJ60" s="303"/>
      <c r="BK60" s="303"/>
      <c r="BL60" s="303"/>
      <c r="BM60" s="303"/>
      <c r="BN60" s="303"/>
    </row>
    <row r="61" spans="17:66" x14ac:dyDescent="0.25">
      <c r="Q61" s="303"/>
      <c r="R61" s="303"/>
      <c r="S61" s="303"/>
      <c r="T61" s="2086"/>
      <c r="U61" s="2103" t="s">
        <v>1643</v>
      </c>
      <c r="V61" s="2097" t="s">
        <v>1862</v>
      </c>
      <c r="W61" s="2099" t="e">
        <f>NA()</f>
        <v>#N/A</v>
      </c>
      <c r="X61" s="2099"/>
      <c r="Y61" s="2099" t="e">
        <f>NA()</f>
        <v>#N/A</v>
      </c>
      <c r="Z61" s="2099"/>
      <c r="AA61" s="2104" t="e">
        <f>NA()</f>
        <v>#N/A</v>
      </c>
      <c r="AB61" s="2088"/>
      <c r="AD61" s="2086"/>
      <c r="AE61" s="306" t="s">
        <v>1812</v>
      </c>
      <c r="AF61" s="306">
        <v>13</v>
      </c>
      <c r="AG61" s="2088"/>
      <c r="AJ61" s="2086"/>
      <c r="AK61" s="306" t="s">
        <v>1285</v>
      </c>
      <c r="AL61" s="306">
        <v>2</v>
      </c>
      <c r="AM61" s="306">
        <v>3</v>
      </c>
      <c r="AN61" s="300"/>
      <c r="AO61" s="2088"/>
      <c r="AP61" s="314"/>
      <c r="AQ61" s="314"/>
      <c r="AR61" s="159"/>
      <c r="AS61" s="291"/>
      <c r="AT61" s="291"/>
      <c r="AU61" s="314"/>
      <c r="AV61" s="314"/>
      <c r="AW61" s="303"/>
      <c r="AX61" s="303"/>
      <c r="AY61" s="303"/>
      <c r="AZ61" s="303"/>
      <c r="BA61" s="303"/>
      <c r="BB61" s="303"/>
      <c r="BC61" s="303"/>
      <c r="BD61" s="303"/>
      <c r="BE61" s="303"/>
      <c r="BF61" s="303"/>
      <c r="BG61" s="303"/>
      <c r="BH61" s="303"/>
      <c r="BI61" s="303"/>
      <c r="BJ61" s="303"/>
      <c r="BK61" s="303"/>
      <c r="BL61" s="303"/>
      <c r="BM61" s="303"/>
      <c r="BN61" s="303"/>
    </row>
    <row r="62" spans="17:66" x14ac:dyDescent="0.25">
      <c r="Q62" s="303"/>
      <c r="R62" s="303"/>
      <c r="S62" s="303"/>
      <c r="T62" s="2086"/>
      <c r="U62" s="2103" t="s">
        <v>1643</v>
      </c>
      <c r="V62" s="2097" t="s">
        <v>1863</v>
      </c>
      <c r="W62" s="2099" t="e">
        <f>NA()</f>
        <v>#N/A</v>
      </c>
      <c r="X62" s="2099"/>
      <c r="Y62" s="2099" t="e">
        <f>NA()</f>
        <v>#N/A</v>
      </c>
      <c r="Z62" s="2099"/>
      <c r="AA62" s="2104" t="e">
        <f>NA()</f>
        <v>#N/A</v>
      </c>
      <c r="AB62" s="2088"/>
      <c r="AD62" s="2086"/>
      <c r="AE62" s="306" t="s">
        <v>1813</v>
      </c>
      <c r="AF62" s="306">
        <v>14</v>
      </c>
      <c r="AG62" s="2088"/>
      <c r="AJ62" s="2086"/>
      <c r="AK62" s="306" t="s">
        <v>1557</v>
      </c>
      <c r="AL62" s="306">
        <v>2</v>
      </c>
      <c r="AM62" s="306">
        <v>1</v>
      </c>
      <c r="AN62" s="300"/>
      <c r="AO62" s="2088"/>
      <c r="AP62" s="314"/>
      <c r="AQ62" s="314"/>
      <c r="AR62" s="159"/>
      <c r="AS62" s="291"/>
      <c r="AT62" s="291"/>
      <c r="AU62" s="314"/>
      <c r="AV62" s="314"/>
      <c r="AW62" s="303"/>
      <c r="AX62" s="303"/>
      <c r="AY62" s="303"/>
      <c r="AZ62" s="303"/>
      <c r="BA62" s="303"/>
      <c r="BB62" s="303"/>
      <c r="BC62" s="303"/>
      <c r="BD62" s="303"/>
      <c r="BE62" s="303"/>
      <c r="BF62" s="303"/>
      <c r="BG62" s="303"/>
      <c r="BH62" s="303"/>
      <c r="BI62" s="303"/>
      <c r="BJ62" s="303"/>
      <c r="BK62" s="303"/>
      <c r="BL62" s="303"/>
      <c r="BM62" s="303"/>
      <c r="BN62" s="303"/>
    </row>
    <row r="63" spans="17:66" x14ac:dyDescent="0.25">
      <c r="Q63" s="303"/>
      <c r="R63" s="303"/>
      <c r="S63" s="303"/>
      <c r="T63" s="2086"/>
      <c r="U63" s="2103" t="s">
        <v>1643</v>
      </c>
      <c r="V63" s="2097" t="s">
        <v>1864</v>
      </c>
      <c r="W63" s="2099" t="e">
        <f>NA()</f>
        <v>#N/A</v>
      </c>
      <c r="X63" s="2099"/>
      <c r="Y63" s="2099" t="e">
        <f>NA()</f>
        <v>#N/A</v>
      </c>
      <c r="Z63" s="2099"/>
      <c r="AA63" s="2104" t="e">
        <f>NA()</f>
        <v>#N/A</v>
      </c>
      <c r="AB63" s="2088"/>
      <c r="AD63" s="2086"/>
      <c r="AE63" s="306" t="s">
        <v>1687</v>
      </c>
      <c r="AF63" s="306">
        <v>15</v>
      </c>
      <c r="AG63" s="2088"/>
      <c r="AJ63" s="2086"/>
      <c r="AK63" s="306" t="s">
        <v>1402</v>
      </c>
      <c r="AL63" s="306">
        <v>1</v>
      </c>
      <c r="AM63" s="306">
        <v>3</v>
      </c>
      <c r="AN63" s="300"/>
      <c r="AO63" s="2088"/>
      <c r="AP63" s="314"/>
      <c r="AQ63" s="314"/>
      <c r="AR63" s="291"/>
      <c r="AS63" s="291"/>
      <c r="AT63" s="291"/>
      <c r="AU63" s="314"/>
      <c r="AV63" s="314"/>
      <c r="AW63" s="303"/>
      <c r="AX63" s="303"/>
      <c r="AY63" s="303"/>
      <c r="AZ63" s="303"/>
      <c r="BA63" s="303"/>
      <c r="BB63" s="303"/>
      <c r="BC63" s="303"/>
      <c r="BD63" s="303"/>
      <c r="BE63" s="303"/>
      <c r="BF63" s="303"/>
      <c r="BG63" s="303"/>
      <c r="BH63" s="303"/>
      <c r="BI63" s="303"/>
      <c r="BJ63" s="303"/>
      <c r="BK63" s="303"/>
      <c r="BL63" s="303"/>
      <c r="BM63" s="303"/>
      <c r="BN63" s="303"/>
    </row>
    <row r="64" spans="17:66" ht="13.25" thickBot="1" x14ac:dyDescent="0.3">
      <c r="Q64" s="303"/>
      <c r="R64" s="303"/>
      <c r="S64" s="303"/>
      <c r="T64" s="2086"/>
      <c r="U64" s="2103" t="s">
        <v>1643</v>
      </c>
      <c r="V64" s="2098" t="s">
        <v>1598</v>
      </c>
      <c r="W64" s="2099" t="e">
        <f>NA()</f>
        <v>#N/A</v>
      </c>
      <c r="X64" s="2099"/>
      <c r="Y64" s="2099" t="e">
        <f>NA()</f>
        <v>#N/A</v>
      </c>
      <c r="Z64" s="2099"/>
      <c r="AA64" s="2104" t="e">
        <f>NA()</f>
        <v>#N/A</v>
      </c>
      <c r="AB64" s="2088"/>
      <c r="AD64" s="2086"/>
      <c r="AE64" s="300"/>
      <c r="AF64" s="300"/>
      <c r="AG64" s="2088"/>
      <c r="AJ64" s="2086"/>
      <c r="AK64" s="306" t="s">
        <v>1404</v>
      </c>
      <c r="AL64" s="306">
        <v>1</v>
      </c>
      <c r="AM64" s="306">
        <v>2</v>
      </c>
      <c r="AN64" s="300"/>
      <c r="AO64" s="2088"/>
      <c r="AP64" s="314"/>
      <c r="AQ64" s="314"/>
      <c r="AR64" s="291"/>
      <c r="AS64" s="291"/>
      <c r="AT64" s="291"/>
      <c r="AU64" s="314"/>
      <c r="AV64" s="314"/>
      <c r="AW64" s="303"/>
      <c r="AX64" s="303"/>
      <c r="AY64" s="303"/>
      <c r="AZ64" s="303"/>
      <c r="BA64" s="303"/>
      <c r="BB64" s="303"/>
      <c r="BC64" s="303"/>
      <c r="BD64" s="303"/>
      <c r="BE64" s="303"/>
      <c r="BF64" s="303"/>
      <c r="BG64" s="303"/>
      <c r="BH64" s="303"/>
      <c r="BI64" s="303"/>
      <c r="BJ64" s="303"/>
      <c r="BK64" s="303"/>
      <c r="BL64" s="303"/>
      <c r="BM64" s="303"/>
      <c r="BN64" s="303"/>
    </row>
    <row r="65" spans="17:66" x14ac:dyDescent="0.25">
      <c r="Q65" s="303"/>
      <c r="R65" s="303"/>
      <c r="S65" s="303"/>
      <c r="T65" s="2086"/>
      <c r="U65" s="2103" t="s">
        <v>1672</v>
      </c>
      <c r="V65" s="2093" t="s">
        <v>1644</v>
      </c>
      <c r="W65" s="2099">
        <v>5</v>
      </c>
      <c r="X65" s="2099"/>
      <c r="Y65" s="2099">
        <v>260</v>
      </c>
      <c r="Z65" s="2099"/>
      <c r="AA65" s="2104">
        <v>0.2</v>
      </c>
      <c r="AB65" s="2088"/>
      <c r="AD65" s="2086"/>
      <c r="AE65" s="300"/>
      <c r="AF65" s="300"/>
      <c r="AG65" s="2088"/>
      <c r="AH65" s="303"/>
      <c r="AI65" s="303"/>
      <c r="AJ65" s="2086"/>
      <c r="AK65" s="300"/>
      <c r="AL65" s="300"/>
      <c r="AM65" s="300"/>
      <c r="AN65" s="300"/>
      <c r="AO65" s="2088"/>
      <c r="AP65" s="314"/>
      <c r="AQ65" s="314"/>
      <c r="AR65" s="291"/>
      <c r="AS65" s="291"/>
      <c r="AT65" s="291"/>
      <c r="AU65" s="314"/>
      <c r="AV65" s="314"/>
      <c r="AW65" s="303"/>
      <c r="AX65" s="303"/>
      <c r="AY65" s="303"/>
      <c r="AZ65" s="303"/>
      <c r="BA65" s="303"/>
      <c r="BB65" s="303"/>
      <c r="BC65" s="303"/>
      <c r="BD65" s="303"/>
      <c r="BE65" s="303"/>
      <c r="BF65" s="303"/>
      <c r="BG65" s="303"/>
      <c r="BH65" s="303"/>
      <c r="BI65" s="303"/>
      <c r="BJ65" s="303"/>
      <c r="BK65" s="303"/>
      <c r="BL65" s="303"/>
      <c r="BM65" s="303"/>
      <c r="BN65" s="303"/>
    </row>
    <row r="66" spans="17:66" x14ac:dyDescent="0.25">
      <c r="Q66" s="303"/>
      <c r="R66" s="303"/>
      <c r="S66" s="303"/>
      <c r="T66" s="2086"/>
      <c r="U66" s="2103" t="s">
        <v>1672</v>
      </c>
      <c r="V66" s="2094" t="s">
        <v>1645</v>
      </c>
      <c r="W66" s="2099">
        <v>1.3</v>
      </c>
      <c r="X66" s="2099"/>
      <c r="Y66" s="2099">
        <v>260</v>
      </c>
      <c r="Z66" s="2099"/>
      <c r="AA66" s="2104">
        <v>0.24</v>
      </c>
      <c r="AB66" s="2088"/>
      <c r="AD66" s="2086"/>
      <c r="AE66" s="300"/>
      <c r="AF66" s="300"/>
      <c r="AG66" s="2088"/>
      <c r="AH66" s="303"/>
      <c r="AI66" s="303"/>
      <c r="AJ66" s="2086"/>
      <c r="AK66" s="300"/>
      <c r="AL66" s="300"/>
      <c r="AM66" s="300"/>
      <c r="AN66" s="300"/>
      <c r="AO66" s="2088"/>
      <c r="AP66" s="314"/>
      <c r="AQ66" s="314"/>
      <c r="AR66" s="291"/>
      <c r="AS66" s="291"/>
      <c r="AT66" s="291"/>
      <c r="AU66" s="314"/>
      <c r="AV66" s="314"/>
      <c r="AW66" s="303"/>
      <c r="AX66" s="303"/>
      <c r="AY66" s="303"/>
      <c r="AZ66" s="303"/>
      <c r="BA66" s="303"/>
      <c r="BB66" s="303"/>
      <c r="BC66" s="303"/>
      <c r="BD66" s="303"/>
      <c r="BE66" s="303"/>
      <c r="BF66" s="303"/>
      <c r="BG66" s="303"/>
      <c r="BH66" s="303"/>
      <c r="BI66" s="303"/>
      <c r="BJ66" s="303"/>
      <c r="BK66" s="303"/>
      <c r="BL66" s="303"/>
      <c r="BM66" s="303"/>
      <c r="BN66" s="303"/>
    </row>
    <row r="67" spans="17:66" x14ac:dyDescent="0.25">
      <c r="Q67" s="303"/>
      <c r="R67" s="303"/>
      <c r="S67" s="303"/>
      <c r="T67" s="2086"/>
      <c r="U67" s="2103" t="s">
        <v>1672</v>
      </c>
      <c r="V67" s="2094" t="s">
        <v>1647</v>
      </c>
      <c r="W67" s="2099">
        <v>7</v>
      </c>
      <c r="X67" s="2099"/>
      <c r="Y67" s="2099">
        <v>220</v>
      </c>
      <c r="Z67" s="2099"/>
      <c r="AA67" s="2104">
        <v>0.2</v>
      </c>
      <c r="AB67" s="2088"/>
      <c r="AD67" s="2086"/>
      <c r="AE67" s="300"/>
      <c r="AF67" s="300"/>
      <c r="AG67" s="2088"/>
      <c r="AJ67" s="2086"/>
      <c r="AK67" s="306" t="s">
        <v>1249</v>
      </c>
      <c r="AL67" s="306" t="s">
        <v>1250</v>
      </c>
      <c r="AM67" s="306" t="s">
        <v>703</v>
      </c>
      <c r="AN67" s="306" t="s">
        <v>185</v>
      </c>
      <c r="AO67" s="2088"/>
      <c r="AP67" s="314"/>
      <c r="AQ67" s="314"/>
      <c r="AR67" s="291"/>
      <c r="AS67" s="291"/>
      <c r="AT67" s="291"/>
      <c r="AU67" s="314"/>
      <c r="AV67" s="314"/>
      <c r="AW67" s="303"/>
      <c r="AX67" s="303"/>
      <c r="AY67" s="303"/>
      <c r="AZ67" s="303"/>
      <c r="BA67" s="303"/>
      <c r="BB67" s="303"/>
      <c r="BC67" s="303"/>
      <c r="BD67" s="303"/>
      <c r="BE67" s="303"/>
      <c r="BF67" s="303"/>
      <c r="BG67" s="303"/>
      <c r="BH67" s="303"/>
      <c r="BI67" s="303"/>
      <c r="BJ67" s="303"/>
      <c r="BK67" s="303"/>
      <c r="BL67" s="303"/>
      <c r="BM67" s="303"/>
      <c r="BN67" s="303"/>
    </row>
    <row r="68" spans="17:66" x14ac:dyDescent="0.25">
      <c r="Q68" s="303"/>
      <c r="R68" s="303"/>
      <c r="S68" s="303"/>
      <c r="T68" s="2086"/>
      <c r="U68" s="2103" t="s">
        <v>1672</v>
      </c>
      <c r="V68" s="2094" t="s">
        <v>1650</v>
      </c>
      <c r="W68" s="2099">
        <v>2</v>
      </c>
      <c r="X68" s="2099"/>
      <c r="Y68" s="2099">
        <v>220</v>
      </c>
      <c r="Z68" s="2099"/>
      <c r="AA68" s="2104">
        <v>0.24</v>
      </c>
      <c r="AB68" s="2088"/>
      <c r="AD68" s="2086"/>
      <c r="AE68" s="306" t="s">
        <v>212</v>
      </c>
      <c r="AF68" s="306">
        <v>1</v>
      </c>
      <c r="AG68" s="2088"/>
      <c r="AJ68" s="2086"/>
      <c r="AK68" s="306" t="s">
        <v>366</v>
      </c>
      <c r="AL68" s="306" t="s">
        <v>366</v>
      </c>
      <c r="AM68" s="306">
        <v>0</v>
      </c>
      <c r="AN68" s="306">
        <v>0</v>
      </c>
      <c r="AO68" s="2088"/>
      <c r="AP68" s="314"/>
      <c r="AQ68" s="314"/>
      <c r="AR68" s="291"/>
      <c r="AS68" s="291"/>
      <c r="AT68" s="291"/>
      <c r="AU68" s="314"/>
      <c r="AV68" s="314"/>
      <c r="AW68" s="303"/>
      <c r="AX68" s="303"/>
      <c r="AY68" s="303"/>
      <c r="AZ68" s="303"/>
      <c r="BA68" s="303"/>
      <c r="BB68" s="303"/>
      <c r="BC68" s="303"/>
      <c r="BD68" s="303"/>
      <c r="BE68" s="303"/>
      <c r="BF68" s="303"/>
      <c r="BG68" s="303"/>
      <c r="BH68" s="303"/>
      <c r="BI68" s="303"/>
      <c r="BJ68" s="303"/>
      <c r="BK68" s="303"/>
      <c r="BL68" s="303"/>
      <c r="BM68" s="303"/>
      <c r="BN68" s="303"/>
    </row>
    <row r="69" spans="17:66" x14ac:dyDescent="0.25">
      <c r="Q69" s="303"/>
      <c r="R69" s="303"/>
      <c r="S69" s="303"/>
      <c r="T69" s="2086"/>
      <c r="U69" s="2103" t="s">
        <v>1672</v>
      </c>
      <c r="V69" s="2094" t="s">
        <v>1417</v>
      </c>
      <c r="W69" s="2099">
        <v>7</v>
      </c>
      <c r="X69" s="2099"/>
      <c r="Y69" s="2099">
        <v>220</v>
      </c>
      <c r="Z69" s="2099"/>
      <c r="AA69" s="2104">
        <v>0.2</v>
      </c>
      <c r="AB69" s="2088"/>
      <c r="AD69" s="2086"/>
      <c r="AE69" s="306" t="s">
        <v>2049</v>
      </c>
      <c r="AF69" s="306">
        <v>2</v>
      </c>
      <c r="AG69" s="2088"/>
      <c r="AJ69" s="2086"/>
      <c r="AK69" s="306" t="s">
        <v>367</v>
      </c>
      <c r="AL69" s="306" t="s">
        <v>730</v>
      </c>
      <c r="AM69" s="306">
        <v>0</v>
      </c>
      <c r="AN69" s="306">
        <v>1</v>
      </c>
      <c r="AO69" s="2088"/>
      <c r="AP69" s="314"/>
      <c r="AQ69" s="314"/>
      <c r="AR69" s="291"/>
      <c r="AS69" s="291"/>
      <c r="AT69" s="291"/>
      <c r="AU69" s="314"/>
      <c r="AV69" s="314"/>
      <c r="AW69" s="303"/>
      <c r="AX69" s="303"/>
      <c r="AY69" s="303"/>
      <c r="AZ69" s="303"/>
      <c r="BA69" s="303"/>
      <c r="BB69" s="303"/>
      <c r="BC69" s="303"/>
      <c r="BD69" s="303"/>
      <c r="BE69" s="303"/>
      <c r="BF69" s="303"/>
      <c r="BG69" s="303"/>
      <c r="BH69" s="303"/>
      <c r="BI69" s="303"/>
      <c r="BJ69" s="303"/>
      <c r="BK69" s="303"/>
      <c r="BL69" s="303"/>
      <c r="BM69" s="303"/>
      <c r="BN69" s="303"/>
    </row>
    <row r="70" spans="17:66" x14ac:dyDescent="0.25">
      <c r="Q70" s="303"/>
      <c r="R70" s="303"/>
      <c r="S70" s="303"/>
      <c r="T70" s="2086"/>
      <c r="U70" s="2103" t="s">
        <v>1672</v>
      </c>
      <c r="V70" s="2094" t="s">
        <v>1419</v>
      </c>
      <c r="W70" s="2099">
        <v>2</v>
      </c>
      <c r="X70" s="2099"/>
      <c r="Y70" s="2099">
        <v>220</v>
      </c>
      <c r="Z70" s="2099"/>
      <c r="AA70" s="2104">
        <v>0.24</v>
      </c>
      <c r="AB70" s="2088"/>
      <c r="AD70" s="2086"/>
      <c r="AE70" s="306" t="s">
        <v>1895</v>
      </c>
      <c r="AF70" s="306">
        <v>3</v>
      </c>
      <c r="AG70" s="2088"/>
      <c r="AJ70" s="2086"/>
      <c r="AK70" s="306" t="s">
        <v>368</v>
      </c>
      <c r="AL70" s="306" t="s">
        <v>365</v>
      </c>
      <c r="AM70" s="306">
        <v>1</v>
      </c>
      <c r="AN70" s="306">
        <v>0</v>
      </c>
      <c r="AO70" s="2088"/>
      <c r="AP70" s="314"/>
      <c r="AQ70" s="314"/>
      <c r="AR70" s="291"/>
      <c r="AS70" s="291"/>
      <c r="AT70" s="291"/>
      <c r="AU70" s="314"/>
      <c r="AV70" s="314"/>
      <c r="AW70" s="303"/>
      <c r="AX70" s="303"/>
      <c r="AY70" s="303"/>
      <c r="AZ70" s="303"/>
      <c r="BA70" s="303"/>
      <c r="BB70" s="303"/>
      <c r="BC70" s="303"/>
      <c r="BD70" s="303"/>
      <c r="BE70" s="303"/>
      <c r="BF70" s="303"/>
      <c r="BG70" s="303"/>
      <c r="BH70" s="303"/>
      <c r="BI70" s="303"/>
      <c r="BJ70" s="303"/>
      <c r="BK70" s="303"/>
      <c r="BL70" s="303"/>
      <c r="BM70" s="303"/>
      <c r="BN70" s="303"/>
    </row>
    <row r="71" spans="17:66" x14ac:dyDescent="0.25">
      <c r="Q71" s="303"/>
      <c r="R71" s="303"/>
      <c r="S71" s="303"/>
      <c r="T71" s="2086"/>
      <c r="U71" s="2103" t="s">
        <v>1672</v>
      </c>
      <c r="V71" s="2094" t="s">
        <v>1421</v>
      </c>
      <c r="W71" s="2099">
        <v>9</v>
      </c>
      <c r="X71" s="2099"/>
      <c r="Y71" s="2099">
        <v>180</v>
      </c>
      <c r="Z71" s="2099"/>
      <c r="AA71" s="2104">
        <v>0.2</v>
      </c>
      <c r="AB71" s="2088"/>
      <c r="AD71" s="2086"/>
      <c r="AE71" s="306" t="s">
        <v>1744</v>
      </c>
      <c r="AF71" s="306">
        <v>4</v>
      </c>
      <c r="AG71" s="2088"/>
      <c r="AJ71" s="2086"/>
      <c r="AK71" s="300"/>
      <c r="AL71" s="300"/>
      <c r="AM71" s="300"/>
      <c r="AN71" s="300"/>
      <c r="AO71" s="2088"/>
      <c r="AP71" s="314"/>
      <c r="AQ71" s="314"/>
      <c r="AR71" s="291"/>
      <c r="AS71" s="291"/>
      <c r="AT71" s="291"/>
      <c r="AU71" s="314"/>
      <c r="AV71" s="314"/>
      <c r="AW71" s="303"/>
      <c r="AX71" s="303"/>
      <c r="AY71" s="303"/>
      <c r="AZ71" s="303"/>
      <c r="BA71" s="303"/>
      <c r="BB71" s="303"/>
      <c r="BC71" s="303"/>
      <c r="BD71" s="303"/>
      <c r="BE71" s="303"/>
      <c r="BF71" s="303"/>
      <c r="BG71" s="303"/>
      <c r="BH71" s="303"/>
      <c r="BI71" s="303"/>
      <c r="BJ71" s="303"/>
      <c r="BK71" s="303"/>
      <c r="BL71" s="303"/>
      <c r="BM71" s="303"/>
      <c r="BN71" s="303"/>
    </row>
    <row r="72" spans="17:66" ht="13.25" thickBot="1" x14ac:dyDescent="0.3">
      <c r="Q72" s="303"/>
      <c r="R72" s="303"/>
      <c r="S72" s="303"/>
      <c r="T72" s="2086"/>
      <c r="U72" s="2103" t="s">
        <v>1672</v>
      </c>
      <c r="V72" s="2094" t="s">
        <v>1423</v>
      </c>
      <c r="W72" s="2099">
        <v>2</v>
      </c>
      <c r="X72" s="2099"/>
      <c r="Y72" s="2099">
        <v>180</v>
      </c>
      <c r="Z72" s="2099"/>
      <c r="AA72" s="2104">
        <v>0.24</v>
      </c>
      <c r="AB72" s="2088"/>
      <c r="AD72" s="2086"/>
      <c r="AE72" s="306" t="s">
        <v>1745</v>
      </c>
      <c r="AF72" s="306">
        <v>5</v>
      </c>
      <c r="AG72" s="2088"/>
      <c r="AJ72" s="2089"/>
      <c r="AK72" s="2090"/>
      <c r="AL72" s="2090"/>
      <c r="AM72" s="2090"/>
      <c r="AN72" s="2090"/>
      <c r="AO72" s="2092"/>
      <c r="AP72" s="314"/>
      <c r="AQ72" s="314"/>
      <c r="AR72" s="291"/>
      <c r="AS72" s="291"/>
      <c r="AT72" s="291"/>
      <c r="AU72" s="314"/>
      <c r="AV72" s="314"/>
      <c r="AW72" s="303"/>
      <c r="AX72" s="303"/>
      <c r="AY72" s="303"/>
      <c r="AZ72" s="303"/>
      <c r="BA72" s="303"/>
      <c r="BB72" s="303"/>
      <c r="BC72" s="303"/>
      <c r="BD72" s="303"/>
      <c r="BE72" s="303"/>
      <c r="BF72" s="303"/>
      <c r="BG72" s="303"/>
      <c r="BH72" s="303"/>
      <c r="BI72" s="303"/>
      <c r="BJ72" s="303"/>
      <c r="BK72" s="303"/>
      <c r="BL72" s="303"/>
      <c r="BM72" s="303"/>
      <c r="BN72" s="303"/>
    </row>
    <row r="73" spans="17:66" x14ac:dyDescent="0.25">
      <c r="Q73" s="303"/>
      <c r="R73" s="303"/>
      <c r="S73" s="303"/>
      <c r="T73" s="2086"/>
      <c r="U73" s="2103" t="s">
        <v>1672</v>
      </c>
      <c r="V73" s="2094" t="s">
        <v>2069</v>
      </c>
      <c r="W73" s="2099">
        <v>11</v>
      </c>
      <c r="X73" s="2099"/>
      <c r="Y73" s="2099">
        <v>290</v>
      </c>
      <c r="Z73" s="2099"/>
      <c r="AA73" s="2104">
        <v>0.2</v>
      </c>
      <c r="AB73" s="2088"/>
      <c r="AD73" s="2086"/>
      <c r="AE73" s="306" t="s">
        <v>1746</v>
      </c>
      <c r="AF73" s="306">
        <v>6</v>
      </c>
      <c r="AG73" s="2088"/>
      <c r="AJ73" s="314"/>
      <c r="AK73" s="316"/>
      <c r="AL73" s="316"/>
      <c r="AM73" s="316"/>
      <c r="AN73" s="314"/>
      <c r="AO73" s="314"/>
      <c r="AP73" s="314"/>
      <c r="AQ73" s="314"/>
      <c r="AR73" s="291"/>
      <c r="AS73" s="291"/>
      <c r="AT73" s="291"/>
      <c r="AU73" s="314"/>
      <c r="AV73" s="314"/>
      <c r="AW73" s="303"/>
      <c r="AX73" s="303"/>
      <c r="AY73" s="303"/>
      <c r="AZ73" s="303"/>
      <c r="BA73" s="303"/>
      <c r="BB73" s="303"/>
      <c r="BC73" s="303"/>
      <c r="BD73" s="303"/>
      <c r="BE73" s="303"/>
      <c r="BF73" s="303"/>
      <c r="BG73" s="303"/>
      <c r="BH73" s="303"/>
      <c r="BI73" s="303"/>
      <c r="BJ73" s="303"/>
      <c r="BK73" s="303"/>
      <c r="BL73" s="303"/>
      <c r="BM73" s="303"/>
      <c r="BN73" s="303"/>
    </row>
    <row r="74" spans="17:66" ht="13.25" thickBot="1" x14ac:dyDescent="0.3">
      <c r="Q74" s="303"/>
      <c r="R74" s="303"/>
      <c r="S74" s="303"/>
      <c r="T74" s="2086"/>
      <c r="U74" s="2103" t="s">
        <v>1672</v>
      </c>
      <c r="V74" s="2095" t="s">
        <v>32</v>
      </c>
      <c r="W74" s="2099">
        <v>3</v>
      </c>
      <c r="X74" s="2099"/>
      <c r="Y74" s="2099">
        <v>290</v>
      </c>
      <c r="Z74" s="2099"/>
      <c r="AA74" s="2104">
        <v>0.2</v>
      </c>
      <c r="AB74" s="2088"/>
      <c r="AD74" s="2086"/>
      <c r="AE74" s="306" t="s">
        <v>1853</v>
      </c>
      <c r="AF74" s="306">
        <v>7</v>
      </c>
      <c r="AG74" s="2088"/>
      <c r="AJ74" s="1616"/>
      <c r="AK74" s="1616"/>
      <c r="AL74" s="1616"/>
      <c r="AM74" s="1616"/>
      <c r="AN74" s="1616"/>
      <c r="AO74" s="1616"/>
      <c r="AP74" s="314"/>
      <c r="AQ74" s="314"/>
      <c r="AR74" s="291"/>
      <c r="AS74" s="291"/>
      <c r="AT74" s="291"/>
      <c r="AU74" s="314"/>
      <c r="AV74" s="314"/>
      <c r="AW74" s="303"/>
      <c r="AX74" s="303"/>
      <c r="AY74" s="303"/>
      <c r="AZ74" s="303"/>
      <c r="BA74" s="303"/>
      <c r="BB74" s="303"/>
      <c r="BC74" s="303"/>
      <c r="BD74" s="303"/>
      <c r="BE74" s="303"/>
      <c r="BF74" s="303"/>
      <c r="BG74" s="303"/>
      <c r="BH74" s="303"/>
      <c r="BI74" s="303"/>
      <c r="BJ74" s="303"/>
      <c r="BK74" s="303"/>
      <c r="BL74" s="303"/>
      <c r="BM74" s="303"/>
      <c r="BN74" s="303"/>
    </row>
    <row r="75" spans="17:66" x14ac:dyDescent="0.25">
      <c r="Q75" s="303"/>
      <c r="R75" s="303"/>
      <c r="S75" s="303"/>
      <c r="T75" s="2086"/>
      <c r="U75" s="2103" t="s">
        <v>1672</v>
      </c>
      <c r="V75" s="2096" t="s">
        <v>1860</v>
      </c>
      <c r="W75" s="2099" t="e">
        <f>NA()</f>
        <v>#N/A</v>
      </c>
      <c r="X75" s="2099"/>
      <c r="Y75" s="2099" t="e">
        <f>NA()</f>
        <v>#N/A</v>
      </c>
      <c r="Z75" s="2099"/>
      <c r="AA75" s="2104" t="e">
        <f>NA()</f>
        <v>#N/A</v>
      </c>
      <c r="AB75" s="2088"/>
      <c r="AD75" s="2086"/>
      <c r="AE75" s="306" t="s">
        <v>1859</v>
      </c>
      <c r="AF75" s="306">
        <v>8</v>
      </c>
      <c r="AG75" s="2088"/>
      <c r="AJ75" s="1616"/>
      <c r="AK75" s="1616"/>
      <c r="AL75" s="1616"/>
      <c r="AM75" s="1616"/>
      <c r="AN75" s="1616"/>
      <c r="AO75" s="1616"/>
      <c r="AP75" s="314"/>
      <c r="AQ75" s="314"/>
      <c r="AR75" s="314"/>
      <c r="AS75" s="314"/>
      <c r="AT75" s="314"/>
      <c r="AU75" s="314"/>
      <c r="AV75" s="314"/>
      <c r="AW75" s="303"/>
      <c r="AX75" s="303"/>
      <c r="AY75" s="303"/>
      <c r="AZ75" s="303"/>
      <c r="BA75" s="303"/>
      <c r="BB75" s="303"/>
      <c r="BC75" s="303"/>
      <c r="BD75" s="303"/>
      <c r="BE75" s="303"/>
      <c r="BF75" s="303"/>
      <c r="BG75" s="303"/>
      <c r="BH75" s="303"/>
      <c r="BI75" s="303"/>
      <c r="BJ75" s="303"/>
      <c r="BK75" s="303"/>
      <c r="BL75" s="303"/>
      <c r="BM75" s="303"/>
      <c r="BN75" s="303"/>
    </row>
    <row r="76" spans="17:66" x14ac:dyDescent="0.25">
      <c r="Q76" s="303"/>
      <c r="R76" s="303"/>
      <c r="S76" s="303"/>
      <c r="T76" s="2086"/>
      <c r="U76" s="2103" t="s">
        <v>1672</v>
      </c>
      <c r="V76" s="2097" t="s">
        <v>1861</v>
      </c>
      <c r="W76" s="2099" t="e">
        <f>NA()</f>
        <v>#N/A</v>
      </c>
      <c r="X76" s="2099"/>
      <c r="Y76" s="2099" t="e">
        <f>NA()</f>
        <v>#N/A</v>
      </c>
      <c r="Z76" s="2099"/>
      <c r="AA76" s="2104" t="e">
        <f>NA()</f>
        <v>#N/A</v>
      </c>
      <c r="AB76" s="2088"/>
      <c r="AD76" s="2086"/>
      <c r="AE76" s="306" t="s">
        <v>771</v>
      </c>
      <c r="AF76" s="306">
        <v>6</v>
      </c>
      <c r="AG76" s="2088"/>
      <c r="AP76" s="314"/>
      <c r="AQ76" s="314"/>
      <c r="AR76" s="314"/>
      <c r="AS76" s="314"/>
      <c r="AT76" s="314"/>
      <c r="AU76" s="314"/>
      <c r="AV76" s="314"/>
      <c r="AW76" s="303"/>
      <c r="AX76" s="303"/>
      <c r="AY76" s="303"/>
      <c r="AZ76" s="303"/>
      <c r="BA76" s="303"/>
      <c r="BB76" s="303"/>
      <c r="BC76" s="303"/>
      <c r="BD76" s="303"/>
      <c r="BE76" s="303"/>
      <c r="BF76" s="303"/>
      <c r="BG76" s="303"/>
      <c r="BH76" s="303"/>
      <c r="BI76" s="303"/>
      <c r="BJ76" s="303"/>
      <c r="BK76" s="303"/>
      <c r="BL76" s="303"/>
      <c r="BM76" s="303"/>
      <c r="BN76" s="303"/>
    </row>
    <row r="77" spans="17:66" x14ac:dyDescent="0.25">
      <c r="Q77" s="303"/>
      <c r="R77" s="303"/>
      <c r="S77" s="303"/>
      <c r="T77" s="2086"/>
      <c r="U77" s="2103" t="s">
        <v>1672</v>
      </c>
      <c r="V77" s="2097" t="s">
        <v>1862</v>
      </c>
      <c r="W77" s="2099" t="e">
        <f>NA()</f>
        <v>#N/A</v>
      </c>
      <c r="X77" s="2099"/>
      <c r="Y77" s="2099" t="e">
        <f>NA()</f>
        <v>#N/A</v>
      </c>
      <c r="Z77" s="2099"/>
      <c r="AA77" s="2104" t="e">
        <f>NA()</f>
        <v>#N/A</v>
      </c>
      <c r="AB77" s="2088"/>
      <c r="AD77" s="2086"/>
      <c r="AE77" s="306" t="s">
        <v>1695</v>
      </c>
      <c r="AF77" s="306">
        <v>3</v>
      </c>
      <c r="AG77" s="2088"/>
      <c r="AP77" s="314"/>
      <c r="AQ77" s="314"/>
      <c r="AR77" s="314"/>
      <c r="AS77" s="314"/>
      <c r="AT77" s="314"/>
      <c r="AU77" s="314"/>
      <c r="AV77" s="314"/>
      <c r="AW77" s="303"/>
      <c r="AX77" s="303"/>
      <c r="AY77" s="303"/>
      <c r="AZ77" s="303"/>
      <c r="BA77" s="303"/>
      <c r="BB77" s="303"/>
      <c r="BC77" s="303"/>
      <c r="BD77" s="303"/>
      <c r="BE77" s="303"/>
      <c r="BF77" s="303"/>
      <c r="BG77" s="303"/>
      <c r="BH77" s="303"/>
      <c r="BI77" s="303"/>
      <c r="BJ77" s="303"/>
      <c r="BK77" s="303"/>
      <c r="BL77" s="303"/>
      <c r="BM77" s="303"/>
      <c r="BN77" s="303"/>
    </row>
    <row r="78" spans="17:66" x14ac:dyDescent="0.25">
      <c r="Q78" s="303"/>
      <c r="R78" s="303"/>
      <c r="S78" s="303"/>
      <c r="T78" s="2086"/>
      <c r="U78" s="2103" t="s">
        <v>1672</v>
      </c>
      <c r="V78" s="2097" t="s">
        <v>1863</v>
      </c>
      <c r="W78" s="2099" t="e">
        <f>NA()</f>
        <v>#N/A</v>
      </c>
      <c r="X78" s="2099"/>
      <c r="Y78" s="2099" t="e">
        <f>NA()</f>
        <v>#N/A</v>
      </c>
      <c r="Z78" s="2099"/>
      <c r="AA78" s="2104" t="e">
        <f>NA()</f>
        <v>#N/A</v>
      </c>
      <c r="AB78" s="2088"/>
      <c r="AD78" s="2086"/>
      <c r="AE78" s="306" t="s">
        <v>721</v>
      </c>
      <c r="AF78" s="306">
        <v>6</v>
      </c>
      <c r="AG78" s="2088"/>
      <c r="AP78" s="314"/>
      <c r="AQ78" s="314"/>
      <c r="AR78" s="314"/>
      <c r="AS78" s="314"/>
      <c r="AT78" s="314"/>
      <c r="AU78" s="314"/>
      <c r="AV78" s="314"/>
      <c r="AW78" s="303"/>
      <c r="AX78" s="303"/>
      <c r="AY78" s="303"/>
      <c r="AZ78" s="303"/>
      <c r="BA78" s="303"/>
      <c r="BB78" s="303"/>
      <c r="BC78" s="303"/>
      <c r="BD78" s="303"/>
      <c r="BE78" s="303"/>
      <c r="BF78" s="303"/>
      <c r="BG78" s="303"/>
      <c r="BH78" s="303"/>
      <c r="BI78" s="303"/>
      <c r="BJ78" s="303"/>
      <c r="BK78" s="303"/>
      <c r="BL78" s="303"/>
      <c r="BM78" s="303"/>
      <c r="BN78" s="303"/>
    </row>
    <row r="79" spans="17:66" x14ac:dyDescent="0.25">
      <c r="Q79" s="303"/>
      <c r="R79" s="303"/>
      <c r="S79" s="303"/>
      <c r="T79" s="2086"/>
      <c r="U79" s="2103" t="s">
        <v>1672</v>
      </c>
      <c r="V79" s="2097" t="s">
        <v>1864</v>
      </c>
      <c r="W79" s="2099" t="e">
        <f>NA()</f>
        <v>#N/A</v>
      </c>
      <c r="X79" s="2099"/>
      <c r="Y79" s="2099" t="e">
        <f>NA()</f>
        <v>#N/A</v>
      </c>
      <c r="Z79" s="2099"/>
      <c r="AA79" s="2104" t="e">
        <f>NA()</f>
        <v>#N/A</v>
      </c>
      <c r="AB79" s="2088"/>
      <c r="AD79" s="2086"/>
      <c r="AE79" s="306" t="s">
        <v>722</v>
      </c>
      <c r="AF79" s="306">
        <v>5</v>
      </c>
      <c r="AG79" s="2088"/>
      <c r="AP79" s="303"/>
      <c r="AQ79" s="314"/>
      <c r="AR79" s="314"/>
      <c r="AS79" s="314"/>
      <c r="AT79" s="314"/>
      <c r="AU79" s="314"/>
      <c r="AV79" s="314"/>
      <c r="AW79" s="303"/>
      <c r="AX79" s="303"/>
      <c r="AY79" s="303"/>
      <c r="AZ79" s="303"/>
      <c r="BA79" s="303"/>
      <c r="BB79" s="303"/>
      <c r="BC79" s="303"/>
      <c r="BD79" s="303"/>
      <c r="BE79" s="303"/>
      <c r="BF79" s="303"/>
      <c r="BG79" s="303"/>
      <c r="BH79" s="303"/>
      <c r="BI79" s="303"/>
      <c r="BJ79" s="303"/>
      <c r="BK79" s="303"/>
      <c r="BL79" s="303"/>
      <c r="BM79" s="303"/>
      <c r="BN79" s="303"/>
    </row>
    <row r="80" spans="17:66" ht="13.25" thickBot="1" x14ac:dyDescent="0.3">
      <c r="Q80" s="303"/>
      <c r="R80" s="303"/>
      <c r="S80" s="303"/>
      <c r="T80" s="2086"/>
      <c r="U80" s="2103" t="s">
        <v>1672</v>
      </c>
      <c r="V80" s="2098" t="s">
        <v>1598</v>
      </c>
      <c r="W80" s="2099" t="e">
        <f>NA()</f>
        <v>#N/A</v>
      </c>
      <c r="X80" s="2099"/>
      <c r="Y80" s="2099" t="e">
        <f>NA()</f>
        <v>#N/A</v>
      </c>
      <c r="Z80" s="2099"/>
      <c r="AA80" s="2104" t="e">
        <f>NA()</f>
        <v>#N/A</v>
      </c>
      <c r="AB80" s="2088"/>
      <c r="AD80" s="2086"/>
      <c r="AE80" s="306" t="s">
        <v>637</v>
      </c>
      <c r="AF80" s="306">
        <v>5</v>
      </c>
      <c r="AG80" s="2088"/>
      <c r="AJ80" s="303"/>
      <c r="AK80" s="303"/>
      <c r="AL80" s="303"/>
      <c r="AM80" s="303"/>
      <c r="AN80" s="303"/>
      <c r="AO80" s="303"/>
      <c r="AP80" s="303"/>
      <c r="AQ80" s="314"/>
      <c r="AR80" s="314"/>
      <c r="AS80" s="314"/>
      <c r="AT80" s="314"/>
      <c r="AU80" s="314"/>
      <c r="AV80" s="314"/>
      <c r="AW80" s="303"/>
      <c r="AX80" s="303"/>
      <c r="AY80" s="303"/>
      <c r="AZ80" s="303"/>
      <c r="BA80" s="303"/>
      <c r="BB80" s="303"/>
      <c r="BC80" s="303"/>
      <c r="BD80" s="303"/>
      <c r="BE80" s="303"/>
      <c r="BF80" s="303"/>
      <c r="BG80" s="303"/>
      <c r="BH80" s="303"/>
      <c r="BI80" s="303"/>
      <c r="BJ80" s="303"/>
      <c r="BK80" s="303"/>
      <c r="BL80" s="303"/>
      <c r="BM80" s="303"/>
      <c r="BN80" s="303"/>
    </row>
    <row r="81" spans="17:66" x14ac:dyDescent="0.25">
      <c r="Q81" s="303"/>
      <c r="R81" s="303"/>
      <c r="S81" s="303"/>
      <c r="T81" s="2086"/>
      <c r="U81" s="2103" t="s">
        <v>1646</v>
      </c>
      <c r="V81" s="2093" t="s">
        <v>1644</v>
      </c>
      <c r="W81" s="2099">
        <v>2.4</v>
      </c>
      <c r="X81" s="2099"/>
      <c r="Y81" s="2099">
        <v>120</v>
      </c>
      <c r="Z81" s="2099"/>
      <c r="AA81" s="2104">
        <v>0.56000000000000005</v>
      </c>
      <c r="AB81" s="2088"/>
      <c r="AD81" s="2086"/>
      <c r="AE81" s="77" t="s">
        <v>351</v>
      </c>
      <c r="AF81" s="306">
        <v>1</v>
      </c>
      <c r="AG81" s="2088"/>
      <c r="AJ81" s="303"/>
      <c r="AK81" s="303"/>
      <c r="AL81" s="303"/>
      <c r="AM81" s="303"/>
      <c r="AN81" s="303"/>
      <c r="AO81" s="303"/>
      <c r="AP81" s="303"/>
      <c r="AQ81" s="303"/>
      <c r="AR81" s="303"/>
      <c r="AS81" s="303"/>
      <c r="AT81" s="303"/>
      <c r="AU81" s="303"/>
      <c r="AV81" s="303"/>
      <c r="AW81" s="303"/>
      <c r="AX81" s="303"/>
      <c r="AY81" s="303"/>
      <c r="AZ81" s="303"/>
      <c r="BA81" s="303"/>
      <c r="BB81" s="303"/>
      <c r="BC81" s="303"/>
      <c r="BD81" s="303"/>
      <c r="BE81" s="303"/>
      <c r="BF81" s="303"/>
      <c r="BG81" s="303"/>
      <c r="BH81" s="303"/>
      <c r="BI81" s="303"/>
      <c r="BJ81" s="303"/>
      <c r="BK81" s="303"/>
      <c r="BL81" s="303"/>
      <c r="BM81" s="303"/>
      <c r="BN81" s="303"/>
    </row>
    <row r="82" spans="17:66" x14ac:dyDescent="0.25">
      <c r="Q82" s="303"/>
      <c r="R82" s="303"/>
      <c r="S82" s="303"/>
      <c r="T82" s="2086"/>
      <c r="U82" s="2103" t="s">
        <v>1646</v>
      </c>
      <c r="V82" s="2094" t="s">
        <v>1645</v>
      </c>
      <c r="W82" s="2099">
        <v>1.8</v>
      </c>
      <c r="X82" s="2099"/>
      <c r="Y82" s="2099">
        <v>120</v>
      </c>
      <c r="Z82" s="2099"/>
      <c r="AA82" s="2104">
        <v>0.28000000000000003</v>
      </c>
      <c r="AB82" s="2088"/>
      <c r="AD82" s="2086"/>
      <c r="AE82" s="300"/>
      <c r="AF82" s="300"/>
      <c r="AG82" s="2088"/>
      <c r="AJ82" s="303"/>
      <c r="AK82" s="303"/>
      <c r="AL82" s="303"/>
      <c r="AM82" s="303"/>
      <c r="AN82" s="303"/>
      <c r="AO82" s="303"/>
      <c r="AP82" s="303"/>
      <c r="AQ82" s="303"/>
      <c r="AR82" s="303"/>
      <c r="AS82" s="303"/>
      <c r="AT82" s="303"/>
      <c r="AU82" s="303"/>
      <c r="AV82" s="303"/>
      <c r="AW82" s="303"/>
      <c r="AX82" s="303"/>
      <c r="AY82" s="303"/>
      <c r="AZ82" s="303"/>
      <c r="BA82" s="303"/>
      <c r="BB82" s="303"/>
      <c r="BC82" s="303"/>
      <c r="BD82" s="303"/>
      <c r="BE82" s="303"/>
      <c r="BF82" s="303"/>
      <c r="BG82" s="303"/>
      <c r="BH82" s="303"/>
      <c r="BI82" s="303"/>
      <c r="BJ82" s="303"/>
      <c r="BK82" s="303"/>
      <c r="BL82" s="303"/>
      <c r="BM82" s="303"/>
      <c r="BN82" s="303"/>
    </row>
    <row r="83" spans="17:66" x14ac:dyDescent="0.25">
      <c r="Q83" s="303"/>
      <c r="R83" s="303"/>
      <c r="S83" s="303"/>
      <c r="T83" s="2086"/>
      <c r="U83" s="2103" t="s">
        <v>1646</v>
      </c>
      <c r="V83" s="2094" t="s">
        <v>1647</v>
      </c>
      <c r="W83" s="2099">
        <v>4</v>
      </c>
      <c r="X83" s="2099"/>
      <c r="Y83" s="2099">
        <v>210</v>
      </c>
      <c r="Z83" s="2099"/>
      <c r="AA83" s="2104">
        <v>0.56000000000000005</v>
      </c>
      <c r="AB83" s="2088"/>
      <c r="AD83" s="2086"/>
      <c r="AE83" s="300"/>
      <c r="AF83" s="300"/>
      <c r="AG83" s="2088"/>
      <c r="AH83" s="303"/>
      <c r="AI83" s="303"/>
      <c r="AJ83" s="303"/>
      <c r="AK83" s="303"/>
      <c r="AL83" s="303"/>
      <c r="AM83" s="303"/>
      <c r="AN83" s="303"/>
      <c r="AO83" s="303"/>
      <c r="AP83" s="303"/>
      <c r="AQ83" s="303"/>
      <c r="AR83" s="303"/>
      <c r="AS83" s="303"/>
      <c r="AT83" s="303"/>
      <c r="AU83" s="303"/>
      <c r="AV83" s="303"/>
      <c r="AW83" s="303"/>
      <c r="AX83" s="303"/>
      <c r="AY83" s="303"/>
      <c r="AZ83" s="303"/>
      <c r="BA83" s="303"/>
      <c r="BB83" s="303"/>
      <c r="BC83" s="303"/>
      <c r="BD83" s="303"/>
      <c r="BE83" s="303"/>
      <c r="BF83" s="303"/>
      <c r="BG83" s="303"/>
      <c r="BH83" s="303"/>
      <c r="BI83" s="303"/>
      <c r="BJ83" s="303"/>
      <c r="BK83" s="303"/>
      <c r="BL83" s="303"/>
      <c r="BM83" s="303"/>
      <c r="BN83" s="303"/>
    </row>
    <row r="84" spans="17:66" x14ac:dyDescent="0.25">
      <c r="Q84" s="303"/>
      <c r="R84" s="303"/>
      <c r="S84" s="303"/>
      <c r="T84" s="2086"/>
      <c r="U84" s="2103" t="s">
        <v>1646</v>
      </c>
      <c r="V84" s="2094" t="s">
        <v>1650</v>
      </c>
      <c r="W84" s="2099">
        <v>1</v>
      </c>
      <c r="X84" s="2099"/>
      <c r="Y84" s="2099">
        <v>210</v>
      </c>
      <c r="Z84" s="2099"/>
      <c r="AA84" s="2104">
        <v>0.28000000000000003</v>
      </c>
      <c r="AB84" s="2088"/>
      <c r="AD84" s="2086"/>
      <c r="AE84" s="300"/>
      <c r="AF84" s="300"/>
      <c r="AG84" s="2088"/>
      <c r="AH84" s="303"/>
      <c r="AI84" s="303"/>
      <c r="AJ84" s="303"/>
      <c r="AK84" s="303"/>
      <c r="AL84" s="303"/>
      <c r="AM84" s="303"/>
      <c r="AN84" s="303"/>
      <c r="AO84" s="303"/>
      <c r="AP84" s="303"/>
      <c r="AQ84" s="303"/>
      <c r="AR84" s="303"/>
      <c r="AS84" s="303"/>
      <c r="AT84" s="303"/>
      <c r="AU84" s="303"/>
      <c r="AV84" s="303"/>
      <c r="AW84" s="303"/>
      <c r="AX84" s="303"/>
      <c r="AY84" s="303"/>
      <c r="AZ84" s="303"/>
      <c r="BA84" s="303"/>
      <c r="BB84" s="303"/>
      <c r="BC84" s="303"/>
      <c r="BD84" s="303"/>
      <c r="BE84" s="303"/>
      <c r="BF84" s="303"/>
      <c r="BG84" s="303"/>
      <c r="BH84" s="303"/>
      <c r="BI84" s="303"/>
      <c r="BJ84" s="303"/>
      <c r="BK84" s="303"/>
      <c r="BL84" s="303"/>
      <c r="BM84" s="303"/>
      <c r="BN84" s="303"/>
    </row>
    <row r="85" spans="17:66" x14ac:dyDescent="0.25">
      <c r="Q85" s="303"/>
      <c r="R85" s="303"/>
      <c r="S85" s="303"/>
      <c r="T85" s="2086"/>
      <c r="U85" s="2103" t="s">
        <v>1646</v>
      </c>
      <c r="V85" s="2094" t="s">
        <v>1417</v>
      </c>
      <c r="W85" s="2099">
        <v>4</v>
      </c>
      <c r="X85" s="2099"/>
      <c r="Y85" s="2099">
        <v>210</v>
      </c>
      <c r="Z85" s="2099"/>
      <c r="AA85" s="2104">
        <v>0.56000000000000005</v>
      </c>
      <c r="AB85" s="2088"/>
      <c r="AD85" s="2086"/>
      <c r="AE85" s="300"/>
      <c r="AF85" s="300"/>
      <c r="AG85" s="2088"/>
      <c r="AH85" s="303"/>
      <c r="AI85" s="303"/>
      <c r="AJ85" s="303"/>
      <c r="AK85" s="303"/>
      <c r="AL85" s="303"/>
      <c r="AM85" s="303"/>
      <c r="AN85" s="303"/>
      <c r="AO85" s="303"/>
      <c r="AP85" s="303"/>
      <c r="AQ85" s="303"/>
      <c r="AR85" s="303"/>
      <c r="AS85" s="303"/>
      <c r="AT85" s="303"/>
      <c r="AU85" s="303"/>
      <c r="AV85" s="303"/>
      <c r="AW85" s="303"/>
      <c r="AX85" s="303"/>
      <c r="AY85" s="303"/>
      <c r="AZ85" s="303"/>
      <c r="BA85" s="303"/>
      <c r="BB85" s="303"/>
      <c r="BC85" s="303"/>
      <c r="BD85" s="303"/>
      <c r="BE85" s="303"/>
      <c r="BF85" s="303"/>
      <c r="BG85" s="303"/>
      <c r="BH85" s="303"/>
      <c r="BI85" s="303"/>
      <c r="BJ85" s="303"/>
      <c r="BK85" s="303"/>
      <c r="BL85" s="303"/>
      <c r="BM85" s="303"/>
      <c r="BN85" s="303"/>
    </row>
    <row r="86" spans="17:66" x14ac:dyDescent="0.25">
      <c r="Q86" s="303"/>
      <c r="R86" s="303"/>
      <c r="S86" s="303"/>
      <c r="T86" s="2086"/>
      <c r="U86" s="2103" t="s">
        <v>1646</v>
      </c>
      <c r="V86" s="2094" t="s">
        <v>1419</v>
      </c>
      <c r="W86" s="2099">
        <v>1</v>
      </c>
      <c r="X86" s="2099"/>
      <c r="Y86" s="2099">
        <v>210</v>
      </c>
      <c r="Z86" s="2099"/>
      <c r="AA86" s="2104">
        <v>0.28000000000000003</v>
      </c>
      <c r="AB86" s="2088"/>
      <c r="AD86" s="2086"/>
      <c r="AE86" s="300"/>
      <c r="AF86" s="300"/>
      <c r="AG86" s="2088"/>
      <c r="AH86" s="303"/>
      <c r="AI86" s="303"/>
      <c r="AN86" s="303"/>
      <c r="AO86" s="303"/>
      <c r="AP86" s="303"/>
      <c r="AQ86" s="303"/>
      <c r="AR86" s="303"/>
      <c r="AS86" s="303"/>
      <c r="AT86" s="303"/>
      <c r="AU86" s="303"/>
      <c r="AV86" s="303"/>
      <c r="AW86" s="303"/>
      <c r="AX86" s="303"/>
      <c r="AY86" s="303"/>
      <c r="AZ86" s="303"/>
      <c r="BA86" s="303"/>
      <c r="BB86" s="303"/>
      <c r="BC86" s="303"/>
      <c r="BD86" s="303"/>
      <c r="BE86" s="303"/>
      <c r="BF86" s="303"/>
      <c r="BG86" s="303"/>
      <c r="BH86" s="303"/>
      <c r="BI86" s="303"/>
      <c r="BJ86" s="303"/>
      <c r="BK86" s="303"/>
      <c r="BL86" s="303"/>
      <c r="BM86" s="303"/>
      <c r="BN86" s="303"/>
    </row>
    <row r="87" spans="17:66" ht="13.25" thickBot="1" x14ac:dyDescent="0.3">
      <c r="Q87" s="303"/>
      <c r="R87" s="303"/>
      <c r="S87" s="303"/>
      <c r="T87" s="2086"/>
      <c r="U87" s="2103" t="s">
        <v>1646</v>
      </c>
      <c r="V87" s="2094" t="s">
        <v>1421</v>
      </c>
      <c r="W87" s="2099">
        <v>6</v>
      </c>
      <c r="X87" s="2099"/>
      <c r="Y87" s="2099">
        <v>130</v>
      </c>
      <c r="Z87" s="2099"/>
      <c r="AA87" s="2104">
        <v>0.56000000000000005</v>
      </c>
      <c r="AB87" s="2088"/>
      <c r="AD87" s="2089"/>
      <c r="AE87" s="2090"/>
      <c r="AF87" s="2090"/>
      <c r="AG87" s="2092"/>
      <c r="AH87" s="303"/>
      <c r="AI87" s="303"/>
      <c r="AN87" s="303"/>
      <c r="AO87" s="303"/>
      <c r="AP87" s="303"/>
      <c r="AQ87" s="303"/>
      <c r="AR87" s="303"/>
      <c r="AS87" s="303"/>
      <c r="AT87" s="303"/>
      <c r="AU87" s="303"/>
      <c r="AV87" s="303"/>
      <c r="AW87" s="303"/>
      <c r="AX87" s="303"/>
      <c r="AY87" s="303"/>
      <c r="AZ87" s="303"/>
      <c r="BA87" s="303"/>
      <c r="BB87" s="303"/>
      <c r="BC87" s="303"/>
      <c r="BD87" s="303"/>
      <c r="BE87" s="303"/>
      <c r="BF87" s="303"/>
      <c r="BG87" s="303"/>
      <c r="BH87" s="303"/>
      <c r="BI87" s="303"/>
      <c r="BJ87" s="303"/>
      <c r="BK87" s="303"/>
      <c r="BL87" s="303"/>
      <c r="BM87" s="303"/>
      <c r="BN87" s="303"/>
    </row>
    <row r="88" spans="17:66" x14ac:dyDescent="0.25">
      <c r="Q88" s="303"/>
      <c r="R88" s="303"/>
      <c r="S88" s="303"/>
      <c r="T88" s="2086"/>
      <c r="U88" s="2103" t="s">
        <v>1646</v>
      </c>
      <c r="V88" s="2094" t="s">
        <v>1423</v>
      </c>
      <c r="W88" s="2099">
        <v>1.5</v>
      </c>
      <c r="X88" s="2099"/>
      <c r="Y88" s="2099">
        <v>130</v>
      </c>
      <c r="Z88" s="2099"/>
      <c r="AA88" s="2104">
        <v>0.28000000000000003</v>
      </c>
      <c r="AB88" s="2088"/>
      <c r="AD88" s="303"/>
      <c r="AE88" s="303"/>
      <c r="AF88" s="303"/>
      <c r="AG88" s="303"/>
      <c r="AH88" s="303"/>
      <c r="AI88" s="303"/>
      <c r="AN88" s="303"/>
      <c r="AO88" s="303"/>
      <c r="AP88" s="303"/>
      <c r="AQ88" s="303"/>
      <c r="AR88" s="303"/>
      <c r="AS88" s="303"/>
      <c r="AT88" s="303"/>
      <c r="AU88" s="303"/>
      <c r="AV88" s="303"/>
      <c r="AW88" s="303"/>
      <c r="AX88" s="303"/>
      <c r="AY88" s="303"/>
      <c r="AZ88" s="303"/>
      <c r="BA88" s="303"/>
      <c r="BB88" s="303"/>
      <c r="BC88" s="303"/>
      <c r="BD88" s="303"/>
      <c r="BE88" s="303"/>
      <c r="BF88" s="303"/>
      <c r="BG88" s="303"/>
      <c r="BH88" s="303"/>
      <c r="BI88" s="303"/>
      <c r="BJ88" s="303"/>
      <c r="BK88" s="303"/>
      <c r="BL88" s="303"/>
      <c r="BM88" s="303"/>
      <c r="BN88" s="303"/>
    </row>
    <row r="89" spans="17:66" x14ac:dyDescent="0.25">
      <c r="Q89" s="303"/>
      <c r="R89" s="303"/>
      <c r="S89" s="303"/>
      <c r="T89" s="2086"/>
      <c r="U89" s="2103" t="s">
        <v>1646</v>
      </c>
      <c r="V89" s="2094" t="s">
        <v>2069</v>
      </c>
      <c r="W89" s="2099">
        <v>7</v>
      </c>
      <c r="X89" s="2099"/>
      <c r="Y89" s="2099">
        <v>160</v>
      </c>
      <c r="Z89" s="2099"/>
      <c r="AA89" s="2104">
        <v>0.56000000000000005</v>
      </c>
      <c r="AB89" s="2088"/>
      <c r="AD89" s="303"/>
      <c r="AE89" s="303"/>
      <c r="AF89" s="303"/>
      <c r="AG89" s="303"/>
      <c r="AH89" s="303"/>
      <c r="AI89" s="303"/>
      <c r="AN89" s="303"/>
      <c r="AO89" s="303"/>
      <c r="AP89" s="303"/>
      <c r="AQ89" s="303"/>
      <c r="AR89" s="303"/>
      <c r="AS89" s="303"/>
      <c r="AT89" s="303"/>
      <c r="AU89" s="303"/>
      <c r="AV89" s="303"/>
      <c r="AW89" s="303"/>
      <c r="AX89" s="303"/>
      <c r="AY89" s="303"/>
      <c r="AZ89" s="303"/>
      <c r="BA89" s="303"/>
      <c r="BB89" s="303"/>
      <c r="BC89" s="303"/>
      <c r="BD89" s="303"/>
      <c r="BE89" s="303"/>
      <c r="BF89" s="303"/>
      <c r="BG89" s="303"/>
      <c r="BH89" s="303"/>
      <c r="BI89" s="303"/>
      <c r="BJ89" s="303"/>
      <c r="BK89" s="303"/>
      <c r="BL89" s="303"/>
      <c r="BM89" s="303"/>
      <c r="BN89" s="303"/>
    </row>
    <row r="90" spans="17:66" ht="13.25" thickBot="1" x14ac:dyDescent="0.3">
      <c r="Q90" s="303"/>
      <c r="R90" s="303"/>
      <c r="S90" s="303"/>
      <c r="T90" s="2086"/>
      <c r="U90" s="2103" t="s">
        <v>1646</v>
      </c>
      <c r="V90" s="2095" t="s">
        <v>32</v>
      </c>
      <c r="W90" s="2099">
        <v>2</v>
      </c>
      <c r="X90" s="2099"/>
      <c r="Y90" s="2099">
        <v>160</v>
      </c>
      <c r="Z90" s="2099"/>
      <c r="AA90" s="2104">
        <v>0.28000000000000003</v>
      </c>
      <c r="AB90" s="2088"/>
      <c r="AD90" s="303"/>
      <c r="AE90" s="303"/>
      <c r="AF90" s="303"/>
      <c r="AG90" s="303"/>
      <c r="AH90" s="303"/>
      <c r="AI90" s="303"/>
      <c r="AN90" s="303"/>
      <c r="AO90" s="303"/>
      <c r="AP90" s="303"/>
      <c r="AQ90" s="303"/>
      <c r="AR90" s="303"/>
      <c r="AS90" s="303"/>
      <c r="AT90" s="303"/>
      <c r="AU90" s="303"/>
      <c r="AV90" s="303"/>
      <c r="AW90" s="303"/>
      <c r="AX90" s="303"/>
      <c r="AY90" s="303"/>
      <c r="AZ90" s="303"/>
      <c r="BA90" s="303"/>
      <c r="BB90" s="303"/>
      <c r="BC90" s="303"/>
      <c r="BD90" s="303"/>
      <c r="BE90" s="303"/>
      <c r="BF90" s="303"/>
      <c r="BG90" s="303"/>
      <c r="BH90" s="303"/>
      <c r="BI90" s="303"/>
      <c r="BJ90" s="303"/>
      <c r="BK90" s="303"/>
      <c r="BL90" s="303"/>
      <c r="BM90" s="303"/>
      <c r="BN90" s="303"/>
    </row>
    <row r="91" spans="17:66" x14ac:dyDescent="0.25">
      <c r="Q91" s="303"/>
      <c r="R91" s="303"/>
      <c r="S91" s="303"/>
      <c r="T91" s="2086"/>
      <c r="U91" s="2103" t="s">
        <v>1646</v>
      </c>
      <c r="V91" s="2096" t="s">
        <v>1860</v>
      </c>
      <c r="W91" s="2099" t="e">
        <f>NA()</f>
        <v>#N/A</v>
      </c>
      <c r="X91" s="2099"/>
      <c r="Y91" s="2099" t="e">
        <f>NA()</f>
        <v>#N/A</v>
      </c>
      <c r="Z91" s="2099"/>
      <c r="AA91" s="2104" t="e">
        <f>NA()</f>
        <v>#N/A</v>
      </c>
      <c r="AB91" s="2088"/>
      <c r="AD91" s="303"/>
      <c r="AE91" s="303"/>
      <c r="AF91" s="303"/>
      <c r="AG91" s="303"/>
      <c r="AH91" s="303"/>
      <c r="AI91" s="303"/>
      <c r="AJ91" s="303"/>
      <c r="AK91" s="303"/>
      <c r="AL91" s="303"/>
      <c r="AM91" s="303"/>
      <c r="AN91" s="303"/>
      <c r="AO91" s="303"/>
      <c r="AP91" s="303"/>
      <c r="AQ91" s="303"/>
      <c r="AR91" s="303"/>
      <c r="AS91" s="303"/>
      <c r="AT91" s="303"/>
      <c r="AU91" s="303"/>
      <c r="AV91" s="303"/>
      <c r="AW91" s="303"/>
      <c r="AX91" s="303"/>
      <c r="AY91" s="303"/>
      <c r="AZ91" s="303"/>
      <c r="BA91" s="303"/>
      <c r="BB91" s="303"/>
      <c r="BC91" s="303"/>
      <c r="BD91" s="303"/>
      <c r="BE91" s="303"/>
      <c r="BF91" s="303"/>
      <c r="BG91" s="303"/>
      <c r="BH91" s="303"/>
      <c r="BI91" s="303"/>
      <c r="BJ91" s="303"/>
      <c r="BK91" s="303"/>
      <c r="BL91" s="303"/>
      <c r="BM91" s="303"/>
      <c r="BN91" s="303"/>
    </row>
    <row r="92" spans="17:66" x14ac:dyDescent="0.25">
      <c r="Q92" s="303"/>
      <c r="R92" s="303"/>
      <c r="S92" s="303"/>
      <c r="T92" s="2086"/>
      <c r="U92" s="2103" t="s">
        <v>1646</v>
      </c>
      <c r="V92" s="2097" t="s">
        <v>1861</v>
      </c>
      <c r="W92" s="2099" t="e">
        <f>NA()</f>
        <v>#N/A</v>
      </c>
      <c r="X92" s="2099"/>
      <c r="Y92" s="2099" t="e">
        <f>NA()</f>
        <v>#N/A</v>
      </c>
      <c r="Z92" s="2099"/>
      <c r="AA92" s="2104" t="e">
        <f>NA()</f>
        <v>#N/A</v>
      </c>
      <c r="AB92" s="2088"/>
      <c r="AD92" s="303"/>
      <c r="AE92" s="303"/>
      <c r="AF92" s="303"/>
      <c r="AG92" s="303"/>
      <c r="AH92" s="303"/>
      <c r="AI92" s="303"/>
      <c r="AJ92" s="303"/>
      <c r="AK92" s="303"/>
      <c r="AL92" s="303"/>
      <c r="AM92" s="303"/>
      <c r="AN92" s="303"/>
      <c r="AO92" s="303"/>
      <c r="AP92" s="303"/>
      <c r="AQ92" s="303"/>
      <c r="AR92" s="303"/>
      <c r="AS92" s="303"/>
      <c r="AT92" s="303"/>
      <c r="AU92" s="303"/>
      <c r="AV92" s="303"/>
      <c r="AW92" s="303"/>
      <c r="AX92" s="303"/>
      <c r="AY92" s="303"/>
      <c r="AZ92" s="303"/>
      <c r="BA92" s="303"/>
      <c r="BB92" s="303"/>
      <c r="BC92" s="303"/>
      <c r="BD92" s="303"/>
      <c r="BE92" s="303"/>
      <c r="BF92" s="303"/>
      <c r="BG92" s="303"/>
      <c r="BH92" s="303"/>
      <c r="BI92" s="303"/>
      <c r="BJ92" s="303"/>
      <c r="BK92" s="303"/>
      <c r="BL92" s="303"/>
      <c r="BM92" s="303"/>
      <c r="BN92" s="303"/>
    </row>
    <row r="93" spans="17:66" x14ac:dyDescent="0.25">
      <c r="Q93" s="303"/>
      <c r="R93" s="303"/>
      <c r="S93" s="303"/>
      <c r="T93" s="2086"/>
      <c r="U93" s="2103" t="s">
        <v>1646</v>
      </c>
      <c r="V93" s="2097" t="s">
        <v>1862</v>
      </c>
      <c r="W93" s="2099" t="e">
        <f>NA()</f>
        <v>#N/A</v>
      </c>
      <c r="X93" s="2099"/>
      <c r="Y93" s="2099" t="e">
        <f>NA()</f>
        <v>#N/A</v>
      </c>
      <c r="Z93" s="2099"/>
      <c r="AA93" s="2104" t="e">
        <f>NA()</f>
        <v>#N/A</v>
      </c>
      <c r="AB93" s="2088"/>
      <c r="AD93" s="303"/>
      <c r="AE93" s="303"/>
      <c r="AF93" s="303"/>
      <c r="AG93" s="303"/>
      <c r="AH93" s="303"/>
      <c r="AI93" s="303"/>
      <c r="AJ93" s="303"/>
      <c r="AK93" s="303"/>
      <c r="AL93" s="303"/>
      <c r="AM93" s="303"/>
      <c r="AN93" s="303"/>
      <c r="AO93" s="303"/>
      <c r="AP93" s="303"/>
      <c r="AQ93" s="303"/>
      <c r="AR93" s="303"/>
      <c r="AS93" s="303"/>
      <c r="AT93" s="303"/>
      <c r="AU93" s="303"/>
      <c r="AV93" s="303"/>
      <c r="AW93" s="303"/>
      <c r="AX93" s="303"/>
      <c r="AY93" s="303"/>
      <c r="AZ93" s="303"/>
      <c r="BA93" s="303"/>
      <c r="BB93" s="303"/>
      <c r="BC93" s="303"/>
      <c r="BD93" s="303"/>
      <c r="BE93" s="303"/>
      <c r="BF93" s="303"/>
      <c r="BG93" s="303"/>
      <c r="BH93" s="303"/>
      <c r="BI93" s="303"/>
      <c r="BJ93" s="303"/>
      <c r="BK93" s="303"/>
      <c r="BL93" s="303"/>
      <c r="BM93" s="303"/>
      <c r="BN93" s="303"/>
    </row>
    <row r="94" spans="17:66" ht="13.25" thickBot="1" x14ac:dyDescent="0.3">
      <c r="Q94" s="303"/>
      <c r="R94" s="303"/>
      <c r="S94" s="303"/>
      <c r="T94" s="2086"/>
      <c r="U94" s="2103" t="s">
        <v>1646</v>
      </c>
      <c r="V94" s="2097" t="s">
        <v>1863</v>
      </c>
      <c r="W94" s="2099" t="e">
        <f>NA()</f>
        <v>#N/A</v>
      </c>
      <c r="X94" s="2099"/>
      <c r="Y94" s="2099" t="e">
        <f>NA()</f>
        <v>#N/A</v>
      </c>
      <c r="Z94" s="2099"/>
      <c r="AA94" s="2104" t="e">
        <f>NA()</f>
        <v>#N/A</v>
      </c>
      <c r="AB94" s="2088"/>
      <c r="AD94" s="303"/>
      <c r="AE94" s="303"/>
      <c r="AF94" s="303"/>
      <c r="AG94" s="303"/>
      <c r="AH94" s="303"/>
      <c r="AI94" s="303"/>
      <c r="AJ94" s="303"/>
      <c r="AK94" s="303"/>
      <c r="AL94" s="303"/>
      <c r="AM94" s="303"/>
      <c r="AN94" s="303"/>
      <c r="AO94" s="303"/>
      <c r="AP94" s="303"/>
      <c r="AQ94" s="303"/>
      <c r="AR94" s="303"/>
      <c r="AS94" s="303"/>
      <c r="AT94" s="303"/>
      <c r="AU94" s="303"/>
      <c r="AV94" s="303"/>
      <c r="AW94" s="303"/>
      <c r="AX94" s="303"/>
      <c r="AY94" s="303"/>
      <c r="AZ94" s="303"/>
      <c r="BA94" s="303"/>
      <c r="BB94" s="303"/>
      <c r="BC94" s="303"/>
      <c r="BD94" s="303"/>
      <c r="BE94" s="303"/>
      <c r="BF94" s="303"/>
      <c r="BG94" s="303"/>
      <c r="BH94" s="303"/>
      <c r="BI94" s="303"/>
      <c r="BJ94" s="303"/>
      <c r="BK94" s="303"/>
      <c r="BL94" s="303"/>
      <c r="BM94" s="303"/>
      <c r="BN94" s="303"/>
    </row>
    <row r="95" spans="17:66" x14ac:dyDescent="0.25">
      <c r="Q95" s="303"/>
      <c r="R95" s="303"/>
      <c r="S95" s="303"/>
      <c r="T95" s="2086"/>
      <c r="U95" s="2103" t="s">
        <v>1646</v>
      </c>
      <c r="V95" s="2097" t="s">
        <v>1864</v>
      </c>
      <c r="W95" s="2099" t="e">
        <f>NA()</f>
        <v>#N/A</v>
      </c>
      <c r="X95" s="2099"/>
      <c r="Y95" s="2099" t="e">
        <f>NA()</f>
        <v>#N/A</v>
      </c>
      <c r="Z95" s="2099"/>
      <c r="AA95" s="2104" t="e">
        <f>NA()</f>
        <v>#N/A</v>
      </c>
      <c r="AB95" s="2088"/>
      <c r="AD95" s="303"/>
      <c r="AE95" s="303"/>
      <c r="AF95" s="303"/>
      <c r="AG95" s="303"/>
      <c r="AH95" s="303"/>
      <c r="AI95" s="303"/>
      <c r="AJ95" s="2309" t="s">
        <v>1251</v>
      </c>
      <c r="AK95" s="2310"/>
      <c r="AL95" s="2084"/>
      <c r="AM95" s="2084"/>
      <c r="AN95" s="2085"/>
      <c r="AO95" s="303"/>
      <c r="AP95" s="303"/>
      <c r="AQ95" s="303"/>
      <c r="AR95" s="303"/>
      <c r="AS95" s="303"/>
      <c r="AT95" s="303"/>
      <c r="AU95" s="303"/>
      <c r="AV95" s="303"/>
      <c r="AW95" s="303"/>
      <c r="AX95" s="303"/>
      <c r="AY95" s="303"/>
      <c r="AZ95" s="303"/>
      <c r="BA95" s="303"/>
      <c r="BB95" s="303"/>
      <c r="BC95" s="303"/>
      <c r="BD95" s="303"/>
      <c r="BE95" s="303"/>
      <c r="BF95" s="303"/>
      <c r="BG95" s="303"/>
      <c r="BH95" s="303"/>
      <c r="BI95" s="303"/>
      <c r="BJ95" s="303"/>
      <c r="BK95" s="303"/>
      <c r="BL95" s="303"/>
      <c r="BM95" s="303"/>
      <c r="BN95" s="303"/>
    </row>
    <row r="96" spans="17:66" ht="13.25" thickBot="1" x14ac:dyDescent="0.3">
      <c r="Q96" s="303"/>
      <c r="R96" s="303"/>
      <c r="S96" s="303"/>
      <c r="T96" s="2086"/>
      <c r="U96" s="2103" t="s">
        <v>1646</v>
      </c>
      <c r="V96" s="2098" t="s">
        <v>1598</v>
      </c>
      <c r="W96" s="2099" t="e">
        <f>NA()</f>
        <v>#N/A</v>
      </c>
      <c r="X96" s="2099"/>
      <c r="Y96" s="2099" t="e">
        <f>NA()</f>
        <v>#N/A</v>
      </c>
      <c r="Z96" s="2099"/>
      <c r="AA96" s="2104" t="e">
        <f>NA()</f>
        <v>#N/A</v>
      </c>
      <c r="AB96" s="2088"/>
      <c r="AD96" s="303"/>
      <c r="AE96" s="303"/>
      <c r="AF96" s="303"/>
      <c r="AG96" s="303"/>
      <c r="AH96" s="303"/>
      <c r="AI96" s="303"/>
      <c r="AJ96" s="2311"/>
      <c r="AK96" s="2312"/>
      <c r="AL96" s="300"/>
      <c r="AM96" s="300"/>
      <c r="AN96" s="2088"/>
      <c r="AO96" s="303"/>
      <c r="AP96" s="303"/>
      <c r="AQ96" s="303"/>
      <c r="AR96" s="303"/>
      <c r="AS96" s="303"/>
      <c r="AT96" s="303"/>
      <c r="AU96" s="303"/>
      <c r="AV96" s="303"/>
      <c r="AW96" s="303"/>
      <c r="AX96" s="303"/>
      <c r="AY96" s="303"/>
      <c r="AZ96" s="303"/>
      <c r="BA96" s="303"/>
      <c r="BB96" s="303"/>
      <c r="BC96" s="303"/>
      <c r="BD96" s="303"/>
      <c r="BE96" s="303"/>
      <c r="BF96" s="303"/>
      <c r="BG96" s="303"/>
      <c r="BH96" s="303"/>
      <c r="BI96" s="303"/>
      <c r="BJ96" s="303"/>
      <c r="BK96" s="303"/>
      <c r="BL96" s="303"/>
      <c r="BM96" s="303"/>
      <c r="BN96" s="303"/>
    </row>
    <row r="97" spans="1:66" x14ac:dyDescent="0.25">
      <c r="Q97" s="303"/>
      <c r="R97" s="303"/>
      <c r="S97" s="303"/>
      <c r="T97" s="2086"/>
      <c r="U97" s="2103" t="s">
        <v>1649</v>
      </c>
      <c r="V97" s="2093" t="s">
        <v>1644</v>
      </c>
      <c r="W97" s="2099">
        <v>0.45</v>
      </c>
      <c r="X97" s="2099" t="s">
        <v>1648</v>
      </c>
      <c r="Y97" s="2099">
        <v>70</v>
      </c>
      <c r="Z97" s="2099"/>
      <c r="AA97" s="2104">
        <v>0.4</v>
      </c>
      <c r="AB97" s="2088"/>
      <c r="AD97" s="303"/>
      <c r="AE97" s="303"/>
      <c r="AF97" s="303"/>
      <c r="AG97" s="303"/>
      <c r="AH97" s="303"/>
      <c r="AI97" s="303"/>
      <c r="AJ97" s="2086"/>
      <c r="AK97" s="306"/>
      <c r="AL97" s="306" t="s">
        <v>1603</v>
      </c>
      <c r="AM97" s="300"/>
      <c r="AN97" s="2088"/>
      <c r="AO97" s="303"/>
      <c r="AP97" s="303"/>
      <c r="AQ97" s="303"/>
      <c r="AR97" s="303"/>
      <c r="AS97" s="303"/>
      <c r="AT97" s="303"/>
      <c r="AU97" s="303"/>
      <c r="AV97" s="303"/>
      <c r="AW97" s="303"/>
      <c r="AX97" s="303"/>
      <c r="AY97" s="303"/>
      <c r="AZ97" s="303"/>
      <c r="BA97" s="303"/>
      <c r="BB97" s="303"/>
      <c r="BC97" s="303"/>
      <c r="BD97" s="303"/>
      <c r="BE97" s="303"/>
      <c r="BF97" s="303"/>
      <c r="BG97" s="303"/>
      <c r="BH97" s="303"/>
      <c r="BI97" s="303"/>
      <c r="BJ97" s="303"/>
      <c r="BK97" s="303"/>
      <c r="BL97" s="303"/>
      <c r="BM97" s="303"/>
      <c r="BN97" s="303"/>
    </row>
    <row r="98" spans="1:66" x14ac:dyDescent="0.25">
      <c r="A98" s="320"/>
      <c r="B98" s="303"/>
      <c r="C98" s="303"/>
      <c r="D98" s="303"/>
      <c r="E98" s="303"/>
      <c r="F98" s="303"/>
      <c r="G98" s="303"/>
      <c r="H98" s="303"/>
      <c r="I98" s="303"/>
      <c r="J98" s="303"/>
      <c r="K98" s="303"/>
      <c r="L98" s="303"/>
      <c r="M98" s="303"/>
      <c r="N98" s="303"/>
      <c r="O98" s="303"/>
      <c r="P98" s="303"/>
      <c r="Q98" s="303"/>
      <c r="R98" s="303"/>
      <c r="S98" s="303"/>
      <c r="T98" s="2086"/>
      <c r="U98" s="2103" t="s">
        <v>1649</v>
      </c>
      <c r="V98" s="2094" t="s">
        <v>1645</v>
      </c>
      <c r="W98" s="2099">
        <v>0.9</v>
      </c>
      <c r="X98" s="2099"/>
      <c r="Y98" s="2099">
        <v>70</v>
      </c>
      <c r="Z98" s="2099"/>
      <c r="AA98" s="2104">
        <v>0.4</v>
      </c>
      <c r="AB98" s="2088"/>
      <c r="AD98" s="303"/>
      <c r="AE98" s="303"/>
      <c r="AF98" s="303"/>
      <c r="AG98" s="303"/>
      <c r="AH98" s="303"/>
      <c r="AI98" s="303"/>
      <c r="AJ98" s="2086"/>
      <c r="AK98" s="306" t="s">
        <v>1946</v>
      </c>
      <c r="AL98" s="306" t="e">
        <f>NA()</f>
        <v>#N/A</v>
      </c>
      <c r="AM98" s="300"/>
      <c r="AN98" s="2088"/>
      <c r="AO98" s="303"/>
      <c r="AP98" s="303"/>
      <c r="AQ98" s="303"/>
      <c r="AR98" s="303"/>
      <c r="AS98" s="303"/>
      <c r="AT98" s="303"/>
      <c r="AU98" s="303"/>
      <c r="AV98" s="303"/>
      <c r="AW98" s="303"/>
      <c r="AX98" s="303"/>
      <c r="AY98" s="303"/>
      <c r="AZ98" s="303"/>
      <c r="BA98" s="303"/>
      <c r="BB98" s="303"/>
      <c r="BC98" s="303"/>
      <c r="BD98" s="303"/>
      <c r="BE98" s="303"/>
      <c r="BF98" s="303"/>
      <c r="BG98" s="303"/>
      <c r="BH98" s="303"/>
      <c r="BI98" s="303"/>
      <c r="BJ98" s="303"/>
      <c r="BK98" s="303"/>
      <c r="BL98" s="303"/>
      <c r="BM98" s="303"/>
      <c r="BN98" s="303"/>
    </row>
    <row r="99" spans="1:66" x14ac:dyDescent="0.25">
      <c r="A99" s="320"/>
      <c r="B99" s="303"/>
      <c r="C99" s="303"/>
      <c r="D99" s="303"/>
      <c r="E99" s="303"/>
      <c r="F99" s="303"/>
      <c r="G99" s="303"/>
      <c r="H99" s="303"/>
      <c r="I99" s="303"/>
      <c r="J99" s="303"/>
      <c r="K99" s="303"/>
      <c r="L99" s="303"/>
      <c r="M99" s="303"/>
      <c r="N99" s="303"/>
      <c r="O99" s="303"/>
      <c r="P99" s="303"/>
      <c r="Q99" s="303"/>
      <c r="R99" s="303"/>
      <c r="S99" s="303"/>
      <c r="T99" s="2086"/>
      <c r="U99" s="2103" t="s">
        <v>1649</v>
      </c>
      <c r="V99" s="2094" t="s">
        <v>1647</v>
      </c>
      <c r="W99" s="2099">
        <v>4</v>
      </c>
      <c r="X99" s="2099"/>
      <c r="Y99" s="2099">
        <v>80</v>
      </c>
      <c r="Z99" s="2099"/>
      <c r="AA99" s="2104">
        <v>0.4</v>
      </c>
      <c r="AB99" s="2088"/>
      <c r="AD99" s="303"/>
      <c r="AE99" s="303"/>
      <c r="AF99" s="303"/>
      <c r="AG99" s="303"/>
      <c r="AH99" s="303"/>
      <c r="AI99" s="303"/>
      <c r="AJ99" s="2086"/>
      <c r="AK99" s="306" t="s">
        <v>642</v>
      </c>
      <c r="AL99" s="306">
        <v>0.1</v>
      </c>
      <c r="AM99" s="300"/>
      <c r="AN99" s="2088"/>
      <c r="AO99" s="303"/>
      <c r="AP99" s="303"/>
      <c r="AQ99" s="303"/>
      <c r="AR99" s="303"/>
      <c r="AS99" s="303"/>
      <c r="AT99" s="303"/>
      <c r="AU99" s="303"/>
      <c r="AV99" s="303"/>
      <c r="AW99" s="303"/>
      <c r="AX99" s="303"/>
      <c r="AY99" s="303"/>
      <c r="AZ99" s="303"/>
      <c r="BA99" s="303"/>
      <c r="BB99" s="303"/>
      <c r="BC99" s="303"/>
      <c r="BD99" s="303"/>
      <c r="BE99" s="303"/>
      <c r="BF99" s="303"/>
      <c r="BG99" s="303"/>
      <c r="BH99" s="303"/>
      <c r="BI99" s="303"/>
      <c r="BJ99" s="303"/>
      <c r="BK99" s="303"/>
      <c r="BL99" s="303"/>
      <c r="BM99" s="303"/>
      <c r="BN99" s="303"/>
    </row>
    <row r="100" spans="1:66" x14ac:dyDescent="0.25">
      <c r="A100" s="320"/>
      <c r="B100" s="303"/>
      <c r="C100" s="303"/>
      <c r="D100" s="303"/>
      <c r="E100" s="303"/>
      <c r="F100" s="303"/>
      <c r="G100" s="303"/>
      <c r="H100" s="303"/>
      <c r="I100" s="303"/>
      <c r="J100" s="303"/>
      <c r="K100" s="303"/>
      <c r="L100" s="303"/>
      <c r="M100" s="303"/>
      <c r="N100" s="303"/>
      <c r="O100" s="303"/>
      <c r="P100" s="303"/>
      <c r="Q100" s="303"/>
      <c r="R100" s="303"/>
      <c r="S100" s="303"/>
      <c r="T100" s="2086"/>
      <c r="U100" s="2103" t="s">
        <v>1649</v>
      </c>
      <c r="V100" s="2094" t="s">
        <v>1650</v>
      </c>
      <c r="W100" s="2099">
        <v>1</v>
      </c>
      <c r="X100" s="2099"/>
      <c r="Y100" s="2099">
        <v>80</v>
      </c>
      <c r="Z100" s="2099"/>
      <c r="AA100" s="2104">
        <v>0.4</v>
      </c>
      <c r="AB100" s="2088"/>
      <c r="AD100" s="303"/>
      <c r="AE100" s="303"/>
      <c r="AF100" s="303"/>
      <c r="AG100" s="303"/>
      <c r="AH100" s="303"/>
      <c r="AI100" s="303"/>
      <c r="AJ100" s="2086"/>
      <c r="AK100" s="306" t="s">
        <v>643</v>
      </c>
      <c r="AL100" s="306">
        <v>1</v>
      </c>
      <c r="AM100" s="300"/>
      <c r="AN100" s="2088"/>
      <c r="AO100" s="303"/>
      <c r="AP100" s="303"/>
      <c r="AQ100" s="303"/>
      <c r="AR100" s="303"/>
      <c r="AS100" s="303"/>
      <c r="AT100" s="303"/>
      <c r="AU100" s="303"/>
      <c r="AV100" s="303"/>
      <c r="AW100" s="303"/>
      <c r="AX100" s="303"/>
      <c r="AY100" s="303"/>
      <c r="AZ100" s="303"/>
      <c r="BA100" s="303"/>
      <c r="BB100" s="303"/>
      <c r="BC100" s="303"/>
      <c r="BD100" s="303"/>
      <c r="BE100" s="303"/>
      <c r="BF100" s="303"/>
      <c r="BG100" s="303"/>
      <c r="BH100" s="303"/>
      <c r="BI100" s="303"/>
      <c r="BJ100" s="303"/>
      <c r="BK100" s="303"/>
      <c r="BL100" s="303"/>
      <c r="BM100" s="303"/>
      <c r="BN100" s="303"/>
    </row>
    <row r="101" spans="1:66" x14ac:dyDescent="0.25">
      <c r="A101" s="320"/>
      <c r="B101" s="303"/>
      <c r="C101" s="303"/>
      <c r="D101" s="303"/>
      <c r="E101" s="303"/>
      <c r="F101" s="303"/>
      <c r="G101" s="303"/>
      <c r="H101" s="303"/>
      <c r="I101" s="303"/>
      <c r="J101" s="303"/>
      <c r="K101" s="303"/>
      <c r="L101" s="303"/>
      <c r="M101" s="303"/>
      <c r="N101" s="303"/>
      <c r="O101" s="303"/>
      <c r="P101" s="303"/>
      <c r="Q101" s="303"/>
      <c r="R101" s="303"/>
      <c r="S101" s="303"/>
      <c r="T101" s="2086"/>
      <c r="U101" s="2103" t="s">
        <v>1649</v>
      </c>
      <c r="V101" s="2094" t="s">
        <v>1417</v>
      </c>
      <c r="W101" s="2099">
        <v>4</v>
      </c>
      <c r="X101" s="2099"/>
      <c r="Y101" s="2099">
        <v>80</v>
      </c>
      <c r="Z101" s="2099"/>
      <c r="AA101" s="2104">
        <v>0.4</v>
      </c>
      <c r="AB101" s="2088"/>
      <c r="AD101" s="303"/>
      <c r="AE101" s="303"/>
      <c r="AF101" s="303"/>
      <c r="AG101" s="303"/>
      <c r="AH101" s="303"/>
      <c r="AI101" s="303"/>
      <c r="AJ101" s="2086"/>
      <c r="AK101" s="306" t="s">
        <v>644</v>
      </c>
      <c r="AL101" s="306">
        <v>2.54</v>
      </c>
      <c r="AM101" s="300"/>
      <c r="AN101" s="2088"/>
      <c r="AO101" s="303"/>
      <c r="AP101" s="303"/>
      <c r="AQ101" s="303"/>
      <c r="AR101" s="303"/>
      <c r="AS101" s="303"/>
      <c r="AT101" s="303"/>
      <c r="AU101" s="303"/>
      <c r="AV101" s="303"/>
      <c r="AW101" s="303"/>
      <c r="AX101" s="303"/>
      <c r="AY101" s="303"/>
      <c r="AZ101" s="303"/>
      <c r="BA101" s="303"/>
      <c r="BB101" s="303"/>
      <c r="BC101" s="303"/>
      <c r="BD101" s="303"/>
      <c r="BE101" s="303"/>
      <c r="BF101" s="303"/>
      <c r="BG101" s="303"/>
      <c r="BH101" s="303"/>
      <c r="BI101" s="303"/>
      <c r="BJ101" s="303"/>
      <c r="BK101" s="303"/>
      <c r="BL101" s="303"/>
      <c r="BM101" s="303"/>
      <c r="BN101" s="303"/>
    </row>
    <row r="102" spans="1:66" x14ac:dyDescent="0.25">
      <c r="A102" s="320"/>
      <c r="B102" s="303"/>
      <c r="C102" s="303"/>
      <c r="D102" s="303"/>
      <c r="E102" s="303"/>
      <c r="F102" s="303"/>
      <c r="G102" s="303"/>
      <c r="H102" s="303"/>
      <c r="I102" s="303"/>
      <c r="J102" s="303"/>
      <c r="K102" s="303"/>
      <c r="L102" s="303"/>
      <c r="M102" s="303"/>
      <c r="N102" s="303"/>
      <c r="O102" s="303"/>
      <c r="P102" s="303"/>
      <c r="Q102" s="303"/>
      <c r="R102" s="303"/>
      <c r="S102" s="303"/>
      <c r="T102" s="2086"/>
      <c r="U102" s="2103" t="s">
        <v>1649</v>
      </c>
      <c r="V102" s="2094" t="s">
        <v>1419</v>
      </c>
      <c r="W102" s="2099">
        <v>1</v>
      </c>
      <c r="X102" s="2099"/>
      <c r="Y102" s="2099">
        <v>80</v>
      </c>
      <c r="Z102" s="2099"/>
      <c r="AA102" s="2104">
        <v>0.4</v>
      </c>
      <c r="AB102" s="2088"/>
      <c r="AD102" s="303"/>
      <c r="AE102" s="303"/>
      <c r="AF102" s="303"/>
      <c r="AG102" s="303"/>
      <c r="AH102" s="303"/>
      <c r="AI102" s="303"/>
      <c r="AJ102" s="2086"/>
      <c r="AK102" s="306" t="s">
        <v>645</v>
      </c>
      <c r="AL102" s="306">
        <v>100</v>
      </c>
      <c r="AM102" s="300"/>
      <c r="AN102" s="2088"/>
      <c r="AO102" s="303"/>
      <c r="AP102" s="303"/>
      <c r="AQ102" s="303"/>
      <c r="AR102" s="303"/>
      <c r="AS102" s="303"/>
      <c r="AT102" s="303"/>
      <c r="AU102" s="303"/>
      <c r="AV102" s="303"/>
      <c r="AW102" s="303"/>
      <c r="AX102" s="303"/>
      <c r="AY102" s="303"/>
      <c r="AZ102" s="303"/>
      <c r="BA102" s="303"/>
      <c r="BB102" s="303"/>
      <c r="BC102" s="303"/>
      <c r="BD102" s="303"/>
      <c r="BE102" s="303"/>
      <c r="BF102" s="303"/>
      <c r="BG102" s="303"/>
      <c r="BH102" s="303"/>
      <c r="BI102" s="303"/>
      <c r="BJ102" s="303"/>
      <c r="BK102" s="303"/>
      <c r="BL102" s="303"/>
      <c r="BM102" s="303"/>
      <c r="BN102" s="303"/>
    </row>
    <row r="103" spans="1:66" x14ac:dyDescent="0.25">
      <c r="A103" s="320"/>
      <c r="B103" s="303"/>
      <c r="C103" s="303"/>
      <c r="D103" s="303"/>
      <c r="E103" s="303"/>
      <c r="F103" s="303"/>
      <c r="G103" s="303"/>
      <c r="H103" s="303"/>
      <c r="I103" s="303"/>
      <c r="J103" s="303"/>
      <c r="K103" s="303"/>
      <c r="L103" s="303"/>
      <c r="M103" s="303"/>
      <c r="N103" s="303"/>
      <c r="O103" s="303"/>
      <c r="P103" s="303"/>
      <c r="Q103" s="303"/>
      <c r="R103" s="303"/>
      <c r="S103" s="303"/>
      <c r="T103" s="2086"/>
      <c r="U103" s="2103" t="s">
        <v>1649</v>
      </c>
      <c r="V103" s="2094" t="s">
        <v>1421</v>
      </c>
      <c r="W103" s="2099">
        <v>5</v>
      </c>
      <c r="X103" s="2099"/>
      <c r="Y103" s="2099">
        <v>60</v>
      </c>
      <c r="Z103" s="2099"/>
      <c r="AA103" s="2104">
        <v>0.4</v>
      </c>
      <c r="AB103" s="2088"/>
      <c r="AD103" s="303"/>
      <c r="AE103" s="303"/>
      <c r="AF103" s="303"/>
      <c r="AG103" s="303"/>
      <c r="AH103" s="303"/>
      <c r="AI103" s="303"/>
      <c r="AJ103" s="2086"/>
      <c r="AK103" s="300"/>
      <c r="AL103" s="300"/>
      <c r="AM103" s="300"/>
      <c r="AN103" s="2088"/>
      <c r="AO103" s="303"/>
      <c r="AP103" s="303"/>
      <c r="AQ103" s="303"/>
      <c r="AR103" s="303"/>
      <c r="AS103" s="303"/>
      <c r="AT103" s="303"/>
      <c r="AU103" s="303"/>
      <c r="AV103" s="303"/>
      <c r="AW103" s="303"/>
      <c r="AX103" s="303"/>
      <c r="AY103" s="303"/>
      <c r="AZ103" s="303"/>
      <c r="BA103" s="303"/>
      <c r="BB103" s="303"/>
      <c r="BC103" s="303"/>
      <c r="BD103" s="303"/>
      <c r="BE103" s="303"/>
      <c r="BF103" s="303"/>
      <c r="BG103" s="303"/>
      <c r="BH103" s="303"/>
      <c r="BI103" s="303"/>
      <c r="BJ103" s="303"/>
      <c r="BK103" s="303"/>
      <c r="BL103" s="303"/>
      <c r="BM103" s="303"/>
      <c r="BN103" s="303"/>
    </row>
    <row r="104" spans="1:66" x14ac:dyDescent="0.25">
      <c r="A104" s="320"/>
      <c r="B104" s="303"/>
      <c r="C104" s="303"/>
      <c r="D104" s="303"/>
      <c r="E104" s="303"/>
      <c r="F104" s="303"/>
      <c r="G104" s="303"/>
      <c r="H104" s="303"/>
      <c r="I104" s="303"/>
      <c r="J104" s="303"/>
      <c r="K104" s="303"/>
      <c r="L104" s="303"/>
      <c r="M104" s="303"/>
      <c r="N104" s="303"/>
      <c r="O104" s="303"/>
      <c r="P104" s="303"/>
      <c r="Q104" s="303"/>
      <c r="R104" s="303"/>
      <c r="S104" s="303"/>
      <c r="T104" s="2086"/>
      <c r="U104" s="2103" t="s">
        <v>1649</v>
      </c>
      <c r="V104" s="2094" t="s">
        <v>1423</v>
      </c>
      <c r="W104" s="2099">
        <v>1.3</v>
      </c>
      <c r="X104" s="2099"/>
      <c r="Y104" s="2099">
        <v>60</v>
      </c>
      <c r="Z104" s="2099"/>
      <c r="AA104" s="2104">
        <v>0.4</v>
      </c>
      <c r="AB104" s="2088"/>
      <c r="AD104" s="303"/>
      <c r="AE104" s="303"/>
      <c r="AF104" s="303"/>
      <c r="AG104" s="303"/>
      <c r="AH104" s="303"/>
      <c r="AI104" s="303"/>
      <c r="AJ104" s="2086"/>
      <c r="AK104" s="300"/>
      <c r="AL104" s="300"/>
      <c r="AM104" s="300"/>
      <c r="AN104" s="2088"/>
      <c r="AO104" s="303"/>
      <c r="AP104" s="303"/>
      <c r="AQ104" s="303"/>
      <c r="AR104" s="303"/>
      <c r="AS104" s="303"/>
      <c r="AT104" s="303"/>
      <c r="AU104" s="303"/>
      <c r="AV104" s="303"/>
      <c r="AW104" s="303"/>
      <c r="AX104" s="303"/>
      <c r="AY104" s="303"/>
      <c r="AZ104" s="303"/>
      <c r="BA104" s="303"/>
      <c r="BB104" s="303"/>
      <c r="BC104" s="303"/>
      <c r="BD104" s="303"/>
      <c r="BE104" s="303"/>
      <c r="BF104" s="303"/>
      <c r="BG104" s="303"/>
      <c r="BH104" s="303"/>
      <c r="BI104" s="303"/>
      <c r="BJ104" s="303"/>
      <c r="BK104" s="303"/>
      <c r="BL104" s="303"/>
      <c r="BM104" s="303"/>
      <c r="BN104" s="303"/>
    </row>
    <row r="105" spans="1:66" x14ac:dyDescent="0.25">
      <c r="A105" s="320"/>
      <c r="B105" s="303"/>
      <c r="C105" s="303"/>
      <c r="D105" s="303"/>
      <c r="E105" s="303"/>
      <c r="F105" s="303"/>
      <c r="G105" s="303"/>
      <c r="H105" s="303"/>
      <c r="I105" s="303"/>
      <c r="J105" s="303"/>
      <c r="K105" s="303"/>
      <c r="L105" s="303"/>
      <c r="M105" s="303"/>
      <c r="N105" s="303"/>
      <c r="O105" s="303"/>
      <c r="P105" s="303"/>
      <c r="Q105" s="303"/>
      <c r="R105" s="303"/>
      <c r="S105" s="303"/>
      <c r="T105" s="2086"/>
      <c r="U105" s="2103" t="s">
        <v>1649</v>
      </c>
      <c r="V105" s="2094" t="s">
        <v>2069</v>
      </c>
      <c r="W105" s="2099">
        <v>2</v>
      </c>
      <c r="X105" s="2099"/>
      <c r="Y105" s="2099">
        <v>70</v>
      </c>
      <c r="Z105" s="2099"/>
      <c r="AA105" s="2104">
        <v>0.4</v>
      </c>
      <c r="AB105" s="2088"/>
      <c r="AD105" s="303"/>
      <c r="AE105" s="303"/>
      <c r="AF105" s="303"/>
      <c r="AG105" s="303"/>
      <c r="AH105" s="303"/>
      <c r="AI105" s="303"/>
      <c r="AJ105" s="2086"/>
      <c r="AK105" s="300"/>
      <c r="AL105" s="300"/>
      <c r="AM105" s="300"/>
      <c r="AN105" s="2088"/>
      <c r="AO105" s="303"/>
      <c r="AP105" s="303"/>
      <c r="AQ105" s="303"/>
      <c r="AR105" s="303"/>
      <c r="AS105" s="303"/>
      <c r="AT105" s="303"/>
      <c r="AU105" s="303"/>
      <c r="AV105" s="303"/>
      <c r="AW105" s="303"/>
      <c r="AX105" s="303"/>
      <c r="AY105" s="303"/>
      <c r="AZ105" s="303"/>
      <c r="BA105" s="303"/>
      <c r="BB105" s="303"/>
      <c r="BC105" s="303"/>
      <c r="BD105" s="303"/>
      <c r="BE105" s="303"/>
      <c r="BF105" s="303"/>
      <c r="BG105" s="303"/>
      <c r="BH105" s="303"/>
      <c r="BI105" s="303"/>
      <c r="BJ105" s="303"/>
      <c r="BK105" s="303"/>
      <c r="BL105" s="303"/>
      <c r="BM105" s="303"/>
      <c r="BN105" s="303"/>
    </row>
    <row r="106" spans="1:66" ht="13.25" thickBot="1" x14ac:dyDescent="0.3">
      <c r="A106" s="320"/>
      <c r="B106" s="303"/>
      <c r="C106" s="303"/>
      <c r="D106" s="303"/>
      <c r="E106" s="303"/>
      <c r="F106" s="303"/>
      <c r="G106" s="303"/>
      <c r="H106" s="303"/>
      <c r="I106" s="303"/>
      <c r="J106" s="303"/>
      <c r="K106" s="303"/>
      <c r="L106" s="303"/>
      <c r="M106" s="303"/>
      <c r="N106" s="303"/>
      <c r="O106" s="303"/>
      <c r="P106" s="303"/>
      <c r="Q106" s="303"/>
      <c r="R106" s="303"/>
      <c r="S106" s="303"/>
      <c r="T106" s="2086"/>
      <c r="U106" s="2103" t="s">
        <v>1649</v>
      </c>
      <c r="V106" s="2095" t="s">
        <v>32</v>
      </c>
      <c r="W106" s="2099">
        <v>1</v>
      </c>
      <c r="X106" s="2099"/>
      <c r="Y106" s="2099">
        <v>70</v>
      </c>
      <c r="Z106" s="2099"/>
      <c r="AA106" s="2104">
        <v>0.4</v>
      </c>
      <c r="AB106" s="2088"/>
      <c r="AD106" s="303"/>
      <c r="AE106" s="303"/>
      <c r="AF106" s="303"/>
      <c r="AG106" s="303"/>
      <c r="AH106" s="303"/>
      <c r="AI106" s="303"/>
      <c r="AJ106" s="2086"/>
      <c r="AK106" s="300"/>
      <c r="AL106" s="300"/>
      <c r="AM106" s="300"/>
      <c r="AN106" s="2088"/>
      <c r="AO106" s="303"/>
      <c r="AP106" s="303"/>
      <c r="AQ106" s="303"/>
      <c r="AR106" s="303"/>
      <c r="AS106" s="303"/>
      <c r="AT106" s="303"/>
      <c r="AU106" s="303"/>
      <c r="AV106" s="303"/>
      <c r="AW106" s="303"/>
      <c r="AX106" s="303"/>
      <c r="AY106" s="303"/>
      <c r="AZ106" s="303"/>
      <c r="BA106" s="303"/>
      <c r="BB106" s="303"/>
      <c r="BC106" s="303"/>
      <c r="BD106" s="303"/>
      <c r="BE106" s="303"/>
      <c r="BF106" s="303"/>
      <c r="BG106" s="303"/>
      <c r="BH106" s="303"/>
      <c r="BI106" s="303"/>
      <c r="BJ106" s="303"/>
      <c r="BK106" s="303"/>
      <c r="BL106" s="303"/>
      <c r="BM106" s="303"/>
      <c r="BN106" s="303"/>
    </row>
    <row r="107" spans="1:66" x14ac:dyDescent="0.25">
      <c r="A107" s="320"/>
      <c r="B107" s="316"/>
      <c r="C107" s="316"/>
      <c r="D107" s="316"/>
      <c r="E107" s="316"/>
      <c r="F107" s="316"/>
      <c r="G107" s="316"/>
      <c r="H107" s="316"/>
      <c r="I107" s="316"/>
      <c r="J107" s="316"/>
      <c r="K107" s="316"/>
      <c r="L107" s="316"/>
      <c r="M107" s="303"/>
      <c r="N107" s="303"/>
      <c r="O107" s="303"/>
      <c r="P107" s="303"/>
      <c r="Q107" s="303"/>
      <c r="R107" s="303"/>
      <c r="S107" s="303"/>
      <c r="T107" s="2086"/>
      <c r="U107" s="2103" t="s">
        <v>1649</v>
      </c>
      <c r="V107" s="2096" t="s">
        <v>1860</v>
      </c>
      <c r="W107" s="2099" t="e">
        <f>NA()</f>
        <v>#N/A</v>
      </c>
      <c r="X107" s="2099"/>
      <c r="Y107" s="2099" t="e">
        <f>NA()</f>
        <v>#N/A</v>
      </c>
      <c r="Z107" s="2099"/>
      <c r="AA107" s="2104" t="e">
        <f>NA()</f>
        <v>#N/A</v>
      </c>
      <c r="AB107" s="2088"/>
      <c r="AD107" s="303"/>
      <c r="AE107" s="303"/>
      <c r="AF107" s="303"/>
      <c r="AG107" s="303"/>
      <c r="AH107" s="303"/>
      <c r="AI107" s="303"/>
      <c r="AJ107" s="2086"/>
      <c r="AK107" s="1133" t="s">
        <v>1479</v>
      </c>
      <c r="AL107" s="1134">
        <v>1</v>
      </c>
      <c r="AM107" s="300"/>
      <c r="AN107" s="2088"/>
      <c r="AO107" s="303"/>
      <c r="AP107" s="303"/>
      <c r="AQ107" s="303"/>
      <c r="AR107" s="303"/>
      <c r="AS107" s="303"/>
      <c r="AT107" s="303"/>
      <c r="AU107" s="303"/>
      <c r="AV107" s="303"/>
      <c r="AW107" s="303"/>
      <c r="AX107" s="303"/>
      <c r="AY107" s="303"/>
      <c r="AZ107" s="303"/>
      <c r="BA107" s="303"/>
      <c r="BB107" s="303"/>
      <c r="BC107" s="303"/>
      <c r="BD107" s="303"/>
      <c r="BE107" s="303"/>
      <c r="BF107" s="303"/>
      <c r="BG107" s="303"/>
      <c r="BH107" s="303"/>
      <c r="BI107" s="303"/>
      <c r="BJ107" s="303"/>
      <c r="BK107" s="303"/>
      <c r="BL107" s="303"/>
      <c r="BM107" s="303"/>
      <c r="BN107" s="303"/>
    </row>
    <row r="108" spans="1:66" x14ac:dyDescent="0.25">
      <c r="A108" s="320"/>
      <c r="B108" s="55"/>
      <c r="C108" s="321"/>
      <c r="D108" s="321"/>
      <c r="E108" s="321"/>
      <c r="F108" s="321"/>
      <c r="G108" s="321"/>
      <c r="H108" s="321"/>
      <c r="I108" s="321"/>
      <c r="J108" s="321"/>
      <c r="K108" s="321"/>
      <c r="L108" s="316"/>
      <c r="M108" s="316"/>
      <c r="N108" s="316"/>
      <c r="O108" s="316"/>
      <c r="P108" s="303"/>
      <c r="Q108" s="303"/>
      <c r="R108" s="303"/>
      <c r="S108" s="303"/>
      <c r="T108" s="2086"/>
      <c r="U108" s="2103" t="s">
        <v>1649</v>
      </c>
      <c r="V108" s="2097" t="s">
        <v>1861</v>
      </c>
      <c r="W108" s="2099" t="e">
        <f>NA()</f>
        <v>#N/A</v>
      </c>
      <c r="X108" s="2099"/>
      <c r="Y108" s="2099" t="e">
        <f>NA()</f>
        <v>#N/A</v>
      </c>
      <c r="Z108" s="2099"/>
      <c r="AA108" s="2104" t="e">
        <f>NA()</f>
        <v>#N/A</v>
      </c>
      <c r="AB108" s="2088"/>
      <c r="AD108" s="303"/>
      <c r="AE108" s="303"/>
      <c r="AF108" s="303"/>
      <c r="AG108" s="303"/>
      <c r="AH108" s="303"/>
      <c r="AI108" s="303"/>
      <c r="AJ108" s="2086"/>
      <c r="AK108" s="1135" t="s">
        <v>1478</v>
      </c>
      <c r="AL108" s="1134">
        <v>1E-3</v>
      </c>
      <c r="AM108" s="300"/>
      <c r="AN108" s="2088"/>
      <c r="AO108" s="303"/>
      <c r="AP108" s="303"/>
      <c r="AQ108" s="303"/>
      <c r="AR108" s="303"/>
      <c r="AS108" s="303"/>
      <c r="AT108" s="303"/>
      <c r="AU108" s="303"/>
      <c r="AV108" s="303"/>
      <c r="AW108" s="303"/>
      <c r="AX108" s="303"/>
      <c r="AY108" s="303"/>
      <c r="AZ108" s="303"/>
      <c r="BA108" s="303"/>
      <c r="BB108" s="303"/>
      <c r="BC108" s="303"/>
      <c r="BD108" s="303"/>
      <c r="BE108" s="303"/>
      <c r="BF108" s="303"/>
      <c r="BG108" s="303"/>
      <c r="BH108" s="303"/>
      <c r="BI108" s="303"/>
      <c r="BJ108" s="303"/>
      <c r="BK108" s="303"/>
      <c r="BL108" s="303"/>
      <c r="BM108" s="303"/>
      <c r="BN108" s="303"/>
    </row>
    <row r="109" spans="1:66" x14ac:dyDescent="0.25">
      <c r="A109" s="320"/>
      <c r="B109" s="316"/>
      <c r="C109" s="316"/>
      <c r="D109" s="316"/>
      <c r="E109" s="316"/>
      <c r="F109" s="321"/>
      <c r="G109" s="321"/>
      <c r="H109" s="321"/>
      <c r="I109" s="321"/>
      <c r="J109" s="321"/>
      <c r="K109" s="321"/>
      <c r="L109" s="316"/>
      <c r="M109" s="316"/>
      <c r="N109" s="316"/>
      <c r="O109" s="316"/>
      <c r="P109" s="303"/>
      <c r="Q109" s="303"/>
      <c r="R109" s="303"/>
      <c r="S109" s="303"/>
      <c r="T109" s="2086"/>
      <c r="U109" s="2103" t="s">
        <v>1649</v>
      </c>
      <c r="V109" s="2097" t="s">
        <v>1862</v>
      </c>
      <c r="W109" s="2099" t="e">
        <f>NA()</f>
        <v>#N/A</v>
      </c>
      <c r="X109" s="2099"/>
      <c r="Y109" s="2099" t="e">
        <f>NA()</f>
        <v>#N/A</v>
      </c>
      <c r="Z109" s="2099"/>
      <c r="AA109" s="2104" t="e">
        <f>NA()</f>
        <v>#N/A</v>
      </c>
      <c r="AB109" s="2088"/>
      <c r="AD109" s="303"/>
      <c r="AE109" s="303"/>
      <c r="AF109" s="303"/>
      <c r="AG109" s="303"/>
      <c r="AH109" s="303"/>
      <c r="AI109" s="303"/>
      <c r="AJ109" s="2086"/>
      <c r="AK109" s="180" t="s">
        <v>1480</v>
      </c>
      <c r="AL109" s="1134">
        <v>2.2046000000000001</v>
      </c>
      <c r="AM109" s="300"/>
      <c r="AN109" s="2088"/>
      <c r="AO109" s="303"/>
      <c r="AP109" s="303"/>
      <c r="AQ109" s="303"/>
      <c r="AR109" s="303"/>
      <c r="AS109" s="303"/>
      <c r="AT109" s="303"/>
      <c r="AU109" s="303"/>
      <c r="AV109" s="303"/>
      <c r="AW109" s="303"/>
      <c r="AX109" s="303"/>
      <c r="AY109" s="303"/>
      <c r="AZ109" s="303"/>
      <c r="BA109" s="303"/>
      <c r="BB109" s="303"/>
      <c r="BC109" s="303"/>
      <c r="BD109" s="303"/>
      <c r="BE109" s="303"/>
      <c r="BF109" s="303"/>
      <c r="BG109" s="303"/>
      <c r="BH109" s="303"/>
      <c r="BI109" s="303"/>
      <c r="BJ109" s="303"/>
      <c r="BK109" s="303"/>
      <c r="BL109" s="303"/>
      <c r="BM109" s="303"/>
      <c r="BN109" s="303"/>
    </row>
    <row r="110" spans="1:66" x14ac:dyDescent="0.25">
      <c r="A110" s="320"/>
      <c r="B110" s="316"/>
      <c r="C110" s="321"/>
      <c r="D110" s="321"/>
      <c r="E110" s="321"/>
      <c r="F110" s="321"/>
      <c r="G110" s="321"/>
      <c r="H110" s="321"/>
      <c r="I110" s="321"/>
      <c r="J110" s="321"/>
      <c r="K110" s="321"/>
      <c r="L110" s="316"/>
      <c r="M110" s="316"/>
      <c r="N110" s="316"/>
      <c r="O110" s="316"/>
      <c r="P110" s="303"/>
      <c r="Q110" s="303"/>
      <c r="R110" s="303"/>
      <c r="S110" s="303"/>
      <c r="T110" s="2086"/>
      <c r="U110" s="2103" t="s">
        <v>1649</v>
      </c>
      <c r="V110" s="2097" t="s">
        <v>1863</v>
      </c>
      <c r="W110" s="2099" t="e">
        <f>NA()</f>
        <v>#N/A</v>
      </c>
      <c r="X110" s="2099"/>
      <c r="Y110" s="2099" t="e">
        <f>NA()</f>
        <v>#N/A</v>
      </c>
      <c r="Z110" s="2099"/>
      <c r="AA110" s="2104" t="e">
        <f>NA()</f>
        <v>#N/A</v>
      </c>
      <c r="AB110" s="2088"/>
      <c r="AD110" s="303"/>
      <c r="AE110" s="303"/>
      <c r="AF110" s="303"/>
      <c r="AG110" s="303"/>
      <c r="AH110" s="303"/>
      <c r="AI110" s="303"/>
      <c r="AJ110" s="2086"/>
      <c r="AK110" s="180" t="s">
        <v>1481</v>
      </c>
      <c r="AL110" s="1134">
        <f>2.201/2000</f>
        <v>1.1005000000000001E-3</v>
      </c>
      <c r="AM110" s="300"/>
      <c r="AN110" s="2088"/>
      <c r="AO110" s="303"/>
      <c r="AP110" s="303"/>
      <c r="AQ110" s="303"/>
      <c r="AR110" s="303"/>
      <c r="AS110" s="303"/>
      <c r="AT110" s="303"/>
      <c r="AU110" s="303"/>
      <c r="AV110" s="303"/>
      <c r="AW110" s="303"/>
      <c r="AX110" s="303"/>
      <c r="AY110" s="303"/>
      <c r="AZ110" s="303"/>
      <c r="BA110" s="303"/>
      <c r="BB110" s="303"/>
      <c r="BC110" s="303"/>
      <c r="BD110" s="303"/>
      <c r="BE110" s="303"/>
      <c r="BF110" s="303"/>
      <c r="BG110" s="303"/>
      <c r="BH110" s="303"/>
      <c r="BI110" s="303"/>
      <c r="BJ110" s="303"/>
      <c r="BK110" s="303"/>
      <c r="BL110" s="303"/>
      <c r="BM110" s="303"/>
      <c r="BN110" s="303"/>
    </row>
    <row r="111" spans="1:66" x14ac:dyDescent="0.25">
      <c r="A111" s="320"/>
      <c r="B111" s="321"/>
      <c r="C111" s="321"/>
      <c r="D111" s="321"/>
      <c r="E111" s="321"/>
      <c r="F111" s="321"/>
      <c r="G111" s="321"/>
      <c r="H111" s="321"/>
      <c r="I111" s="321"/>
      <c r="J111" s="321"/>
      <c r="K111" s="321"/>
      <c r="L111" s="316"/>
      <c r="M111" s="316"/>
      <c r="N111" s="316"/>
      <c r="O111" s="316"/>
      <c r="P111" s="303"/>
      <c r="Q111" s="303"/>
      <c r="R111" s="303"/>
      <c r="S111" s="303"/>
      <c r="T111" s="2086"/>
      <c r="U111" s="2103" t="s">
        <v>1649</v>
      </c>
      <c r="V111" s="2097" t="s">
        <v>1864</v>
      </c>
      <c r="W111" s="2099" t="e">
        <f>NA()</f>
        <v>#N/A</v>
      </c>
      <c r="X111" s="2099"/>
      <c r="Y111" s="2099" t="e">
        <f>NA()</f>
        <v>#N/A</v>
      </c>
      <c r="Z111" s="2099"/>
      <c r="AA111" s="2104" t="e">
        <f>NA()</f>
        <v>#N/A</v>
      </c>
      <c r="AB111" s="1638"/>
      <c r="AD111" s="303"/>
      <c r="AE111" s="303"/>
      <c r="AF111" s="303"/>
      <c r="AG111" s="303"/>
      <c r="AH111" s="303"/>
      <c r="AI111" s="303"/>
      <c r="AJ111" s="2086"/>
      <c r="AK111" s="300"/>
      <c r="AL111" s="300"/>
      <c r="AM111" s="300"/>
      <c r="AN111" s="2088"/>
      <c r="AO111" s="303"/>
      <c r="AP111" s="303"/>
      <c r="AQ111" s="303"/>
      <c r="AR111" s="303"/>
      <c r="AS111" s="303"/>
      <c r="AT111" s="303"/>
      <c r="AU111" s="303"/>
      <c r="AV111" s="303"/>
      <c r="AW111" s="303"/>
      <c r="AX111" s="303"/>
      <c r="AY111" s="303"/>
      <c r="AZ111" s="303"/>
      <c r="BA111" s="303"/>
      <c r="BB111" s="303"/>
      <c r="BC111" s="303"/>
      <c r="BD111" s="303"/>
      <c r="BE111" s="303"/>
      <c r="BF111" s="303"/>
      <c r="BG111" s="303"/>
      <c r="BH111" s="303"/>
      <c r="BI111" s="303"/>
      <c r="BJ111" s="303"/>
      <c r="BK111" s="303"/>
      <c r="BL111" s="303"/>
      <c r="BM111" s="303"/>
      <c r="BN111" s="303"/>
    </row>
    <row r="112" spans="1:66" ht="13.25" thickBot="1" x14ac:dyDescent="0.3">
      <c r="A112" s="320"/>
      <c r="B112" s="321"/>
      <c r="C112" s="321"/>
      <c r="D112" s="321"/>
      <c r="E112" s="321"/>
      <c r="F112" s="321"/>
      <c r="G112" s="321"/>
      <c r="H112" s="321"/>
      <c r="I112" s="321"/>
      <c r="J112" s="321"/>
      <c r="K112" s="321"/>
      <c r="L112" s="316"/>
      <c r="M112" s="316"/>
      <c r="N112" s="316"/>
      <c r="O112" s="316"/>
      <c r="P112" s="303"/>
      <c r="Q112" s="303"/>
      <c r="R112" s="303"/>
      <c r="S112" s="303"/>
      <c r="T112" s="2086"/>
      <c r="U112" s="2103" t="s">
        <v>1649</v>
      </c>
      <c r="V112" s="2098" t="s">
        <v>1598</v>
      </c>
      <c r="W112" s="2099" t="e">
        <f>NA()</f>
        <v>#N/A</v>
      </c>
      <c r="X112" s="2099"/>
      <c r="Y112" s="2099" t="e">
        <f>NA()</f>
        <v>#N/A</v>
      </c>
      <c r="Z112" s="2099"/>
      <c r="AA112" s="2104" t="e">
        <f>NA()</f>
        <v>#N/A</v>
      </c>
      <c r="AB112" s="1638"/>
      <c r="AE112" s="303"/>
      <c r="AF112" s="303"/>
      <c r="AG112" s="303"/>
      <c r="AH112" s="303"/>
      <c r="AI112" s="303"/>
      <c r="AJ112" s="2086"/>
      <c r="AK112" s="300"/>
      <c r="AL112" s="300"/>
      <c r="AM112" s="300"/>
      <c r="AN112" s="2088"/>
      <c r="AO112" s="303"/>
      <c r="AP112" s="303"/>
      <c r="AQ112" s="303"/>
      <c r="AR112" s="303"/>
      <c r="AS112" s="303"/>
      <c r="AT112" s="303"/>
      <c r="AU112" s="303"/>
      <c r="AV112" s="303"/>
      <c r="AW112" s="303"/>
      <c r="AX112" s="303"/>
      <c r="AY112" s="303"/>
      <c r="AZ112" s="303"/>
      <c r="BA112" s="303"/>
      <c r="BB112" s="303"/>
      <c r="BC112" s="303"/>
      <c r="BD112" s="303"/>
      <c r="BE112" s="303"/>
      <c r="BF112" s="303"/>
      <c r="BG112" s="303"/>
      <c r="BH112" s="303"/>
      <c r="BI112" s="303"/>
      <c r="BJ112" s="303"/>
      <c r="BK112" s="303"/>
      <c r="BL112" s="303"/>
      <c r="BM112" s="303"/>
      <c r="BN112" s="303"/>
    </row>
    <row r="113" spans="1:66" ht="13.25" thickBot="1" x14ac:dyDescent="0.3">
      <c r="A113" s="320"/>
      <c r="B113" s="321"/>
      <c r="C113" s="321"/>
      <c r="D113" s="321"/>
      <c r="E113" s="321"/>
      <c r="F113" s="321"/>
      <c r="G113" s="321"/>
      <c r="H113" s="321"/>
      <c r="I113" s="321"/>
      <c r="J113" s="321"/>
      <c r="K113" s="321"/>
      <c r="L113" s="316"/>
      <c r="M113" s="316"/>
      <c r="N113" s="316"/>
      <c r="O113" s="316"/>
      <c r="P113" s="303"/>
      <c r="Q113" s="303"/>
      <c r="R113" s="303"/>
      <c r="S113" s="303"/>
      <c r="T113" s="2086"/>
      <c r="U113" s="2103" t="s">
        <v>1651</v>
      </c>
      <c r="V113" s="2093" t="s">
        <v>1644</v>
      </c>
      <c r="W113" s="2099">
        <v>3.5</v>
      </c>
      <c r="X113" s="2099" t="s">
        <v>1648</v>
      </c>
      <c r="Y113" s="2099">
        <v>115</v>
      </c>
      <c r="Z113" s="2099" t="s">
        <v>1648</v>
      </c>
      <c r="AA113" s="2104">
        <v>0.27</v>
      </c>
      <c r="AB113" s="1638"/>
      <c r="AE113" s="303"/>
      <c r="AF113" s="303"/>
      <c r="AG113" s="303"/>
      <c r="AH113" s="303"/>
      <c r="AI113" s="303"/>
      <c r="AJ113" s="2089"/>
      <c r="AK113" s="2090"/>
      <c r="AL113" s="2090"/>
      <c r="AM113" s="2090"/>
      <c r="AN113" s="2092"/>
      <c r="AO113" s="303"/>
      <c r="AP113" s="303"/>
      <c r="AQ113" s="303"/>
      <c r="AR113" s="303"/>
      <c r="AS113" s="303"/>
      <c r="AT113" s="303"/>
      <c r="AU113" s="303"/>
      <c r="AV113" s="303"/>
      <c r="AW113" s="303"/>
      <c r="AX113" s="303"/>
      <c r="AY113" s="303"/>
      <c r="AZ113" s="303"/>
      <c r="BA113" s="303"/>
      <c r="BB113" s="303"/>
      <c r="BC113" s="303"/>
      <c r="BD113" s="303"/>
      <c r="BE113" s="303"/>
      <c r="BF113" s="303"/>
      <c r="BG113" s="303"/>
      <c r="BH113" s="303"/>
      <c r="BI113" s="303"/>
      <c r="BJ113" s="303"/>
      <c r="BK113" s="303"/>
      <c r="BL113" s="303"/>
      <c r="BM113" s="303"/>
      <c r="BN113" s="303"/>
    </row>
    <row r="114" spans="1:66" x14ac:dyDescent="0.25">
      <c r="A114" s="320"/>
      <c r="B114" s="321"/>
      <c r="C114" s="321"/>
      <c r="D114" s="321"/>
      <c r="E114" s="321"/>
      <c r="F114" s="316"/>
      <c r="G114" s="316"/>
      <c r="H114" s="316"/>
      <c r="I114" s="316"/>
      <c r="J114" s="316"/>
      <c r="K114" s="316"/>
      <c r="L114" s="316"/>
      <c r="M114" s="316"/>
      <c r="N114" s="316"/>
      <c r="O114" s="316"/>
      <c r="P114" s="303"/>
      <c r="Q114" s="303"/>
      <c r="R114" s="303"/>
      <c r="S114" s="303"/>
      <c r="T114" s="2086"/>
      <c r="U114" s="2103" t="s">
        <v>1651</v>
      </c>
      <c r="V114" s="2094" t="s">
        <v>1645</v>
      </c>
      <c r="W114" s="2099">
        <v>1.25</v>
      </c>
      <c r="X114" s="2099" t="s">
        <v>1648</v>
      </c>
      <c r="Y114" s="2099">
        <v>115</v>
      </c>
      <c r="Z114" s="2099" t="s">
        <v>1648</v>
      </c>
      <c r="AA114" s="2104">
        <v>0.27</v>
      </c>
      <c r="AB114" s="1638"/>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c r="AZ114" s="303"/>
      <c r="BA114" s="303"/>
      <c r="BB114" s="303"/>
      <c r="BC114" s="303"/>
      <c r="BD114" s="303"/>
      <c r="BE114" s="303"/>
      <c r="BF114" s="303"/>
      <c r="BG114" s="303"/>
      <c r="BH114" s="303"/>
      <c r="BI114" s="303"/>
      <c r="BJ114" s="303"/>
      <c r="BK114" s="303"/>
      <c r="BL114" s="303"/>
      <c r="BM114" s="303"/>
      <c r="BN114" s="303"/>
    </row>
    <row r="115" spans="1:66" x14ac:dyDescent="0.25">
      <c r="A115" s="320"/>
      <c r="B115" s="316"/>
      <c r="C115" s="316"/>
      <c r="D115" s="316"/>
      <c r="E115" s="316"/>
      <c r="F115" s="316"/>
      <c r="G115" s="316"/>
      <c r="H115" s="316"/>
      <c r="I115" s="316"/>
      <c r="J115" s="316"/>
      <c r="K115" s="316"/>
      <c r="L115" s="316"/>
      <c r="M115" s="316"/>
      <c r="N115" s="316"/>
      <c r="O115" s="316"/>
      <c r="P115" s="303"/>
      <c r="Q115" s="303"/>
      <c r="R115" s="303"/>
      <c r="S115" s="303"/>
      <c r="T115" s="2086"/>
      <c r="U115" s="2103" t="s">
        <v>1651</v>
      </c>
      <c r="V115" s="2094" t="s">
        <v>1647</v>
      </c>
      <c r="W115" s="2099">
        <v>3.4</v>
      </c>
      <c r="X115" s="2099" t="s">
        <v>1648</v>
      </c>
      <c r="Y115" s="2099">
        <v>145</v>
      </c>
      <c r="Z115" s="2099" t="s">
        <v>1648</v>
      </c>
      <c r="AA115" s="2104">
        <v>0.27</v>
      </c>
      <c r="AB115" s="1638"/>
      <c r="AE115" s="303"/>
      <c r="AF115" s="303"/>
      <c r="AG115" s="303"/>
      <c r="AH115" s="303"/>
      <c r="AI115" s="303"/>
      <c r="AJ115" s="303"/>
      <c r="AK115" s="303"/>
      <c r="AL115" s="303"/>
      <c r="AM115" s="303"/>
      <c r="AN115" s="303"/>
      <c r="AO115" s="303"/>
      <c r="AP115" s="303"/>
      <c r="AQ115" s="303"/>
      <c r="AR115" s="303"/>
      <c r="AS115" s="303"/>
      <c r="AT115" s="303"/>
      <c r="AU115" s="303"/>
      <c r="AV115" s="303"/>
      <c r="AW115" s="303"/>
      <c r="AX115" s="303"/>
      <c r="AY115" s="303"/>
      <c r="AZ115" s="303"/>
      <c r="BA115" s="303"/>
      <c r="BB115" s="303"/>
      <c r="BC115" s="303"/>
      <c r="BD115" s="303"/>
      <c r="BE115" s="303"/>
      <c r="BF115" s="303"/>
      <c r="BG115" s="303"/>
      <c r="BH115" s="303"/>
      <c r="BI115" s="303"/>
      <c r="BJ115" s="303"/>
      <c r="BK115" s="303"/>
      <c r="BL115" s="303"/>
      <c r="BM115" s="303"/>
      <c r="BN115" s="303"/>
    </row>
    <row r="116" spans="1:66" x14ac:dyDescent="0.25">
      <c r="A116" s="320"/>
      <c r="B116" s="316"/>
      <c r="C116" s="316"/>
      <c r="D116" s="316"/>
      <c r="E116" s="316"/>
      <c r="F116" s="316"/>
      <c r="G116" s="316"/>
      <c r="H116" s="316"/>
      <c r="I116" s="316"/>
      <c r="J116" s="316"/>
      <c r="K116" s="316"/>
      <c r="L116" s="316"/>
      <c r="M116" s="316"/>
      <c r="N116" s="316"/>
      <c r="O116" s="316"/>
      <c r="P116" s="303"/>
      <c r="Q116" s="303"/>
      <c r="R116" s="303"/>
      <c r="S116" s="303"/>
      <c r="T116" s="2086"/>
      <c r="U116" s="2103" t="s">
        <v>1651</v>
      </c>
      <c r="V116" s="2094" t="s">
        <v>1650</v>
      </c>
      <c r="W116" s="2099">
        <v>0.9</v>
      </c>
      <c r="X116" s="2099" t="s">
        <v>1648</v>
      </c>
      <c r="Y116" s="2099">
        <v>145</v>
      </c>
      <c r="Z116" s="2099" t="s">
        <v>1648</v>
      </c>
      <c r="AA116" s="2104">
        <v>0.27</v>
      </c>
      <c r="AB116" s="1638"/>
      <c r="AE116" s="303"/>
      <c r="AF116" s="303"/>
      <c r="AG116" s="303"/>
      <c r="AH116" s="303"/>
      <c r="AI116" s="303"/>
      <c r="AJ116" s="303"/>
      <c r="AK116" s="303"/>
      <c r="AL116" s="303"/>
      <c r="AM116" s="303"/>
      <c r="AN116" s="303"/>
      <c r="AO116" s="303"/>
      <c r="AP116" s="303"/>
      <c r="AQ116" s="303"/>
      <c r="AR116" s="303"/>
      <c r="AS116" s="303"/>
      <c r="AT116" s="303"/>
      <c r="AU116" s="303"/>
      <c r="AV116" s="303"/>
      <c r="AW116" s="303"/>
      <c r="AX116" s="303"/>
      <c r="AY116" s="303"/>
      <c r="AZ116" s="303"/>
      <c r="BA116" s="303"/>
      <c r="BB116" s="303"/>
      <c r="BC116" s="303"/>
      <c r="BD116" s="303"/>
      <c r="BE116" s="303"/>
      <c r="BF116" s="303"/>
      <c r="BG116" s="303"/>
      <c r="BH116" s="303"/>
      <c r="BI116" s="303"/>
      <c r="BJ116" s="303"/>
      <c r="BK116" s="303"/>
      <c r="BL116" s="303"/>
      <c r="BM116" s="303"/>
      <c r="BN116" s="303"/>
    </row>
    <row r="117" spans="1:66" x14ac:dyDescent="0.25">
      <c r="A117" s="320"/>
      <c r="B117" s="316"/>
      <c r="C117" s="316"/>
      <c r="D117" s="316"/>
      <c r="E117" s="316"/>
      <c r="F117" s="316"/>
      <c r="G117" s="316"/>
      <c r="H117" s="316"/>
      <c r="I117" s="316"/>
      <c r="J117" s="316"/>
      <c r="K117" s="316"/>
      <c r="L117" s="316"/>
      <c r="M117" s="316"/>
      <c r="N117" s="316"/>
      <c r="O117" s="316"/>
      <c r="P117" s="303"/>
      <c r="Q117" s="303"/>
      <c r="R117" s="303"/>
      <c r="S117" s="303"/>
      <c r="T117" s="2086"/>
      <c r="U117" s="2103" t="s">
        <v>1651</v>
      </c>
      <c r="V117" s="2094" t="s">
        <v>1417</v>
      </c>
      <c r="W117" s="2099">
        <v>3.4</v>
      </c>
      <c r="X117" s="2099" t="s">
        <v>1648</v>
      </c>
      <c r="Y117" s="2099">
        <v>145</v>
      </c>
      <c r="Z117" s="2099" t="s">
        <v>1648</v>
      </c>
      <c r="AA117" s="2104">
        <v>0.27</v>
      </c>
      <c r="AB117" s="1638"/>
      <c r="AE117" s="303"/>
      <c r="AF117" s="303"/>
      <c r="AG117" s="303"/>
      <c r="AH117" s="303"/>
      <c r="AI117" s="303"/>
      <c r="AJ117" s="303"/>
      <c r="AK117" s="303"/>
      <c r="AL117" s="303"/>
      <c r="AM117" s="303"/>
      <c r="AN117" s="303"/>
      <c r="AO117" s="303"/>
      <c r="AP117" s="303"/>
      <c r="AQ117" s="303"/>
      <c r="AR117" s="303"/>
      <c r="AS117" s="303"/>
      <c r="AT117" s="303"/>
      <c r="AU117" s="303"/>
      <c r="AV117" s="303"/>
      <c r="AW117" s="303"/>
      <c r="AX117" s="303"/>
      <c r="AY117" s="303"/>
      <c r="AZ117" s="303"/>
      <c r="BA117" s="303"/>
      <c r="BB117" s="303"/>
      <c r="BC117" s="303"/>
      <c r="BD117" s="303"/>
      <c r="BE117" s="303"/>
      <c r="BF117" s="303"/>
      <c r="BG117" s="303"/>
      <c r="BH117" s="303"/>
      <c r="BI117" s="303"/>
      <c r="BJ117" s="303"/>
      <c r="BK117" s="303"/>
      <c r="BL117" s="303"/>
      <c r="BM117" s="303"/>
      <c r="BN117" s="303"/>
    </row>
    <row r="118" spans="1:66" x14ac:dyDescent="0.25">
      <c r="A118" s="320"/>
      <c r="B118" s="316"/>
      <c r="C118" s="316"/>
      <c r="D118" s="316"/>
      <c r="E118" s="316"/>
      <c r="F118" s="316"/>
      <c r="G118" s="316"/>
      <c r="H118" s="316"/>
      <c r="I118" s="316"/>
      <c r="J118" s="316"/>
      <c r="K118" s="316"/>
      <c r="L118" s="316"/>
      <c r="M118" s="316"/>
      <c r="N118" s="316"/>
      <c r="O118" s="316"/>
      <c r="P118" s="303"/>
      <c r="Q118" s="303"/>
      <c r="R118" s="303"/>
      <c r="S118" s="303"/>
      <c r="T118" s="2086"/>
      <c r="U118" s="2103" t="s">
        <v>1651</v>
      </c>
      <c r="V118" s="2094" t="s">
        <v>1419</v>
      </c>
      <c r="W118" s="2099">
        <v>0.9</v>
      </c>
      <c r="X118" s="2099" t="s">
        <v>1648</v>
      </c>
      <c r="Y118" s="2099">
        <v>145</v>
      </c>
      <c r="Z118" s="2099" t="s">
        <v>1648</v>
      </c>
      <c r="AA118" s="2104">
        <v>0.27</v>
      </c>
      <c r="AB118" s="1638"/>
      <c r="AE118" s="303"/>
      <c r="AF118" s="303"/>
      <c r="AG118" s="303"/>
      <c r="AH118" s="303"/>
      <c r="AI118" s="303"/>
      <c r="AJ118" s="303"/>
      <c r="AK118" s="303"/>
      <c r="AL118" s="303"/>
      <c r="AM118" s="303"/>
      <c r="AN118" s="303"/>
      <c r="AO118" s="303"/>
      <c r="AP118" s="303"/>
      <c r="AQ118" s="303"/>
      <c r="AR118" s="303"/>
      <c r="AS118" s="303"/>
      <c r="AT118" s="303"/>
      <c r="AU118" s="303"/>
      <c r="AV118" s="303"/>
      <c r="AW118" s="303"/>
      <c r="AX118" s="303"/>
      <c r="AY118" s="303"/>
      <c r="AZ118" s="303"/>
      <c r="BA118" s="303"/>
      <c r="BB118" s="303"/>
      <c r="BC118" s="303"/>
      <c r="BD118" s="303"/>
      <c r="BE118" s="303"/>
      <c r="BF118" s="303"/>
      <c r="BG118" s="303"/>
      <c r="BH118" s="303"/>
      <c r="BI118" s="303"/>
      <c r="BJ118" s="303"/>
      <c r="BK118" s="303"/>
      <c r="BL118" s="303"/>
      <c r="BM118" s="303"/>
      <c r="BN118" s="303"/>
    </row>
    <row r="119" spans="1:66" x14ac:dyDescent="0.25">
      <c r="A119" s="320"/>
      <c r="B119" s="316"/>
      <c r="C119" s="316"/>
      <c r="D119" s="316"/>
      <c r="E119" s="316"/>
      <c r="F119" s="316"/>
      <c r="G119" s="316"/>
      <c r="H119" s="316"/>
      <c r="I119" s="316"/>
      <c r="J119" s="316"/>
      <c r="K119" s="316"/>
      <c r="L119" s="316"/>
      <c r="M119" s="316"/>
      <c r="N119" s="316"/>
      <c r="O119" s="316"/>
      <c r="P119" s="303"/>
      <c r="Q119" s="303"/>
      <c r="R119" s="303"/>
      <c r="S119" s="303"/>
      <c r="T119" s="2086"/>
      <c r="U119" s="2103" t="s">
        <v>1651</v>
      </c>
      <c r="V119" s="2094" t="s">
        <v>1421</v>
      </c>
      <c r="W119" s="2099">
        <v>1.25</v>
      </c>
      <c r="X119" s="2099" t="s">
        <v>1648</v>
      </c>
      <c r="Y119" s="2099">
        <v>135</v>
      </c>
      <c r="Z119" s="2099" t="s">
        <v>1648</v>
      </c>
      <c r="AA119" s="2104">
        <v>0.27</v>
      </c>
      <c r="AB119" s="1638"/>
      <c r="AE119" s="303"/>
      <c r="AF119" s="303"/>
      <c r="AG119" s="303"/>
      <c r="AH119" s="303"/>
      <c r="AI119" s="303"/>
      <c r="AJ119" s="303"/>
      <c r="AK119" s="303"/>
      <c r="AL119" s="303"/>
      <c r="AM119" s="303"/>
      <c r="AN119" s="303"/>
      <c r="AO119" s="303"/>
      <c r="AP119" s="303"/>
      <c r="AQ119" s="303"/>
      <c r="AR119" s="303"/>
      <c r="AS119" s="303"/>
      <c r="AT119" s="303"/>
      <c r="AU119" s="303"/>
      <c r="AV119" s="303"/>
      <c r="AW119" s="303"/>
      <c r="AX119" s="303"/>
      <c r="AY119" s="303"/>
      <c r="AZ119" s="303"/>
      <c r="BA119" s="303"/>
      <c r="BB119" s="303"/>
      <c r="BC119" s="303"/>
      <c r="BD119" s="303"/>
      <c r="BE119" s="303"/>
      <c r="BF119" s="303"/>
      <c r="BG119" s="303"/>
      <c r="BH119" s="303"/>
      <c r="BI119" s="303"/>
      <c r="BJ119" s="303"/>
      <c r="BK119" s="303"/>
      <c r="BL119" s="303"/>
      <c r="BM119" s="303"/>
      <c r="BN119" s="303"/>
    </row>
    <row r="120" spans="1:66" x14ac:dyDescent="0.25">
      <c r="A120" s="320"/>
      <c r="B120" s="316"/>
      <c r="C120" s="316"/>
      <c r="D120" s="316"/>
      <c r="E120" s="316"/>
      <c r="F120" s="316"/>
      <c r="G120" s="316"/>
      <c r="H120" s="316"/>
      <c r="I120" s="316"/>
      <c r="J120" s="316"/>
      <c r="K120" s="316"/>
      <c r="L120" s="316"/>
      <c r="M120" s="316"/>
      <c r="N120" s="316"/>
      <c r="O120" s="316"/>
      <c r="P120" s="303"/>
      <c r="Q120" s="303"/>
      <c r="R120" s="303"/>
      <c r="S120" s="303"/>
      <c r="T120" s="2086"/>
      <c r="U120" s="2103" t="s">
        <v>1651</v>
      </c>
      <c r="V120" s="2094" t="s">
        <v>1423</v>
      </c>
      <c r="W120" s="2099">
        <v>0.75</v>
      </c>
      <c r="X120" s="2099" t="s">
        <v>1648</v>
      </c>
      <c r="Y120" s="2099">
        <v>135</v>
      </c>
      <c r="Z120" s="2099" t="s">
        <v>1648</v>
      </c>
      <c r="AA120" s="2104">
        <v>0.27</v>
      </c>
      <c r="AB120" s="1638"/>
      <c r="AE120" s="303"/>
      <c r="AF120" s="303"/>
      <c r="AG120" s="303"/>
      <c r="AH120" s="303"/>
      <c r="AI120" s="303"/>
      <c r="AJ120" s="303"/>
      <c r="AK120" s="303"/>
      <c r="AL120" s="303"/>
      <c r="AM120" s="303"/>
      <c r="AN120" s="303"/>
      <c r="AO120" s="303"/>
      <c r="AP120" s="303"/>
      <c r="AQ120" s="303"/>
      <c r="AR120" s="303"/>
      <c r="AS120" s="303"/>
      <c r="AT120" s="303"/>
      <c r="AU120" s="303"/>
      <c r="AV120" s="303"/>
      <c r="AW120" s="303"/>
      <c r="AX120" s="303"/>
      <c r="AY120" s="303"/>
      <c r="AZ120" s="303"/>
      <c r="BA120" s="303"/>
      <c r="BB120" s="303"/>
      <c r="BC120" s="303"/>
      <c r="BD120" s="303"/>
      <c r="BE120" s="303"/>
      <c r="BF120" s="303"/>
      <c r="BG120" s="303"/>
      <c r="BH120" s="303"/>
      <c r="BI120" s="303"/>
      <c r="BJ120" s="303"/>
      <c r="BK120" s="303"/>
      <c r="BL120" s="303"/>
      <c r="BM120" s="303"/>
      <c r="BN120" s="303"/>
    </row>
    <row r="121" spans="1:66" x14ac:dyDescent="0.25">
      <c r="A121" s="320"/>
      <c r="B121" s="316"/>
      <c r="C121" s="316"/>
      <c r="D121" s="316"/>
      <c r="E121" s="316"/>
      <c r="F121" s="316"/>
      <c r="G121" s="316"/>
      <c r="H121" s="316"/>
      <c r="I121" s="316"/>
      <c r="J121" s="316"/>
      <c r="K121" s="316"/>
      <c r="L121" s="316"/>
      <c r="M121" s="316"/>
      <c r="N121" s="316"/>
      <c r="O121" s="316"/>
      <c r="P121" s="303"/>
      <c r="Q121" s="303"/>
      <c r="R121" s="303"/>
      <c r="S121" s="303"/>
      <c r="T121" s="2086"/>
      <c r="U121" s="2103" t="s">
        <v>1651</v>
      </c>
      <c r="V121" s="2094" t="s">
        <v>2069</v>
      </c>
      <c r="W121" s="2099">
        <v>1.25</v>
      </c>
      <c r="X121" s="2099" t="s">
        <v>1648</v>
      </c>
      <c r="Y121" s="2099">
        <v>205</v>
      </c>
      <c r="Z121" s="2099" t="s">
        <v>1648</v>
      </c>
      <c r="AA121" s="2104">
        <v>0.27</v>
      </c>
      <c r="AB121" s="2088"/>
      <c r="AE121" s="303"/>
      <c r="AF121" s="303"/>
      <c r="AG121" s="303"/>
      <c r="AH121" s="303"/>
      <c r="AI121" s="303"/>
      <c r="AJ121" s="303"/>
      <c r="AK121" s="303"/>
      <c r="AL121" s="303"/>
      <c r="AM121" s="303"/>
      <c r="AN121" s="303"/>
      <c r="AO121" s="303"/>
      <c r="AP121" s="303"/>
      <c r="AQ121" s="303"/>
      <c r="AR121" s="303"/>
      <c r="AS121" s="303"/>
      <c r="AT121" s="303"/>
      <c r="AU121" s="303"/>
      <c r="AV121" s="303"/>
      <c r="AW121" s="303"/>
      <c r="AX121" s="303"/>
      <c r="AY121" s="303"/>
      <c r="AZ121" s="303"/>
      <c r="BA121" s="303"/>
      <c r="BB121" s="303"/>
      <c r="BC121" s="303"/>
      <c r="BD121" s="303"/>
      <c r="BE121" s="303"/>
      <c r="BF121" s="303"/>
      <c r="BG121" s="303"/>
      <c r="BH121" s="303"/>
      <c r="BI121" s="303"/>
      <c r="BJ121" s="303"/>
      <c r="BK121" s="303"/>
      <c r="BL121" s="303"/>
      <c r="BM121" s="303"/>
      <c r="BN121" s="303"/>
    </row>
    <row r="122" spans="1:66" ht="13.25" thickBot="1" x14ac:dyDescent="0.3">
      <c r="A122" s="320"/>
      <c r="B122" s="303"/>
      <c r="C122" s="303"/>
      <c r="D122" s="303"/>
      <c r="E122" s="303"/>
      <c r="F122" s="303"/>
      <c r="G122" s="303"/>
      <c r="H122" s="303"/>
      <c r="I122" s="303"/>
      <c r="J122" s="303"/>
      <c r="K122" s="303"/>
      <c r="L122" s="303"/>
      <c r="M122" s="316"/>
      <c r="N122" s="316"/>
      <c r="O122" s="316"/>
      <c r="P122" s="303"/>
      <c r="Q122" s="303"/>
      <c r="R122" s="303"/>
      <c r="S122" s="303"/>
      <c r="T122" s="2086"/>
      <c r="U122" s="2103" t="s">
        <v>1651</v>
      </c>
      <c r="V122" s="2095" t="s">
        <v>32</v>
      </c>
      <c r="W122" s="2099">
        <v>0.75</v>
      </c>
      <c r="X122" s="2099" t="s">
        <v>1648</v>
      </c>
      <c r="Y122" s="2099">
        <v>205</v>
      </c>
      <c r="Z122" s="2099" t="s">
        <v>1648</v>
      </c>
      <c r="AA122" s="2104">
        <v>0.27</v>
      </c>
      <c r="AB122" s="2088"/>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c r="AZ122" s="303"/>
      <c r="BA122" s="303"/>
      <c r="BB122" s="303"/>
      <c r="BC122" s="303"/>
      <c r="BD122" s="303"/>
      <c r="BE122" s="303"/>
      <c r="BF122" s="303"/>
      <c r="BG122" s="303"/>
      <c r="BH122" s="303"/>
      <c r="BI122" s="303"/>
      <c r="BJ122" s="303"/>
      <c r="BK122" s="303"/>
      <c r="BL122" s="303"/>
      <c r="BM122" s="303"/>
      <c r="BN122" s="303"/>
    </row>
    <row r="123" spans="1:66" x14ac:dyDescent="0.25">
      <c r="A123" s="320"/>
      <c r="B123" s="303"/>
      <c r="C123" s="303"/>
      <c r="D123" s="303"/>
      <c r="E123" s="303"/>
      <c r="F123" s="303"/>
      <c r="G123" s="303"/>
      <c r="H123" s="303"/>
      <c r="I123" s="303"/>
      <c r="J123" s="303"/>
      <c r="K123" s="303"/>
      <c r="L123" s="303"/>
      <c r="M123" s="303"/>
      <c r="N123" s="303"/>
      <c r="O123" s="303"/>
      <c r="P123" s="303"/>
      <c r="Q123" s="303"/>
      <c r="R123" s="303"/>
      <c r="S123" s="303"/>
      <c r="T123" s="2086"/>
      <c r="U123" s="2103" t="s">
        <v>1651</v>
      </c>
      <c r="V123" s="2096" t="s">
        <v>1860</v>
      </c>
      <c r="W123" s="2099" t="e">
        <f>NA()</f>
        <v>#N/A</v>
      </c>
      <c r="X123" s="2099"/>
      <c r="Y123" s="2099" t="e">
        <f>NA()</f>
        <v>#N/A</v>
      </c>
      <c r="Z123" s="2099"/>
      <c r="AA123" s="2104" t="e">
        <f>NA()</f>
        <v>#N/A</v>
      </c>
      <c r="AB123" s="2088"/>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c r="AZ123" s="303"/>
      <c r="BA123" s="303"/>
      <c r="BB123" s="303"/>
      <c r="BC123" s="303"/>
      <c r="BD123" s="303"/>
      <c r="BE123" s="303"/>
      <c r="BF123" s="303"/>
      <c r="BG123" s="303"/>
      <c r="BH123" s="303"/>
      <c r="BI123" s="303"/>
      <c r="BJ123" s="303"/>
      <c r="BK123" s="303"/>
      <c r="BL123" s="303"/>
      <c r="BM123" s="303"/>
      <c r="BN123" s="303"/>
    </row>
    <row r="124" spans="1:66" x14ac:dyDescent="0.25">
      <c r="A124" s="320"/>
      <c r="B124" s="303"/>
      <c r="C124" s="303"/>
      <c r="D124" s="303"/>
      <c r="E124" s="303"/>
      <c r="F124" s="303"/>
      <c r="G124" s="303"/>
      <c r="H124" s="303"/>
      <c r="I124" s="303"/>
      <c r="J124" s="303"/>
      <c r="K124" s="303"/>
      <c r="L124" s="303"/>
      <c r="M124" s="303"/>
      <c r="N124" s="303"/>
      <c r="O124" s="303"/>
      <c r="P124" s="303"/>
      <c r="Q124" s="303"/>
      <c r="R124" s="303"/>
      <c r="S124" s="303"/>
      <c r="T124" s="2086"/>
      <c r="U124" s="2103" t="s">
        <v>1651</v>
      </c>
      <c r="V124" s="2097" t="s">
        <v>1861</v>
      </c>
      <c r="W124" s="2099" t="e">
        <f>NA()</f>
        <v>#N/A</v>
      </c>
      <c r="X124" s="2099"/>
      <c r="Y124" s="2099" t="e">
        <f>NA()</f>
        <v>#N/A</v>
      </c>
      <c r="Z124" s="2099"/>
      <c r="AA124" s="2104" t="e">
        <f>NA()</f>
        <v>#N/A</v>
      </c>
      <c r="AB124" s="2088"/>
      <c r="AD124" s="303"/>
      <c r="AE124" s="303"/>
      <c r="AF124" s="303"/>
      <c r="AG124" s="303"/>
      <c r="AH124" s="303"/>
      <c r="AI124" s="303"/>
      <c r="AJ124" s="303"/>
      <c r="AK124" s="303"/>
      <c r="AL124" s="303"/>
      <c r="AM124" s="303"/>
      <c r="AN124" s="303"/>
      <c r="AO124" s="303"/>
      <c r="AP124" s="303"/>
      <c r="AQ124" s="303"/>
      <c r="AR124" s="303"/>
      <c r="AS124" s="303"/>
      <c r="AT124" s="303"/>
      <c r="AU124" s="303"/>
      <c r="AV124" s="303"/>
      <c r="AW124" s="303"/>
      <c r="AX124" s="303"/>
      <c r="AY124" s="303"/>
      <c r="AZ124" s="303"/>
      <c r="BA124" s="303"/>
      <c r="BB124" s="303"/>
      <c r="BC124" s="303"/>
      <c r="BD124" s="303"/>
      <c r="BE124" s="303"/>
      <c r="BF124" s="303"/>
      <c r="BG124" s="303"/>
      <c r="BH124" s="303"/>
      <c r="BI124" s="303"/>
      <c r="BJ124" s="303"/>
      <c r="BK124" s="303"/>
      <c r="BL124" s="303"/>
      <c r="BM124" s="303"/>
      <c r="BN124" s="303"/>
    </row>
    <row r="125" spans="1:66" x14ac:dyDescent="0.25">
      <c r="A125" s="320"/>
      <c r="B125" s="303"/>
      <c r="C125" s="303"/>
      <c r="D125" s="303"/>
      <c r="E125" s="303"/>
      <c r="F125" s="303"/>
      <c r="G125" s="303"/>
      <c r="H125" s="303"/>
      <c r="I125" s="303"/>
      <c r="J125" s="303"/>
      <c r="K125" s="303"/>
      <c r="L125" s="303"/>
      <c r="M125" s="303"/>
      <c r="N125" s="303"/>
      <c r="O125" s="303"/>
      <c r="P125" s="303"/>
      <c r="Q125" s="303"/>
      <c r="R125" s="303"/>
      <c r="S125" s="303"/>
      <c r="T125" s="2086"/>
      <c r="U125" s="2103" t="s">
        <v>1651</v>
      </c>
      <c r="V125" s="2097" t="s">
        <v>1862</v>
      </c>
      <c r="W125" s="2099" t="e">
        <f>NA()</f>
        <v>#N/A</v>
      </c>
      <c r="X125" s="2099"/>
      <c r="Y125" s="2099" t="e">
        <f>NA()</f>
        <v>#N/A</v>
      </c>
      <c r="Z125" s="2099"/>
      <c r="AA125" s="2104" t="e">
        <f>NA()</f>
        <v>#N/A</v>
      </c>
      <c r="AB125" s="2088"/>
      <c r="AD125" s="303"/>
      <c r="AE125" s="303"/>
      <c r="AF125" s="303"/>
      <c r="AG125" s="303"/>
      <c r="AH125" s="303"/>
      <c r="AI125" s="303"/>
      <c r="AJ125" s="303"/>
      <c r="AK125" s="303"/>
      <c r="AL125" s="303"/>
      <c r="AM125" s="303"/>
      <c r="AN125" s="303"/>
      <c r="AO125" s="303"/>
      <c r="AP125" s="303"/>
      <c r="AQ125" s="303"/>
      <c r="AR125" s="303"/>
      <c r="AS125" s="303"/>
      <c r="AT125" s="303"/>
      <c r="AU125" s="303"/>
      <c r="AV125" s="303"/>
      <c r="AW125" s="303"/>
      <c r="AX125" s="303"/>
      <c r="AY125" s="303"/>
      <c r="AZ125" s="303"/>
      <c r="BA125" s="303"/>
      <c r="BB125" s="303"/>
      <c r="BC125" s="303"/>
      <c r="BD125" s="303"/>
      <c r="BE125" s="303"/>
      <c r="BF125" s="303"/>
      <c r="BG125" s="303"/>
      <c r="BH125" s="303"/>
      <c r="BI125" s="303"/>
      <c r="BJ125" s="303"/>
      <c r="BK125" s="303"/>
      <c r="BL125" s="303"/>
      <c r="BM125" s="303"/>
      <c r="BN125" s="303"/>
    </row>
    <row r="126" spans="1:66" ht="13.25" thickBot="1" x14ac:dyDescent="0.3">
      <c r="A126" s="320"/>
      <c r="B126" s="303"/>
      <c r="C126" s="303"/>
      <c r="D126" s="303"/>
      <c r="E126" s="303"/>
      <c r="F126" s="303"/>
      <c r="G126" s="303"/>
      <c r="H126" s="303"/>
      <c r="I126" s="303"/>
      <c r="J126" s="303"/>
      <c r="K126" s="303"/>
      <c r="L126" s="303"/>
      <c r="M126" s="303"/>
      <c r="N126" s="303"/>
      <c r="O126" s="303"/>
      <c r="P126" s="303"/>
      <c r="Q126" s="303"/>
      <c r="R126" s="303"/>
      <c r="S126" s="303"/>
      <c r="T126" s="2086"/>
      <c r="U126" s="2103" t="s">
        <v>1651</v>
      </c>
      <c r="V126" s="2097" t="s">
        <v>1863</v>
      </c>
      <c r="W126" s="2099" t="e">
        <f>NA()</f>
        <v>#N/A</v>
      </c>
      <c r="X126" s="2099"/>
      <c r="Y126" s="2099" t="e">
        <f>NA()</f>
        <v>#N/A</v>
      </c>
      <c r="Z126" s="2099"/>
      <c r="AA126" s="2104" t="e">
        <f>NA()</f>
        <v>#N/A</v>
      </c>
      <c r="AB126" s="2088"/>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row>
    <row r="127" spans="1:66" ht="23.2" customHeight="1" x14ac:dyDescent="0.25">
      <c r="A127" s="320"/>
      <c r="B127" s="303"/>
      <c r="C127" s="303"/>
      <c r="D127" s="303"/>
      <c r="E127" s="303"/>
      <c r="F127" s="303"/>
      <c r="G127" s="303"/>
      <c r="H127" s="303"/>
      <c r="I127" s="303"/>
      <c r="J127" s="303"/>
      <c r="K127" s="303"/>
      <c r="L127" s="303"/>
      <c r="M127" s="303"/>
      <c r="N127" s="303"/>
      <c r="O127" s="303"/>
      <c r="P127" s="303"/>
      <c r="Q127" s="303"/>
      <c r="R127" s="303"/>
      <c r="S127" s="303"/>
      <c r="T127" s="2086"/>
      <c r="U127" s="2103" t="s">
        <v>1651</v>
      </c>
      <c r="V127" s="2097" t="s">
        <v>1864</v>
      </c>
      <c r="W127" s="2099" t="e">
        <f>NA()</f>
        <v>#N/A</v>
      </c>
      <c r="X127" s="2099"/>
      <c r="Y127" s="2099" t="e">
        <f>NA()</f>
        <v>#N/A</v>
      </c>
      <c r="Z127" s="2099"/>
      <c r="AA127" s="2104" t="e">
        <f>NA()</f>
        <v>#N/A</v>
      </c>
      <c r="AB127" s="2088"/>
      <c r="AD127" s="2362" t="s">
        <v>1254</v>
      </c>
      <c r="AE127" s="2363"/>
      <c r="AF127" s="2363"/>
      <c r="AG127" s="2363"/>
      <c r="AH127" s="2363"/>
      <c r="AI127" s="1635"/>
      <c r="AJ127" s="1635"/>
      <c r="AK127" s="1635"/>
      <c r="AL127" s="1635"/>
      <c r="AM127" s="1635"/>
      <c r="AN127" s="1635"/>
      <c r="AO127" s="1635"/>
      <c r="AP127" s="1635"/>
      <c r="AQ127" s="1635"/>
      <c r="AR127" s="1635"/>
      <c r="AS127" s="1635"/>
      <c r="AT127" s="1635"/>
      <c r="AU127" s="2084"/>
      <c r="AV127" s="2085"/>
      <c r="AW127" s="303"/>
      <c r="AX127" s="303"/>
      <c r="AY127" s="303"/>
      <c r="AZ127" s="303"/>
      <c r="BA127" s="303"/>
      <c r="BB127" s="303"/>
      <c r="BC127" s="303"/>
      <c r="BD127" s="303"/>
      <c r="BE127" s="303"/>
      <c r="BF127" s="303"/>
      <c r="BG127" s="303"/>
      <c r="BH127" s="303"/>
      <c r="BI127" s="303"/>
      <c r="BJ127" s="303"/>
      <c r="BK127" s="303"/>
      <c r="BL127" s="303"/>
      <c r="BM127" s="303"/>
      <c r="BN127" s="303"/>
    </row>
    <row r="128" spans="1:66" ht="24.05" customHeight="1" thickBot="1" x14ac:dyDescent="0.3">
      <c r="A128" s="320"/>
      <c r="B128" s="303"/>
      <c r="C128" s="303"/>
      <c r="D128" s="303"/>
      <c r="E128" s="303"/>
      <c r="F128" s="303"/>
      <c r="G128" s="303"/>
      <c r="H128" s="303"/>
      <c r="I128" s="303"/>
      <c r="J128" s="303"/>
      <c r="K128" s="303"/>
      <c r="L128" s="303"/>
      <c r="M128" s="303"/>
      <c r="N128" s="303"/>
      <c r="O128" s="303"/>
      <c r="P128" s="303"/>
      <c r="Q128" s="303"/>
      <c r="R128" s="303"/>
      <c r="S128" s="303"/>
      <c r="T128" s="2086"/>
      <c r="U128" s="2103" t="s">
        <v>1651</v>
      </c>
      <c r="V128" s="2098" t="s">
        <v>1598</v>
      </c>
      <c r="W128" s="2099" t="e">
        <f>NA()</f>
        <v>#N/A</v>
      </c>
      <c r="X128" s="2099"/>
      <c r="Y128" s="2099" t="e">
        <f>NA()</f>
        <v>#N/A</v>
      </c>
      <c r="Z128" s="2099"/>
      <c r="AA128" s="2104" t="e">
        <f>NA()</f>
        <v>#N/A</v>
      </c>
      <c r="AB128" s="2088"/>
      <c r="AD128" s="2364"/>
      <c r="AE128" s="2365"/>
      <c r="AF128" s="2365"/>
      <c r="AG128" s="2365"/>
      <c r="AH128" s="2365"/>
      <c r="AI128" s="300"/>
      <c r="AJ128" s="300"/>
      <c r="AK128" s="300"/>
      <c r="AL128" s="300"/>
      <c r="AM128" s="300"/>
      <c r="AN128" s="300"/>
      <c r="AO128" s="300"/>
      <c r="AP128" s="300"/>
      <c r="AQ128" s="300"/>
      <c r="AR128" s="300"/>
      <c r="AS128" s="300"/>
      <c r="AT128" s="3"/>
      <c r="AU128" s="300"/>
      <c r="AV128" s="2088"/>
      <c r="AW128" s="303"/>
      <c r="AX128" s="303"/>
      <c r="AY128" s="303"/>
      <c r="AZ128" s="303"/>
      <c r="BA128" s="303"/>
      <c r="BB128" s="303"/>
      <c r="BC128" s="303"/>
      <c r="BD128" s="303"/>
      <c r="BE128" s="303"/>
      <c r="BF128" s="303"/>
      <c r="BG128" s="303"/>
      <c r="BH128" s="303"/>
      <c r="BI128" s="303"/>
      <c r="BJ128" s="303"/>
      <c r="BK128" s="303"/>
      <c r="BL128" s="303"/>
      <c r="BM128" s="303"/>
      <c r="BN128" s="303"/>
    </row>
    <row r="129" spans="1:66" x14ac:dyDescent="0.25">
      <c r="A129" s="320"/>
      <c r="B129" s="303"/>
      <c r="C129" s="303"/>
      <c r="D129" s="303"/>
      <c r="E129" s="303"/>
      <c r="F129" s="303"/>
      <c r="G129" s="303"/>
      <c r="H129" s="303"/>
      <c r="I129" s="303"/>
      <c r="J129" s="303"/>
      <c r="K129" s="303"/>
      <c r="L129" s="303"/>
      <c r="M129" s="303"/>
      <c r="N129" s="303"/>
      <c r="O129" s="303"/>
      <c r="P129" s="303"/>
      <c r="Q129" s="303"/>
      <c r="R129" s="303"/>
      <c r="S129" s="303"/>
      <c r="T129" s="2086"/>
      <c r="U129" s="2105" t="s">
        <v>1418</v>
      </c>
      <c r="V129" s="2093" t="s">
        <v>1644</v>
      </c>
      <c r="W129" s="2099" t="e">
        <f>NA()</f>
        <v>#N/A</v>
      </c>
      <c r="X129" s="2099"/>
      <c r="Y129" s="2099" t="e">
        <f>NA()</f>
        <v>#N/A</v>
      </c>
      <c r="Z129" s="2099"/>
      <c r="AA129" s="2104" t="e">
        <f>NA()</f>
        <v>#N/A</v>
      </c>
      <c r="AB129" s="2088"/>
      <c r="AD129" s="2086"/>
      <c r="AE129" s="2112" t="s">
        <v>1550</v>
      </c>
      <c r="AF129" s="2113" t="s">
        <v>1564</v>
      </c>
      <c r="AG129" s="2113" t="s">
        <v>1688</v>
      </c>
      <c r="AH129" s="2113" t="s">
        <v>1689</v>
      </c>
      <c r="AI129" s="2113" t="s">
        <v>1690</v>
      </c>
      <c r="AJ129" s="2113"/>
      <c r="AK129" s="2113" t="s">
        <v>1692</v>
      </c>
      <c r="AL129" s="2113" t="s">
        <v>1575</v>
      </c>
      <c r="AM129" s="2113" t="s">
        <v>1576</v>
      </c>
      <c r="AN129" s="2113" t="s">
        <v>1627</v>
      </c>
      <c r="AO129" s="2113"/>
      <c r="AP129" s="2113"/>
      <c r="AQ129" s="2113"/>
      <c r="AR129" s="2113"/>
      <c r="AS129" s="2114"/>
      <c r="AT129" s="3"/>
      <c r="AU129" s="300"/>
      <c r="AV129" s="2088"/>
      <c r="AW129" s="303"/>
      <c r="AX129" s="303"/>
      <c r="AY129" s="303"/>
      <c r="AZ129" s="303"/>
      <c r="BA129" s="303"/>
      <c r="BB129" s="303"/>
      <c r="BC129" s="303"/>
      <c r="BD129" s="303"/>
      <c r="BE129" s="303"/>
      <c r="BF129" s="303"/>
      <c r="BG129" s="303"/>
      <c r="BH129" s="303"/>
      <c r="BI129" s="303"/>
      <c r="BJ129" s="303"/>
      <c r="BK129" s="303"/>
      <c r="BL129" s="303"/>
      <c r="BM129" s="303"/>
      <c r="BN129" s="303"/>
    </row>
    <row r="130" spans="1:66" x14ac:dyDescent="0.25">
      <c r="A130" s="320"/>
      <c r="B130" s="303"/>
      <c r="C130" s="303"/>
      <c r="D130" s="303"/>
      <c r="E130" s="303"/>
      <c r="F130" s="303"/>
      <c r="G130" s="303"/>
      <c r="H130" s="303"/>
      <c r="I130" s="303"/>
      <c r="J130" s="303"/>
      <c r="K130" s="303"/>
      <c r="L130" s="303"/>
      <c r="M130" s="303"/>
      <c r="N130" s="303"/>
      <c r="O130" s="303"/>
      <c r="P130" s="303"/>
      <c r="Q130" s="303"/>
      <c r="R130" s="303"/>
      <c r="S130" s="303"/>
      <c r="T130" s="2086"/>
      <c r="U130" s="2105" t="s">
        <v>1418</v>
      </c>
      <c r="V130" s="2094" t="s">
        <v>1645</v>
      </c>
      <c r="W130" s="2099" t="e">
        <f>NA()</f>
        <v>#N/A</v>
      </c>
      <c r="X130" s="2099"/>
      <c r="Y130" s="2099" t="e">
        <f>NA()</f>
        <v>#N/A</v>
      </c>
      <c r="Z130" s="2099"/>
      <c r="AA130" s="2104" t="e">
        <f>NA()</f>
        <v>#N/A</v>
      </c>
      <c r="AB130" s="2088"/>
      <c r="AD130" s="2086"/>
      <c r="AE130" s="2115" t="s">
        <v>2063</v>
      </c>
      <c r="AF130" s="306">
        <v>1</v>
      </c>
      <c r="AG130" s="306">
        <f>POWER(10,-1.181)</f>
        <v>6.5917389524432102E-2</v>
      </c>
      <c r="AH130" s="306">
        <v>1.9910000000000001</v>
      </c>
      <c r="AI130" s="306">
        <v>0</v>
      </c>
      <c r="AJ130" s="306"/>
      <c r="AK130" s="306">
        <v>0</v>
      </c>
      <c r="AL130" s="306">
        <v>0.24</v>
      </c>
      <c r="AM130" s="306">
        <v>0.5</v>
      </c>
      <c r="AN130" s="306">
        <v>0.5</v>
      </c>
      <c r="AO130" s="306">
        <f>SUMIF(AP$34:AP$35,E21,AM$29:AM$30)</f>
        <v>0</v>
      </c>
      <c r="AP130" s="306"/>
      <c r="AQ130" s="306"/>
      <c r="AR130" s="306" t="s">
        <v>1560</v>
      </c>
      <c r="AS130" s="2116"/>
      <c r="AT130" s="3"/>
      <c r="AU130" s="300"/>
      <c r="AV130" s="2088"/>
      <c r="AW130" s="303"/>
      <c r="AX130" s="303"/>
      <c r="AY130" s="303"/>
      <c r="AZ130" s="303"/>
      <c r="BA130" s="303"/>
      <c r="BB130" s="303"/>
      <c r="BC130" s="303"/>
      <c r="BD130" s="303"/>
      <c r="BE130" s="303"/>
      <c r="BF130" s="303"/>
      <c r="BG130" s="303"/>
      <c r="BH130" s="303"/>
      <c r="BI130" s="303"/>
      <c r="BJ130" s="303"/>
      <c r="BK130" s="303"/>
      <c r="BL130" s="303"/>
      <c r="BM130" s="303"/>
      <c r="BN130" s="303"/>
    </row>
    <row r="131" spans="1:66" x14ac:dyDescent="0.25">
      <c r="A131" s="320"/>
      <c r="B131" s="303"/>
      <c r="C131" s="303"/>
      <c r="D131" s="303"/>
      <c r="E131" s="303"/>
      <c r="F131" s="303"/>
      <c r="G131" s="303"/>
      <c r="H131" s="303"/>
      <c r="I131" s="303"/>
      <c r="J131" s="303"/>
      <c r="K131" s="303"/>
      <c r="L131" s="303"/>
      <c r="M131" s="303"/>
      <c r="N131" s="303"/>
      <c r="O131" s="303"/>
      <c r="P131" s="303"/>
      <c r="Q131" s="303"/>
      <c r="R131" s="303"/>
      <c r="S131" s="303"/>
      <c r="T131" s="2086"/>
      <c r="U131" s="2105" t="s">
        <v>1418</v>
      </c>
      <c r="V131" s="2094" t="s">
        <v>1647</v>
      </c>
      <c r="W131" s="2099">
        <v>7</v>
      </c>
      <c r="X131" s="2099"/>
      <c r="Y131" s="2099">
        <v>220</v>
      </c>
      <c r="Z131" s="2099"/>
      <c r="AA131" s="2104">
        <v>0.2</v>
      </c>
      <c r="AB131" s="2088"/>
      <c r="AD131" s="2086"/>
      <c r="AE131" s="2115" t="s">
        <v>1894</v>
      </c>
      <c r="AF131" s="306">
        <v>2</v>
      </c>
      <c r="AG131" s="306">
        <f>POWER(10,-0.834)</f>
        <v>0.14655478409559111</v>
      </c>
      <c r="AH131" s="306">
        <v>2.2229999999999999</v>
      </c>
      <c r="AI131" s="306">
        <v>0</v>
      </c>
      <c r="AJ131" s="306"/>
      <c r="AK131" s="306">
        <v>0</v>
      </c>
      <c r="AL131" s="306">
        <v>0.24</v>
      </c>
      <c r="AM131" s="306">
        <v>0.5</v>
      </c>
      <c r="AN131" s="306">
        <v>0.5</v>
      </c>
      <c r="AO131" s="306">
        <f>SUMIF(AP$34:AP$35,E22,AM$29:AM$30)</f>
        <v>0</v>
      </c>
      <c r="AP131" s="306"/>
      <c r="AQ131" s="306"/>
      <c r="AR131" s="306" t="s">
        <v>10</v>
      </c>
      <c r="AS131" s="2116"/>
      <c r="AT131" s="3"/>
      <c r="AU131" s="300"/>
      <c r="AV131" s="2088"/>
      <c r="AW131" s="303"/>
      <c r="AX131" s="303"/>
      <c r="AY131" s="303"/>
      <c r="AZ131" s="303"/>
      <c r="BA131" s="303"/>
      <c r="BB131" s="303"/>
      <c r="BC131" s="303"/>
      <c r="BD131" s="303"/>
      <c r="BE131" s="303"/>
      <c r="BF131" s="303"/>
      <c r="BG131" s="303"/>
      <c r="BH131" s="303"/>
      <c r="BI131" s="303"/>
      <c r="BJ131" s="303"/>
      <c r="BK131" s="303"/>
      <c r="BL131" s="303"/>
      <c r="BM131" s="303"/>
      <c r="BN131" s="303"/>
    </row>
    <row r="132" spans="1:66" x14ac:dyDescent="0.25">
      <c r="A132" s="320"/>
      <c r="B132" s="303"/>
      <c r="C132" s="303"/>
      <c r="D132" s="303"/>
      <c r="E132" s="303"/>
      <c r="F132" s="303"/>
      <c r="G132" s="303"/>
      <c r="H132" s="303"/>
      <c r="I132" s="303"/>
      <c r="J132" s="303"/>
      <c r="K132" s="303"/>
      <c r="L132" s="303"/>
      <c r="M132" s="303"/>
      <c r="N132" s="303"/>
      <c r="O132" s="303"/>
      <c r="P132" s="303"/>
      <c r="Q132" s="303"/>
      <c r="R132" s="303"/>
      <c r="S132" s="303"/>
      <c r="T132" s="2086"/>
      <c r="U132" s="2105" t="s">
        <v>1418</v>
      </c>
      <c r="V132" s="2094" t="s">
        <v>1650</v>
      </c>
      <c r="W132" s="2099">
        <v>2</v>
      </c>
      <c r="X132" s="2099"/>
      <c r="Y132" s="2099">
        <v>220</v>
      </c>
      <c r="Z132" s="2099"/>
      <c r="AA132" s="2104">
        <v>0.24</v>
      </c>
      <c r="AB132" s="2088"/>
      <c r="AD132" s="2086"/>
      <c r="AE132" s="2115" t="s">
        <v>1691</v>
      </c>
      <c r="AF132" s="306">
        <v>3</v>
      </c>
      <c r="AG132" s="306">
        <f>-2.289</f>
        <v>-2.2890000000000001</v>
      </c>
      <c r="AH132" s="306">
        <v>2.649</v>
      </c>
      <c r="AI132" s="306">
        <v>2</v>
      </c>
      <c r="AJ132" s="306"/>
      <c r="AK132" s="306">
        <v>-2.1000000000000001E-2</v>
      </c>
      <c r="AL132" s="306">
        <v>0.22</v>
      </c>
      <c r="AM132" s="306">
        <v>0.47</v>
      </c>
      <c r="AN132" s="306">
        <v>0.45</v>
      </c>
      <c r="AO132" s="306"/>
      <c r="AP132" s="306"/>
      <c r="AQ132" s="306"/>
      <c r="AR132" s="306" t="s">
        <v>10</v>
      </c>
      <c r="AS132" s="2116"/>
      <c r="AT132" s="3"/>
      <c r="AU132" s="300"/>
      <c r="AV132" s="2088"/>
      <c r="AW132" s="303"/>
      <c r="AX132" s="303"/>
      <c r="AY132" s="303"/>
      <c r="AZ132" s="303"/>
      <c r="BA132" s="303"/>
      <c r="BB132" s="303"/>
      <c r="BC132" s="303"/>
      <c r="BD132" s="303"/>
      <c r="BE132" s="303"/>
      <c r="BF132" s="303"/>
      <c r="BG132" s="303"/>
      <c r="BH132" s="303"/>
      <c r="BI132" s="303"/>
      <c r="BJ132" s="303"/>
      <c r="BK132" s="303"/>
      <c r="BL132" s="303"/>
      <c r="BM132" s="303"/>
      <c r="BN132" s="303"/>
    </row>
    <row r="133" spans="1:66" x14ac:dyDescent="0.25">
      <c r="A133" s="320"/>
      <c r="B133" s="303"/>
      <c r="C133" s="303"/>
      <c r="D133" s="303"/>
      <c r="E133" s="303"/>
      <c r="F133" s="303"/>
      <c r="G133" s="303"/>
      <c r="H133" s="303"/>
      <c r="I133" s="303"/>
      <c r="J133" s="303"/>
      <c r="K133" s="303"/>
      <c r="L133" s="303"/>
      <c r="M133" s="303"/>
      <c r="N133" s="303"/>
      <c r="O133" s="303"/>
      <c r="P133" s="303"/>
      <c r="Q133" s="303"/>
      <c r="R133" s="303"/>
      <c r="S133" s="303"/>
      <c r="T133" s="2086"/>
      <c r="U133" s="2105" t="s">
        <v>1418</v>
      </c>
      <c r="V133" s="2094" t="s">
        <v>1417</v>
      </c>
      <c r="W133" s="2099">
        <v>7</v>
      </c>
      <c r="X133" s="2099"/>
      <c r="Y133" s="2099">
        <v>220</v>
      </c>
      <c r="Z133" s="2099"/>
      <c r="AA133" s="2104">
        <v>0.2</v>
      </c>
      <c r="AB133" s="2088"/>
      <c r="AD133" s="2086"/>
      <c r="AE133" s="2115" t="s">
        <v>2038</v>
      </c>
      <c r="AF133" s="306">
        <v>4</v>
      </c>
      <c r="AG133" s="306">
        <v>21.297000000000001</v>
      </c>
      <c r="AH133" s="306">
        <v>-6.9530000000000003</v>
      </c>
      <c r="AI133" s="306">
        <v>2</v>
      </c>
      <c r="AJ133" s="306"/>
      <c r="AK133" s="306">
        <v>0.74</v>
      </c>
      <c r="AL133" s="306">
        <v>0.37</v>
      </c>
      <c r="AM133" s="306">
        <v>0.47</v>
      </c>
      <c r="AN133" s="306">
        <v>0.45</v>
      </c>
      <c r="AO133" s="306"/>
      <c r="AP133" s="306"/>
      <c r="AQ133" s="306"/>
      <c r="AR133" s="306" t="s">
        <v>10</v>
      </c>
      <c r="AS133" s="2116"/>
      <c r="AT133" s="3"/>
      <c r="AU133" s="300"/>
      <c r="AV133" s="2088"/>
      <c r="AW133" s="303"/>
      <c r="AX133" s="303"/>
      <c r="AY133" s="303"/>
      <c r="AZ133" s="303"/>
      <c r="BA133" s="303"/>
      <c r="BB133" s="303"/>
      <c r="BC133" s="303"/>
      <c r="BD133" s="303"/>
      <c r="BE133" s="303"/>
      <c r="BF133" s="303"/>
      <c r="BG133" s="303"/>
      <c r="BH133" s="303"/>
      <c r="BI133" s="303"/>
      <c r="BJ133" s="303"/>
      <c r="BK133" s="303"/>
      <c r="BL133" s="303"/>
      <c r="BM133" s="303"/>
      <c r="BN133" s="303"/>
    </row>
    <row r="134" spans="1:66" x14ac:dyDescent="0.25">
      <c r="A134" s="320"/>
      <c r="B134" s="303"/>
      <c r="C134" s="303"/>
      <c r="D134" s="303"/>
      <c r="E134" s="303"/>
      <c r="F134" s="303"/>
      <c r="G134" s="303"/>
      <c r="H134" s="303"/>
      <c r="I134" s="303"/>
      <c r="J134" s="303"/>
      <c r="K134" s="303"/>
      <c r="L134" s="303"/>
      <c r="M134" s="303"/>
      <c r="N134" s="303"/>
      <c r="O134" s="303"/>
      <c r="P134" s="303"/>
      <c r="Q134" s="303"/>
      <c r="R134" s="303"/>
      <c r="S134" s="303"/>
      <c r="T134" s="2086"/>
      <c r="U134" s="2105" t="s">
        <v>1418</v>
      </c>
      <c r="V134" s="2094" t="s">
        <v>1419</v>
      </c>
      <c r="W134" s="2099">
        <v>2</v>
      </c>
      <c r="X134" s="2099"/>
      <c r="Y134" s="2099">
        <v>220</v>
      </c>
      <c r="Z134" s="2099"/>
      <c r="AA134" s="2104">
        <v>0.24</v>
      </c>
      <c r="AB134" s="2088"/>
      <c r="AD134" s="2086"/>
      <c r="AE134" s="2115" t="s">
        <v>2039</v>
      </c>
      <c r="AF134" s="306">
        <v>5</v>
      </c>
      <c r="AG134" s="306"/>
      <c r="AH134" s="306"/>
      <c r="AI134" s="306"/>
      <c r="AJ134" s="306"/>
      <c r="AK134" s="306"/>
      <c r="AL134" s="306">
        <v>0.29499999999999998</v>
      </c>
      <c r="AM134" s="306">
        <v>0.51</v>
      </c>
      <c r="AN134" s="306">
        <v>0.45</v>
      </c>
      <c r="AO134" s="306"/>
      <c r="AP134" s="306"/>
      <c r="AQ134" s="306"/>
      <c r="AR134" s="306" t="s">
        <v>10</v>
      </c>
      <c r="AS134" s="2116"/>
      <c r="AT134" s="3"/>
      <c r="AU134" s="300"/>
      <c r="AV134" s="2088"/>
      <c r="AW134" s="303"/>
      <c r="AX134" s="303"/>
      <c r="AY134" s="303"/>
      <c r="AZ134" s="303"/>
      <c r="BA134" s="303"/>
      <c r="BB134" s="303"/>
      <c r="BC134" s="303"/>
      <c r="BD134" s="303"/>
      <c r="BE134" s="303"/>
      <c r="BF134" s="303"/>
      <c r="BG134" s="303"/>
      <c r="BH134" s="303"/>
      <c r="BI134" s="303"/>
      <c r="BJ134" s="303"/>
      <c r="BK134" s="303"/>
      <c r="BL134" s="303"/>
      <c r="BM134" s="303"/>
      <c r="BN134" s="303"/>
    </row>
    <row r="135" spans="1:66" x14ac:dyDescent="0.25">
      <c r="A135" s="320"/>
      <c r="B135" s="303"/>
      <c r="C135" s="303"/>
      <c r="D135" s="303"/>
      <c r="E135" s="303"/>
      <c r="F135" s="303"/>
      <c r="G135" s="303"/>
      <c r="H135" s="303"/>
      <c r="I135" s="303"/>
      <c r="J135" s="303"/>
      <c r="K135" s="303"/>
      <c r="L135" s="303"/>
      <c r="M135" s="303"/>
      <c r="N135" s="303"/>
      <c r="O135" s="303"/>
      <c r="P135" s="303"/>
      <c r="Q135" s="303"/>
      <c r="R135" s="303"/>
      <c r="S135" s="303"/>
      <c r="T135" s="2086"/>
      <c r="U135" s="2105" t="s">
        <v>1418</v>
      </c>
      <c r="V135" s="2094" t="s">
        <v>1421</v>
      </c>
      <c r="W135" s="2099">
        <v>9</v>
      </c>
      <c r="X135" s="2099"/>
      <c r="Y135" s="2099">
        <v>180</v>
      </c>
      <c r="Z135" s="2099"/>
      <c r="AA135" s="2104">
        <v>0.2</v>
      </c>
      <c r="AB135" s="2088"/>
      <c r="AD135" s="2086"/>
      <c r="AE135" s="2115" t="s">
        <v>1994</v>
      </c>
      <c r="AF135" s="306">
        <v>6</v>
      </c>
      <c r="AG135" s="306"/>
      <c r="AH135" s="306"/>
      <c r="AI135" s="306"/>
      <c r="AJ135" s="306"/>
      <c r="AK135" s="306"/>
      <c r="AL135" s="306">
        <v>0.31</v>
      </c>
      <c r="AM135" s="306">
        <v>0.48</v>
      </c>
      <c r="AN135" s="306">
        <v>0.45</v>
      </c>
      <c r="AO135" s="306"/>
      <c r="AP135" s="306"/>
      <c r="AQ135" s="306"/>
      <c r="AR135" s="306" t="s">
        <v>10</v>
      </c>
      <c r="AS135" s="2116"/>
      <c r="AT135" s="3"/>
      <c r="AU135" s="300"/>
      <c r="AV135" s="2088"/>
      <c r="AW135" s="303"/>
      <c r="AX135" s="303"/>
      <c r="AY135" s="303"/>
      <c r="AZ135" s="303"/>
      <c r="BA135" s="303"/>
      <c r="BB135" s="303"/>
      <c r="BC135" s="303"/>
      <c r="BD135" s="303"/>
      <c r="BE135" s="303"/>
      <c r="BF135" s="303"/>
      <c r="BG135" s="303"/>
      <c r="BH135" s="303"/>
      <c r="BI135" s="303"/>
      <c r="BJ135" s="303"/>
      <c r="BK135" s="303"/>
      <c r="BL135" s="303"/>
      <c r="BM135" s="303"/>
      <c r="BN135" s="303"/>
    </row>
    <row r="136" spans="1:66" x14ac:dyDescent="0.25">
      <c r="A136" s="320"/>
      <c r="B136" s="303"/>
      <c r="C136" s="303"/>
      <c r="D136" s="303"/>
      <c r="E136" s="303"/>
      <c r="F136" s="303"/>
      <c r="G136" s="303"/>
      <c r="H136" s="303"/>
      <c r="I136" s="303"/>
      <c r="J136" s="303"/>
      <c r="K136" s="303"/>
      <c r="L136" s="303"/>
      <c r="M136" s="303"/>
      <c r="N136" s="303"/>
      <c r="O136" s="303"/>
      <c r="P136" s="303"/>
      <c r="Q136" s="303"/>
      <c r="R136" s="303"/>
      <c r="S136" s="303"/>
      <c r="T136" s="2086"/>
      <c r="U136" s="2105" t="s">
        <v>1418</v>
      </c>
      <c r="V136" s="2094" t="s">
        <v>1423</v>
      </c>
      <c r="W136" s="2099">
        <v>2</v>
      </c>
      <c r="X136" s="2099"/>
      <c r="Y136" s="2099">
        <v>180</v>
      </c>
      <c r="Z136" s="2099"/>
      <c r="AA136" s="2104">
        <v>0.24</v>
      </c>
      <c r="AB136" s="2088"/>
      <c r="AD136" s="2086"/>
      <c r="AE136" s="2115" t="s">
        <v>13</v>
      </c>
      <c r="AF136" s="306">
        <v>7</v>
      </c>
      <c r="AG136" s="306"/>
      <c r="AH136" s="306"/>
      <c r="AI136" s="306"/>
      <c r="AJ136" s="306"/>
      <c r="AK136" s="306"/>
      <c r="AL136" s="306">
        <f>AVERAGE(AL$132:AL$135)</f>
        <v>0.29875000000000002</v>
      </c>
      <c r="AM136" s="306">
        <f>AVERAGE(AM$132:AM$135)</f>
        <v>0.48249999999999998</v>
      </c>
      <c r="AN136" s="306">
        <f>AVERAGE(AN$132:AN$135)</f>
        <v>0.45</v>
      </c>
      <c r="AO136" s="306"/>
      <c r="AP136" s="306"/>
      <c r="AQ136" s="306"/>
      <c r="AR136" s="306" t="s">
        <v>1677</v>
      </c>
      <c r="AS136" s="2116"/>
      <c r="AT136" s="3"/>
      <c r="AU136" s="300"/>
      <c r="AV136" s="2088"/>
      <c r="AW136" s="303"/>
      <c r="AX136" s="303"/>
      <c r="AY136" s="303"/>
      <c r="AZ136" s="303"/>
      <c r="BA136" s="303"/>
      <c r="BB136" s="303"/>
      <c r="BC136" s="303"/>
      <c r="BD136" s="303"/>
      <c r="BE136" s="303"/>
      <c r="BF136" s="303"/>
      <c r="BG136" s="303"/>
      <c r="BH136" s="303"/>
      <c r="BI136" s="303"/>
      <c r="BJ136" s="303"/>
      <c r="BK136" s="303"/>
      <c r="BL136" s="303"/>
      <c r="BM136" s="303"/>
      <c r="BN136" s="303"/>
    </row>
    <row r="137" spans="1:66" x14ac:dyDescent="0.25">
      <c r="A137" s="320"/>
      <c r="B137" s="303"/>
      <c r="C137" s="303"/>
      <c r="D137" s="303"/>
      <c r="E137" s="303"/>
      <c r="F137" s="303"/>
      <c r="G137" s="303"/>
      <c r="H137" s="303"/>
      <c r="I137" s="303"/>
      <c r="J137" s="303"/>
      <c r="K137" s="303"/>
      <c r="L137" s="303"/>
      <c r="M137" s="303"/>
      <c r="N137" s="303"/>
      <c r="O137" s="303"/>
      <c r="P137" s="303"/>
      <c r="Q137" s="303"/>
      <c r="R137" s="303"/>
      <c r="S137" s="303"/>
      <c r="T137" s="2086"/>
      <c r="U137" s="2105" t="s">
        <v>1418</v>
      </c>
      <c r="V137" s="2094" t="s">
        <v>2069</v>
      </c>
      <c r="W137" s="2099">
        <v>11</v>
      </c>
      <c r="X137" s="2099"/>
      <c r="Y137" s="2099">
        <v>290</v>
      </c>
      <c r="Z137" s="2099"/>
      <c r="AA137" s="2104">
        <v>0.2</v>
      </c>
      <c r="AB137" s="2088"/>
      <c r="AD137" s="2086"/>
      <c r="AE137" s="2115" t="s">
        <v>14</v>
      </c>
      <c r="AF137" s="306">
        <v>8</v>
      </c>
      <c r="AG137" s="306"/>
      <c r="AH137" s="306"/>
      <c r="AI137" s="306"/>
      <c r="AJ137" s="306"/>
      <c r="AK137" s="306"/>
      <c r="AL137" s="306">
        <f t="shared" ref="AL137:AN141" si="20">AVERAGE(AL$132:AL$135)</f>
        <v>0.29875000000000002</v>
      </c>
      <c r="AM137" s="306">
        <f t="shared" si="20"/>
        <v>0.48249999999999998</v>
      </c>
      <c r="AN137" s="306">
        <f t="shared" si="20"/>
        <v>0.45</v>
      </c>
      <c r="AO137" s="306"/>
      <c r="AP137" s="306"/>
      <c r="AQ137" s="306"/>
      <c r="AR137" s="306" t="s">
        <v>1677</v>
      </c>
      <c r="AS137" s="2116"/>
      <c r="AT137" s="3"/>
      <c r="AU137" s="300"/>
      <c r="AV137" s="2088"/>
      <c r="AW137" s="303"/>
      <c r="AX137" s="303"/>
      <c r="AY137" s="303"/>
      <c r="AZ137" s="303"/>
      <c r="BA137" s="303"/>
      <c r="BB137" s="303"/>
      <c r="BC137" s="303"/>
      <c r="BD137" s="303"/>
      <c r="BE137" s="303"/>
      <c r="BF137" s="303"/>
      <c r="BG137" s="303"/>
      <c r="BH137" s="303"/>
      <c r="BI137" s="303"/>
      <c r="BJ137" s="303"/>
      <c r="BK137" s="303"/>
      <c r="BL137" s="303"/>
      <c r="BM137" s="303"/>
      <c r="BN137" s="303"/>
    </row>
    <row r="138" spans="1:66" ht="13.25" thickBot="1" x14ac:dyDescent="0.3">
      <c r="A138" s="320"/>
      <c r="B138" s="303"/>
      <c r="C138" s="303"/>
      <c r="D138" s="303"/>
      <c r="E138" s="303"/>
      <c r="F138" s="303"/>
      <c r="G138" s="303"/>
      <c r="H138" s="303"/>
      <c r="I138" s="303"/>
      <c r="J138" s="303"/>
      <c r="K138" s="303"/>
      <c r="L138" s="303"/>
      <c r="M138" s="303"/>
      <c r="N138" s="303"/>
      <c r="O138" s="303"/>
      <c r="P138" s="303"/>
      <c r="Q138" s="303"/>
      <c r="R138" s="303"/>
      <c r="S138" s="303"/>
      <c r="T138" s="2086"/>
      <c r="U138" s="2105" t="s">
        <v>1418</v>
      </c>
      <c r="V138" s="2095" t="s">
        <v>32</v>
      </c>
      <c r="W138" s="2099">
        <v>3</v>
      </c>
      <c r="X138" s="2099"/>
      <c r="Y138" s="2099">
        <v>290</v>
      </c>
      <c r="Z138" s="2099"/>
      <c r="AA138" s="2104">
        <v>0.24</v>
      </c>
      <c r="AB138" s="2088"/>
      <c r="AD138" s="2086"/>
      <c r="AE138" s="2115" t="s">
        <v>15</v>
      </c>
      <c r="AF138" s="306">
        <v>9</v>
      </c>
      <c r="AG138" s="306"/>
      <c r="AH138" s="306"/>
      <c r="AI138" s="306"/>
      <c r="AJ138" s="306"/>
      <c r="AK138" s="306"/>
      <c r="AL138" s="306">
        <f t="shared" si="20"/>
        <v>0.29875000000000002</v>
      </c>
      <c r="AM138" s="306">
        <f t="shared" si="20"/>
        <v>0.48249999999999998</v>
      </c>
      <c r="AN138" s="306">
        <f t="shared" si="20"/>
        <v>0.45</v>
      </c>
      <c r="AO138" s="306"/>
      <c r="AP138" s="306"/>
      <c r="AQ138" s="306"/>
      <c r="AR138" s="306" t="s">
        <v>1677</v>
      </c>
      <c r="AS138" s="2116"/>
      <c r="AT138" s="3"/>
      <c r="AU138" s="300"/>
      <c r="AV138" s="2088"/>
      <c r="AW138" s="303"/>
      <c r="AX138" s="303"/>
      <c r="AY138" s="303"/>
      <c r="AZ138" s="303"/>
      <c r="BA138" s="303"/>
      <c r="BB138" s="303"/>
      <c r="BC138" s="303"/>
      <c r="BD138" s="303"/>
      <c r="BE138" s="303"/>
      <c r="BF138" s="303"/>
      <c r="BG138" s="303"/>
      <c r="BH138" s="303"/>
      <c r="BI138" s="303"/>
      <c r="BJ138" s="303"/>
      <c r="BK138" s="303"/>
      <c r="BL138" s="303"/>
      <c r="BM138" s="303"/>
      <c r="BN138" s="303"/>
    </row>
    <row r="139" spans="1:66" x14ac:dyDescent="0.25">
      <c r="A139" s="320"/>
      <c r="B139" s="303"/>
      <c r="C139" s="303"/>
      <c r="D139" s="303"/>
      <c r="E139" s="303"/>
      <c r="F139" s="303"/>
      <c r="G139" s="303"/>
      <c r="H139" s="303"/>
      <c r="I139" s="303"/>
      <c r="J139" s="303"/>
      <c r="K139" s="303"/>
      <c r="L139" s="303"/>
      <c r="M139" s="303"/>
      <c r="N139" s="303"/>
      <c r="O139" s="303"/>
      <c r="P139" s="303"/>
      <c r="Q139" s="303"/>
      <c r="R139" s="303"/>
      <c r="S139" s="303"/>
      <c r="T139" s="2086"/>
      <c r="U139" s="2105" t="s">
        <v>1418</v>
      </c>
      <c r="V139" s="2096" t="s">
        <v>1860</v>
      </c>
      <c r="W139" s="2099" t="e">
        <f>NA()</f>
        <v>#N/A</v>
      </c>
      <c r="X139" s="2099"/>
      <c r="Y139" s="2099" t="e">
        <f>NA()</f>
        <v>#N/A</v>
      </c>
      <c r="Z139" s="2099"/>
      <c r="AA139" s="2104" t="e">
        <f>NA()</f>
        <v>#N/A</v>
      </c>
      <c r="AB139" s="2088"/>
      <c r="AD139" s="2086"/>
      <c r="AE139" s="2115" t="s">
        <v>1674</v>
      </c>
      <c r="AF139" s="306">
        <v>10</v>
      </c>
      <c r="AG139" s="306"/>
      <c r="AH139" s="306"/>
      <c r="AI139" s="306"/>
      <c r="AJ139" s="306"/>
      <c r="AK139" s="306"/>
      <c r="AL139" s="306">
        <f t="shared" si="20"/>
        <v>0.29875000000000002</v>
      </c>
      <c r="AM139" s="306">
        <f t="shared" si="20"/>
        <v>0.48249999999999998</v>
      </c>
      <c r="AN139" s="306">
        <f t="shared" si="20"/>
        <v>0.45</v>
      </c>
      <c r="AO139" s="306"/>
      <c r="AP139" s="306"/>
      <c r="AQ139" s="306"/>
      <c r="AR139" s="306" t="s">
        <v>1677</v>
      </c>
      <c r="AS139" s="2116"/>
      <c r="AT139" s="3"/>
      <c r="AU139" s="300"/>
      <c r="AV139" s="2088"/>
      <c r="AW139" s="303"/>
      <c r="AX139" s="303"/>
      <c r="AY139" s="303"/>
      <c r="AZ139" s="303"/>
      <c r="BA139" s="303"/>
      <c r="BB139" s="303"/>
      <c r="BC139" s="303"/>
      <c r="BD139" s="303"/>
      <c r="BE139" s="303"/>
      <c r="BF139" s="303"/>
      <c r="BG139" s="303"/>
      <c r="BH139" s="303"/>
      <c r="BI139" s="303"/>
      <c r="BJ139" s="303"/>
      <c r="BK139" s="303"/>
      <c r="BL139" s="303"/>
      <c r="BM139" s="303"/>
      <c r="BN139" s="303"/>
    </row>
    <row r="140" spans="1:66" x14ac:dyDescent="0.25">
      <c r="A140" s="320"/>
      <c r="B140" s="303"/>
      <c r="C140" s="303"/>
      <c r="D140" s="303"/>
      <c r="E140" s="303"/>
      <c r="F140" s="303"/>
      <c r="G140" s="303"/>
      <c r="H140" s="303"/>
      <c r="I140" s="303"/>
      <c r="J140" s="303"/>
      <c r="K140" s="303"/>
      <c r="L140" s="303"/>
      <c r="M140" s="303"/>
      <c r="N140" s="303"/>
      <c r="O140" s="303"/>
      <c r="P140" s="303"/>
      <c r="Q140" s="303"/>
      <c r="R140" s="303"/>
      <c r="S140" s="303"/>
      <c r="T140" s="2086"/>
      <c r="U140" s="2105" t="s">
        <v>1418</v>
      </c>
      <c r="V140" s="2097" t="s">
        <v>1861</v>
      </c>
      <c r="W140" s="2099" t="e">
        <f>NA()</f>
        <v>#N/A</v>
      </c>
      <c r="X140" s="2099"/>
      <c r="Y140" s="2099" t="e">
        <f>NA()</f>
        <v>#N/A</v>
      </c>
      <c r="Z140" s="2099"/>
      <c r="AA140" s="2104" t="e">
        <f>NA()</f>
        <v>#N/A</v>
      </c>
      <c r="AB140" s="2088"/>
      <c r="AD140" s="2086"/>
      <c r="AE140" s="2115" t="s">
        <v>1676</v>
      </c>
      <c r="AF140" s="306">
        <v>11</v>
      </c>
      <c r="AG140" s="306"/>
      <c r="AH140" s="306"/>
      <c r="AI140" s="306"/>
      <c r="AJ140" s="306"/>
      <c r="AK140" s="306"/>
      <c r="AL140" s="306">
        <f t="shared" si="20"/>
        <v>0.29875000000000002</v>
      </c>
      <c r="AM140" s="306">
        <f t="shared" si="20"/>
        <v>0.48249999999999998</v>
      </c>
      <c r="AN140" s="306">
        <f t="shared" si="20"/>
        <v>0.45</v>
      </c>
      <c r="AO140" s="306"/>
      <c r="AP140" s="306"/>
      <c r="AQ140" s="306"/>
      <c r="AR140" s="306" t="s">
        <v>1677</v>
      </c>
      <c r="AS140" s="2116"/>
      <c r="AT140" s="3"/>
      <c r="AU140" s="300"/>
      <c r="AV140" s="2088"/>
      <c r="AW140" s="303"/>
      <c r="AX140" s="303"/>
      <c r="AY140" s="303"/>
      <c r="AZ140" s="303"/>
      <c r="BA140" s="303"/>
      <c r="BB140" s="303"/>
      <c r="BC140" s="303"/>
      <c r="BD140" s="303"/>
      <c r="BE140" s="303"/>
      <c r="BF140" s="303"/>
      <c r="BG140" s="303"/>
      <c r="BH140" s="303"/>
      <c r="BI140" s="303"/>
      <c r="BJ140" s="303"/>
      <c r="BK140" s="303"/>
      <c r="BL140" s="303"/>
      <c r="BM140" s="303"/>
      <c r="BN140" s="303"/>
    </row>
    <row r="141" spans="1:66" x14ac:dyDescent="0.25">
      <c r="A141" s="320"/>
      <c r="B141" s="303"/>
      <c r="C141" s="303"/>
      <c r="D141" s="303"/>
      <c r="E141" s="303"/>
      <c r="F141" s="303"/>
      <c r="G141" s="303"/>
      <c r="H141" s="303"/>
      <c r="I141" s="303"/>
      <c r="J141" s="303"/>
      <c r="K141" s="303"/>
      <c r="L141" s="303"/>
      <c r="M141" s="303"/>
      <c r="N141" s="303"/>
      <c r="O141" s="303"/>
      <c r="P141" s="303"/>
      <c r="Q141" s="303"/>
      <c r="R141" s="303"/>
      <c r="S141" s="303"/>
      <c r="T141" s="2086"/>
      <c r="U141" s="2105" t="s">
        <v>1418</v>
      </c>
      <c r="V141" s="2097" t="s">
        <v>1862</v>
      </c>
      <c r="W141" s="2099" t="e">
        <f>NA()</f>
        <v>#N/A</v>
      </c>
      <c r="X141" s="2099"/>
      <c r="Y141" s="2099" t="e">
        <f>NA()</f>
        <v>#N/A</v>
      </c>
      <c r="Z141" s="2099"/>
      <c r="AA141" s="2104" t="e">
        <f>NA()</f>
        <v>#N/A</v>
      </c>
      <c r="AB141" s="2088"/>
      <c r="AD141" s="2086"/>
      <c r="AE141" s="2115" t="s">
        <v>1675</v>
      </c>
      <c r="AF141" s="306">
        <v>12</v>
      </c>
      <c r="AG141" s="306"/>
      <c r="AH141" s="306"/>
      <c r="AI141" s="306"/>
      <c r="AJ141" s="306"/>
      <c r="AK141" s="306"/>
      <c r="AL141" s="306">
        <f t="shared" si="20"/>
        <v>0.29875000000000002</v>
      </c>
      <c r="AM141" s="306">
        <f t="shared" si="20"/>
        <v>0.48249999999999998</v>
      </c>
      <c r="AN141" s="306">
        <f t="shared" si="20"/>
        <v>0.45</v>
      </c>
      <c r="AO141" s="306"/>
      <c r="AP141" s="306"/>
      <c r="AQ141" s="306"/>
      <c r="AR141" s="306" t="s">
        <v>1677</v>
      </c>
      <c r="AS141" s="2116"/>
      <c r="AT141" s="3"/>
      <c r="AU141" s="300"/>
      <c r="AV141" s="2088"/>
      <c r="AW141" s="303"/>
      <c r="AX141" s="303"/>
      <c r="AY141" s="303"/>
      <c r="AZ141" s="303"/>
      <c r="BA141" s="303"/>
      <c r="BB141" s="303"/>
      <c r="BC141" s="303"/>
      <c r="BD141" s="303"/>
      <c r="BE141" s="303"/>
      <c r="BF141" s="303"/>
      <c r="BG141" s="303"/>
      <c r="BH141" s="303"/>
      <c r="BI141" s="303"/>
      <c r="BJ141" s="303"/>
      <c r="BK141" s="303"/>
      <c r="BL141" s="303"/>
      <c r="BM141" s="303"/>
      <c r="BN141" s="303"/>
    </row>
    <row r="142" spans="1:66" x14ac:dyDescent="0.25">
      <c r="A142" s="320"/>
      <c r="B142" s="303"/>
      <c r="C142" s="303"/>
      <c r="D142" s="303"/>
      <c r="E142" s="303"/>
      <c r="F142" s="303"/>
      <c r="G142" s="303"/>
      <c r="H142" s="303"/>
      <c r="I142" s="303"/>
      <c r="J142" s="303"/>
      <c r="K142" s="303"/>
      <c r="L142" s="303"/>
      <c r="M142" s="303"/>
      <c r="N142" s="303"/>
      <c r="O142" s="303"/>
      <c r="P142" s="303"/>
      <c r="Q142" s="303"/>
      <c r="R142" s="303"/>
      <c r="S142" s="303"/>
      <c r="T142" s="2086"/>
      <c r="U142" s="2105" t="s">
        <v>1418</v>
      </c>
      <c r="V142" s="2097" t="s">
        <v>1863</v>
      </c>
      <c r="W142" s="2099" t="e">
        <f>NA()</f>
        <v>#N/A</v>
      </c>
      <c r="X142" s="2099"/>
      <c r="Y142" s="2099" t="e">
        <f>NA()</f>
        <v>#N/A</v>
      </c>
      <c r="Z142" s="2099"/>
      <c r="AA142" s="2104" t="e">
        <f>NA()</f>
        <v>#N/A</v>
      </c>
      <c r="AB142" s="2088"/>
      <c r="AD142" s="2086"/>
      <c r="AE142" s="2115"/>
      <c r="AF142" s="306"/>
      <c r="AG142" s="306"/>
      <c r="AH142" s="306"/>
      <c r="AI142" s="306"/>
      <c r="AJ142" s="306"/>
      <c r="AK142" s="306"/>
      <c r="AL142" s="306"/>
      <c r="AM142" s="306"/>
      <c r="AN142" s="306"/>
      <c r="AO142" s="306"/>
      <c r="AP142" s="306"/>
      <c r="AQ142" s="306"/>
      <c r="AR142" s="306"/>
      <c r="AS142" s="2116"/>
      <c r="AT142" s="3"/>
      <c r="AU142" s="300"/>
      <c r="AV142" s="2088"/>
      <c r="AW142" s="303"/>
      <c r="AX142" s="303"/>
      <c r="AY142" s="303"/>
      <c r="AZ142" s="303"/>
      <c r="BA142" s="303"/>
      <c r="BB142" s="303"/>
      <c r="BC142" s="303"/>
      <c r="BD142" s="303"/>
      <c r="BE142" s="303"/>
      <c r="BF142" s="303"/>
      <c r="BG142" s="303"/>
      <c r="BH142" s="303"/>
      <c r="BI142" s="303"/>
      <c r="BJ142" s="303"/>
      <c r="BK142" s="303"/>
      <c r="BL142" s="303"/>
      <c r="BM142" s="303"/>
      <c r="BN142" s="303"/>
    </row>
    <row r="143" spans="1:66" ht="13.25" thickBot="1" x14ac:dyDescent="0.3">
      <c r="A143" s="320"/>
      <c r="B143" s="303"/>
      <c r="C143" s="303"/>
      <c r="D143" s="303"/>
      <c r="E143" s="303"/>
      <c r="F143" s="303"/>
      <c r="G143" s="303"/>
      <c r="H143" s="303"/>
      <c r="I143" s="303"/>
      <c r="J143" s="303"/>
      <c r="K143" s="303"/>
      <c r="L143" s="303"/>
      <c r="M143" s="303"/>
      <c r="N143" s="303"/>
      <c r="O143" s="303"/>
      <c r="P143" s="303"/>
      <c r="Q143" s="303"/>
      <c r="R143" s="303"/>
      <c r="S143" s="303"/>
      <c r="T143" s="2086"/>
      <c r="U143" s="2105" t="s">
        <v>1418</v>
      </c>
      <c r="V143" s="2097" t="s">
        <v>1864</v>
      </c>
      <c r="W143" s="2099" t="e">
        <f>NA()</f>
        <v>#N/A</v>
      </c>
      <c r="X143" s="2099"/>
      <c r="Y143" s="2099" t="e">
        <f>NA()</f>
        <v>#N/A</v>
      </c>
      <c r="Z143" s="2099"/>
      <c r="AA143" s="2104" t="e">
        <f>NA()</f>
        <v>#N/A</v>
      </c>
      <c r="AB143" s="2088"/>
      <c r="AD143" s="2086"/>
      <c r="AE143" s="2117"/>
      <c r="AF143" s="2118"/>
      <c r="AG143" s="2118"/>
      <c r="AH143" s="2118"/>
      <c r="AI143" s="2118"/>
      <c r="AJ143" s="2118"/>
      <c r="AK143" s="2118"/>
      <c r="AL143" s="2118"/>
      <c r="AM143" s="2118"/>
      <c r="AN143" s="2118"/>
      <c r="AO143" s="2118"/>
      <c r="AP143" s="2118"/>
      <c r="AQ143" s="2118"/>
      <c r="AR143" s="2118"/>
      <c r="AS143" s="2119"/>
      <c r="AT143" s="3"/>
      <c r="AU143" s="300"/>
      <c r="AV143" s="2088"/>
      <c r="AW143" s="303"/>
      <c r="AX143" s="303"/>
      <c r="AY143" s="303"/>
      <c r="AZ143" s="303"/>
      <c r="BA143" s="303"/>
      <c r="BB143" s="303"/>
      <c r="BC143" s="303"/>
      <c r="BD143" s="303"/>
      <c r="BE143" s="303"/>
      <c r="BF143" s="303"/>
      <c r="BG143" s="303"/>
      <c r="BH143" s="303"/>
      <c r="BI143" s="303"/>
      <c r="BJ143" s="303"/>
      <c r="BK143" s="303"/>
      <c r="BL143" s="303"/>
      <c r="BM143" s="303"/>
      <c r="BN143" s="303"/>
    </row>
    <row r="144" spans="1:66" ht="13.25" thickBot="1" x14ac:dyDescent="0.3">
      <c r="A144" s="320"/>
      <c r="B144" s="303"/>
      <c r="C144" s="303"/>
      <c r="D144" s="303"/>
      <c r="E144" s="303"/>
      <c r="F144" s="303"/>
      <c r="G144" s="303"/>
      <c r="H144" s="303"/>
      <c r="I144" s="303"/>
      <c r="J144" s="303"/>
      <c r="K144" s="303"/>
      <c r="L144" s="303"/>
      <c r="M144" s="303"/>
      <c r="N144" s="303"/>
      <c r="O144" s="303"/>
      <c r="P144" s="303"/>
      <c r="Q144" s="303"/>
      <c r="R144" s="303"/>
      <c r="S144" s="303"/>
      <c r="T144" s="2086"/>
      <c r="U144" s="2105" t="s">
        <v>1418</v>
      </c>
      <c r="V144" s="2098" t="s">
        <v>1598</v>
      </c>
      <c r="W144" s="2099" t="e">
        <f>NA()</f>
        <v>#N/A</v>
      </c>
      <c r="X144" s="2099"/>
      <c r="Y144" s="2099" t="e">
        <f>NA()</f>
        <v>#N/A</v>
      </c>
      <c r="Z144" s="2099"/>
      <c r="AA144" s="2104" t="e">
        <f>NA()</f>
        <v>#N/A</v>
      </c>
      <c r="AB144" s="2088"/>
      <c r="AD144" s="2086"/>
      <c r="AE144" s="300"/>
      <c r="AF144" s="300"/>
      <c r="AG144" s="300"/>
      <c r="AH144" s="300"/>
      <c r="AI144" s="300"/>
      <c r="AJ144" s="300"/>
      <c r="AK144" s="300"/>
      <c r="AL144" s="300"/>
      <c r="AM144" s="300"/>
      <c r="AN144" s="300"/>
      <c r="AO144" s="300"/>
      <c r="AP144" s="300"/>
      <c r="AQ144" s="300"/>
      <c r="AR144" s="300"/>
      <c r="AS144" s="300"/>
      <c r="AT144" s="3"/>
      <c r="AU144" s="300"/>
      <c r="AV144" s="2088"/>
      <c r="AW144" s="303"/>
      <c r="AX144" s="303"/>
      <c r="AY144" s="303"/>
      <c r="AZ144" s="303"/>
      <c r="BA144" s="303"/>
      <c r="BB144" s="303"/>
      <c r="BC144" s="303"/>
      <c r="BD144" s="303"/>
      <c r="BE144" s="303"/>
      <c r="BF144" s="303"/>
      <c r="BG144" s="303"/>
      <c r="BH144" s="303"/>
      <c r="BI144" s="303"/>
      <c r="BJ144" s="303"/>
      <c r="BK144" s="303"/>
      <c r="BL144" s="303"/>
      <c r="BM144" s="303"/>
      <c r="BN144" s="303"/>
    </row>
    <row r="145" spans="1:66" x14ac:dyDescent="0.25">
      <c r="A145" s="320"/>
      <c r="B145" s="303"/>
      <c r="C145" s="303"/>
      <c r="D145" s="303"/>
      <c r="E145" s="303"/>
      <c r="F145" s="303"/>
      <c r="G145" s="303"/>
      <c r="H145" s="303"/>
      <c r="I145" s="303"/>
      <c r="J145" s="303"/>
      <c r="K145" s="303"/>
      <c r="L145" s="303"/>
      <c r="M145" s="303"/>
      <c r="N145" s="303"/>
      <c r="O145" s="303"/>
      <c r="P145" s="303"/>
      <c r="Q145" s="303"/>
      <c r="R145" s="303"/>
      <c r="S145" s="303"/>
      <c r="T145" s="2086"/>
      <c r="U145" s="2105" t="s">
        <v>1420</v>
      </c>
      <c r="V145" s="2093" t="s">
        <v>1644</v>
      </c>
      <c r="W145" s="1821">
        <v>2.4</v>
      </c>
      <c r="X145" s="1821"/>
      <c r="Y145" s="1821">
        <v>140</v>
      </c>
      <c r="Z145" s="1821"/>
      <c r="AA145" s="2106">
        <v>0.56000000000000005</v>
      </c>
      <c r="AB145" s="2088"/>
      <c r="AD145" s="2086"/>
      <c r="AE145" s="300"/>
      <c r="AF145" s="300"/>
      <c r="AG145" s="300"/>
      <c r="AH145" s="300"/>
      <c r="AI145" s="300"/>
      <c r="AJ145" s="300"/>
      <c r="AK145" s="300"/>
      <c r="AL145" s="300"/>
      <c r="AM145" s="300"/>
      <c r="AN145" s="300"/>
      <c r="AO145" s="300"/>
      <c r="AP145" s="300"/>
      <c r="AQ145" s="300"/>
      <c r="AR145" s="300"/>
      <c r="AS145" s="300"/>
      <c r="AT145" s="3"/>
      <c r="AU145" s="300"/>
      <c r="AV145" s="2088"/>
      <c r="AW145" s="303"/>
      <c r="AX145" s="303"/>
      <c r="AY145" s="303"/>
      <c r="AZ145" s="303"/>
      <c r="BA145" s="303"/>
      <c r="BB145" s="303"/>
      <c r="BC145" s="303"/>
      <c r="BD145" s="303"/>
      <c r="BE145" s="303"/>
      <c r="BF145" s="303"/>
      <c r="BG145" s="303"/>
      <c r="BH145" s="303"/>
      <c r="BI145" s="303"/>
      <c r="BJ145" s="303"/>
      <c r="BK145" s="303"/>
      <c r="BL145" s="303"/>
      <c r="BM145" s="303"/>
      <c r="BN145" s="303"/>
    </row>
    <row r="146" spans="1:66" x14ac:dyDescent="0.25">
      <c r="A146" s="320"/>
      <c r="B146" s="303"/>
      <c r="C146" s="303"/>
      <c r="D146" s="303"/>
      <c r="E146" s="303"/>
      <c r="F146" s="303"/>
      <c r="G146" s="303"/>
      <c r="H146" s="303"/>
      <c r="I146" s="303"/>
      <c r="J146" s="303"/>
      <c r="K146" s="303"/>
      <c r="L146" s="303"/>
      <c r="M146" s="303"/>
      <c r="N146" s="303"/>
      <c r="O146" s="303"/>
      <c r="P146" s="303"/>
      <c r="Q146" s="303"/>
      <c r="R146" s="303"/>
      <c r="S146" s="303"/>
      <c r="T146" s="2086"/>
      <c r="U146" s="2105" t="s">
        <v>1420</v>
      </c>
      <c r="V146" s="2094" t="s">
        <v>1645</v>
      </c>
      <c r="W146" s="1821">
        <v>1.8</v>
      </c>
      <c r="X146" s="1821"/>
      <c r="Y146" s="1821">
        <v>140</v>
      </c>
      <c r="Z146" s="1821"/>
      <c r="AA146" s="2106">
        <v>0.28000000000000003</v>
      </c>
      <c r="AB146" s="2088"/>
      <c r="AD146" s="2086"/>
      <c r="AE146" s="300"/>
      <c r="AF146" s="300"/>
      <c r="AG146" s="300"/>
      <c r="AH146" s="300"/>
      <c r="AI146" s="300"/>
      <c r="AJ146" s="300"/>
      <c r="AK146" s="300"/>
      <c r="AL146" s="300"/>
      <c r="AM146" s="300"/>
      <c r="AN146" s="300"/>
      <c r="AO146" s="300"/>
      <c r="AP146" s="300"/>
      <c r="AQ146" s="300"/>
      <c r="AR146" s="300"/>
      <c r="AS146" s="300"/>
      <c r="AT146" s="3"/>
      <c r="AU146" s="300"/>
      <c r="AV146" s="2088"/>
      <c r="AW146" s="303"/>
      <c r="AX146" s="303"/>
      <c r="AY146" s="303"/>
      <c r="AZ146" s="303"/>
      <c r="BA146" s="303"/>
      <c r="BB146" s="303"/>
      <c r="BC146" s="303"/>
      <c r="BD146" s="303"/>
      <c r="BE146" s="303"/>
      <c r="BF146" s="303"/>
      <c r="BG146" s="303"/>
      <c r="BH146" s="303"/>
      <c r="BI146" s="303"/>
      <c r="BJ146" s="303"/>
      <c r="BK146" s="303"/>
      <c r="BL146" s="303"/>
      <c r="BM146" s="303"/>
      <c r="BN146" s="303"/>
    </row>
    <row r="147" spans="1:66" x14ac:dyDescent="0.25">
      <c r="A147" s="320"/>
      <c r="B147" s="303"/>
      <c r="C147" s="303"/>
      <c r="D147" s="303"/>
      <c r="E147" s="303"/>
      <c r="F147" s="303"/>
      <c r="G147" s="303"/>
      <c r="H147" s="303"/>
      <c r="I147" s="303"/>
      <c r="J147" s="303"/>
      <c r="K147" s="303"/>
      <c r="L147" s="303"/>
      <c r="M147" s="303"/>
      <c r="N147" s="303"/>
      <c r="O147" s="303"/>
      <c r="P147" s="303"/>
      <c r="Q147" s="303"/>
      <c r="R147" s="303"/>
      <c r="S147" s="303"/>
      <c r="T147" s="2086"/>
      <c r="U147" s="2105" t="s">
        <v>1420</v>
      </c>
      <c r="V147" s="2094" t="s">
        <v>1647</v>
      </c>
      <c r="W147" s="1821">
        <v>4</v>
      </c>
      <c r="X147" s="1821"/>
      <c r="Y147" s="1821">
        <v>210</v>
      </c>
      <c r="Z147" s="1821"/>
      <c r="AA147" s="2106">
        <v>0.56000000000000005</v>
      </c>
      <c r="AB147" s="2088"/>
      <c r="AD147" s="2086"/>
      <c r="AE147" s="300"/>
      <c r="AF147" s="300"/>
      <c r="AG147" s="300"/>
      <c r="AH147" s="300"/>
      <c r="AI147" s="300"/>
      <c r="AJ147" s="300"/>
      <c r="AK147" s="300"/>
      <c r="AL147" s="300"/>
      <c r="AM147" s="300"/>
      <c r="AN147" s="300"/>
      <c r="AO147" s="300"/>
      <c r="AP147" s="300"/>
      <c r="AQ147" s="300"/>
      <c r="AR147" s="300"/>
      <c r="AS147" s="300"/>
      <c r="AT147" s="3"/>
      <c r="AU147" s="300"/>
      <c r="AV147" s="2088"/>
      <c r="AW147" s="303"/>
      <c r="AX147" s="303"/>
      <c r="AY147" s="303"/>
      <c r="AZ147" s="303"/>
      <c r="BA147" s="303"/>
      <c r="BB147" s="303"/>
      <c r="BC147" s="303"/>
      <c r="BD147" s="303"/>
      <c r="BE147" s="303"/>
      <c r="BF147" s="303"/>
      <c r="BG147" s="303"/>
      <c r="BH147" s="303"/>
      <c r="BI147" s="303"/>
      <c r="BJ147" s="303"/>
      <c r="BK147" s="303"/>
      <c r="BL147" s="303"/>
      <c r="BM147" s="303"/>
      <c r="BN147" s="303"/>
    </row>
    <row r="148" spans="1:66" x14ac:dyDescent="0.25">
      <c r="A148" s="320"/>
      <c r="B148" s="303"/>
      <c r="C148" s="303"/>
      <c r="D148" s="303"/>
      <c r="E148" s="303"/>
      <c r="F148" s="303"/>
      <c r="G148" s="303"/>
      <c r="H148" s="303"/>
      <c r="I148" s="303"/>
      <c r="J148" s="303"/>
      <c r="K148" s="303"/>
      <c r="L148" s="303"/>
      <c r="M148" s="303"/>
      <c r="N148" s="303"/>
      <c r="O148" s="303"/>
      <c r="P148" s="303"/>
      <c r="Q148" s="303"/>
      <c r="R148" s="303"/>
      <c r="S148" s="303"/>
      <c r="T148" s="2086"/>
      <c r="U148" s="2105" t="s">
        <v>1420</v>
      </c>
      <c r="V148" s="2094" t="s">
        <v>1650</v>
      </c>
      <c r="W148" s="1821">
        <v>1</v>
      </c>
      <c r="X148" s="1821"/>
      <c r="Y148" s="1821">
        <v>210</v>
      </c>
      <c r="Z148" s="1821"/>
      <c r="AA148" s="2106">
        <v>0.28000000000000003</v>
      </c>
      <c r="AB148" s="2088"/>
      <c r="AD148" s="2086"/>
      <c r="AE148" s="300"/>
      <c r="AF148" s="300"/>
      <c r="AG148" s="300"/>
      <c r="AH148" s="300"/>
      <c r="AI148" s="300"/>
      <c r="AJ148" s="300"/>
      <c r="AK148" s="300"/>
      <c r="AL148" s="300"/>
      <c r="AM148" s="300"/>
      <c r="AN148" s="300"/>
      <c r="AO148" s="300"/>
      <c r="AP148" s="300">
        <f>EXP(1)</f>
        <v>2.7182818284590451</v>
      </c>
      <c r="AQ148" s="300"/>
      <c r="AR148" s="300"/>
      <c r="AS148" s="300"/>
      <c r="AT148" s="3"/>
      <c r="AU148" s="300"/>
      <c r="AV148" s="2088"/>
      <c r="AW148" s="303"/>
      <c r="AX148" s="303"/>
      <c r="AY148" s="303"/>
      <c r="AZ148" s="303"/>
      <c r="BA148" s="303"/>
      <c r="BB148" s="303"/>
      <c r="BC148" s="303"/>
      <c r="BD148" s="303"/>
      <c r="BE148" s="303"/>
      <c r="BF148" s="303"/>
      <c r="BG148" s="303"/>
      <c r="BH148" s="303"/>
      <c r="BI148" s="303"/>
      <c r="BJ148" s="303"/>
      <c r="BK148" s="303"/>
      <c r="BL148" s="303"/>
      <c r="BM148" s="303"/>
      <c r="BN148" s="303"/>
    </row>
    <row r="149" spans="1:66" x14ac:dyDescent="0.25">
      <c r="A149" s="320"/>
      <c r="B149" s="303"/>
      <c r="C149" s="303"/>
      <c r="D149" s="303"/>
      <c r="E149" s="303"/>
      <c r="F149" s="303"/>
      <c r="G149" s="303"/>
      <c r="H149" s="303"/>
      <c r="I149" s="303"/>
      <c r="J149" s="303"/>
      <c r="K149" s="303"/>
      <c r="L149" s="303"/>
      <c r="M149" s="303"/>
      <c r="N149" s="303"/>
      <c r="O149" s="303"/>
      <c r="P149" s="303"/>
      <c r="Q149" s="303"/>
      <c r="R149" s="303"/>
      <c r="S149" s="303"/>
      <c r="T149" s="2086"/>
      <c r="U149" s="2105" t="s">
        <v>1420</v>
      </c>
      <c r="V149" s="2094" t="s">
        <v>1417</v>
      </c>
      <c r="W149" s="1821">
        <v>4</v>
      </c>
      <c r="X149" s="1821"/>
      <c r="Y149" s="1821">
        <v>210</v>
      </c>
      <c r="Z149" s="1821"/>
      <c r="AA149" s="2106">
        <v>0.56000000000000005</v>
      </c>
      <c r="AB149" s="2088"/>
      <c r="AD149" s="2086"/>
      <c r="AE149" s="300"/>
      <c r="AF149" s="300"/>
      <c r="AG149" s="300"/>
      <c r="AH149" s="300"/>
      <c r="AI149" s="300"/>
      <c r="AJ149" s="300" t="s">
        <v>1516</v>
      </c>
      <c r="AK149" s="300"/>
      <c r="AL149" s="300"/>
      <c r="AM149" s="300"/>
      <c r="AN149" s="300"/>
      <c r="AO149" s="300"/>
      <c r="AP149" s="300"/>
      <c r="AQ149" s="300"/>
      <c r="AR149" s="300"/>
      <c r="AS149" s="300"/>
      <c r="AT149" s="3"/>
      <c r="AU149" s="300"/>
      <c r="AV149" s="2088"/>
      <c r="AW149" s="303"/>
      <c r="AX149" s="303"/>
      <c r="AY149" s="303"/>
      <c r="AZ149" s="303"/>
      <c r="BA149" s="303"/>
      <c r="BB149" s="303"/>
      <c r="BC149" s="303"/>
      <c r="BD149" s="303"/>
      <c r="BE149" s="303"/>
      <c r="BF149" s="303"/>
      <c r="BG149" s="303"/>
      <c r="BH149" s="303"/>
      <c r="BI149" s="303"/>
      <c r="BJ149" s="303"/>
      <c r="BK149" s="303"/>
      <c r="BL149" s="303"/>
      <c r="BM149" s="303"/>
      <c r="BN149" s="303"/>
    </row>
    <row r="150" spans="1:66" x14ac:dyDescent="0.25">
      <c r="A150" s="320"/>
      <c r="B150" s="303"/>
      <c r="C150" s="303"/>
      <c r="D150" s="303"/>
      <c r="E150" s="303"/>
      <c r="F150" s="303"/>
      <c r="G150" s="303"/>
      <c r="H150" s="303"/>
      <c r="I150" s="303"/>
      <c r="J150" s="303"/>
      <c r="K150" s="303"/>
      <c r="L150" s="303"/>
      <c r="M150" s="303"/>
      <c r="N150" s="303"/>
      <c r="O150" s="303"/>
      <c r="P150" s="303"/>
      <c r="Q150" s="303"/>
      <c r="R150" s="303"/>
      <c r="S150" s="303"/>
      <c r="T150" s="2086"/>
      <c r="U150" s="2105" t="s">
        <v>1420</v>
      </c>
      <c r="V150" s="2094" t="s">
        <v>1419</v>
      </c>
      <c r="W150" s="1821">
        <v>1</v>
      </c>
      <c r="X150" s="1821"/>
      <c r="Y150" s="1821">
        <v>210</v>
      </c>
      <c r="Z150" s="1821"/>
      <c r="AA150" s="2106">
        <v>0.28000000000000003</v>
      </c>
      <c r="AB150" s="2088"/>
      <c r="AD150" s="2086"/>
      <c r="AE150" s="300"/>
      <c r="AF150" s="300"/>
      <c r="AG150" s="300"/>
      <c r="AH150" s="300"/>
      <c r="AI150" s="300"/>
      <c r="AJ150" s="300">
        <f>AH133*-1/(2*AK133)</f>
        <v>4.6979729729729733</v>
      </c>
      <c r="AK150" s="300"/>
      <c r="AL150" s="300"/>
      <c r="AM150" s="300"/>
      <c r="AN150" s="300"/>
      <c r="AO150" s="300"/>
      <c r="AP150" s="300"/>
      <c r="AQ150" s="300"/>
      <c r="AR150" s="300"/>
      <c r="AS150" s="300"/>
      <c r="AT150" s="3"/>
      <c r="AU150" s="300"/>
      <c r="AV150" s="2088"/>
      <c r="AW150" s="303"/>
      <c r="AX150" s="303"/>
      <c r="AY150" s="303"/>
      <c r="AZ150" s="303"/>
      <c r="BA150" s="303"/>
      <c r="BB150" s="303"/>
      <c r="BC150" s="303"/>
      <c r="BD150" s="303"/>
      <c r="BE150" s="303"/>
      <c r="BF150" s="303"/>
      <c r="BG150" s="303"/>
      <c r="BH150" s="303"/>
      <c r="BI150" s="303"/>
      <c r="BJ150" s="303"/>
      <c r="BK150" s="303"/>
      <c r="BL150" s="303"/>
      <c r="BM150" s="303"/>
      <c r="BN150" s="303"/>
    </row>
    <row r="151" spans="1:66" x14ac:dyDescent="0.25">
      <c r="A151" s="320"/>
      <c r="B151" s="303"/>
      <c r="C151" s="303"/>
      <c r="D151" s="303"/>
      <c r="E151" s="303"/>
      <c r="F151" s="303"/>
      <c r="G151" s="303"/>
      <c r="H151" s="303"/>
      <c r="I151" s="303"/>
      <c r="J151" s="303"/>
      <c r="K151" s="303"/>
      <c r="L151" s="303"/>
      <c r="M151" s="303"/>
      <c r="N151" s="303"/>
      <c r="O151" s="303"/>
      <c r="P151" s="303"/>
      <c r="Q151" s="303"/>
      <c r="R151" s="303"/>
      <c r="S151" s="303"/>
      <c r="T151" s="2086"/>
      <c r="U151" s="2105" t="s">
        <v>1420</v>
      </c>
      <c r="V151" s="2094" t="s">
        <v>1421</v>
      </c>
      <c r="W151" s="1821">
        <v>6</v>
      </c>
      <c r="X151" s="1821"/>
      <c r="Y151" s="1821">
        <v>130</v>
      </c>
      <c r="Z151" s="1821"/>
      <c r="AA151" s="2106">
        <v>0.56000000000000005</v>
      </c>
      <c r="AB151" s="2088"/>
      <c r="AD151" s="2086"/>
      <c r="AE151" s="300"/>
      <c r="AF151" s="300"/>
      <c r="AG151" s="300"/>
      <c r="AH151" s="300"/>
      <c r="AI151" s="300"/>
      <c r="AJ151" s="300"/>
      <c r="AK151" s="300"/>
      <c r="AL151" s="300"/>
      <c r="AM151" s="300"/>
      <c r="AN151" s="300"/>
      <c r="AO151" s="300"/>
      <c r="AP151" s="300"/>
      <c r="AQ151" s="300"/>
      <c r="AR151" s="300"/>
      <c r="AS151" s="300"/>
      <c r="AT151" s="3"/>
      <c r="AU151" s="300"/>
      <c r="AV151" s="2088"/>
      <c r="AW151" s="303"/>
      <c r="AX151" s="303"/>
      <c r="AY151" s="303"/>
      <c r="AZ151" s="303"/>
      <c r="BA151" s="303"/>
      <c r="BB151" s="303"/>
      <c r="BC151" s="303"/>
      <c r="BD151" s="303"/>
      <c r="BE151" s="303"/>
      <c r="BF151" s="303"/>
      <c r="BG151" s="303"/>
      <c r="BH151" s="303"/>
      <c r="BI151" s="303"/>
      <c r="BJ151" s="303"/>
      <c r="BK151" s="303"/>
      <c r="BL151" s="303"/>
      <c r="BM151" s="303"/>
      <c r="BN151" s="303"/>
    </row>
    <row r="152" spans="1:66" x14ac:dyDescent="0.25">
      <c r="A152" s="320"/>
      <c r="B152" s="303"/>
      <c r="C152" s="303"/>
      <c r="D152" s="303"/>
      <c r="E152" s="303"/>
      <c r="F152" s="303"/>
      <c r="G152" s="303"/>
      <c r="H152" s="303"/>
      <c r="I152" s="303"/>
      <c r="J152" s="303"/>
      <c r="K152" s="303"/>
      <c r="L152" s="303"/>
      <c r="M152" s="303"/>
      <c r="N152" s="303"/>
      <c r="O152" s="303"/>
      <c r="P152" s="303"/>
      <c r="Q152" s="303"/>
      <c r="R152" s="303"/>
      <c r="S152" s="303"/>
      <c r="T152" s="2086"/>
      <c r="U152" s="2105" t="s">
        <v>1420</v>
      </c>
      <c r="V152" s="2094" t="s">
        <v>1423</v>
      </c>
      <c r="W152" s="1821">
        <v>1.5</v>
      </c>
      <c r="X152" s="1821"/>
      <c r="Y152" s="1821">
        <v>130</v>
      </c>
      <c r="Z152" s="1821"/>
      <c r="AA152" s="2106">
        <v>0.28000000000000003</v>
      </c>
      <c r="AB152" s="2088"/>
      <c r="AD152" s="2086"/>
      <c r="AE152" s="300"/>
      <c r="AF152" s="300"/>
      <c r="AG152" s="300"/>
      <c r="AH152" s="300"/>
      <c r="AI152" s="300"/>
      <c r="AJ152" s="300"/>
      <c r="AK152" s="300"/>
      <c r="AL152" s="300"/>
      <c r="AM152" s="300"/>
      <c r="AN152" s="300"/>
      <c r="AO152" s="300"/>
      <c r="AP152" s="300"/>
      <c r="AQ152" s="300"/>
      <c r="AR152" s="300"/>
      <c r="AS152" s="300"/>
      <c r="AT152" s="3"/>
      <c r="AU152" s="300"/>
      <c r="AV152" s="2088"/>
      <c r="AW152" s="303"/>
      <c r="AX152" s="303"/>
      <c r="AY152" s="303"/>
      <c r="AZ152" s="303"/>
      <c r="BA152" s="303"/>
      <c r="BB152" s="303"/>
      <c r="BC152" s="303"/>
      <c r="BD152" s="303"/>
      <c r="BE152" s="303"/>
      <c r="BF152" s="303"/>
      <c r="BG152" s="303"/>
      <c r="BH152" s="303"/>
      <c r="BI152" s="303"/>
      <c r="BJ152" s="303"/>
      <c r="BK152" s="303"/>
      <c r="BL152" s="303"/>
      <c r="BM152" s="303"/>
      <c r="BN152" s="303"/>
    </row>
    <row r="153" spans="1:66" ht="13.25" thickBot="1" x14ac:dyDescent="0.3">
      <c r="A153" s="320"/>
      <c r="B153" s="303"/>
      <c r="C153" s="303"/>
      <c r="D153" s="303"/>
      <c r="E153" s="303"/>
      <c r="F153" s="303"/>
      <c r="G153" s="303"/>
      <c r="H153" s="303"/>
      <c r="I153" s="303"/>
      <c r="J153" s="303"/>
      <c r="K153" s="303"/>
      <c r="L153" s="303"/>
      <c r="M153" s="303"/>
      <c r="N153" s="303"/>
      <c r="O153" s="303"/>
      <c r="P153" s="303"/>
      <c r="Q153" s="303"/>
      <c r="R153" s="303"/>
      <c r="S153" s="303"/>
      <c r="T153" s="2086"/>
      <c r="U153" s="2105" t="s">
        <v>1420</v>
      </c>
      <c r="V153" s="2094" t="s">
        <v>2069</v>
      </c>
      <c r="W153" s="1821">
        <v>7</v>
      </c>
      <c r="X153" s="1821"/>
      <c r="Y153" s="1821">
        <v>160</v>
      </c>
      <c r="Z153" s="1821"/>
      <c r="AA153" s="2106">
        <v>0.56000000000000005</v>
      </c>
      <c r="AB153" s="2088"/>
      <c r="AD153" s="2086"/>
      <c r="AE153" s="300"/>
      <c r="AF153" s="300"/>
      <c r="AG153" s="300"/>
      <c r="AH153" s="300"/>
      <c r="AI153" s="300"/>
      <c r="AJ153" s="300"/>
      <c r="AK153" s="300"/>
      <c r="AL153" s="300"/>
      <c r="AM153" s="300"/>
      <c r="AN153" s="300"/>
      <c r="AO153" s="300"/>
      <c r="AP153" s="300"/>
      <c r="AQ153" s="300"/>
      <c r="AR153" s="300"/>
      <c r="AS153" s="300"/>
      <c r="AT153" s="3"/>
      <c r="AU153" s="300"/>
      <c r="AV153" s="2088"/>
      <c r="AW153" s="303"/>
      <c r="AX153" s="303"/>
      <c r="AY153" s="303"/>
      <c r="AZ153" s="303"/>
      <c r="BA153" s="303"/>
      <c r="BB153" s="303"/>
      <c r="BC153" s="303"/>
      <c r="BD153" s="303"/>
      <c r="BE153" s="303"/>
      <c r="BF153" s="303"/>
      <c r="BG153" s="303"/>
      <c r="BH153" s="303"/>
      <c r="BI153" s="303"/>
      <c r="BJ153" s="303"/>
      <c r="BK153" s="303"/>
      <c r="BL153" s="303"/>
      <c r="BM153" s="303"/>
      <c r="BN153" s="303"/>
    </row>
    <row r="154" spans="1:66" ht="13.25" thickBot="1" x14ac:dyDescent="0.3">
      <c r="A154" s="320"/>
      <c r="B154" s="303"/>
      <c r="C154" s="303"/>
      <c r="D154" s="303"/>
      <c r="E154" s="303"/>
      <c r="F154" s="303"/>
      <c r="G154" s="303"/>
      <c r="H154" s="303"/>
      <c r="I154" s="303"/>
      <c r="J154" s="303"/>
      <c r="K154" s="303"/>
      <c r="L154" s="303"/>
      <c r="M154" s="303"/>
      <c r="N154" s="303"/>
      <c r="O154" s="303"/>
      <c r="P154" s="303"/>
      <c r="Q154" s="303"/>
      <c r="R154" s="303"/>
      <c r="S154" s="303"/>
      <c r="T154" s="2086"/>
      <c r="U154" s="2105" t="s">
        <v>1420</v>
      </c>
      <c r="V154" s="2095" t="s">
        <v>32</v>
      </c>
      <c r="W154" s="1821">
        <v>2</v>
      </c>
      <c r="X154" s="1821"/>
      <c r="Y154" s="1821">
        <v>160</v>
      </c>
      <c r="Z154" s="1821"/>
      <c r="AA154" s="2106">
        <v>0.28000000000000003</v>
      </c>
      <c r="AB154" s="2088"/>
      <c r="AD154" s="2086"/>
      <c r="AE154" s="2112"/>
      <c r="AF154" s="2113"/>
      <c r="AG154" s="2113" t="s">
        <v>2063</v>
      </c>
      <c r="AH154" s="2113" t="s">
        <v>1894</v>
      </c>
      <c r="AI154" s="2113" t="s">
        <v>1573</v>
      </c>
      <c r="AJ154" s="2113" t="s">
        <v>2037</v>
      </c>
      <c r="AK154" s="2113" t="s">
        <v>1993</v>
      </c>
      <c r="AL154" s="2113" t="s">
        <v>1994</v>
      </c>
      <c r="AM154" s="2113" t="s">
        <v>13</v>
      </c>
      <c r="AN154" s="2113" t="s">
        <v>14</v>
      </c>
      <c r="AO154" s="2113" t="s">
        <v>15</v>
      </c>
      <c r="AP154" s="2113" t="s">
        <v>1674</v>
      </c>
      <c r="AQ154" s="2113" t="s">
        <v>1676</v>
      </c>
      <c r="AR154" s="2113" t="s">
        <v>1675</v>
      </c>
      <c r="AS154" s="2120"/>
      <c r="AT154" s="2120"/>
      <c r="AU154" s="2114"/>
      <c r="AV154" s="2088"/>
      <c r="AW154" s="303"/>
      <c r="AX154" s="303"/>
      <c r="AY154" s="303"/>
      <c r="AZ154" s="303"/>
      <c r="BA154" s="303"/>
      <c r="BB154" s="303"/>
      <c r="BC154" s="303"/>
      <c r="BD154" s="303"/>
      <c r="BE154" s="303"/>
      <c r="BF154" s="303"/>
      <c r="BG154" s="303"/>
      <c r="BH154" s="303"/>
      <c r="BI154" s="303"/>
      <c r="BJ154" s="303"/>
      <c r="BK154" s="303"/>
      <c r="BL154" s="303"/>
      <c r="BM154" s="303"/>
      <c r="BN154" s="303"/>
    </row>
    <row r="155" spans="1:66" x14ac:dyDescent="0.25">
      <c r="A155" s="320"/>
      <c r="B155" s="303"/>
      <c r="C155" s="303"/>
      <c r="D155" s="303"/>
      <c r="E155" s="303"/>
      <c r="F155" s="303"/>
      <c r="G155" s="303"/>
      <c r="H155" s="303"/>
      <c r="I155" s="303"/>
      <c r="J155" s="303"/>
      <c r="K155" s="303"/>
      <c r="L155" s="303"/>
      <c r="M155" s="303"/>
      <c r="N155" s="303"/>
      <c r="O155" s="303"/>
      <c r="P155" s="303"/>
      <c r="Q155" s="303"/>
      <c r="R155" s="303"/>
      <c r="S155" s="303"/>
      <c r="T155" s="2086"/>
      <c r="U155" s="2105" t="s">
        <v>1420</v>
      </c>
      <c r="V155" s="2096" t="s">
        <v>1860</v>
      </c>
      <c r="W155" s="2099" t="e">
        <f>NA()</f>
        <v>#N/A</v>
      </c>
      <c r="X155" s="2099"/>
      <c r="Y155" s="2099" t="e">
        <f>NA()</f>
        <v>#N/A</v>
      </c>
      <c r="Z155" s="2099"/>
      <c r="AA155" s="2104" t="e">
        <f>NA()</f>
        <v>#N/A</v>
      </c>
      <c r="AB155" s="2088"/>
      <c r="AD155" s="2086"/>
      <c r="AE155" s="2115" t="s">
        <v>1574</v>
      </c>
      <c r="AF155" s="306">
        <v>1</v>
      </c>
      <c r="AG155" s="306">
        <f t="shared" ref="AG155:AG164" ca="1" si="21">$AG$130*POWER(V23,$AH$130)</f>
        <v>0</v>
      </c>
      <c r="AH155" s="306">
        <f t="shared" ref="AH155:AH164" ca="1" si="22">$AG$131*POWER(V23,$AH$131)</f>
        <v>0</v>
      </c>
      <c r="AI155" s="306">
        <f ca="1">IF(ISERROR(LN(V23)),0,EXP($AG$132+$AH$132*LN(V23)+$AK$132*LN(V23)*LN(V23)))</f>
        <v>0</v>
      </c>
      <c r="AJ155" s="306">
        <f ca="1">(IF(V23&lt;AJ$150,V23*($AG$133+$AH$133*(AJ$150)+$AK$133*(AJ$150)*(AJ$150))/AJ$150,$AG$133+$AH$133*(V23)+$AK$133*(V23)*(V23)))</f>
        <v>0</v>
      </c>
      <c r="AK155" s="306">
        <f t="shared" ref="AK155:AK164" ca="1" si="23">0.887+((10486*POWER(V23,2.84))/(POWER(V23,2.84)+376907))</f>
        <v>0.88700000000000001</v>
      </c>
      <c r="AL155" s="306">
        <f t="shared" ref="AL155:AL164" ca="1" si="24">0.5+((25000*POWER(V23,2.5))/(POWER(V23,2.5)+246872))</f>
        <v>0.5</v>
      </c>
      <c r="AM155" s="306">
        <f t="shared" ref="AM155:AM164" ca="1" si="25">0.182 + 0.498*V23/100 +0.049*V23*V23/10000</f>
        <v>0.182</v>
      </c>
      <c r="AN155" s="306">
        <f t="shared" ref="AN155:AN164" ca="1" si="26">10.856 + 176*V23/100 - 6.898 *V23*V23/10000</f>
        <v>10.856</v>
      </c>
      <c r="AO155" s="306">
        <f t="shared" ref="AO155:AO164" ca="1" si="27">24.559 + 4.921 * V23/100 + 1.017 *V23*V23/10000</f>
        <v>24.559000000000001</v>
      </c>
      <c r="AP155" s="306">
        <f ca="1">IF(V23&lt;AP$148*100,V23/(AP$148*100)*(23.487+41.851),23.487+41.851*POWER(LN(V23/100),2))</f>
        <v>0</v>
      </c>
      <c r="AQ155" s="306">
        <f ca="1">IF(ISERROR(LN(V23)),0,6.666 + 12.826 * SQRT(V23) * LN(V23))</f>
        <v>0</v>
      </c>
      <c r="AR155" s="306">
        <f ca="1">IF(ISERROR(LN(V23)),0,6.666 + 12.826 * SQRT(V23) * LN(V23))</f>
        <v>0</v>
      </c>
      <c r="AS155" s="2072"/>
      <c r="AT155" s="2072"/>
      <c r="AU155" s="2116"/>
      <c r="AV155" s="2088"/>
      <c r="AW155" s="303"/>
      <c r="AX155" s="303"/>
      <c r="AY155" s="303"/>
      <c r="AZ155" s="303"/>
      <c r="BA155" s="303"/>
      <c r="BB155" s="303"/>
      <c r="BC155" s="303"/>
      <c r="BD155" s="303"/>
      <c r="BE155" s="303"/>
      <c r="BF155" s="303"/>
      <c r="BG155" s="303"/>
      <c r="BH155" s="303"/>
      <c r="BI155" s="303"/>
      <c r="BJ155" s="303"/>
      <c r="BK155" s="303"/>
      <c r="BL155" s="303"/>
      <c r="BM155" s="303"/>
      <c r="BN155" s="303"/>
    </row>
    <row r="156" spans="1:66" x14ac:dyDescent="0.25">
      <c r="A156" s="320"/>
      <c r="B156" s="303"/>
      <c r="C156" s="303"/>
      <c r="D156" s="303"/>
      <c r="E156" s="303"/>
      <c r="F156" s="303"/>
      <c r="G156" s="303"/>
      <c r="H156" s="303"/>
      <c r="I156" s="303"/>
      <c r="J156" s="303"/>
      <c r="K156" s="303"/>
      <c r="L156" s="303"/>
      <c r="M156" s="303"/>
      <c r="N156" s="303"/>
      <c r="O156" s="303"/>
      <c r="P156" s="303"/>
      <c r="Q156" s="303"/>
      <c r="R156" s="303"/>
      <c r="S156" s="303"/>
      <c r="T156" s="2086"/>
      <c r="U156" s="2105" t="s">
        <v>1420</v>
      </c>
      <c r="V156" s="2097" t="s">
        <v>1861</v>
      </c>
      <c r="W156" s="2099" t="e">
        <f>NA()</f>
        <v>#N/A</v>
      </c>
      <c r="X156" s="2099"/>
      <c r="Y156" s="2099" t="e">
        <f>NA()</f>
        <v>#N/A</v>
      </c>
      <c r="Z156" s="2099"/>
      <c r="AA156" s="2104" t="e">
        <f>NA()</f>
        <v>#N/A</v>
      </c>
      <c r="AB156" s="2088"/>
      <c r="AD156" s="2086"/>
      <c r="AE156" s="2115"/>
      <c r="AF156" s="306">
        <v>2</v>
      </c>
      <c r="AG156" s="306">
        <f t="shared" ca="1" si="21"/>
        <v>0</v>
      </c>
      <c r="AH156" s="306">
        <f t="shared" ca="1" si="22"/>
        <v>0</v>
      </c>
      <c r="AI156" s="306">
        <f t="shared" ref="AI156:AI164" ca="1" si="28">IF(ISERROR(LN(V24)),0,EXP($AG$132+$AH$132*LN(V24)+$AK$132*LN(V24)*LN(V24)))</f>
        <v>0</v>
      </c>
      <c r="AJ156" s="306">
        <f t="shared" ref="AJ156:AJ164" ca="1" si="29">(IF(V24&lt;AJ$150,V24*($AG$133+$AH$133*(AJ$150)+$AK$133*(AJ$150)*(AJ$150))/AJ$150,$AG$133+$AH$133*(V24)+$AK$133*(V24)*(V24)))</f>
        <v>0</v>
      </c>
      <c r="AK156" s="306">
        <f t="shared" ca="1" si="23"/>
        <v>0.88700000000000001</v>
      </c>
      <c r="AL156" s="306">
        <f t="shared" ca="1" si="24"/>
        <v>0.5</v>
      </c>
      <c r="AM156" s="306">
        <f t="shared" ca="1" si="25"/>
        <v>0.182</v>
      </c>
      <c r="AN156" s="306">
        <f t="shared" ca="1" si="26"/>
        <v>10.856</v>
      </c>
      <c r="AO156" s="306">
        <f t="shared" ca="1" si="27"/>
        <v>24.559000000000001</v>
      </c>
      <c r="AP156" s="306">
        <f t="shared" ref="AP156:AP164" ca="1" si="30">IF(V24&lt;AP$148*100,V24/(AP$148*100)*(23.487+41.851),23.487+41.851*POWER(LN(V24/100),2))</f>
        <v>0</v>
      </c>
      <c r="AQ156" s="306">
        <f t="shared" ref="AQ156:AQ164" ca="1" si="31">IF(ISERROR(LN(V24)),0,6.666 + 12.826 * SQRT(V24) * LN(V24))</f>
        <v>0</v>
      </c>
      <c r="AR156" s="306">
        <f t="shared" ref="AR156:AR164" ca="1" si="32">IF(ISERROR(LN(V24)),0,6.666 + 12.826 * SQRT(V24) * LN(V24))</f>
        <v>0</v>
      </c>
      <c r="AS156" s="2072"/>
      <c r="AT156" s="2072"/>
      <c r="AU156" s="2116"/>
      <c r="AV156" s="2088"/>
      <c r="AW156" s="303"/>
      <c r="AX156" s="303"/>
      <c r="AY156" s="303"/>
      <c r="AZ156" s="303"/>
      <c r="BA156" s="303"/>
      <c r="BB156" s="303"/>
      <c r="BC156" s="303"/>
      <c r="BD156" s="303"/>
      <c r="BE156" s="303"/>
      <c r="BF156" s="303"/>
      <c r="BG156" s="303"/>
      <c r="BH156" s="303"/>
      <c r="BI156" s="303"/>
      <c r="BJ156" s="303"/>
      <c r="BK156" s="303"/>
      <c r="BL156" s="303"/>
      <c r="BM156" s="303"/>
      <c r="BN156" s="303"/>
    </row>
    <row r="157" spans="1:66" x14ac:dyDescent="0.25">
      <c r="A157" s="320"/>
      <c r="B157" s="303"/>
      <c r="C157" s="303"/>
      <c r="D157" s="303"/>
      <c r="E157" s="303"/>
      <c r="F157" s="303"/>
      <c r="G157" s="303"/>
      <c r="H157" s="303"/>
      <c r="I157" s="303"/>
      <c r="J157" s="303"/>
      <c r="K157" s="303"/>
      <c r="L157" s="303"/>
      <c r="M157" s="303"/>
      <c r="N157" s="303"/>
      <c r="O157" s="303"/>
      <c r="P157" s="303"/>
      <c r="Q157" s="303"/>
      <c r="R157" s="303"/>
      <c r="S157" s="303"/>
      <c r="T157" s="2086"/>
      <c r="U157" s="2105" t="s">
        <v>1420</v>
      </c>
      <c r="V157" s="2097" t="s">
        <v>1862</v>
      </c>
      <c r="W157" s="2099" t="e">
        <f>NA()</f>
        <v>#N/A</v>
      </c>
      <c r="X157" s="2099"/>
      <c r="Y157" s="2099" t="e">
        <f>NA()</f>
        <v>#N/A</v>
      </c>
      <c r="Z157" s="2099"/>
      <c r="AA157" s="2104" t="e">
        <f>NA()</f>
        <v>#N/A</v>
      </c>
      <c r="AB157" s="2088"/>
      <c r="AD157" s="2086"/>
      <c r="AE157" s="2115"/>
      <c r="AF157" s="306">
        <v>3</v>
      </c>
      <c r="AG157" s="306">
        <f t="shared" ca="1" si="21"/>
        <v>0</v>
      </c>
      <c r="AH157" s="306">
        <f t="shared" ca="1" si="22"/>
        <v>0</v>
      </c>
      <c r="AI157" s="306">
        <f t="shared" ca="1" si="28"/>
        <v>0</v>
      </c>
      <c r="AJ157" s="306">
        <f t="shared" ca="1" si="29"/>
        <v>0</v>
      </c>
      <c r="AK157" s="306">
        <f t="shared" ca="1" si="23"/>
        <v>0.88700000000000001</v>
      </c>
      <c r="AL157" s="306">
        <f t="shared" ca="1" si="24"/>
        <v>0.5</v>
      </c>
      <c r="AM157" s="306">
        <f t="shared" ca="1" si="25"/>
        <v>0.182</v>
      </c>
      <c r="AN157" s="306">
        <f t="shared" ca="1" si="26"/>
        <v>10.856</v>
      </c>
      <c r="AO157" s="306">
        <f t="shared" ca="1" si="27"/>
        <v>24.559000000000001</v>
      </c>
      <c r="AP157" s="306">
        <f t="shared" ca="1" si="30"/>
        <v>0</v>
      </c>
      <c r="AQ157" s="306">
        <f t="shared" ca="1" si="31"/>
        <v>0</v>
      </c>
      <c r="AR157" s="306">
        <f t="shared" ca="1" si="32"/>
        <v>0</v>
      </c>
      <c r="AS157" s="2072"/>
      <c r="AT157" s="2072"/>
      <c r="AU157" s="2116"/>
      <c r="AV157" s="2088"/>
      <c r="AW157" s="303"/>
      <c r="AX157" s="303"/>
      <c r="AY157" s="303"/>
      <c r="AZ157" s="303"/>
      <c r="BA157" s="303"/>
      <c r="BB157" s="303"/>
      <c r="BC157" s="303"/>
      <c r="BD157" s="303"/>
      <c r="BE157" s="303"/>
      <c r="BF157" s="303"/>
      <c r="BG157" s="303"/>
      <c r="BH157" s="303"/>
      <c r="BI157" s="303"/>
      <c r="BJ157" s="303"/>
      <c r="BK157" s="303"/>
      <c r="BL157" s="303"/>
      <c r="BM157" s="303"/>
      <c r="BN157" s="303"/>
    </row>
    <row r="158" spans="1:66" x14ac:dyDescent="0.25">
      <c r="A158" s="320"/>
      <c r="B158" s="303"/>
      <c r="C158" s="303"/>
      <c r="D158" s="303"/>
      <c r="E158" s="303"/>
      <c r="F158" s="303"/>
      <c r="G158" s="303"/>
      <c r="H158" s="303"/>
      <c r="I158" s="303"/>
      <c r="J158" s="303"/>
      <c r="K158" s="303"/>
      <c r="L158" s="303"/>
      <c r="M158" s="303"/>
      <c r="N158" s="303"/>
      <c r="O158" s="303"/>
      <c r="P158" s="303"/>
      <c r="Q158" s="303"/>
      <c r="R158" s="303"/>
      <c r="S158" s="303"/>
      <c r="T158" s="2086"/>
      <c r="U158" s="2105" t="s">
        <v>1420</v>
      </c>
      <c r="V158" s="2097" t="s">
        <v>1863</v>
      </c>
      <c r="W158" s="2099" t="e">
        <f>NA()</f>
        <v>#N/A</v>
      </c>
      <c r="X158" s="2099"/>
      <c r="Y158" s="2099" t="e">
        <f>NA()</f>
        <v>#N/A</v>
      </c>
      <c r="Z158" s="2099"/>
      <c r="AA158" s="2104" t="e">
        <f>NA()</f>
        <v>#N/A</v>
      </c>
      <c r="AB158" s="2088"/>
      <c r="AD158" s="2086"/>
      <c r="AE158" s="2115"/>
      <c r="AF158" s="306">
        <v>4</v>
      </c>
      <c r="AG158" s="306">
        <f t="shared" ca="1" si="21"/>
        <v>0</v>
      </c>
      <c r="AH158" s="306">
        <f t="shared" ca="1" si="22"/>
        <v>0</v>
      </c>
      <c r="AI158" s="306">
        <f t="shared" ca="1" si="28"/>
        <v>0</v>
      </c>
      <c r="AJ158" s="306">
        <f t="shared" ca="1" si="29"/>
        <v>0</v>
      </c>
      <c r="AK158" s="306">
        <f t="shared" ca="1" si="23"/>
        <v>0.88700000000000001</v>
      </c>
      <c r="AL158" s="306">
        <f t="shared" ca="1" si="24"/>
        <v>0.5</v>
      </c>
      <c r="AM158" s="306">
        <f t="shared" ca="1" si="25"/>
        <v>0.182</v>
      </c>
      <c r="AN158" s="306">
        <f t="shared" ca="1" si="26"/>
        <v>10.856</v>
      </c>
      <c r="AO158" s="306">
        <f t="shared" ca="1" si="27"/>
        <v>24.559000000000001</v>
      </c>
      <c r="AP158" s="306">
        <f t="shared" ca="1" si="30"/>
        <v>0</v>
      </c>
      <c r="AQ158" s="306">
        <f t="shared" ca="1" si="31"/>
        <v>0</v>
      </c>
      <c r="AR158" s="306">
        <f t="shared" ca="1" si="32"/>
        <v>0</v>
      </c>
      <c r="AS158" s="2072"/>
      <c r="AT158" s="2072"/>
      <c r="AU158" s="2116"/>
      <c r="AV158" s="2088"/>
      <c r="AW158" s="303"/>
      <c r="AX158" s="303"/>
      <c r="AY158" s="303"/>
      <c r="AZ158" s="303"/>
      <c r="BA158" s="303"/>
      <c r="BB158" s="303"/>
      <c r="BC158" s="303"/>
      <c r="BD158" s="303"/>
      <c r="BE158" s="303"/>
      <c r="BF158" s="303"/>
      <c r="BG158" s="303"/>
      <c r="BH158" s="303"/>
      <c r="BI158" s="303"/>
      <c r="BJ158" s="303"/>
      <c r="BK158" s="303"/>
      <c r="BL158" s="303"/>
      <c r="BM158" s="303"/>
      <c r="BN158" s="303"/>
    </row>
    <row r="159" spans="1:66" x14ac:dyDescent="0.25">
      <c r="A159" s="320"/>
      <c r="B159" s="303"/>
      <c r="C159" s="303"/>
      <c r="D159" s="303"/>
      <c r="E159" s="303"/>
      <c r="F159" s="303"/>
      <c r="G159" s="303"/>
      <c r="H159" s="303"/>
      <c r="I159" s="303"/>
      <c r="J159" s="303"/>
      <c r="K159" s="303"/>
      <c r="L159" s="303"/>
      <c r="M159" s="303"/>
      <c r="N159" s="303"/>
      <c r="O159" s="303"/>
      <c r="P159" s="303"/>
      <c r="Q159" s="303"/>
      <c r="R159" s="303"/>
      <c r="S159" s="303"/>
      <c r="T159" s="2086"/>
      <c r="U159" s="2105" t="s">
        <v>1420</v>
      </c>
      <c r="V159" s="2097" t="s">
        <v>1864</v>
      </c>
      <c r="W159" s="2099" t="e">
        <f>NA()</f>
        <v>#N/A</v>
      </c>
      <c r="X159" s="2099"/>
      <c r="Y159" s="2099" t="e">
        <f>NA()</f>
        <v>#N/A</v>
      </c>
      <c r="Z159" s="2099"/>
      <c r="AA159" s="2104" t="e">
        <f>NA()</f>
        <v>#N/A</v>
      </c>
      <c r="AB159" s="2088"/>
      <c r="AD159" s="2086"/>
      <c r="AE159" s="2115"/>
      <c r="AF159" s="306">
        <v>5</v>
      </c>
      <c r="AG159" s="306">
        <f t="shared" ca="1" si="21"/>
        <v>0</v>
      </c>
      <c r="AH159" s="306">
        <f t="shared" ca="1" si="22"/>
        <v>0</v>
      </c>
      <c r="AI159" s="306">
        <f t="shared" ca="1" si="28"/>
        <v>0</v>
      </c>
      <c r="AJ159" s="306">
        <f t="shared" ca="1" si="29"/>
        <v>0</v>
      </c>
      <c r="AK159" s="306">
        <f t="shared" ca="1" si="23"/>
        <v>0.88700000000000001</v>
      </c>
      <c r="AL159" s="306">
        <f t="shared" ca="1" si="24"/>
        <v>0.5</v>
      </c>
      <c r="AM159" s="306">
        <f t="shared" ca="1" si="25"/>
        <v>0.182</v>
      </c>
      <c r="AN159" s="306">
        <f t="shared" ca="1" si="26"/>
        <v>10.856</v>
      </c>
      <c r="AO159" s="306">
        <f t="shared" ca="1" si="27"/>
        <v>24.559000000000001</v>
      </c>
      <c r="AP159" s="306">
        <f t="shared" ca="1" si="30"/>
        <v>0</v>
      </c>
      <c r="AQ159" s="306">
        <f t="shared" ca="1" si="31"/>
        <v>0</v>
      </c>
      <c r="AR159" s="306">
        <f t="shared" ca="1" si="32"/>
        <v>0</v>
      </c>
      <c r="AS159" s="2072"/>
      <c r="AT159" s="2072"/>
      <c r="AU159" s="2116"/>
      <c r="AV159" s="2088"/>
      <c r="AW159" s="303"/>
      <c r="AX159" s="303"/>
      <c r="AY159" s="303"/>
      <c r="AZ159" s="303"/>
      <c r="BA159" s="303"/>
      <c r="BB159" s="303"/>
      <c r="BC159" s="303"/>
      <c r="BD159" s="303"/>
      <c r="BE159" s="303"/>
      <c r="BF159" s="303"/>
      <c r="BG159" s="303"/>
      <c r="BH159" s="303"/>
      <c r="BI159" s="303"/>
      <c r="BJ159" s="303"/>
      <c r="BK159" s="303"/>
      <c r="BL159" s="303"/>
      <c r="BM159" s="303"/>
      <c r="BN159" s="303"/>
    </row>
    <row r="160" spans="1:66" ht="13.25" thickBot="1" x14ac:dyDescent="0.3">
      <c r="A160" s="320"/>
      <c r="B160" s="303"/>
      <c r="C160" s="303"/>
      <c r="D160" s="303"/>
      <c r="E160" s="303"/>
      <c r="F160" s="303"/>
      <c r="G160" s="303"/>
      <c r="H160" s="303"/>
      <c r="I160" s="303"/>
      <c r="J160" s="303"/>
      <c r="K160" s="303"/>
      <c r="L160" s="303"/>
      <c r="M160" s="303"/>
      <c r="N160" s="303"/>
      <c r="O160" s="303"/>
      <c r="P160" s="303"/>
      <c r="Q160" s="303"/>
      <c r="R160" s="303"/>
      <c r="S160" s="303"/>
      <c r="T160" s="2086"/>
      <c r="U160" s="2105" t="s">
        <v>1420</v>
      </c>
      <c r="V160" s="2098" t="s">
        <v>1598</v>
      </c>
      <c r="W160" s="2099" t="e">
        <f>NA()</f>
        <v>#N/A</v>
      </c>
      <c r="X160" s="2099"/>
      <c r="Y160" s="2099" t="e">
        <f>NA()</f>
        <v>#N/A</v>
      </c>
      <c r="Z160" s="2099"/>
      <c r="AA160" s="2104" t="e">
        <f>NA()</f>
        <v>#N/A</v>
      </c>
      <c r="AB160" s="2088"/>
      <c r="AD160" s="2086"/>
      <c r="AE160" s="2115"/>
      <c r="AF160" s="306">
        <v>6</v>
      </c>
      <c r="AG160" s="306">
        <f t="shared" ca="1" si="21"/>
        <v>0</v>
      </c>
      <c r="AH160" s="306">
        <f t="shared" ca="1" si="22"/>
        <v>0</v>
      </c>
      <c r="AI160" s="306">
        <f t="shared" ca="1" si="28"/>
        <v>0</v>
      </c>
      <c r="AJ160" s="306">
        <f t="shared" ca="1" si="29"/>
        <v>0</v>
      </c>
      <c r="AK160" s="306">
        <f t="shared" ca="1" si="23"/>
        <v>0.88700000000000001</v>
      </c>
      <c r="AL160" s="306">
        <f t="shared" ca="1" si="24"/>
        <v>0.5</v>
      </c>
      <c r="AM160" s="306">
        <f t="shared" ca="1" si="25"/>
        <v>0.182</v>
      </c>
      <c r="AN160" s="306">
        <f t="shared" ca="1" si="26"/>
        <v>10.856</v>
      </c>
      <c r="AO160" s="306">
        <f t="shared" ca="1" si="27"/>
        <v>24.559000000000001</v>
      </c>
      <c r="AP160" s="306">
        <f t="shared" ca="1" si="30"/>
        <v>0</v>
      </c>
      <c r="AQ160" s="306">
        <f t="shared" ca="1" si="31"/>
        <v>0</v>
      </c>
      <c r="AR160" s="306">
        <f t="shared" ca="1" si="32"/>
        <v>0</v>
      </c>
      <c r="AS160" s="2072"/>
      <c r="AT160" s="2072"/>
      <c r="AU160" s="2116"/>
      <c r="AV160" s="2088"/>
      <c r="AW160" s="303"/>
      <c r="AX160" s="303"/>
      <c r="AY160" s="303"/>
      <c r="AZ160" s="303"/>
      <c r="BA160" s="303"/>
      <c r="BB160" s="303"/>
      <c r="BC160" s="303"/>
      <c r="BD160" s="303"/>
      <c r="BE160" s="303"/>
      <c r="BF160" s="303"/>
      <c r="BG160" s="303"/>
      <c r="BH160" s="303"/>
      <c r="BI160" s="303"/>
      <c r="BJ160" s="303"/>
      <c r="BK160" s="303"/>
      <c r="BL160" s="303"/>
      <c r="BM160" s="303"/>
      <c r="BN160" s="303"/>
    </row>
    <row r="161" spans="1:66" x14ac:dyDescent="0.25">
      <c r="A161" s="320"/>
      <c r="B161" s="303"/>
      <c r="C161" s="303"/>
      <c r="D161" s="303"/>
      <c r="E161" s="303"/>
      <c r="F161" s="303"/>
      <c r="G161" s="303"/>
      <c r="H161" s="303"/>
      <c r="I161" s="303"/>
      <c r="J161" s="303"/>
      <c r="K161" s="303"/>
      <c r="L161" s="303"/>
      <c r="M161" s="303"/>
      <c r="N161" s="303"/>
      <c r="O161" s="303"/>
      <c r="P161" s="303"/>
      <c r="Q161" s="303"/>
      <c r="R161" s="303"/>
      <c r="S161" s="303"/>
      <c r="T161" s="2086"/>
      <c r="U161" s="2105" t="s">
        <v>1422</v>
      </c>
      <c r="V161" s="2093" t="s">
        <v>1644</v>
      </c>
      <c r="W161" s="2099" t="e">
        <f>NA()</f>
        <v>#N/A</v>
      </c>
      <c r="X161" s="2099"/>
      <c r="Y161" s="2099" t="e">
        <f>NA()</f>
        <v>#N/A</v>
      </c>
      <c r="Z161" s="2099"/>
      <c r="AA161" s="2104" t="e">
        <f>NA()</f>
        <v>#N/A</v>
      </c>
      <c r="AB161" s="2088"/>
      <c r="AD161" s="2086"/>
      <c r="AE161" s="2115"/>
      <c r="AF161" s="306">
        <v>7</v>
      </c>
      <c r="AG161" s="306">
        <f t="shared" ca="1" si="21"/>
        <v>0</v>
      </c>
      <c r="AH161" s="306">
        <f t="shared" ca="1" si="22"/>
        <v>0</v>
      </c>
      <c r="AI161" s="306">
        <f t="shared" ca="1" si="28"/>
        <v>0</v>
      </c>
      <c r="AJ161" s="306">
        <f t="shared" ca="1" si="29"/>
        <v>0</v>
      </c>
      <c r="AK161" s="306">
        <f t="shared" ca="1" si="23"/>
        <v>0.88700000000000001</v>
      </c>
      <c r="AL161" s="306">
        <f t="shared" ca="1" si="24"/>
        <v>0.5</v>
      </c>
      <c r="AM161" s="306">
        <f t="shared" ca="1" si="25"/>
        <v>0.182</v>
      </c>
      <c r="AN161" s="306">
        <f t="shared" ca="1" si="26"/>
        <v>10.856</v>
      </c>
      <c r="AO161" s="306">
        <f t="shared" ca="1" si="27"/>
        <v>24.559000000000001</v>
      </c>
      <c r="AP161" s="306">
        <f t="shared" ca="1" si="30"/>
        <v>0</v>
      </c>
      <c r="AQ161" s="306">
        <f t="shared" ca="1" si="31"/>
        <v>0</v>
      </c>
      <c r="AR161" s="306">
        <f t="shared" ca="1" si="32"/>
        <v>0</v>
      </c>
      <c r="AS161" s="2072"/>
      <c r="AT161" s="2072"/>
      <c r="AU161" s="2116"/>
      <c r="AV161" s="2088"/>
      <c r="AW161" s="303"/>
      <c r="AX161" s="303"/>
      <c r="AY161" s="303"/>
      <c r="AZ161" s="303"/>
      <c r="BA161" s="303"/>
      <c r="BB161" s="303"/>
      <c r="BC161" s="303"/>
      <c r="BD161" s="303"/>
      <c r="BE161" s="303"/>
      <c r="BF161" s="303"/>
      <c r="BG161" s="303"/>
      <c r="BH161" s="303"/>
      <c r="BI161" s="303"/>
      <c r="BJ161" s="303"/>
      <c r="BK161" s="303"/>
      <c r="BL161" s="303"/>
      <c r="BM161" s="303"/>
      <c r="BN161" s="303"/>
    </row>
    <row r="162" spans="1:66" x14ac:dyDescent="0.25">
      <c r="A162" s="320"/>
      <c r="B162" s="303"/>
      <c r="C162" s="303"/>
      <c r="D162" s="303"/>
      <c r="E162" s="303"/>
      <c r="F162" s="303"/>
      <c r="G162" s="303"/>
      <c r="H162" s="303"/>
      <c r="I162" s="303"/>
      <c r="J162" s="303"/>
      <c r="K162" s="303"/>
      <c r="L162" s="303"/>
      <c r="M162" s="303"/>
      <c r="N162" s="303"/>
      <c r="O162" s="303"/>
      <c r="P162" s="303"/>
      <c r="Q162" s="303"/>
      <c r="R162" s="303"/>
      <c r="S162" s="303"/>
      <c r="T162" s="2086"/>
      <c r="U162" s="2105" t="s">
        <v>1422</v>
      </c>
      <c r="V162" s="2094" t="s">
        <v>1645</v>
      </c>
      <c r="W162" s="2099" t="e">
        <f>NA()</f>
        <v>#N/A</v>
      </c>
      <c r="X162" s="2099"/>
      <c r="Y162" s="2099" t="e">
        <f>NA()</f>
        <v>#N/A</v>
      </c>
      <c r="Z162" s="2099"/>
      <c r="AA162" s="2104" t="e">
        <f>NA()</f>
        <v>#N/A</v>
      </c>
      <c r="AB162" s="2088"/>
      <c r="AD162" s="2086"/>
      <c r="AE162" s="2115"/>
      <c r="AF162" s="306">
        <v>8</v>
      </c>
      <c r="AG162" s="306">
        <f t="shared" ca="1" si="21"/>
        <v>0</v>
      </c>
      <c r="AH162" s="306">
        <f t="shared" ca="1" si="22"/>
        <v>0</v>
      </c>
      <c r="AI162" s="306">
        <f t="shared" ca="1" si="28"/>
        <v>0</v>
      </c>
      <c r="AJ162" s="306">
        <f t="shared" ca="1" si="29"/>
        <v>0</v>
      </c>
      <c r="AK162" s="306">
        <f t="shared" ca="1" si="23"/>
        <v>0.88700000000000001</v>
      </c>
      <c r="AL162" s="306">
        <f t="shared" ca="1" si="24"/>
        <v>0.5</v>
      </c>
      <c r="AM162" s="306">
        <f t="shared" ca="1" si="25"/>
        <v>0.182</v>
      </c>
      <c r="AN162" s="306">
        <f t="shared" ca="1" si="26"/>
        <v>10.856</v>
      </c>
      <c r="AO162" s="306">
        <f t="shared" ca="1" si="27"/>
        <v>24.559000000000001</v>
      </c>
      <c r="AP162" s="306">
        <f t="shared" ca="1" si="30"/>
        <v>0</v>
      </c>
      <c r="AQ162" s="306">
        <f t="shared" ca="1" si="31"/>
        <v>0</v>
      </c>
      <c r="AR162" s="306">
        <f t="shared" ca="1" si="32"/>
        <v>0</v>
      </c>
      <c r="AS162" s="2072"/>
      <c r="AT162" s="2072"/>
      <c r="AU162" s="2116"/>
      <c r="AV162" s="2088"/>
      <c r="AW162" s="303"/>
      <c r="AX162" s="303"/>
      <c r="AY162" s="303"/>
      <c r="AZ162" s="303"/>
      <c r="BA162" s="303"/>
      <c r="BB162" s="303"/>
      <c r="BC162" s="303"/>
      <c r="BD162" s="303"/>
      <c r="BE162" s="303"/>
      <c r="BF162" s="303"/>
      <c r="BG162" s="303"/>
      <c r="BH162" s="303"/>
      <c r="BI162" s="303"/>
      <c r="BJ162" s="303"/>
      <c r="BK162" s="303"/>
      <c r="BL162" s="303"/>
      <c r="BM162" s="303"/>
      <c r="BN162" s="303"/>
    </row>
    <row r="163" spans="1:66" x14ac:dyDescent="0.25">
      <c r="A163" s="320"/>
      <c r="B163" s="303"/>
      <c r="C163" s="303"/>
      <c r="D163" s="303"/>
      <c r="E163" s="303"/>
      <c r="F163" s="303"/>
      <c r="G163" s="303"/>
      <c r="H163" s="303"/>
      <c r="I163" s="303"/>
      <c r="J163" s="303"/>
      <c r="K163" s="303"/>
      <c r="L163" s="303"/>
      <c r="M163" s="303"/>
      <c r="N163" s="303"/>
      <c r="O163" s="303"/>
      <c r="P163" s="303"/>
      <c r="Q163" s="303"/>
      <c r="R163" s="303"/>
      <c r="S163" s="303"/>
      <c r="T163" s="2086"/>
      <c r="U163" s="2105" t="s">
        <v>1422</v>
      </c>
      <c r="V163" s="2094" t="s">
        <v>1647</v>
      </c>
      <c r="W163" s="2099">
        <v>4</v>
      </c>
      <c r="X163" s="2099"/>
      <c r="Y163" s="2099">
        <v>80</v>
      </c>
      <c r="Z163" s="2099"/>
      <c r="AA163" s="2104">
        <v>0.32</v>
      </c>
      <c r="AB163" s="2088"/>
      <c r="AD163" s="2086"/>
      <c r="AE163" s="2115"/>
      <c r="AF163" s="306">
        <v>9</v>
      </c>
      <c r="AG163" s="306">
        <f t="shared" ca="1" si="21"/>
        <v>0</v>
      </c>
      <c r="AH163" s="306">
        <f t="shared" ca="1" si="22"/>
        <v>0</v>
      </c>
      <c r="AI163" s="306">
        <f t="shared" ca="1" si="28"/>
        <v>0</v>
      </c>
      <c r="AJ163" s="306">
        <f t="shared" ca="1" si="29"/>
        <v>0</v>
      </c>
      <c r="AK163" s="306">
        <f t="shared" ca="1" si="23"/>
        <v>0.88700000000000001</v>
      </c>
      <c r="AL163" s="306">
        <f t="shared" ca="1" si="24"/>
        <v>0.5</v>
      </c>
      <c r="AM163" s="306">
        <f t="shared" ca="1" si="25"/>
        <v>0.182</v>
      </c>
      <c r="AN163" s="306">
        <f t="shared" ca="1" si="26"/>
        <v>10.856</v>
      </c>
      <c r="AO163" s="306">
        <f t="shared" ca="1" si="27"/>
        <v>24.559000000000001</v>
      </c>
      <c r="AP163" s="306">
        <f t="shared" ca="1" si="30"/>
        <v>0</v>
      </c>
      <c r="AQ163" s="306">
        <f t="shared" ca="1" si="31"/>
        <v>0</v>
      </c>
      <c r="AR163" s="306">
        <f t="shared" ca="1" si="32"/>
        <v>0</v>
      </c>
      <c r="AS163" s="2072"/>
      <c r="AT163" s="2072"/>
      <c r="AU163" s="2116"/>
      <c r="AV163" s="2088"/>
      <c r="AW163" s="303"/>
      <c r="AX163" s="303"/>
      <c r="AY163" s="303"/>
      <c r="AZ163" s="303"/>
      <c r="BA163" s="303"/>
      <c r="BB163" s="303"/>
      <c r="BC163" s="303"/>
      <c r="BD163" s="303"/>
      <c r="BE163" s="303"/>
      <c r="BF163" s="303"/>
      <c r="BG163" s="303"/>
      <c r="BH163" s="303"/>
      <c r="BI163" s="303"/>
      <c r="BJ163" s="303"/>
      <c r="BK163" s="303"/>
      <c r="BL163" s="303"/>
      <c r="BM163" s="303"/>
      <c r="BN163" s="303"/>
    </row>
    <row r="164" spans="1:66" x14ac:dyDescent="0.25">
      <c r="A164" s="320"/>
      <c r="B164" s="303"/>
      <c r="C164" s="303"/>
      <c r="D164" s="303"/>
      <c r="E164" s="303"/>
      <c r="F164" s="303"/>
      <c r="G164" s="303"/>
      <c r="H164" s="303"/>
      <c r="I164" s="303"/>
      <c r="J164" s="303"/>
      <c r="K164" s="303"/>
      <c r="L164" s="303"/>
      <c r="M164" s="303"/>
      <c r="N164" s="303"/>
      <c r="O164" s="303"/>
      <c r="P164" s="303"/>
      <c r="Q164" s="303"/>
      <c r="R164" s="303"/>
      <c r="S164" s="303"/>
      <c r="T164" s="2086"/>
      <c r="U164" s="2105" t="s">
        <v>1422</v>
      </c>
      <c r="V164" s="2094" t="s">
        <v>1650</v>
      </c>
      <c r="W164" s="2099">
        <v>1</v>
      </c>
      <c r="X164" s="2099"/>
      <c r="Y164" s="2099">
        <v>80</v>
      </c>
      <c r="Z164" s="2099"/>
      <c r="AA164" s="2104">
        <v>0.32</v>
      </c>
      <c r="AB164" s="2088"/>
      <c r="AD164" s="2086"/>
      <c r="AE164" s="2115"/>
      <c r="AF164" s="306">
        <v>10</v>
      </c>
      <c r="AG164" s="306">
        <f t="shared" ca="1" si="21"/>
        <v>0</v>
      </c>
      <c r="AH164" s="306">
        <f t="shared" ca="1" si="22"/>
        <v>0</v>
      </c>
      <c r="AI164" s="306">
        <f t="shared" ca="1" si="28"/>
        <v>0</v>
      </c>
      <c r="AJ164" s="306">
        <f t="shared" ca="1" si="29"/>
        <v>0</v>
      </c>
      <c r="AK164" s="306">
        <f t="shared" ca="1" si="23"/>
        <v>0.88700000000000001</v>
      </c>
      <c r="AL164" s="306">
        <f t="shared" ca="1" si="24"/>
        <v>0.5</v>
      </c>
      <c r="AM164" s="306">
        <f t="shared" ca="1" si="25"/>
        <v>0.182</v>
      </c>
      <c r="AN164" s="306">
        <f t="shared" ca="1" si="26"/>
        <v>10.856</v>
      </c>
      <c r="AO164" s="306">
        <f t="shared" ca="1" si="27"/>
        <v>24.559000000000001</v>
      </c>
      <c r="AP164" s="306">
        <f t="shared" ca="1" si="30"/>
        <v>0</v>
      </c>
      <c r="AQ164" s="306">
        <f t="shared" ca="1" si="31"/>
        <v>0</v>
      </c>
      <c r="AR164" s="306">
        <f t="shared" ca="1" si="32"/>
        <v>0</v>
      </c>
      <c r="AS164" s="2072"/>
      <c r="AT164" s="2072"/>
      <c r="AU164" s="2116"/>
      <c r="AV164" s="2088"/>
      <c r="AW164" s="303"/>
      <c r="AX164" s="303"/>
      <c r="AY164" s="303"/>
      <c r="AZ164" s="303"/>
      <c r="BA164" s="303"/>
      <c r="BB164" s="303"/>
      <c r="BC164" s="303"/>
      <c r="BD164" s="303"/>
      <c r="BE164" s="303"/>
      <c r="BF164" s="303"/>
      <c r="BG164" s="303"/>
      <c r="BH164" s="303"/>
      <c r="BI164" s="303"/>
      <c r="BJ164" s="303"/>
      <c r="BK164" s="303"/>
      <c r="BL164" s="303"/>
      <c r="BM164" s="303"/>
      <c r="BN164" s="303"/>
    </row>
    <row r="165" spans="1:66" x14ac:dyDescent="0.25">
      <c r="A165" s="320"/>
      <c r="B165" s="303"/>
      <c r="C165" s="303"/>
      <c r="D165" s="303"/>
      <c r="E165" s="303"/>
      <c r="F165" s="303"/>
      <c r="G165" s="303"/>
      <c r="H165" s="303"/>
      <c r="I165" s="303"/>
      <c r="J165" s="303"/>
      <c r="K165" s="303"/>
      <c r="L165" s="303"/>
      <c r="M165" s="303"/>
      <c r="N165" s="303"/>
      <c r="O165" s="303"/>
      <c r="P165" s="303"/>
      <c r="Q165" s="303"/>
      <c r="R165" s="303"/>
      <c r="S165" s="303"/>
      <c r="T165" s="2086"/>
      <c r="U165" s="2105" t="s">
        <v>1422</v>
      </c>
      <c r="V165" s="2094" t="s">
        <v>1417</v>
      </c>
      <c r="W165" s="2099">
        <v>4</v>
      </c>
      <c r="X165" s="2099"/>
      <c r="Y165" s="2099">
        <v>80</v>
      </c>
      <c r="Z165" s="2099"/>
      <c r="AA165" s="2104">
        <v>0.32</v>
      </c>
      <c r="AB165" s="2088"/>
      <c r="AD165" s="2086"/>
      <c r="AE165" s="2115" t="s">
        <v>1606</v>
      </c>
      <c r="AF165" s="306">
        <v>1</v>
      </c>
      <c r="AG165" s="306">
        <f t="shared" ref="AG165:AG174" ca="1" si="33">$AG$130*POWER($W23,$AH$130)</f>
        <v>0</v>
      </c>
      <c r="AH165" s="306">
        <f t="shared" ref="AH165:AH174" ca="1" si="34">$AG$131*POWER($W23,$AH$131)</f>
        <v>0</v>
      </c>
      <c r="AI165" s="306">
        <f ca="1">IF(ISERROR(LN(W23)),0,EXP($AG$132+$AH$132*LN(W23)+$AK$132*LN(W23)*LN(W23)))</f>
        <v>0</v>
      </c>
      <c r="AJ165" s="306">
        <f ca="1">(IF(W23&lt;AJ$150,W23*($AG$133+$AH$133*(AJ$150)+$AK$133*(AJ$150)*(AJ$150))/AJ$150,$AG$133+$AH$133*(W23)+$AK$133*(W23)*(W23)))</f>
        <v>0</v>
      </c>
      <c r="AK165" s="306">
        <f t="shared" ref="AK165:AK174" ca="1" si="35">0.887+((10486*POWER(W23,2.84))/(POWER(W23,2.84)+376907))</f>
        <v>0.88700000000000001</v>
      </c>
      <c r="AL165" s="306">
        <f t="shared" ref="AL165:AL174" ca="1" si="36">0.5+((25000*POWER(W23,2.5))/(POWER(W23,2.5)+246872))</f>
        <v>0.5</v>
      </c>
      <c r="AM165" s="306">
        <f t="shared" ref="AM165:AM174" ca="1" si="37">0.182 + 0.498*W23/100 +0.049*W23*W23/10000</f>
        <v>0.182</v>
      </c>
      <c r="AN165" s="306">
        <f t="shared" ref="AN165:AN174" ca="1" si="38">10.856 + 176*W23/100 - 6.898 *W23*W23/10000</f>
        <v>10.856</v>
      </c>
      <c r="AO165" s="306">
        <f t="shared" ref="AO165:AO174" ca="1" si="39">24.559 + 4.921 * W23/100 + 1.017 *W23*W23/10000</f>
        <v>24.559000000000001</v>
      </c>
      <c r="AP165" s="306">
        <f ca="1">IF(W23&lt;AP$148*100,W23/(AP$148*100)*(23.487+41.851),23.487 + 41.851* POWER(LN(W23/100),2))</f>
        <v>0</v>
      </c>
      <c r="AQ165" s="306">
        <f ca="1">IF(ISERROR(LN(W23)),0,6.666 + 12.826 * SQRT(W23) * LN(W23))</f>
        <v>0</v>
      </c>
      <c r="AR165" s="306">
        <f ca="1">IF(ISERROR(LN(W23)),0,6.666 + 12.826 * SQRT(W23) * LN(W23))</f>
        <v>0</v>
      </c>
      <c r="AS165" s="2072"/>
      <c r="AT165" s="2072"/>
      <c r="AU165" s="2116"/>
      <c r="AV165" s="2088"/>
      <c r="AW165" s="303"/>
      <c r="AX165" s="303"/>
      <c r="AY165" s="303"/>
      <c r="AZ165" s="303"/>
      <c r="BA165" s="303"/>
      <c r="BB165" s="303"/>
      <c r="BC165" s="303"/>
      <c r="BD165" s="303"/>
      <c r="BE165" s="303"/>
      <c r="BF165" s="303"/>
      <c r="BG165" s="303"/>
      <c r="BH165" s="303"/>
      <c r="BI165" s="303"/>
      <c r="BJ165" s="303"/>
      <c r="BK165" s="303"/>
      <c r="BL165" s="303"/>
      <c r="BM165" s="303"/>
      <c r="BN165" s="303"/>
    </row>
    <row r="166" spans="1:66" x14ac:dyDescent="0.25">
      <c r="A166" s="320"/>
      <c r="B166" s="303"/>
      <c r="C166" s="303"/>
      <c r="D166" s="303"/>
      <c r="E166" s="303"/>
      <c r="F166" s="303"/>
      <c r="G166" s="303"/>
      <c r="H166" s="303"/>
      <c r="I166" s="303"/>
      <c r="J166" s="303"/>
      <c r="K166" s="303"/>
      <c r="L166" s="303"/>
      <c r="M166" s="303"/>
      <c r="N166" s="303"/>
      <c r="O166" s="303"/>
      <c r="P166" s="303"/>
      <c r="Q166" s="303"/>
      <c r="R166" s="303"/>
      <c r="S166" s="303"/>
      <c r="T166" s="2086"/>
      <c r="U166" s="2105" t="s">
        <v>1422</v>
      </c>
      <c r="V166" s="2094" t="s">
        <v>1419</v>
      </c>
      <c r="W166" s="2099">
        <v>1</v>
      </c>
      <c r="X166" s="2099"/>
      <c r="Y166" s="2099">
        <v>80</v>
      </c>
      <c r="Z166" s="2099"/>
      <c r="AA166" s="2104">
        <v>0.32</v>
      </c>
      <c r="AB166" s="2088"/>
      <c r="AD166" s="2086"/>
      <c r="AE166" s="2115"/>
      <c r="AF166" s="306">
        <v>2</v>
      </c>
      <c r="AG166" s="306">
        <f t="shared" ca="1" si="33"/>
        <v>0</v>
      </c>
      <c r="AH166" s="306">
        <f t="shared" ca="1" si="34"/>
        <v>0</v>
      </c>
      <c r="AI166" s="306">
        <f t="shared" ref="AI166:AI174" ca="1" si="40">IF(ISERROR(LN(W24)),0,EXP($AG$132+$AH$132*LN(W24)+$AK$132*LN(W24)*LN(W24)))</f>
        <v>0</v>
      </c>
      <c r="AJ166" s="306">
        <f t="shared" ref="AJ166:AJ174" ca="1" si="41">(IF(W24&lt;AJ$150,W24*($AG$133+$AH$133*(AJ$150)+$AK$133*(AJ$150)*(AJ$150))/AJ$150,$AG$133+$AH$133*(W24)+$AK$133*(W24)*(W24)))</f>
        <v>0</v>
      </c>
      <c r="AK166" s="306">
        <f t="shared" ca="1" si="35"/>
        <v>0.88700000000000001</v>
      </c>
      <c r="AL166" s="306">
        <f t="shared" ca="1" si="36"/>
        <v>0.5</v>
      </c>
      <c r="AM166" s="306">
        <f t="shared" ca="1" si="37"/>
        <v>0.182</v>
      </c>
      <c r="AN166" s="306">
        <f t="shared" ca="1" si="38"/>
        <v>10.856</v>
      </c>
      <c r="AO166" s="306">
        <f t="shared" ca="1" si="39"/>
        <v>24.559000000000001</v>
      </c>
      <c r="AP166" s="306">
        <f t="shared" ref="AP166:AP174" ca="1" si="42">IF(W24&lt;AP$148*100,W24/(AP$148*100)*(23.487+41.851),23.487 + 41.851* POWER(LN(W24/100),2))</f>
        <v>0</v>
      </c>
      <c r="AQ166" s="306">
        <f t="shared" ref="AQ166:AQ174" ca="1" si="43">IF(ISERROR(LN(W24)),0,6.666 + 12.826 * SQRT(W24) * LN(W24))</f>
        <v>0</v>
      </c>
      <c r="AR166" s="306">
        <f t="shared" ref="AR166:AR174" ca="1" si="44">IF(ISERROR(LN(W24)),0,6.666 + 12.826 * SQRT(W24) * LN(W24))</f>
        <v>0</v>
      </c>
      <c r="AS166" s="2072"/>
      <c r="AT166" s="2072"/>
      <c r="AU166" s="2116"/>
      <c r="AV166" s="2088"/>
      <c r="AW166" s="303"/>
      <c r="AX166" s="303"/>
      <c r="AY166" s="303"/>
      <c r="AZ166" s="303"/>
      <c r="BA166" s="303"/>
      <c r="BB166" s="303"/>
      <c r="BC166" s="303"/>
      <c r="BD166" s="303"/>
      <c r="BE166" s="303"/>
      <c r="BF166" s="303"/>
      <c r="BG166" s="303"/>
      <c r="BH166" s="303"/>
      <c r="BI166" s="303"/>
      <c r="BJ166" s="303"/>
      <c r="BK166" s="303"/>
      <c r="BL166" s="303"/>
      <c r="BM166" s="303"/>
      <c r="BN166" s="303"/>
    </row>
    <row r="167" spans="1:66" x14ac:dyDescent="0.25">
      <c r="A167" s="320"/>
      <c r="B167" s="303"/>
      <c r="C167" s="303"/>
      <c r="D167" s="303"/>
      <c r="E167" s="303"/>
      <c r="F167" s="303"/>
      <c r="G167" s="303"/>
      <c r="H167" s="303"/>
      <c r="I167" s="303"/>
      <c r="J167" s="303"/>
      <c r="K167" s="303"/>
      <c r="L167" s="303"/>
      <c r="M167" s="303"/>
      <c r="N167" s="303"/>
      <c r="O167" s="303"/>
      <c r="P167" s="303"/>
      <c r="Q167" s="303"/>
      <c r="R167" s="303"/>
      <c r="S167" s="303"/>
      <c r="T167" s="2086"/>
      <c r="U167" s="2105" t="s">
        <v>1422</v>
      </c>
      <c r="V167" s="2094" t="s">
        <v>1421</v>
      </c>
      <c r="W167" s="2099">
        <v>5</v>
      </c>
      <c r="X167" s="2099"/>
      <c r="Y167" s="2099">
        <v>60</v>
      </c>
      <c r="Z167" s="2099"/>
      <c r="AA167" s="2104">
        <v>0.32</v>
      </c>
      <c r="AB167" s="2088"/>
      <c r="AD167" s="2086"/>
      <c r="AE167" s="2115"/>
      <c r="AF167" s="306">
        <v>3</v>
      </c>
      <c r="AG167" s="306">
        <f t="shared" ca="1" si="33"/>
        <v>0</v>
      </c>
      <c r="AH167" s="306">
        <f t="shared" ca="1" si="34"/>
        <v>0</v>
      </c>
      <c r="AI167" s="306">
        <f t="shared" ca="1" si="40"/>
        <v>0</v>
      </c>
      <c r="AJ167" s="306">
        <f t="shared" ca="1" si="41"/>
        <v>0</v>
      </c>
      <c r="AK167" s="306">
        <f t="shared" ca="1" si="35"/>
        <v>0.88700000000000001</v>
      </c>
      <c r="AL167" s="306">
        <f t="shared" ca="1" si="36"/>
        <v>0.5</v>
      </c>
      <c r="AM167" s="306">
        <f t="shared" ca="1" si="37"/>
        <v>0.182</v>
      </c>
      <c r="AN167" s="306">
        <f t="shared" ca="1" si="38"/>
        <v>10.856</v>
      </c>
      <c r="AO167" s="306">
        <f t="shared" ca="1" si="39"/>
        <v>24.559000000000001</v>
      </c>
      <c r="AP167" s="306">
        <f t="shared" ca="1" si="42"/>
        <v>0</v>
      </c>
      <c r="AQ167" s="306">
        <f t="shared" ca="1" si="43"/>
        <v>0</v>
      </c>
      <c r="AR167" s="306">
        <f t="shared" ca="1" si="44"/>
        <v>0</v>
      </c>
      <c r="AS167" s="2072"/>
      <c r="AT167" s="2072"/>
      <c r="AU167" s="2116"/>
      <c r="AV167" s="2088"/>
      <c r="AW167" s="303"/>
      <c r="AX167" s="303"/>
      <c r="AY167" s="303"/>
      <c r="AZ167" s="303"/>
      <c r="BA167" s="303"/>
      <c r="BB167" s="303"/>
      <c r="BC167" s="303"/>
      <c r="BD167" s="303"/>
      <c r="BE167" s="303"/>
      <c r="BF167" s="303"/>
      <c r="BG167" s="303"/>
      <c r="BH167" s="303"/>
      <c r="BI167" s="303"/>
      <c r="BJ167" s="303"/>
      <c r="BK167" s="303"/>
      <c r="BL167" s="303"/>
      <c r="BM167" s="303"/>
      <c r="BN167" s="303"/>
    </row>
    <row r="168" spans="1:66" x14ac:dyDescent="0.25">
      <c r="A168" s="320"/>
      <c r="B168" s="303"/>
      <c r="C168" s="303"/>
      <c r="D168" s="303"/>
      <c r="E168" s="303"/>
      <c r="F168" s="303"/>
      <c r="G168" s="303"/>
      <c r="H168" s="303"/>
      <c r="I168" s="303"/>
      <c r="J168" s="303"/>
      <c r="K168" s="303"/>
      <c r="L168" s="303"/>
      <c r="M168" s="303"/>
      <c r="N168" s="303"/>
      <c r="O168" s="303"/>
      <c r="P168" s="303"/>
      <c r="Q168" s="303"/>
      <c r="R168" s="303"/>
      <c r="S168" s="303"/>
      <c r="T168" s="2086"/>
      <c r="U168" s="2105" t="s">
        <v>1422</v>
      </c>
      <c r="V168" s="2094" t="s">
        <v>1423</v>
      </c>
      <c r="W168" s="2099">
        <v>1.3</v>
      </c>
      <c r="X168" s="2099"/>
      <c r="Y168" s="2099">
        <v>60</v>
      </c>
      <c r="Z168" s="2099"/>
      <c r="AA168" s="2104">
        <v>0.32</v>
      </c>
      <c r="AB168" s="2088"/>
      <c r="AD168" s="2086"/>
      <c r="AE168" s="2115"/>
      <c r="AF168" s="306">
        <v>4</v>
      </c>
      <c r="AG168" s="306">
        <f t="shared" ca="1" si="33"/>
        <v>0</v>
      </c>
      <c r="AH168" s="306">
        <f t="shared" ca="1" si="34"/>
        <v>0</v>
      </c>
      <c r="AI168" s="306">
        <f t="shared" ca="1" si="40"/>
        <v>0</v>
      </c>
      <c r="AJ168" s="306">
        <f t="shared" ca="1" si="41"/>
        <v>0</v>
      </c>
      <c r="AK168" s="306">
        <f t="shared" ca="1" si="35"/>
        <v>0.88700000000000001</v>
      </c>
      <c r="AL168" s="306">
        <f t="shared" ca="1" si="36"/>
        <v>0.5</v>
      </c>
      <c r="AM168" s="306">
        <f t="shared" ca="1" si="37"/>
        <v>0.182</v>
      </c>
      <c r="AN168" s="306">
        <f t="shared" ca="1" si="38"/>
        <v>10.856</v>
      </c>
      <c r="AO168" s="306">
        <f t="shared" ca="1" si="39"/>
        <v>24.559000000000001</v>
      </c>
      <c r="AP168" s="306">
        <f t="shared" ca="1" si="42"/>
        <v>0</v>
      </c>
      <c r="AQ168" s="306">
        <f t="shared" ca="1" si="43"/>
        <v>0</v>
      </c>
      <c r="AR168" s="306">
        <f t="shared" ca="1" si="44"/>
        <v>0</v>
      </c>
      <c r="AS168" s="2072"/>
      <c r="AT168" s="2072"/>
      <c r="AU168" s="2116"/>
      <c r="AV168" s="2088"/>
      <c r="AW168" s="303"/>
      <c r="AX168" s="303"/>
      <c r="AY168" s="303"/>
      <c r="AZ168" s="303"/>
      <c r="BA168" s="303"/>
      <c r="BB168" s="303"/>
      <c r="BC168" s="303"/>
      <c r="BD168" s="303"/>
      <c r="BE168" s="303"/>
      <c r="BF168" s="303"/>
      <c r="BG168" s="303"/>
      <c r="BH168" s="303"/>
      <c r="BI168" s="303"/>
      <c r="BJ168" s="303"/>
      <c r="BK168" s="303"/>
      <c r="BL168" s="303"/>
      <c r="BM168" s="303"/>
      <c r="BN168" s="303"/>
    </row>
    <row r="169" spans="1:66" x14ac:dyDescent="0.25">
      <c r="A169" s="320"/>
      <c r="B169" s="303"/>
      <c r="C169" s="303"/>
      <c r="D169" s="303"/>
      <c r="E169" s="303"/>
      <c r="F169" s="303"/>
      <c r="G169" s="303"/>
      <c r="H169" s="303"/>
      <c r="I169" s="303"/>
      <c r="J169" s="303"/>
      <c r="K169" s="303"/>
      <c r="L169" s="303"/>
      <c r="M169" s="303"/>
      <c r="N169" s="303"/>
      <c r="O169" s="303"/>
      <c r="P169" s="303"/>
      <c r="Q169" s="303"/>
      <c r="R169" s="303"/>
      <c r="S169" s="303"/>
      <c r="T169" s="2086"/>
      <c r="U169" s="2105" t="s">
        <v>1422</v>
      </c>
      <c r="V169" s="2094" t="s">
        <v>2069</v>
      </c>
      <c r="W169" s="2099">
        <v>2</v>
      </c>
      <c r="X169" s="2099"/>
      <c r="Y169" s="2099">
        <v>70</v>
      </c>
      <c r="Z169" s="2099"/>
      <c r="AA169" s="2104">
        <v>0.32</v>
      </c>
      <c r="AB169" s="2088"/>
      <c r="AD169" s="2086"/>
      <c r="AE169" s="2115"/>
      <c r="AF169" s="306">
        <v>5</v>
      </c>
      <c r="AG169" s="306">
        <f t="shared" ca="1" si="33"/>
        <v>0</v>
      </c>
      <c r="AH169" s="306">
        <f t="shared" ca="1" si="34"/>
        <v>0</v>
      </c>
      <c r="AI169" s="306">
        <f t="shared" ca="1" si="40"/>
        <v>0</v>
      </c>
      <c r="AJ169" s="306">
        <f t="shared" ca="1" si="41"/>
        <v>0</v>
      </c>
      <c r="AK169" s="306">
        <f t="shared" ca="1" si="35"/>
        <v>0.88700000000000001</v>
      </c>
      <c r="AL169" s="306">
        <f t="shared" ca="1" si="36"/>
        <v>0.5</v>
      </c>
      <c r="AM169" s="306">
        <f t="shared" ca="1" si="37"/>
        <v>0.182</v>
      </c>
      <c r="AN169" s="306">
        <f t="shared" ca="1" si="38"/>
        <v>10.856</v>
      </c>
      <c r="AO169" s="306">
        <f t="shared" ca="1" si="39"/>
        <v>24.559000000000001</v>
      </c>
      <c r="AP169" s="306">
        <f t="shared" ca="1" si="42"/>
        <v>0</v>
      </c>
      <c r="AQ169" s="306">
        <f t="shared" ca="1" si="43"/>
        <v>0</v>
      </c>
      <c r="AR169" s="306">
        <f t="shared" ca="1" si="44"/>
        <v>0</v>
      </c>
      <c r="AS169" s="2072"/>
      <c r="AT169" s="2072"/>
      <c r="AU169" s="2116"/>
      <c r="AV169" s="2088"/>
      <c r="AW169" s="303"/>
      <c r="AX169" s="303"/>
      <c r="AY169" s="303"/>
      <c r="AZ169" s="303"/>
      <c r="BA169" s="303"/>
      <c r="BB169" s="303"/>
      <c r="BC169" s="303"/>
      <c r="BD169" s="303"/>
      <c r="BE169" s="303"/>
      <c r="BF169" s="303"/>
      <c r="BG169" s="303"/>
      <c r="BH169" s="303"/>
      <c r="BI169" s="303"/>
      <c r="BJ169" s="303"/>
      <c r="BK169" s="303"/>
      <c r="BL169" s="303"/>
      <c r="BM169" s="303"/>
      <c r="BN169" s="303"/>
    </row>
    <row r="170" spans="1:66" ht="13.25" thickBot="1" x14ac:dyDescent="0.3">
      <c r="A170" s="320"/>
      <c r="B170" s="303"/>
      <c r="C170" s="303"/>
      <c r="D170" s="303"/>
      <c r="E170" s="303"/>
      <c r="F170" s="303"/>
      <c r="G170" s="303"/>
      <c r="H170" s="303"/>
      <c r="I170" s="303"/>
      <c r="J170" s="303"/>
      <c r="K170" s="303"/>
      <c r="L170" s="303"/>
      <c r="M170" s="303"/>
      <c r="N170" s="303"/>
      <c r="O170" s="303"/>
      <c r="P170" s="303"/>
      <c r="Q170" s="303"/>
      <c r="R170" s="303"/>
      <c r="S170" s="303"/>
      <c r="T170" s="2086"/>
      <c r="U170" s="2105" t="s">
        <v>1422</v>
      </c>
      <c r="V170" s="2095" t="s">
        <v>32</v>
      </c>
      <c r="W170" s="2099">
        <v>1</v>
      </c>
      <c r="X170" s="2099"/>
      <c r="Y170" s="2099">
        <v>70</v>
      </c>
      <c r="Z170" s="2099"/>
      <c r="AA170" s="2104">
        <v>0.32</v>
      </c>
      <c r="AB170" s="2088"/>
      <c r="AD170" s="2086"/>
      <c r="AE170" s="2115"/>
      <c r="AF170" s="306">
        <v>6</v>
      </c>
      <c r="AG170" s="306">
        <f t="shared" ca="1" si="33"/>
        <v>0</v>
      </c>
      <c r="AH170" s="306">
        <f t="shared" ca="1" si="34"/>
        <v>0</v>
      </c>
      <c r="AI170" s="306">
        <f t="shared" ca="1" si="40"/>
        <v>0</v>
      </c>
      <c r="AJ170" s="306">
        <f t="shared" ca="1" si="41"/>
        <v>0</v>
      </c>
      <c r="AK170" s="306">
        <f t="shared" ca="1" si="35"/>
        <v>0.88700000000000001</v>
      </c>
      <c r="AL170" s="306">
        <f t="shared" ca="1" si="36"/>
        <v>0.5</v>
      </c>
      <c r="AM170" s="306">
        <f t="shared" ca="1" si="37"/>
        <v>0.182</v>
      </c>
      <c r="AN170" s="306">
        <f t="shared" ca="1" si="38"/>
        <v>10.856</v>
      </c>
      <c r="AO170" s="306">
        <f t="shared" ca="1" si="39"/>
        <v>24.559000000000001</v>
      </c>
      <c r="AP170" s="306">
        <f t="shared" ca="1" si="42"/>
        <v>0</v>
      </c>
      <c r="AQ170" s="306">
        <f t="shared" ca="1" si="43"/>
        <v>0</v>
      </c>
      <c r="AR170" s="306">
        <f t="shared" ca="1" si="44"/>
        <v>0</v>
      </c>
      <c r="AS170" s="2072"/>
      <c r="AT170" s="2072"/>
      <c r="AU170" s="2116"/>
      <c r="AV170" s="2088"/>
      <c r="AW170" s="303"/>
      <c r="AX170" s="303"/>
      <c r="AY170" s="303"/>
      <c r="AZ170" s="303"/>
      <c r="BA170" s="303"/>
      <c r="BB170" s="303"/>
      <c r="BC170" s="303"/>
      <c r="BD170" s="303"/>
      <c r="BE170" s="303"/>
      <c r="BF170" s="303"/>
      <c r="BG170" s="303"/>
      <c r="BH170" s="303"/>
      <c r="BI170" s="303"/>
      <c r="BJ170" s="303"/>
      <c r="BK170" s="303"/>
      <c r="BL170" s="303"/>
      <c r="BM170" s="303"/>
      <c r="BN170" s="303"/>
    </row>
    <row r="171" spans="1:66" x14ac:dyDescent="0.25">
      <c r="A171" s="320"/>
      <c r="B171" s="303"/>
      <c r="C171" s="303"/>
      <c r="D171" s="303"/>
      <c r="E171" s="303"/>
      <c r="F171" s="303"/>
      <c r="G171" s="303"/>
      <c r="H171" s="303"/>
      <c r="I171" s="303"/>
      <c r="J171" s="303"/>
      <c r="K171" s="303"/>
      <c r="L171" s="303"/>
      <c r="M171" s="303"/>
      <c r="N171" s="303"/>
      <c r="O171" s="303"/>
      <c r="P171" s="303"/>
      <c r="Q171" s="303"/>
      <c r="R171" s="303"/>
      <c r="S171" s="303"/>
      <c r="T171" s="2086"/>
      <c r="U171" s="2105" t="s">
        <v>1422</v>
      </c>
      <c r="V171" s="2096" t="s">
        <v>1860</v>
      </c>
      <c r="W171" s="2099" t="e">
        <f>NA()</f>
        <v>#N/A</v>
      </c>
      <c r="X171" s="2099"/>
      <c r="Y171" s="2099" t="e">
        <f>NA()</f>
        <v>#N/A</v>
      </c>
      <c r="Z171" s="2099"/>
      <c r="AA171" s="2104" t="e">
        <f>NA()</f>
        <v>#N/A</v>
      </c>
      <c r="AB171" s="2088"/>
      <c r="AD171" s="2086"/>
      <c r="AE171" s="2115"/>
      <c r="AF171" s="306">
        <v>7</v>
      </c>
      <c r="AG171" s="306">
        <f t="shared" ca="1" si="33"/>
        <v>0</v>
      </c>
      <c r="AH171" s="306">
        <f t="shared" ca="1" si="34"/>
        <v>0</v>
      </c>
      <c r="AI171" s="306">
        <f t="shared" ca="1" si="40"/>
        <v>0</v>
      </c>
      <c r="AJ171" s="306">
        <f t="shared" ca="1" si="41"/>
        <v>0</v>
      </c>
      <c r="AK171" s="306">
        <f t="shared" ca="1" si="35"/>
        <v>0.88700000000000001</v>
      </c>
      <c r="AL171" s="306">
        <f t="shared" ca="1" si="36"/>
        <v>0.5</v>
      </c>
      <c r="AM171" s="306">
        <f t="shared" ca="1" si="37"/>
        <v>0.182</v>
      </c>
      <c r="AN171" s="306">
        <f t="shared" ca="1" si="38"/>
        <v>10.856</v>
      </c>
      <c r="AO171" s="306">
        <f t="shared" ca="1" si="39"/>
        <v>24.559000000000001</v>
      </c>
      <c r="AP171" s="306">
        <f t="shared" ca="1" si="42"/>
        <v>0</v>
      </c>
      <c r="AQ171" s="306">
        <f t="shared" ca="1" si="43"/>
        <v>0</v>
      </c>
      <c r="AR171" s="306">
        <f t="shared" ca="1" si="44"/>
        <v>0</v>
      </c>
      <c r="AS171" s="2072"/>
      <c r="AT171" s="2072"/>
      <c r="AU171" s="2116"/>
      <c r="AV171" s="2088"/>
      <c r="AW171" s="303"/>
      <c r="AX171" s="303"/>
      <c r="AY171" s="303"/>
      <c r="AZ171" s="303"/>
      <c r="BA171" s="303"/>
      <c r="BB171" s="303"/>
      <c r="BC171" s="303"/>
      <c r="BD171" s="303"/>
      <c r="BE171" s="303"/>
      <c r="BF171" s="303"/>
      <c r="BG171" s="303"/>
      <c r="BH171" s="303"/>
      <c r="BI171" s="303"/>
      <c r="BJ171" s="303"/>
      <c r="BK171" s="303"/>
      <c r="BL171" s="303"/>
      <c r="BM171" s="303"/>
      <c r="BN171" s="303"/>
    </row>
    <row r="172" spans="1:66" x14ac:dyDescent="0.25">
      <c r="A172" s="320"/>
      <c r="B172" s="303"/>
      <c r="C172" s="303"/>
      <c r="D172" s="303"/>
      <c r="E172" s="303"/>
      <c r="F172" s="303"/>
      <c r="G172" s="303"/>
      <c r="H172" s="303"/>
      <c r="I172" s="303"/>
      <c r="J172" s="303"/>
      <c r="K172" s="303"/>
      <c r="L172" s="303"/>
      <c r="M172" s="303"/>
      <c r="N172" s="303"/>
      <c r="O172" s="303"/>
      <c r="P172" s="303"/>
      <c r="Q172" s="303"/>
      <c r="R172" s="303"/>
      <c r="S172" s="303"/>
      <c r="T172" s="2086"/>
      <c r="U172" s="2105" t="s">
        <v>1422</v>
      </c>
      <c r="V172" s="2097" t="s">
        <v>1861</v>
      </c>
      <c r="W172" s="2099" t="e">
        <f>NA()</f>
        <v>#N/A</v>
      </c>
      <c r="X172" s="2099"/>
      <c r="Y172" s="2099" t="e">
        <f>NA()</f>
        <v>#N/A</v>
      </c>
      <c r="Z172" s="2099"/>
      <c r="AA172" s="2104" t="e">
        <f>NA()</f>
        <v>#N/A</v>
      </c>
      <c r="AB172" s="2088"/>
      <c r="AD172" s="2086"/>
      <c r="AE172" s="2115"/>
      <c r="AF172" s="306">
        <v>8</v>
      </c>
      <c r="AG172" s="306">
        <f t="shared" ca="1" si="33"/>
        <v>0</v>
      </c>
      <c r="AH172" s="306">
        <f t="shared" ca="1" si="34"/>
        <v>0</v>
      </c>
      <c r="AI172" s="306">
        <f t="shared" ca="1" si="40"/>
        <v>0</v>
      </c>
      <c r="AJ172" s="306">
        <f t="shared" ca="1" si="41"/>
        <v>0</v>
      </c>
      <c r="AK172" s="306">
        <f t="shared" ca="1" si="35"/>
        <v>0.88700000000000001</v>
      </c>
      <c r="AL172" s="306">
        <f t="shared" ca="1" si="36"/>
        <v>0.5</v>
      </c>
      <c r="AM172" s="306">
        <f t="shared" ca="1" si="37"/>
        <v>0.182</v>
      </c>
      <c r="AN172" s="306">
        <f t="shared" ca="1" si="38"/>
        <v>10.856</v>
      </c>
      <c r="AO172" s="306">
        <f t="shared" ca="1" si="39"/>
        <v>24.559000000000001</v>
      </c>
      <c r="AP172" s="306">
        <f t="shared" ca="1" si="42"/>
        <v>0</v>
      </c>
      <c r="AQ172" s="306">
        <f t="shared" ca="1" si="43"/>
        <v>0</v>
      </c>
      <c r="AR172" s="306">
        <f t="shared" ca="1" si="44"/>
        <v>0</v>
      </c>
      <c r="AS172" s="2072"/>
      <c r="AT172" s="2072"/>
      <c r="AU172" s="2116"/>
      <c r="AV172" s="2088"/>
      <c r="AW172" s="303"/>
      <c r="AX172" s="303"/>
      <c r="AY172" s="303"/>
      <c r="AZ172" s="303"/>
      <c r="BA172" s="303"/>
      <c r="BB172" s="303"/>
      <c r="BC172" s="303"/>
      <c r="BD172" s="303"/>
      <c r="BE172" s="303"/>
      <c r="BF172" s="303"/>
      <c r="BG172" s="303"/>
      <c r="BH172" s="303"/>
      <c r="BI172" s="303"/>
      <c r="BJ172" s="303"/>
      <c r="BK172" s="303"/>
      <c r="BL172" s="303"/>
      <c r="BM172" s="303"/>
      <c r="BN172" s="303"/>
    </row>
    <row r="173" spans="1:66" x14ac:dyDescent="0.25">
      <c r="A173" s="320"/>
      <c r="B173" s="303"/>
      <c r="C173" s="303"/>
      <c r="D173" s="303"/>
      <c r="E173" s="303"/>
      <c r="F173" s="303"/>
      <c r="G173" s="303"/>
      <c r="H173" s="303"/>
      <c r="I173" s="303"/>
      <c r="J173" s="303"/>
      <c r="K173" s="303"/>
      <c r="L173" s="303"/>
      <c r="M173" s="303"/>
      <c r="N173" s="303"/>
      <c r="O173" s="303"/>
      <c r="P173" s="303"/>
      <c r="Q173" s="303"/>
      <c r="R173" s="303"/>
      <c r="S173" s="303"/>
      <c r="T173" s="2086"/>
      <c r="U173" s="2105" t="s">
        <v>1422</v>
      </c>
      <c r="V173" s="2097" t="s">
        <v>1862</v>
      </c>
      <c r="W173" s="2099" t="e">
        <f>NA()</f>
        <v>#N/A</v>
      </c>
      <c r="X173" s="2099"/>
      <c r="Y173" s="2099" t="e">
        <f>NA()</f>
        <v>#N/A</v>
      </c>
      <c r="Z173" s="2099"/>
      <c r="AA173" s="2104" t="e">
        <f>NA()</f>
        <v>#N/A</v>
      </c>
      <c r="AB173" s="2088"/>
      <c r="AD173" s="2086"/>
      <c r="AE173" s="2115"/>
      <c r="AF173" s="306">
        <v>9</v>
      </c>
      <c r="AG173" s="306">
        <f t="shared" ca="1" si="33"/>
        <v>0</v>
      </c>
      <c r="AH173" s="306">
        <f t="shared" ca="1" si="34"/>
        <v>0</v>
      </c>
      <c r="AI173" s="306">
        <f t="shared" ca="1" si="40"/>
        <v>0</v>
      </c>
      <c r="AJ173" s="306">
        <f t="shared" ca="1" si="41"/>
        <v>0</v>
      </c>
      <c r="AK173" s="306">
        <f t="shared" ca="1" si="35"/>
        <v>0.88700000000000001</v>
      </c>
      <c r="AL173" s="306">
        <f t="shared" ca="1" si="36"/>
        <v>0.5</v>
      </c>
      <c r="AM173" s="306">
        <f t="shared" ca="1" si="37"/>
        <v>0.182</v>
      </c>
      <c r="AN173" s="306">
        <f t="shared" ca="1" si="38"/>
        <v>10.856</v>
      </c>
      <c r="AO173" s="306">
        <f t="shared" ca="1" si="39"/>
        <v>24.559000000000001</v>
      </c>
      <c r="AP173" s="306">
        <f t="shared" ca="1" si="42"/>
        <v>0</v>
      </c>
      <c r="AQ173" s="306">
        <f t="shared" ca="1" si="43"/>
        <v>0</v>
      </c>
      <c r="AR173" s="306">
        <f t="shared" ca="1" si="44"/>
        <v>0</v>
      </c>
      <c r="AS173" s="2072"/>
      <c r="AT173" s="2072"/>
      <c r="AU173" s="2116"/>
      <c r="AV173" s="2088"/>
      <c r="AW173" s="303"/>
      <c r="AX173" s="303"/>
      <c r="AY173" s="303"/>
      <c r="AZ173" s="303"/>
      <c r="BA173" s="303"/>
      <c r="BB173" s="303"/>
      <c r="BC173" s="303"/>
      <c r="BD173" s="303"/>
      <c r="BE173" s="303"/>
      <c r="BF173" s="303"/>
      <c r="BG173" s="303"/>
      <c r="BH173" s="303"/>
      <c r="BI173" s="303"/>
      <c r="BJ173" s="303"/>
      <c r="BK173" s="303"/>
      <c r="BL173" s="303"/>
      <c r="BM173" s="303"/>
      <c r="BN173" s="303"/>
    </row>
    <row r="174" spans="1:66" ht="13.25" thickBot="1" x14ac:dyDescent="0.3">
      <c r="A174" s="320"/>
      <c r="B174" s="303"/>
      <c r="C174" s="303"/>
      <c r="D174" s="303"/>
      <c r="E174" s="303"/>
      <c r="F174" s="303"/>
      <c r="G174" s="303"/>
      <c r="H174" s="303"/>
      <c r="I174" s="303"/>
      <c r="J174" s="303"/>
      <c r="K174" s="303"/>
      <c r="L174" s="303"/>
      <c r="M174" s="303"/>
      <c r="N174" s="303"/>
      <c r="O174" s="303"/>
      <c r="P174" s="303"/>
      <c r="Q174" s="303"/>
      <c r="R174" s="303"/>
      <c r="S174" s="303"/>
      <c r="T174" s="2086"/>
      <c r="U174" s="2105" t="s">
        <v>1422</v>
      </c>
      <c r="V174" s="2097" t="s">
        <v>1863</v>
      </c>
      <c r="W174" s="2099" t="e">
        <f>NA()</f>
        <v>#N/A</v>
      </c>
      <c r="X174" s="2099"/>
      <c r="Y174" s="2099" t="e">
        <f>NA()</f>
        <v>#N/A</v>
      </c>
      <c r="Z174" s="2099"/>
      <c r="AA174" s="2104" t="e">
        <f>NA()</f>
        <v>#N/A</v>
      </c>
      <c r="AB174" s="2088"/>
      <c r="AD174" s="2086"/>
      <c r="AE174" s="2117"/>
      <c r="AF174" s="2118">
        <v>10</v>
      </c>
      <c r="AG174" s="2118">
        <f t="shared" ca="1" si="33"/>
        <v>0</v>
      </c>
      <c r="AH174" s="2118">
        <f t="shared" ca="1" si="34"/>
        <v>0</v>
      </c>
      <c r="AI174" s="306">
        <f t="shared" ca="1" si="40"/>
        <v>0</v>
      </c>
      <c r="AJ174" s="306">
        <f t="shared" ca="1" si="41"/>
        <v>0</v>
      </c>
      <c r="AK174" s="2118">
        <f t="shared" ca="1" si="35"/>
        <v>0.88700000000000001</v>
      </c>
      <c r="AL174" s="2118">
        <f t="shared" ca="1" si="36"/>
        <v>0.5</v>
      </c>
      <c r="AM174" s="2118">
        <f t="shared" ca="1" si="37"/>
        <v>0.182</v>
      </c>
      <c r="AN174" s="2118">
        <f t="shared" ca="1" si="38"/>
        <v>10.856</v>
      </c>
      <c r="AO174" s="2118">
        <f t="shared" ca="1" si="39"/>
        <v>24.559000000000001</v>
      </c>
      <c r="AP174" s="306">
        <f t="shared" ca="1" si="42"/>
        <v>0</v>
      </c>
      <c r="AQ174" s="306">
        <f t="shared" ca="1" si="43"/>
        <v>0</v>
      </c>
      <c r="AR174" s="306">
        <f t="shared" ca="1" si="44"/>
        <v>0</v>
      </c>
      <c r="AS174" s="2121"/>
      <c r="AT174" s="2121"/>
      <c r="AU174" s="2119"/>
      <c r="AV174" s="2088"/>
      <c r="AW174" s="303"/>
      <c r="AX174" s="303"/>
      <c r="AY174" s="303"/>
      <c r="AZ174" s="303"/>
      <c r="BA174" s="303"/>
      <c r="BB174" s="303"/>
      <c r="BC174" s="303"/>
      <c r="BD174" s="303"/>
      <c r="BE174" s="303"/>
      <c r="BF174" s="303"/>
      <c r="BG174" s="303"/>
      <c r="BH174" s="303"/>
      <c r="BI174" s="303"/>
      <c r="BJ174" s="303"/>
      <c r="BK174" s="303"/>
      <c r="BL174" s="303"/>
      <c r="BM174" s="303"/>
      <c r="BN174" s="303"/>
    </row>
    <row r="175" spans="1:66" x14ac:dyDescent="0.25">
      <c r="A175" s="320"/>
      <c r="B175" s="303"/>
      <c r="C175" s="303"/>
      <c r="D175" s="303"/>
      <c r="E175" s="303"/>
      <c r="F175" s="303"/>
      <c r="G175" s="303"/>
      <c r="H175" s="303"/>
      <c r="I175" s="303"/>
      <c r="J175" s="303"/>
      <c r="K175" s="303"/>
      <c r="L175" s="303"/>
      <c r="M175" s="303"/>
      <c r="N175" s="303"/>
      <c r="O175" s="303"/>
      <c r="P175" s="303"/>
      <c r="Q175" s="303"/>
      <c r="R175" s="303"/>
      <c r="S175" s="303"/>
      <c r="T175" s="2086"/>
      <c r="U175" s="2105" t="s">
        <v>1422</v>
      </c>
      <c r="V175" s="2097" t="s">
        <v>1864</v>
      </c>
      <c r="W175" s="2099" t="e">
        <f>NA()</f>
        <v>#N/A</v>
      </c>
      <c r="X175" s="2099"/>
      <c r="Y175" s="2099" t="e">
        <f>NA()</f>
        <v>#N/A</v>
      </c>
      <c r="Z175" s="2099"/>
      <c r="AA175" s="2104" t="e">
        <f>NA()</f>
        <v>#N/A</v>
      </c>
      <c r="AB175" s="2088"/>
      <c r="AD175" s="2086"/>
      <c r="AE175" s="300"/>
      <c r="AF175" s="300"/>
      <c r="AG175" s="300"/>
      <c r="AH175" s="300"/>
      <c r="AI175" s="300"/>
      <c r="AJ175" s="300"/>
      <c r="AK175" s="300"/>
      <c r="AL175" s="300"/>
      <c r="AM175" s="300"/>
      <c r="AN175" s="300"/>
      <c r="AO175" s="300"/>
      <c r="AP175" s="300"/>
      <c r="AQ175" s="300"/>
      <c r="AR175" s="300"/>
      <c r="AS175" s="300"/>
      <c r="AT175" s="3"/>
      <c r="AU175" s="300"/>
      <c r="AV175" s="2088"/>
      <c r="AW175" s="303"/>
      <c r="AX175" s="303"/>
      <c r="AY175" s="303"/>
      <c r="AZ175" s="303"/>
      <c r="BA175" s="303"/>
      <c r="BB175" s="303"/>
      <c r="BC175" s="303"/>
      <c r="BD175" s="303"/>
      <c r="BE175" s="303"/>
      <c r="BF175" s="303"/>
      <c r="BG175" s="303"/>
      <c r="BH175" s="303"/>
      <c r="BI175" s="303"/>
      <c r="BJ175" s="303"/>
      <c r="BK175" s="303"/>
      <c r="BL175" s="303"/>
      <c r="BM175" s="303"/>
      <c r="BN175" s="303"/>
    </row>
    <row r="176" spans="1:66" ht="13.25" thickBot="1" x14ac:dyDescent="0.3">
      <c r="A176" s="320"/>
      <c r="B176" s="303"/>
      <c r="C176" s="303"/>
      <c r="D176" s="303"/>
      <c r="E176" s="303"/>
      <c r="F176" s="303"/>
      <c r="G176" s="303"/>
      <c r="H176" s="303"/>
      <c r="I176" s="303"/>
      <c r="J176" s="303"/>
      <c r="K176" s="303"/>
      <c r="L176" s="303"/>
      <c r="M176" s="303"/>
      <c r="N176" s="303"/>
      <c r="O176" s="303"/>
      <c r="P176" s="303"/>
      <c r="Q176" s="303"/>
      <c r="R176" s="303"/>
      <c r="S176" s="303"/>
      <c r="T176" s="2086"/>
      <c r="U176" s="2105" t="s">
        <v>1422</v>
      </c>
      <c r="V176" s="2098" t="s">
        <v>1598</v>
      </c>
      <c r="W176" s="2099" t="e">
        <f>NA()</f>
        <v>#N/A</v>
      </c>
      <c r="X176" s="2099"/>
      <c r="Y176" s="2099" t="e">
        <f>NA()</f>
        <v>#N/A</v>
      </c>
      <c r="Z176" s="2099"/>
      <c r="AA176" s="2104" t="e">
        <f>NA()</f>
        <v>#N/A</v>
      </c>
      <c r="AB176" s="2088"/>
      <c r="AD176" s="2086"/>
      <c r="AE176" s="300"/>
      <c r="AF176" s="300"/>
      <c r="AG176" s="300"/>
      <c r="AH176" s="300"/>
      <c r="AI176" s="300"/>
      <c r="AJ176" s="300"/>
      <c r="AK176" s="300"/>
      <c r="AL176" s="300"/>
      <c r="AM176" s="300"/>
      <c r="AN176" s="300"/>
      <c r="AO176" s="300"/>
      <c r="AP176" s="300"/>
      <c r="AQ176" s="300"/>
      <c r="AR176" s="300"/>
      <c r="AS176" s="300"/>
      <c r="AT176" s="3"/>
      <c r="AU176" s="300"/>
      <c r="AV176" s="2088"/>
      <c r="AW176" s="303"/>
      <c r="AX176" s="303"/>
      <c r="AY176" s="303"/>
      <c r="AZ176" s="303"/>
      <c r="BA176" s="303"/>
      <c r="BB176" s="303"/>
      <c r="BC176" s="303"/>
      <c r="BD176" s="303"/>
      <c r="BE176" s="303"/>
      <c r="BF176" s="303"/>
      <c r="BG176" s="303"/>
      <c r="BH176" s="303"/>
      <c r="BI176" s="303"/>
      <c r="BJ176" s="303"/>
      <c r="BK176" s="303"/>
      <c r="BL176" s="303"/>
      <c r="BM176" s="303"/>
      <c r="BN176" s="303"/>
    </row>
    <row r="177" spans="1:66" x14ac:dyDescent="0.25">
      <c r="A177" s="320"/>
      <c r="B177" s="303"/>
      <c r="C177" s="303"/>
      <c r="D177" s="303"/>
      <c r="E177" s="303"/>
      <c r="F177" s="303"/>
      <c r="G177" s="303"/>
      <c r="H177" s="303"/>
      <c r="I177" s="303"/>
      <c r="J177" s="303"/>
      <c r="K177" s="303"/>
      <c r="L177" s="303"/>
      <c r="M177" s="303"/>
      <c r="N177" s="303"/>
      <c r="O177" s="303"/>
      <c r="P177" s="303"/>
      <c r="Q177" s="303"/>
      <c r="R177" s="303"/>
      <c r="S177" s="303"/>
      <c r="T177" s="2086"/>
      <c r="U177" s="2105" t="s">
        <v>2068</v>
      </c>
      <c r="V177" s="2093" t="s">
        <v>1644</v>
      </c>
      <c r="W177" s="2099">
        <v>3.5</v>
      </c>
      <c r="X177" s="2099" t="s">
        <v>1648</v>
      </c>
      <c r="Y177" s="2099">
        <v>50</v>
      </c>
      <c r="Z177" s="2099"/>
      <c r="AA177" s="2104">
        <v>0.27</v>
      </c>
      <c r="AB177" s="2088"/>
      <c r="AD177" s="2086"/>
      <c r="AE177" s="300"/>
      <c r="AF177" s="300"/>
      <c r="AG177" s="300"/>
      <c r="AH177" s="300"/>
      <c r="AI177" s="300"/>
      <c r="AJ177" s="300"/>
      <c r="AK177" s="300"/>
      <c r="AL177" s="300"/>
      <c r="AM177" s="300"/>
      <c r="AN177" s="300"/>
      <c r="AO177" s="300"/>
      <c r="AP177" s="300"/>
      <c r="AQ177" s="300"/>
      <c r="AR177" s="300"/>
      <c r="AS177" s="300"/>
      <c r="AT177" s="3"/>
      <c r="AU177" s="300"/>
      <c r="AV177" s="2088"/>
      <c r="AW177" s="303"/>
      <c r="AX177" s="303"/>
      <c r="AY177" s="303"/>
      <c r="AZ177" s="303"/>
      <c r="BA177" s="303"/>
      <c r="BB177" s="303"/>
      <c r="BC177" s="303"/>
      <c r="BD177" s="303"/>
      <c r="BE177" s="303"/>
      <c r="BF177" s="303"/>
      <c r="BG177" s="303"/>
      <c r="BH177" s="303"/>
      <c r="BI177" s="303"/>
      <c r="BJ177" s="303"/>
      <c r="BK177" s="303"/>
      <c r="BL177" s="303"/>
      <c r="BM177" s="303"/>
      <c r="BN177" s="303"/>
    </row>
    <row r="178" spans="1:66" x14ac:dyDescent="0.25">
      <c r="A178" s="320"/>
      <c r="B178" s="303"/>
      <c r="C178" s="303"/>
      <c r="D178" s="303"/>
      <c r="E178" s="303"/>
      <c r="F178" s="303"/>
      <c r="G178" s="303"/>
      <c r="H178" s="303"/>
      <c r="I178" s="303"/>
      <c r="J178" s="303"/>
      <c r="K178" s="303"/>
      <c r="L178" s="303"/>
      <c r="M178" s="303"/>
      <c r="N178" s="303"/>
      <c r="O178" s="303"/>
      <c r="P178" s="303"/>
      <c r="Q178" s="303"/>
      <c r="R178" s="303"/>
      <c r="S178" s="303"/>
      <c r="T178" s="2086"/>
      <c r="U178" s="2105" t="s">
        <v>2068</v>
      </c>
      <c r="V178" s="2094" t="s">
        <v>1645</v>
      </c>
      <c r="W178" s="2099">
        <v>1.25</v>
      </c>
      <c r="X178" s="2099" t="s">
        <v>1648</v>
      </c>
      <c r="Y178" s="2099">
        <v>50</v>
      </c>
      <c r="Z178" s="2099"/>
      <c r="AA178" s="2104">
        <v>0.27</v>
      </c>
      <c r="AB178" s="2088"/>
      <c r="AD178" s="2086"/>
      <c r="AE178" s="300"/>
      <c r="AF178" s="300"/>
      <c r="AG178" s="300"/>
      <c r="AH178" s="300"/>
      <c r="AI178" s="300"/>
      <c r="AJ178" s="300"/>
      <c r="AK178" s="300"/>
      <c r="AL178" s="300"/>
      <c r="AM178" s="300"/>
      <c r="AN178" s="300"/>
      <c r="AO178" s="300"/>
      <c r="AP178" s="3"/>
      <c r="AQ178" s="3"/>
      <c r="AR178" s="3"/>
      <c r="AS178" s="3"/>
      <c r="AT178" s="3"/>
      <c r="AU178" s="300"/>
      <c r="AV178" s="2088"/>
      <c r="AW178" s="303"/>
      <c r="AX178" s="303"/>
      <c r="AY178" s="303"/>
      <c r="AZ178" s="303"/>
      <c r="BA178" s="303"/>
      <c r="BB178" s="303"/>
      <c r="BC178" s="303"/>
      <c r="BD178" s="303"/>
      <c r="BE178" s="303"/>
      <c r="BF178" s="303"/>
      <c r="BG178" s="303"/>
      <c r="BH178" s="303"/>
      <c r="BI178" s="303"/>
      <c r="BJ178" s="303"/>
      <c r="BK178" s="303"/>
      <c r="BL178" s="303"/>
      <c r="BM178" s="303"/>
      <c r="BN178" s="303"/>
    </row>
    <row r="179" spans="1:66" x14ac:dyDescent="0.25">
      <c r="A179" s="320"/>
      <c r="B179" s="303"/>
      <c r="C179" s="303"/>
      <c r="D179" s="303"/>
      <c r="E179" s="303"/>
      <c r="F179" s="303"/>
      <c r="G179" s="303"/>
      <c r="H179" s="303"/>
      <c r="I179" s="303"/>
      <c r="J179" s="303"/>
      <c r="K179" s="303"/>
      <c r="L179" s="303"/>
      <c r="M179" s="303"/>
      <c r="N179" s="303"/>
      <c r="O179" s="303"/>
      <c r="P179" s="303"/>
      <c r="Q179" s="303"/>
      <c r="R179" s="303"/>
      <c r="S179" s="303"/>
      <c r="T179" s="2086"/>
      <c r="U179" s="2105" t="s">
        <v>2068</v>
      </c>
      <c r="V179" s="2094" t="s">
        <v>1647</v>
      </c>
      <c r="W179" s="2099">
        <v>3.4</v>
      </c>
      <c r="X179" s="2099" t="s">
        <v>1648</v>
      </c>
      <c r="Y179" s="2099">
        <v>145</v>
      </c>
      <c r="Z179" s="2099" t="s">
        <v>1648</v>
      </c>
      <c r="AA179" s="2104">
        <v>0.27</v>
      </c>
      <c r="AB179" s="2088"/>
      <c r="AD179" s="1637"/>
      <c r="AE179" s="3"/>
      <c r="AF179" s="3"/>
      <c r="AG179" s="3"/>
      <c r="AH179" s="3"/>
      <c r="AI179" s="3"/>
      <c r="AJ179" s="3"/>
      <c r="AK179" s="3"/>
      <c r="AL179" s="3"/>
      <c r="AM179" s="3"/>
      <c r="AN179" s="3"/>
      <c r="AO179" s="3"/>
      <c r="AP179" s="3"/>
      <c r="AQ179" s="3"/>
      <c r="AR179" s="3"/>
      <c r="AS179" s="3"/>
      <c r="AT179" s="3"/>
      <c r="AU179" s="300"/>
      <c r="AV179" s="2088"/>
      <c r="AW179" s="303"/>
      <c r="AX179" s="303"/>
      <c r="AY179" s="303"/>
      <c r="AZ179" s="303"/>
      <c r="BA179" s="303"/>
      <c r="BB179" s="303"/>
      <c r="BC179" s="303"/>
      <c r="BD179" s="303"/>
      <c r="BE179" s="303"/>
      <c r="BF179" s="303"/>
      <c r="BG179" s="303"/>
      <c r="BH179" s="303"/>
      <c r="BI179" s="303"/>
      <c r="BJ179" s="303"/>
      <c r="BK179" s="303"/>
      <c r="BL179" s="303"/>
      <c r="BM179" s="303"/>
      <c r="BN179" s="303"/>
    </row>
    <row r="180" spans="1:66" x14ac:dyDescent="0.25">
      <c r="A180" s="320"/>
      <c r="B180" s="303"/>
      <c r="C180" s="303"/>
      <c r="D180" s="303"/>
      <c r="E180" s="303"/>
      <c r="F180" s="303"/>
      <c r="G180" s="303"/>
      <c r="H180" s="303"/>
      <c r="I180" s="303"/>
      <c r="J180" s="303"/>
      <c r="K180" s="303"/>
      <c r="L180" s="303"/>
      <c r="M180" s="303"/>
      <c r="N180" s="303"/>
      <c r="O180" s="303"/>
      <c r="P180" s="303"/>
      <c r="Q180" s="303"/>
      <c r="R180" s="303"/>
      <c r="S180" s="303"/>
      <c r="T180" s="2086"/>
      <c r="U180" s="2105" t="s">
        <v>2068</v>
      </c>
      <c r="V180" s="2094" t="s">
        <v>1650</v>
      </c>
      <c r="W180" s="2099">
        <v>0.9</v>
      </c>
      <c r="X180" s="2099" t="s">
        <v>1648</v>
      </c>
      <c r="Y180" s="2099">
        <v>145</v>
      </c>
      <c r="Z180" s="2099" t="s">
        <v>1648</v>
      </c>
      <c r="AA180" s="2104">
        <v>0.27</v>
      </c>
      <c r="AB180" s="2088"/>
      <c r="AD180" s="2086"/>
      <c r="AE180" s="300"/>
      <c r="AF180" s="300"/>
      <c r="AG180" s="300"/>
      <c r="AH180" s="300"/>
      <c r="AI180" s="300"/>
      <c r="AJ180" s="300"/>
      <c r="AK180" s="300"/>
      <c r="AL180" s="300"/>
      <c r="AM180" s="300"/>
      <c r="AN180" s="300"/>
      <c r="AO180" s="300"/>
      <c r="AP180" s="300"/>
      <c r="AQ180" s="300"/>
      <c r="AR180" s="300"/>
      <c r="AS180" s="300"/>
      <c r="AT180" s="300"/>
      <c r="AU180" s="300"/>
      <c r="AV180" s="2088"/>
      <c r="AW180" s="303"/>
      <c r="AX180" s="303"/>
      <c r="AY180" s="303"/>
      <c r="AZ180" s="303"/>
      <c r="BA180" s="303"/>
      <c r="BB180" s="303"/>
      <c r="BC180" s="303"/>
      <c r="BD180" s="303"/>
      <c r="BE180" s="303"/>
      <c r="BF180" s="303"/>
      <c r="BG180" s="303"/>
      <c r="BH180" s="303"/>
      <c r="BI180" s="303"/>
      <c r="BJ180" s="303"/>
      <c r="BK180" s="303"/>
      <c r="BL180" s="303"/>
      <c r="BM180" s="303"/>
      <c r="BN180" s="303"/>
    </row>
    <row r="181" spans="1:66" x14ac:dyDescent="0.25">
      <c r="A181" s="320"/>
      <c r="B181" s="303"/>
      <c r="C181" s="303"/>
      <c r="D181" s="303"/>
      <c r="E181" s="303"/>
      <c r="F181" s="303"/>
      <c r="G181" s="303"/>
      <c r="H181" s="303"/>
      <c r="I181" s="303"/>
      <c r="J181" s="303"/>
      <c r="K181" s="303"/>
      <c r="L181" s="303"/>
      <c r="M181" s="303"/>
      <c r="N181" s="303"/>
      <c r="O181" s="303"/>
      <c r="P181" s="303"/>
      <c r="Q181" s="303"/>
      <c r="R181" s="303"/>
      <c r="S181" s="303"/>
      <c r="T181" s="2086"/>
      <c r="U181" s="2105" t="s">
        <v>2068</v>
      </c>
      <c r="V181" s="2094" t="s">
        <v>1417</v>
      </c>
      <c r="W181" s="2099">
        <v>3.4</v>
      </c>
      <c r="X181" s="2099" t="s">
        <v>1648</v>
      </c>
      <c r="Y181" s="2099">
        <v>145</v>
      </c>
      <c r="Z181" s="2099" t="s">
        <v>1648</v>
      </c>
      <c r="AA181" s="2104">
        <v>0.27</v>
      </c>
      <c r="AB181" s="2088"/>
      <c r="AD181" s="2086"/>
      <c r="AE181" s="300"/>
      <c r="AF181" s="300"/>
      <c r="AG181" s="300"/>
      <c r="AH181" s="300"/>
      <c r="AI181" s="300"/>
      <c r="AJ181" s="300"/>
      <c r="AK181" s="300"/>
      <c r="AL181" s="300"/>
      <c r="AM181" s="300"/>
      <c r="AN181" s="300"/>
      <c r="AO181" s="300"/>
      <c r="AP181" s="300"/>
      <c r="AQ181" s="300"/>
      <c r="AR181" s="300"/>
      <c r="AS181" s="300"/>
      <c r="AT181" s="300"/>
      <c r="AU181" s="300"/>
      <c r="AV181" s="2088"/>
      <c r="AW181" s="303"/>
      <c r="AX181" s="303"/>
      <c r="AY181" s="303"/>
      <c r="AZ181" s="303"/>
      <c r="BA181" s="303"/>
      <c r="BB181" s="303"/>
      <c r="BC181" s="303"/>
      <c r="BD181" s="303"/>
      <c r="BE181" s="303"/>
      <c r="BF181" s="303"/>
      <c r="BG181" s="303"/>
      <c r="BH181" s="303"/>
      <c r="BI181" s="303"/>
      <c r="BJ181" s="303"/>
      <c r="BK181" s="303"/>
      <c r="BL181" s="303"/>
      <c r="BM181" s="303"/>
      <c r="BN181" s="303"/>
    </row>
    <row r="182" spans="1:66" x14ac:dyDescent="0.25">
      <c r="A182" s="320"/>
      <c r="B182" s="303"/>
      <c r="C182" s="303"/>
      <c r="D182" s="303"/>
      <c r="E182" s="303"/>
      <c r="F182" s="303"/>
      <c r="G182" s="303"/>
      <c r="H182" s="303"/>
      <c r="I182" s="303"/>
      <c r="J182" s="303"/>
      <c r="K182" s="303"/>
      <c r="L182" s="303"/>
      <c r="M182" s="303"/>
      <c r="N182" s="303"/>
      <c r="O182" s="303"/>
      <c r="P182" s="303"/>
      <c r="Q182" s="303"/>
      <c r="R182" s="303"/>
      <c r="S182" s="303"/>
      <c r="T182" s="2086"/>
      <c r="U182" s="2105" t="s">
        <v>2068</v>
      </c>
      <c r="V182" s="2094" t="s">
        <v>1419</v>
      </c>
      <c r="W182" s="2099">
        <v>0.9</v>
      </c>
      <c r="X182" s="2099" t="s">
        <v>1648</v>
      </c>
      <c r="Y182" s="2099">
        <v>145</v>
      </c>
      <c r="Z182" s="2099" t="s">
        <v>1648</v>
      </c>
      <c r="AA182" s="2104">
        <v>0.27</v>
      </c>
      <c r="AB182" s="2088"/>
      <c r="AD182" s="2086"/>
      <c r="AE182" s="300"/>
      <c r="AF182" s="300"/>
      <c r="AG182" s="300"/>
      <c r="AH182" s="300"/>
      <c r="AI182" s="300"/>
      <c r="AJ182" s="300"/>
      <c r="AK182" s="300"/>
      <c r="AL182" s="300"/>
      <c r="AM182" s="300"/>
      <c r="AN182" s="300"/>
      <c r="AO182" s="300"/>
      <c r="AP182" s="300"/>
      <c r="AQ182" s="300"/>
      <c r="AR182" s="300"/>
      <c r="AS182" s="300"/>
      <c r="AT182" s="300"/>
      <c r="AU182" s="300"/>
      <c r="AV182" s="2088"/>
      <c r="AW182" s="303"/>
      <c r="AX182" s="303"/>
      <c r="AY182" s="303"/>
      <c r="AZ182" s="303"/>
      <c r="BA182" s="303"/>
      <c r="BB182" s="303"/>
      <c r="BC182" s="303"/>
      <c r="BD182" s="303"/>
      <c r="BE182" s="303"/>
      <c r="BF182" s="303"/>
      <c r="BG182" s="303"/>
      <c r="BH182" s="303"/>
      <c r="BI182" s="303"/>
      <c r="BJ182" s="303"/>
      <c r="BK182" s="303"/>
      <c r="BL182" s="303"/>
      <c r="BM182" s="303"/>
      <c r="BN182" s="303"/>
    </row>
    <row r="183" spans="1:66" x14ac:dyDescent="0.25">
      <c r="A183" s="320"/>
      <c r="B183" s="303"/>
      <c r="C183" s="303"/>
      <c r="D183" s="303"/>
      <c r="E183" s="303"/>
      <c r="F183" s="303"/>
      <c r="G183" s="303"/>
      <c r="H183" s="303"/>
      <c r="I183" s="303"/>
      <c r="J183" s="303"/>
      <c r="K183" s="303"/>
      <c r="L183" s="303"/>
      <c r="M183" s="303"/>
      <c r="N183" s="303"/>
      <c r="O183" s="303"/>
      <c r="P183" s="303"/>
      <c r="Q183" s="303"/>
      <c r="R183" s="303"/>
      <c r="S183" s="303"/>
      <c r="T183" s="2086"/>
      <c r="U183" s="2105" t="s">
        <v>2068</v>
      </c>
      <c r="V183" s="2094" t="s">
        <v>1421</v>
      </c>
      <c r="W183" s="2099">
        <v>3</v>
      </c>
      <c r="X183" s="2099" t="s">
        <v>1648</v>
      </c>
      <c r="Y183" s="2099">
        <v>135</v>
      </c>
      <c r="Z183" s="2099" t="s">
        <v>1648</v>
      </c>
      <c r="AA183" s="2104">
        <v>0.27</v>
      </c>
      <c r="AB183" s="2088"/>
      <c r="AD183" s="2086"/>
      <c r="AE183" s="300"/>
      <c r="AF183" s="300"/>
      <c r="AG183" s="300"/>
      <c r="AH183" s="300"/>
      <c r="AI183" s="300"/>
      <c r="AJ183" s="300"/>
      <c r="AK183" s="300"/>
      <c r="AL183" s="300"/>
      <c r="AM183" s="300"/>
      <c r="AN183" s="300"/>
      <c r="AO183" s="300"/>
      <c r="AP183" s="300"/>
      <c r="AQ183" s="300"/>
      <c r="AR183" s="300"/>
      <c r="AS183" s="300"/>
      <c r="AT183" s="300"/>
      <c r="AU183" s="300"/>
      <c r="AV183" s="2088"/>
      <c r="AW183" s="303"/>
      <c r="AX183" s="303"/>
      <c r="AY183" s="303"/>
      <c r="AZ183" s="303"/>
      <c r="BA183" s="303"/>
      <c r="BB183" s="303"/>
      <c r="BC183" s="303"/>
      <c r="BD183" s="303"/>
      <c r="BE183" s="303"/>
      <c r="BF183" s="303"/>
      <c r="BG183" s="303"/>
      <c r="BH183" s="303"/>
      <c r="BI183" s="303"/>
      <c r="BJ183" s="303"/>
      <c r="BK183" s="303"/>
      <c r="BL183" s="303"/>
      <c r="BM183" s="303"/>
      <c r="BN183" s="303"/>
    </row>
    <row r="184" spans="1:66" ht="13.25" thickBot="1" x14ac:dyDescent="0.3">
      <c r="A184" s="320"/>
      <c r="B184" s="303"/>
      <c r="C184" s="303"/>
      <c r="D184" s="303"/>
      <c r="E184" s="303"/>
      <c r="F184" s="303"/>
      <c r="G184" s="303"/>
      <c r="H184" s="303"/>
      <c r="I184" s="303"/>
      <c r="J184" s="303"/>
      <c r="K184" s="303"/>
      <c r="L184" s="303"/>
      <c r="M184" s="303"/>
      <c r="N184" s="303"/>
      <c r="O184" s="303"/>
      <c r="P184" s="303"/>
      <c r="Q184" s="303"/>
      <c r="R184" s="303"/>
      <c r="S184" s="303"/>
      <c r="T184" s="2086"/>
      <c r="U184" s="2105" t="s">
        <v>2068</v>
      </c>
      <c r="V184" s="2094" t="s">
        <v>1423</v>
      </c>
      <c r="W184" s="2099">
        <v>0.75</v>
      </c>
      <c r="X184" s="2099" t="s">
        <v>1648</v>
      </c>
      <c r="Y184" s="2099">
        <v>135</v>
      </c>
      <c r="Z184" s="2099" t="s">
        <v>1648</v>
      </c>
      <c r="AA184" s="2104">
        <v>0.27</v>
      </c>
      <c r="AB184" s="2088"/>
      <c r="AD184" s="2089"/>
      <c r="AE184" s="2090"/>
      <c r="AF184" s="2090"/>
      <c r="AG184" s="2090"/>
      <c r="AH184" s="2090"/>
      <c r="AI184" s="2090"/>
      <c r="AJ184" s="2090"/>
      <c r="AK184" s="2090"/>
      <c r="AL184" s="2090"/>
      <c r="AM184" s="2090"/>
      <c r="AN184" s="2090"/>
      <c r="AO184" s="2090"/>
      <c r="AP184" s="2090"/>
      <c r="AQ184" s="2090"/>
      <c r="AR184" s="2090"/>
      <c r="AS184" s="2090"/>
      <c r="AT184" s="2090"/>
      <c r="AU184" s="2090"/>
      <c r="AV184" s="2092"/>
      <c r="AW184" s="303"/>
      <c r="AX184" s="303"/>
      <c r="AY184" s="303"/>
      <c r="AZ184" s="303"/>
      <c r="BA184" s="303"/>
      <c r="BB184" s="303"/>
      <c r="BC184" s="303"/>
      <c r="BD184" s="303"/>
      <c r="BE184" s="303"/>
      <c r="BF184" s="303"/>
      <c r="BG184" s="303"/>
      <c r="BH184" s="303"/>
      <c r="BI184" s="303"/>
      <c r="BJ184" s="303"/>
      <c r="BK184" s="303"/>
      <c r="BL184" s="303"/>
      <c r="BM184" s="303"/>
      <c r="BN184" s="303"/>
    </row>
    <row r="185" spans="1:66" x14ac:dyDescent="0.25">
      <c r="A185" s="320"/>
      <c r="B185" s="303"/>
      <c r="C185" s="303"/>
      <c r="D185" s="303"/>
      <c r="E185" s="303"/>
      <c r="F185" s="303"/>
      <c r="G185" s="303"/>
      <c r="H185" s="303"/>
      <c r="I185" s="303"/>
      <c r="J185" s="303"/>
      <c r="K185" s="303"/>
      <c r="L185" s="303"/>
      <c r="M185" s="303"/>
      <c r="N185" s="303"/>
      <c r="O185" s="303"/>
      <c r="P185" s="303"/>
      <c r="Q185" s="303"/>
      <c r="R185" s="303"/>
      <c r="S185" s="303"/>
      <c r="T185" s="2086"/>
      <c r="U185" s="2105" t="s">
        <v>2068</v>
      </c>
      <c r="V185" s="2094" t="s">
        <v>2069</v>
      </c>
      <c r="W185" s="2099">
        <v>7.5</v>
      </c>
      <c r="X185" s="2099" t="s">
        <v>1648</v>
      </c>
      <c r="Y185" s="2099">
        <v>410</v>
      </c>
      <c r="Z185" s="2099" t="s">
        <v>1648</v>
      </c>
      <c r="AA185" s="2104">
        <v>0.27</v>
      </c>
      <c r="AB185" s="2088"/>
      <c r="AD185" s="303"/>
      <c r="AE185" s="303"/>
      <c r="AF185" s="303"/>
      <c r="AG185" s="303"/>
      <c r="AH185" s="303"/>
      <c r="AI185" s="303"/>
      <c r="AJ185" s="303"/>
      <c r="AK185" s="303"/>
      <c r="AL185" s="303"/>
      <c r="AM185" s="303"/>
      <c r="AN185" s="303"/>
      <c r="AO185" s="303"/>
      <c r="AP185" s="303"/>
      <c r="AQ185" s="303"/>
      <c r="AR185" s="303"/>
      <c r="AS185" s="303"/>
      <c r="AT185" s="303"/>
      <c r="AU185" s="303"/>
      <c r="AV185" s="303"/>
      <c r="AW185" s="303"/>
      <c r="AX185" s="303"/>
      <c r="AY185" s="303"/>
      <c r="AZ185" s="303"/>
      <c r="BA185" s="303"/>
      <c r="BB185" s="303"/>
      <c r="BC185" s="303"/>
      <c r="BD185" s="303"/>
      <c r="BE185" s="303"/>
      <c r="BF185" s="303"/>
      <c r="BG185" s="303"/>
      <c r="BH185" s="303"/>
      <c r="BI185" s="303"/>
      <c r="BJ185" s="303"/>
      <c r="BK185" s="303"/>
      <c r="BL185" s="303"/>
      <c r="BM185" s="303"/>
      <c r="BN185" s="303"/>
    </row>
    <row r="186" spans="1:66" ht="13.25" thickBot="1" x14ac:dyDescent="0.3">
      <c r="A186" s="320"/>
      <c r="B186" s="303"/>
      <c r="C186" s="303"/>
      <c r="D186" s="303"/>
      <c r="E186" s="303"/>
      <c r="F186" s="303"/>
      <c r="G186" s="303"/>
      <c r="H186" s="303"/>
      <c r="I186" s="303"/>
      <c r="J186" s="303"/>
      <c r="K186" s="303"/>
      <c r="L186" s="303"/>
      <c r="M186" s="303"/>
      <c r="N186" s="303"/>
      <c r="O186" s="303"/>
      <c r="P186" s="303"/>
      <c r="Q186" s="303"/>
      <c r="R186" s="303"/>
      <c r="S186" s="303"/>
      <c r="T186" s="2086"/>
      <c r="U186" s="2105" t="s">
        <v>2068</v>
      </c>
      <c r="V186" s="2095" t="s">
        <v>32</v>
      </c>
      <c r="W186" s="2099">
        <v>2</v>
      </c>
      <c r="X186" s="2099" t="s">
        <v>1648</v>
      </c>
      <c r="Y186" s="2099">
        <v>410</v>
      </c>
      <c r="Z186" s="2099" t="s">
        <v>1648</v>
      </c>
      <c r="AA186" s="2104">
        <v>0.27</v>
      </c>
      <c r="AB186" s="2088"/>
      <c r="AD186" s="303"/>
      <c r="AE186" s="303"/>
      <c r="AF186" s="303"/>
      <c r="AG186" s="303"/>
      <c r="AH186" s="303"/>
      <c r="AI186" s="303"/>
      <c r="AJ186" s="303"/>
      <c r="AK186" s="303"/>
      <c r="AL186" s="303"/>
      <c r="AM186" s="303"/>
      <c r="AN186" s="303"/>
      <c r="AO186" s="303"/>
      <c r="AP186" s="303"/>
      <c r="AQ186" s="303"/>
      <c r="AR186" s="303"/>
      <c r="AS186" s="303"/>
      <c r="AT186" s="303"/>
      <c r="AU186" s="303"/>
      <c r="AV186" s="303"/>
      <c r="AW186" s="303"/>
      <c r="AX186" s="303"/>
      <c r="AY186" s="303"/>
      <c r="AZ186" s="303"/>
      <c r="BA186" s="303"/>
      <c r="BB186" s="303"/>
      <c r="BC186" s="303"/>
      <c r="BD186" s="303"/>
      <c r="BE186" s="303"/>
      <c r="BF186" s="303"/>
      <c r="BG186" s="303"/>
      <c r="BH186" s="303"/>
      <c r="BI186" s="303"/>
      <c r="BJ186" s="303"/>
      <c r="BK186" s="303"/>
      <c r="BL186" s="303"/>
      <c r="BM186" s="303"/>
      <c r="BN186" s="303"/>
    </row>
    <row r="187" spans="1:66" x14ac:dyDescent="0.25">
      <c r="A187" s="320"/>
      <c r="B187" s="303"/>
      <c r="C187" s="303"/>
      <c r="D187" s="303"/>
      <c r="E187" s="303"/>
      <c r="F187" s="303"/>
      <c r="G187" s="303"/>
      <c r="H187" s="303"/>
      <c r="I187" s="303"/>
      <c r="J187" s="303"/>
      <c r="K187" s="303"/>
      <c r="L187" s="303"/>
      <c r="M187" s="303"/>
      <c r="N187" s="303"/>
      <c r="O187" s="303"/>
      <c r="P187" s="303"/>
      <c r="Q187" s="303"/>
      <c r="R187" s="303"/>
      <c r="S187" s="303"/>
      <c r="T187" s="1637"/>
      <c r="U187" s="2105" t="s">
        <v>2068</v>
      </c>
      <c r="V187" s="2096" t="s">
        <v>1860</v>
      </c>
      <c r="W187" s="2099" t="e">
        <f>NA()</f>
        <v>#N/A</v>
      </c>
      <c r="X187" s="2099"/>
      <c r="Y187" s="2099" t="e">
        <f>NA()</f>
        <v>#N/A</v>
      </c>
      <c r="Z187" s="2099"/>
      <c r="AA187" s="2104" t="e">
        <f>NA()</f>
        <v>#N/A</v>
      </c>
      <c r="AB187" s="2088"/>
      <c r="AD187" s="303"/>
      <c r="AE187" s="303"/>
      <c r="AF187" s="303"/>
      <c r="AG187" s="303"/>
      <c r="AH187" s="303"/>
      <c r="AI187" s="303"/>
      <c r="AJ187" s="303"/>
      <c r="AK187" s="303"/>
      <c r="AL187" s="303"/>
      <c r="AM187" s="303"/>
      <c r="AN187" s="303"/>
      <c r="AO187" s="303"/>
      <c r="AP187" s="303"/>
      <c r="AQ187" s="303"/>
      <c r="AR187" s="303"/>
      <c r="AS187" s="303"/>
      <c r="AT187" s="303"/>
      <c r="AU187" s="303"/>
      <c r="AV187" s="303"/>
      <c r="AW187" s="303"/>
      <c r="AX187" s="303"/>
      <c r="AY187" s="303"/>
      <c r="AZ187" s="303"/>
      <c r="BA187" s="303"/>
      <c r="BB187" s="303"/>
      <c r="BC187" s="303"/>
      <c r="BD187" s="303"/>
      <c r="BE187" s="303"/>
      <c r="BF187" s="303"/>
      <c r="BG187" s="303"/>
      <c r="BH187" s="303"/>
      <c r="BI187" s="303"/>
      <c r="BJ187" s="303"/>
      <c r="BK187" s="303"/>
      <c r="BL187" s="303"/>
      <c r="BM187" s="303"/>
      <c r="BN187" s="303"/>
    </row>
    <row r="188" spans="1:66" x14ac:dyDescent="0.25">
      <c r="T188" s="1637"/>
      <c r="U188" s="2105" t="s">
        <v>2068</v>
      </c>
      <c r="V188" s="2097" t="s">
        <v>1861</v>
      </c>
      <c r="W188" s="2099" t="e">
        <f>NA()</f>
        <v>#N/A</v>
      </c>
      <c r="X188" s="2099"/>
      <c r="Y188" s="2099" t="e">
        <f>NA()</f>
        <v>#N/A</v>
      </c>
      <c r="Z188" s="2099"/>
      <c r="AA188" s="2104" t="e">
        <f>NA()</f>
        <v>#N/A</v>
      </c>
      <c r="AB188" s="2088"/>
      <c r="AD188" s="303"/>
    </row>
    <row r="189" spans="1:66" x14ac:dyDescent="0.25">
      <c r="T189" s="1637"/>
      <c r="U189" s="2105" t="s">
        <v>2068</v>
      </c>
      <c r="V189" s="2097" t="s">
        <v>1862</v>
      </c>
      <c r="W189" s="2099" t="e">
        <f>NA()</f>
        <v>#N/A</v>
      </c>
      <c r="X189" s="2099"/>
      <c r="Y189" s="2099" t="e">
        <f>NA()</f>
        <v>#N/A</v>
      </c>
      <c r="Z189" s="2099"/>
      <c r="AA189" s="2104" t="e">
        <f>NA()</f>
        <v>#N/A</v>
      </c>
      <c r="AB189" s="2088"/>
      <c r="AD189" s="303"/>
    </row>
    <row r="190" spans="1:66" x14ac:dyDescent="0.25">
      <c r="T190" s="1637"/>
      <c r="U190" s="2105" t="s">
        <v>2068</v>
      </c>
      <c r="V190" s="2097" t="s">
        <v>1863</v>
      </c>
      <c r="W190" s="2099" t="e">
        <f>NA()</f>
        <v>#N/A</v>
      </c>
      <c r="X190" s="2099"/>
      <c r="Y190" s="2099" t="e">
        <f>NA()</f>
        <v>#N/A</v>
      </c>
      <c r="Z190" s="2099"/>
      <c r="AA190" s="2104" t="e">
        <f>NA()</f>
        <v>#N/A</v>
      </c>
      <c r="AB190" s="2088"/>
      <c r="AD190" s="303"/>
    </row>
    <row r="191" spans="1:66" x14ac:dyDescent="0.25">
      <c r="T191" s="1637"/>
      <c r="U191" s="2105" t="s">
        <v>2068</v>
      </c>
      <c r="V191" s="2097" t="s">
        <v>1864</v>
      </c>
      <c r="W191" s="2099" t="e">
        <f>NA()</f>
        <v>#N/A</v>
      </c>
      <c r="X191" s="2099"/>
      <c r="Y191" s="2099" t="e">
        <f>NA()</f>
        <v>#N/A</v>
      </c>
      <c r="Z191" s="2099"/>
      <c r="AA191" s="2104" t="e">
        <f>NA()</f>
        <v>#N/A</v>
      </c>
      <c r="AB191" s="2088"/>
      <c r="AD191" s="303"/>
    </row>
    <row r="192" spans="1:66" ht="13.25" thickBot="1" x14ac:dyDescent="0.3">
      <c r="T192" s="1637"/>
      <c r="U192" s="2105" t="s">
        <v>2068</v>
      </c>
      <c r="V192" s="2098" t="s">
        <v>1598</v>
      </c>
      <c r="W192" s="2099" t="e">
        <f>NA()</f>
        <v>#N/A</v>
      </c>
      <c r="X192" s="2099"/>
      <c r="Y192" s="2099" t="e">
        <f>NA()</f>
        <v>#N/A</v>
      </c>
      <c r="Z192" s="2099"/>
      <c r="AA192" s="2104" t="e">
        <f>NA()</f>
        <v>#N/A</v>
      </c>
      <c r="AB192" s="2088"/>
      <c r="AD192" s="303"/>
    </row>
    <row r="193" spans="20:30" x14ac:dyDescent="0.25">
      <c r="T193" s="1637"/>
      <c r="U193" s="2107" t="s">
        <v>1893</v>
      </c>
      <c r="V193" s="2093" t="s">
        <v>1644</v>
      </c>
      <c r="W193" s="2099" t="e">
        <f>NA()</f>
        <v>#N/A</v>
      </c>
      <c r="X193" s="2099"/>
      <c r="Y193" s="2099" t="e">
        <f>NA()</f>
        <v>#N/A</v>
      </c>
      <c r="Z193" s="2099"/>
      <c r="AA193" s="2104" t="e">
        <f>NA()</f>
        <v>#N/A</v>
      </c>
      <c r="AB193" s="2088"/>
      <c r="AD193" s="303"/>
    </row>
    <row r="194" spans="20:30" x14ac:dyDescent="0.25">
      <c r="T194" s="1637"/>
      <c r="U194" s="2107" t="s">
        <v>1893</v>
      </c>
      <c r="V194" s="2094" t="s">
        <v>1645</v>
      </c>
      <c r="W194" s="2099" t="e">
        <f>NA()</f>
        <v>#N/A</v>
      </c>
      <c r="X194" s="2099"/>
      <c r="Y194" s="2099" t="e">
        <f>NA()</f>
        <v>#N/A</v>
      </c>
      <c r="Z194" s="2099"/>
      <c r="AA194" s="2104" t="e">
        <f>NA()</f>
        <v>#N/A</v>
      </c>
      <c r="AB194" s="2088"/>
      <c r="AD194" s="303"/>
    </row>
    <row r="195" spans="20:30" x14ac:dyDescent="0.25">
      <c r="T195" s="1637"/>
      <c r="U195" s="2107" t="s">
        <v>1893</v>
      </c>
      <c r="V195" s="2094" t="s">
        <v>1647</v>
      </c>
      <c r="W195" s="2099">
        <v>15</v>
      </c>
      <c r="X195" s="2099"/>
      <c r="Y195" s="2099">
        <v>660</v>
      </c>
      <c r="Z195" s="2099"/>
      <c r="AA195" s="2104">
        <f>AVERAGE(0.4,0.44,0.46)</f>
        <v>0.43333333333333335</v>
      </c>
      <c r="AB195" s="2088"/>
      <c r="AD195" s="303"/>
    </row>
    <row r="196" spans="20:30" x14ac:dyDescent="0.25">
      <c r="T196" s="1637"/>
      <c r="U196" s="2107" t="s">
        <v>1893</v>
      </c>
      <c r="V196" s="2094" t="s">
        <v>1650</v>
      </c>
      <c r="W196" s="2099">
        <v>15</v>
      </c>
      <c r="X196" s="2099"/>
      <c r="Y196" s="2099">
        <v>660</v>
      </c>
      <c r="Z196" s="2099"/>
      <c r="AA196" s="2104">
        <f>AVERAGE(0.29,0.2,0.3,0.28,0.2,0.23,0.24)</f>
        <v>0.24857142857142858</v>
      </c>
      <c r="AB196" s="2088"/>
      <c r="AD196" s="303"/>
    </row>
    <row r="197" spans="20:30" x14ac:dyDescent="0.25">
      <c r="T197" s="1637"/>
      <c r="U197" s="2107" t="s">
        <v>1893</v>
      </c>
      <c r="V197" s="2094" t="s">
        <v>1417</v>
      </c>
      <c r="W197" s="2099" t="e">
        <f>NA()</f>
        <v>#N/A</v>
      </c>
      <c r="X197" s="2099"/>
      <c r="Y197" s="2099" t="e">
        <f>NA()</f>
        <v>#N/A</v>
      </c>
      <c r="Z197" s="2099"/>
      <c r="AA197" s="2104" t="e">
        <f>NA()</f>
        <v>#N/A</v>
      </c>
      <c r="AB197" s="1638"/>
      <c r="AD197" s="303"/>
    </row>
    <row r="198" spans="20:30" x14ac:dyDescent="0.25">
      <c r="T198" s="1637"/>
      <c r="U198" s="2107" t="s">
        <v>1893</v>
      </c>
      <c r="V198" s="2094" t="s">
        <v>1419</v>
      </c>
      <c r="W198" s="2099" t="e">
        <f>NA()</f>
        <v>#N/A</v>
      </c>
      <c r="X198" s="2099"/>
      <c r="Y198" s="2099" t="e">
        <f>NA()</f>
        <v>#N/A</v>
      </c>
      <c r="Z198" s="2099"/>
      <c r="AA198" s="2104" t="e">
        <f>NA()</f>
        <v>#N/A</v>
      </c>
      <c r="AB198" s="1638"/>
    </row>
    <row r="199" spans="20:30" x14ac:dyDescent="0.25">
      <c r="T199" s="1637"/>
      <c r="U199" s="2107" t="s">
        <v>1893</v>
      </c>
      <c r="V199" s="2094" t="s">
        <v>1421</v>
      </c>
      <c r="W199" s="2099" t="e">
        <f>NA()</f>
        <v>#N/A</v>
      </c>
      <c r="X199" s="2099"/>
      <c r="Y199" s="2099" t="e">
        <f>NA()</f>
        <v>#N/A</v>
      </c>
      <c r="Z199" s="2099"/>
      <c r="AA199" s="2104" t="e">
        <f>NA()</f>
        <v>#N/A</v>
      </c>
      <c r="AB199" s="1638"/>
    </row>
    <row r="200" spans="20:30" x14ac:dyDescent="0.25">
      <c r="T200" s="1637"/>
      <c r="U200" s="2107" t="s">
        <v>1893</v>
      </c>
      <c r="V200" s="2094" t="s">
        <v>1423</v>
      </c>
      <c r="W200" s="2099" t="e">
        <f>NA()</f>
        <v>#N/A</v>
      </c>
      <c r="X200" s="2099"/>
      <c r="Y200" s="2099" t="e">
        <f>NA()</f>
        <v>#N/A</v>
      </c>
      <c r="Z200" s="2099"/>
      <c r="AA200" s="2104" t="e">
        <f>NA()</f>
        <v>#N/A</v>
      </c>
      <c r="AB200" s="1638"/>
    </row>
    <row r="201" spans="20:30" x14ac:dyDescent="0.25">
      <c r="T201" s="1637"/>
      <c r="U201" s="2107" t="s">
        <v>1893</v>
      </c>
      <c r="V201" s="2094" t="s">
        <v>2069</v>
      </c>
      <c r="W201" s="2099" t="e">
        <f>NA()</f>
        <v>#N/A</v>
      </c>
      <c r="X201" s="2099"/>
      <c r="Y201" s="2099" t="e">
        <f>NA()</f>
        <v>#N/A</v>
      </c>
      <c r="Z201" s="2099"/>
      <c r="AA201" s="2104" t="e">
        <f>NA()</f>
        <v>#N/A</v>
      </c>
      <c r="AB201" s="1638"/>
    </row>
    <row r="202" spans="20:30" ht="13.25" thickBot="1" x14ac:dyDescent="0.3">
      <c r="T202" s="1637"/>
      <c r="U202" s="2107" t="s">
        <v>1893</v>
      </c>
      <c r="V202" s="2095" t="s">
        <v>32</v>
      </c>
      <c r="W202" s="2099" t="e">
        <f>NA()</f>
        <v>#N/A</v>
      </c>
      <c r="X202" s="2099"/>
      <c r="Y202" s="2099" t="e">
        <f>NA()</f>
        <v>#N/A</v>
      </c>
      <c r="Z202" s="2099"/>
      <c r="AA202" s="2104" t="e">
        <f>NA()</f>
        <v>#N/A</v>
      </c>
      <c r="AB202" s="1638"/>
    </row>
    <row r="203" spans="20:30" x14ac:dyDescent="0.25">
      <c r="T203" s="1637"/>
      <c r="U203" s="2107" t="s">
        <v>1893</v>
      </c>
      <c r="V203" s="2096" t="s">
        <v>1860</v>
      </c>
      <c r="W203" s="2099">
        <v>2.2999999999999998</v>
      </c>
      <c r="X203" s="2099"/>
      <c r="Y203" s="2099">
        <v>120</v>
      </c>
      <c r="Z203" s="2099"/>
      <c r="AA203" s="2104">
        <f>AVERAGE(0.4,0.44,0.46)</f>
        <v>0.43333333333333335</v>
      </c>
      <c r="AB203" s="1638"/>
    </row>
    <row r="204" spans="20:30" x14ac:dyDescent="0.25">
      <c r="T204" s="1637"/>
      <c r="U204" s="2107" t="s">
        <v>1893</v>
      </c>
      <c r="V204" s="2097" t="s">
        <v>1861</v>
      </c>
      <c r="W204" s="2099">
        <v>2.2999999999999998</v>
      </c>
      <c r="X204" s="2099"/>
      <c r="Y204" s="2099">
        <v>120</v>
      </c>
      <c r="Z204" s="2099"/>
      <c r="AA204" s="2104">
        <f>AVERAGE(0.29,0.2,0.3,0.28,0.2,0.23,0.24)</f>
        <v>0.24857142857142858</v>
      </c>
      <c r="AB204" s="1638"/>
    </row>
    <row r="205" spans="20:30" x14ac:dyDescent="0.25">
      <c r="T205" s="1637"/>
      <c r="U205" s="2107" t="s">
        <v>1893</v>
      </c>
      <c r="V205" s="2097" t="s">
        <v>1862</v>
      </c>
      <c r="W205" s="2099">
        <v>3.5</v>
      </c>
      <c r="X205" s="2099"/>
      <c r="Y205" s="2099">
        <v>360</v>
      </c>
      <c r="Z205" s="2099"/>
      <c r="AA205" s="2104">
        <f>AVERAGE(0.4,0.44,0.46)</f>
        <v>0.43333333333333335</v>
      </c>
      <c r="AB205" s="1638"/>
    </row>
    <row r="206" spans="20:30" x14ac:dyDescent="0.25">
      <c r="T206" s="1637"/>
      <c r="U206" s="2107" t="s">
        <v>1893</v>
      </c>
      <c r="V206" s="2097" t="s">
        <v>1863</v>
      </c>
      <c r="W206" s="2099">
        <v>3.5</v>
      </c>
      <c r="X206" s="2099"/>
      <c r="Y206" s="2099">
        <v>360</v>
      </c>
      <c r="Z206" s="2099"/>
      <c r="AA206" s="2104">
        <f>AVERAGE(0.29,0.2,0.3,0.28,0.2,0.23,0.24)</f>
        <v>0.24857142857142858</v>
      </c>
      <c r="AB206" s="1638"/>
    </row>
    <row r="207" spans="20:30" x14ac:dyDescent="0.25">
      <c r="T207" s="1637"/>
      <c r="U207" s="2107" t="s">
        <v>1893</v>
      </c>
      <c r="V207" s="2097" t="s">
        <v>1864</v>
      </c>
      <c r="W207" s="2099">
        <v>5.65</v>
      </c>
      <c r="X207" s="2099"/>
      <c r="Y207" s="2099">
        <v>180</v>
      </c>
      <c r="Z207" s="2099"/>
      <c r="AA207" s="2104">
        <f>AVERAGE(0.4,0.44,0.46)</f>
        <v>0.43333333333333335</v>
      </c>
      <c r="AB207" s="1638"/>
    </row>
    <row r="208" spans="20:30" ht="13.25" thickBot="1" x14ac:dyDescent="0.3">
      <c r="T208" s="1637"/>
      <c r="U208" s="2107" t="s">
        <v>1893</v>
      </c>
      <c r="V208" s="2098" t="s">
        <v>1598</v>
      </c>
      <c r="W208" s="2099">
        <v>5.65</v>
      </c>
      <c r="X208" s="2099"/>
      <c r="Y208" s="2099">
        <v>180</v>
      </c>
      <c r="Z208" s="2099"/>
      <c r="AA208" s="2104">
        <f>AVERAGE(0.29,0.2,0.3,0.28,0.2,0.23,0.24)</f>
        <v>0.24857142857142858</v>
      </c>
      <c r="AB208" s="1638"/>
    </row>
    <row r="209" spans="20:28" x14ac:dyDescent="0.25">
      <c r="T209" s="1637"/>
      <c r="U209" s="2107" t="s">
        <v>1964</v>
      </c>
      <c r="V209" s="2093" t="s">
        <v>1644</v>
      </c>
      <c r="W209" s="2099" t="e">
        <f>NA()</f>
        <v>#N/A</v>
      </c>
      <c r="X209" s="2099"/>
      <c r="Y209" s="2099" t="e">
        <f>NA()</f>
        <v>#N/A</v>
      </c>
      <c r="Z209" s="2099"/>
      <c r="AA209" s="2104" t="e">
        <f>NA()</f>
        <v>#N/A</v>
      </c>
      <c r="AB209" s="1638"/>
    </row>
    <row r="210" spans="20:28" x14ac:dyDescent="0.25">
      <c r="T210" s="1637"/>
      <c r="U210" s="2107" t="s">
        <v>1964</v>
      </c>
      <c r="V210" s="2094" t="s">
        <v>1645</v>
      </c>
      <c r="W210" s="2099" t="e">
        <f>NA()</f>
        <v>#N/A</v>
      </c>
      <c r="X210" s="2099"/>
      <c r="Y210" s="2099" t="e">
        <f>NA()</f>
        <v>#N/A</v>
      </c>
      <c r="Z210" s="2099"/>
      <c r="AA210" s="2104" t="e">
        <f>NA()</f>
        <v>#N/A</v>
      </c>
      <c r="AB210" s="1638"/>
    </row>
    <row r="211" spans="20:28" x14ac:dyDescent="0.25">
      <c r="T211" s="1637"/>
      <c r="U211" s="2107" t="s">
        <v>1964</v>
      </c>
      <c r="V211" s="2094" t="s">
        <v>1647</v>
      </c>
      <c r="W211" s="2099">
        <v>4</v>
      </c>
      <c r="X211" s="2099"/>
      <c r="Y211" s="2099">
        <v>60</v>
      </c>
      <c r="Z211" s="2099"/>
      <c r="AA211" s="2104">
        <f>AVERAGE(0.4,0.44,0.46)</f>
        <v>0.43333333333333335</v>
      </c>
      <c r="AB211" s="1638"/>
    </row>
    <row r="212" spans="20:28" x14ac:dyDescent="0.25">
      <c r="T212" s="1637"/>
      <c r="U212" s="2107" t="s">
        <v>1964</v>
      </c>
      <c r="V212" s="2094" t="s">
        <v>1650</v>
      </c>
      <c r="W212" s="2099">
        <v>4</v>
      </c>
      <c r="X212" s="2099"/>
      <c r="Y212" s="2099">
        <v>130</v>
      </c>
      <c r="Z212" s="2099"/>
      <c r="AA212" s="2104">
        <f>AVERAGE(0.29,0.2,0.3,0.28,0.2,0.23,0.24)</f>
        <v>0.24857142857142858</v>
      </c>
      <c r="AB212" s="1638"/>
    </row>
    <row r="213" spans="20:28" x14ac:dyDescent="0.25">
      <c r="T213" s="1637"/>
      <c r="U213" s="2107" t="s">
        <v>1964</v>
      </c>
      <c r="V213" s="2094" t="s">
        <v>1417</v>
      </c>
      <c r="W213" s="2099" t="e">
        <f>NA()</f>
        <v>#N/A</v>
      </c>
      <c r="X213" s="2099"/>
      <c r="Y213" s="2099" t="e">
        <f>NA()</f>
        <v>#N/A</v>
      </c>
      <c r="Z213" s="2099"/>
      <c r="AA213" s="2104" t="e">
        <f>NA()</f>
        <v>#N/A</v>
      </c>
      <c r="AB213" s="1638"/>
    </row>
    <row r="214" spans="20:28" x14ac:dyDescent="0.25">
      <c r="T214" s="1637"/>
      <c r="U214" s="2107" t="s">
        <v>1964</v>
      </c>
      <c r="V214" s="2094" t="s">
        <v>1419</v>
      </c>
      <c r="W214" s="2099" t="e">
        <f>NA()</f>
        <v>#N/A</v>
      </c>
      <c r="X214" s="2099"/>
      <c r="Y214" s="2099" t="e">
        <f>NA()</f>
        <v>#N/A</v>
      </c>
      <c r="Z214" s="2099"/>
      <c r="AA214" s="2104" t="e">
        <f>NA()</f>
        <v>#N/A</v>
      </c>
      <c r="AB214" s="1638"/>
    </row>
    <row r="215" spans="20:28" x14ac:dyDescent="0.25">
      <c r="T215" s="1637"/>
      <c r="U215" s="2107" t="s">
        <v>1964</v>
      </c>
      <c r="V215" s="2094" t="s">
        <v>1421</v>
      </c>
      <c r="W215" s="2099">
        <v>4</v>
      </c>
      <c r="X215" s="2099"/>
      <c r="Y215" s="2099">
        <v>20</v>
      </c>
      <c r="Z215" s="2099"/>
      <c r="AA215" s="2104">
        <f>AVERAGE(0.4,0.44,0.46)</f>
        <v>0.43333333333333335</v>
      </c>
      <c r="AB215" s="1638"/>
    </row>
    <row r="216" spans="20:28" x14ac:dyDescent="0.25">
      <c r="T216" s="1637"/>
      <c r="U216" s="2107" t="s">
        <v>1964</v>
      </c>
      <c r="V216" s="2094" t="s">
        <v>1423</v>
      </c>
      <c r="W216" s="2099">
        <v>4</v>
      </c>
      <c r="X216" s="2099"/>
      <c r="Y216" s="2099">
        <v>120</v>
      </c>
      <c r="Z216" s="2099"/>
      <c r="AA216" s="2104">
        <f>AVERAGE(0.29,0.2,0.3,0.28,0.2,0.23,0.24)</f>
        <v>0.24857142857142858</v>
      </c>
      <c r="AB216" s="1638"/>
    </row>
    <row r="217" spans="20:28" x14ac:dyDescent="0.25">
      <c r="T217" s="1637"/>
      <c r="U217" s="2107" t="s">
        <v>1964</v>
      </c>
      <c r="V217" s="2094" t="s">
        <v>2069</v>
      </c>
      <c r="W217" s="2099" t="e">
        <f>NA()</f>
        <v>#N/A</v>
      </c>
      <c r="X217" s="2099"/>
      <c r="Y217" s="2099" t="e">
        <f>NA()</f>
        <v>#N/A</v>
      </c>
      <c r="Z217" s="2099"/>
      <c r="AA217" s="2104" t="e">
        <f>NA()</f>
        <v>#N/A</v>
      </c>
      <c r="AB217" s="1638"/>
    </row>
    <row r="218" spans="20:28" ht="13.25" thickBot="1" x14ac:dyDescent="0.3">
      <c r="T218" s="1637"/>
      <c r="U218" s="2107" t="s">
        <v>1964</v>
      </c>
      <c r="V218" s="2095" t="s">
        <v>32</v>
      </c>
      <c r="W218" s="2099" t="e">
        <f>NA()</f>
        <v>#N/A</v>
      </c>
      <c r="X218" s="2099"/>
      <c r="Y218" s="2099" t="e">
        <f>NA()</f>
        <v>#N/A</v>
      </c>
      <c r="Z218" s="2099"/>
      <c r="AA218" s="2104" t="e">
        <f>NA()</f>
        <v>#N/A</v>
      </c>
      <c r="AB218" s="1638"/>
    </row>
    <row r="219" spans="20:28" x14ac:dyDescent="0.25">
      <c r="T219" s="1637"/>
      <c r="U219" s="2107" t="s">
        <v>1964</v>
      </c>
      <c r="V219" s="2096" t="s">
        <v>1860</v>
      </c>
      <c r="W219" s="2099">
        <v>4</v>
      </c>
      <c r="X219" s="2099"/>
      <c r="Y219" s="2099">
        <v>20</v>
      </c>
      <c r="Z219" s="2099"/>
      <c r="AA219" s="2104">
        <f>AVERAGE(0.4,0.44,0.46)</f>
        <v>0.43333333333333335</v>
      </c>
      <c r="AB219" s="1638"/>
    </row>
    <row r="220" spans="20:28" x14ac:dyDescent="0.25">
      <c r="T220" s="1637"/>
      <c r="U220" s="2107" t="s">
        <v>1964</v>
      </c>
      <c r="V220" s="2097" t="s">
        <v>1861</v>
      </c>
      <c r="W220" s="2099">
        <v>4</v>
      </c>
      <c r="X220" s="2099"/>
      <c r="Y220" s="2099">
        <v>120</v>
      </c>
      <c r="Z220" s="2099"/>
      <c r="AA220" s="2104">
        <f>AVERAGE(0.29,0.2,0.3,0.28,0.2,0.23,0.24)</f>
        <v>0.24857142857142858</v>
      </c>
      <c r="AB220" s="1638"/>
    </row>
    <row r="221" spans="20:28" x14ac:dyDescent="0.25">
      <c r="T221" s="1637"/>
      <c r="U221" s="2107" t="s">
        <v>1964</v>
      </c>
      <c r="V221" s="2097" t="s">
        <v>1862</v>
      </c>
      <c r="W221" s="2099" t="e">
        <f>NA()</f>
        <v>#N/A</v>
      </c>
      <c r="X221" s="2099"/>
      <c r="Y221" s="2099" t="e">
        <f>NA()</f>
        <v>#N/A</v>
      </c>
      <c r="Z221" s="2099"/>
      <c r="AA221" s="2104" t="e">
        <f>NA()</f>
        <v>#N/A</v>
      </c>
      <c r="AB221" s="1638"/>
    </row>
    <row r="222" spans="20:28" x14ac:dyDescent="0.25">
      <c r="T222" s="1637"/>
      <c r="U222" s="2107" t="s">
        <v>1964</v>
      </c>
      <c r="V222" s="2097" t="s">
        <v>1863</v>
      </c>
      <c r="W222" s="2099" t="e">
        <f>NA()</f>
        <v>#N/A</v>
      </c>
      <c r="X222" s="2099"/>
      <c r="Y222" s="2099" t="e">
        <f>NA()</f>
        <v>#N/A</v>
      </c>
      <c r="Z222" s="2099"/>
      <c r="AA222" s="2104" t="e">
        <f>NA()</f>
        <v>#N/A</v>
      </c>
      <c r="AB222" s="1638"/>
    </row>
    <row r="223" spans="20:28" x14ac:dyDescent="0.25">
      <c r="T223" s="1637"/>
      <c r="U223" s="2107" t="s">
        <v>1964</v>
      </c>
      <c r="V223" s="2097" t="s">
        <v>1864</v>
      </c>
      <c r="W223" s="2099" t="e">
        <f>NA()</f>
        <v>#N/A</v>
      </c>
      <c r="X223" s="2099"/>
      <c r="Y223" s="2099" t="e">
        <f>NA()</f>
        <v>#N/A</v>
      </c>
      <c r="Z223" s="2099"/>
      <c r="AA223" s="2104" t="e">
        <f>NA()</f>
        <v>#N/A</v>
      </c>
      <c r="AB223" s="1638"/>
    </row>
    <row r="224" spans="20:28" ht="13.25" thickBot="1" x14ac:dyDescent="0.3">
      <c r="T224" s="1637"/>
      <c r="U224" s="2107" t="s">
        <v>1964</v>
      </c>
      <c r="V224" s="2098" t="s">
        <v>1598</v>
      </c>
      <c r="W224" s="2099" t="e">
        <f>NA()</f>
        <v>#N/A</v>
      </c>
      <c r="X224" s="2099"/>
      <c r="Y224" s="2099" t="e">
        <f>NA()</f>
        <v>#N/A</v>
      </c>
      <c r="Z224" s="2099"/>
      <c r="AA224" s="2104" t="e">
        <f>NA()</f>
        <v>#N/A</v>
      </c>
      <c r="AB224" s="1638"/>
    </row>
    <row r="225" spans="20:28" x14ac:dyDescent="0.25">
      <c r="T225" s="1637"/>
      <c r="U225" s="2107" t="s">
        <v>1811</v>
      </c>
      <c r="V225" s="2093" t="s">
        <v>1644</v>
      </c>
      <c r="W225" s="2099" t="e">
        <f>NA()</f>
        <v>#N/A</v>
      </c>
      <c r="X225" s="2099"/>
      <c r="Y225" s="2099" t="e">
        <f>NA()</f>
        <v>#N/A</v>
      </c>
      <c r="Z225" s="2099"/>
      <c r="AA225" s="2104" t="e">
        <f>NA()</f>
        <v>#N/A</v>
      </c>
      <c r="AB225" s="1638"/>
    </row>
    <row r="226" spans="20:28" x14ac:dyDescent="0.25">
      <c r="T226" s="1637"/>
      <c r="U226" s="2107" t="s">
        <v>1811</v>
      </c>
      <c r="V226" s="2094" t="s">
        <v>1645</v>
      </c>
      <c r="W226" s="2099" t="e">
        <f>NA()</f>
        <v>#N/A</v>
      </c>
      <c r="X226" s="2099"/>
      <c r="Y226" s="2099" t="e">
        <f>NA()</f>
        <v>#N/A</v>
      </c>
      <c r="Z226" s="2099"/>
      <c r="AA226" s="2104" t="e">
        <f>NA()</f>
        <v>#N/A</v>
      </c>
      <c r="AB226" s="1638"/>
    </row>
    <row r="227" spans="20:28" x14ac:dyDescent="0.25">
      <c r="T227" s="1637"/>
      <c r="U227" s="2107" t="s">
        <v>1811</v>
      </c>
      <c r="V227" s="2094" t="s">
        <v>1647</v>
      </c>
      <c r="W227" s="2099">
        <v>3</v>
      </c>
      <c r="X227" s="2099"/>
      <c r="Y227" s="2099">
        <v>50</v>
      </c>
      <c r="Z227" s="2099"/>
      <c r="AA227" s="2104">
        <f>AVERAGE(0.4,0.44,0.46)</f>
        <v>0.43333333333333335</v>
      </c>
      <c r="AB227" s="1638"/>
    </row>
    <row r="228" spans="20:28" x14ac:dyDescent="0.25">
      <c r="T228" s="1637"/>
      <c r="U228" s="2107" t="s">
        <v>1811</v>
      </c>
      <c r="V228" s="2094" t="s">
        <v>1650</v>
      </c>
      <c r="W228" s="2099">
        <v>3</v>
      </c>
      <c r="X228" s="2099"/>
      <c r="Y228" s="2099">
        <v>130</v>
      </c>
      <c r="Z228" s="2099"/>
      <c r="AA228" s="2104">
        <f>AVERAGE(0.29,0.2,0.3,0.28,0.2,0.23,0.24)</f>
        <v>0.24857142857142858</v>
      </c>
      <c r="AB228" s="1638"/>
    </row>
    <row r="229" spans="20:28" x14ac:dyDescent="0.25">
      <c r="T229" s="1637"/>
      <c r="U229" s="2107" t="s">
        <v>1811</v>
      </c>
      <c r="V229" s="2094" t="s">
        <v>1417</v>
      </c>
      <c r="W229" s="2099" t="e">
        <f>NA()</f>
        <v>#N/A</v>
      </c>
      <c r="X229" s="2099"/>
      <c r="Y229" s="2099" t="e">
        <f>NA()</f>
        <v>#N/A</v>
      </c>
      <c r="Z229" s="2099"/>
      <c r="AA229" s="2104" t="e">
        <f>NA()</f>
        <v>#N/A</v>
      </c>
      <c r="AB229" s="1638"/>
    </row>
    <row r="230" spans="20:28" x14ac:dyDescent="0.25">
      <c r="T230" s="1637"/>
      <c r="U230" s="2107" t="s">
        <v>1811</v>
      </c>
      <c r="V230" s="2094" t="s">
        <v>1419</v>
      </c>
      <c r="W230" s="2099" t="e">
        <f>NA()</f>
        <v>#N/A</v>
      </c>
      <c r="X230" s="2099"/>
      <c r="Y230" s="2099" t="e">
        <f>NA()</f>
        <v>#N/A</v>
      </c>
      <c r="Z230" s="2099"/>
      <c r="AA230" s="2104" t="e">
        <f>NA()</f>
        <v>#N/A</v>
      </c>
      <c r="AB230" s="1638"/>
    </row>
    <row r="231" spans="20:28" x14ac:dyDescent="0.25">
      <c r="T231" s="1637"/>
      <c r="U231" s="2107" t="s">
        <v>1811</v>
      </c>
      <c r="V231" s="2094" t="s">
        <v>1421</v>
      </c>
      <c r="W231" s="2099">
        <v>3</v>
      </c>
      <c r="X231" s="2099"/>
      <c r="Y231" s="2099">
        <v>100</v>
      </c>
      <c r="Z231" s="2099"/>
      <c r="AA231" s="2104">
        <f>AVERAGE(0.4,0.44,0.46)</f>
        <v>0.43333333333333335</v>
      </c>
      <c r="AB231" s="1638"/>
    </row>
    <row r="232" spans="20:28" x14ac:dyDescent="0.25">
      <c r="T232" s="1637"/>
      <c r="U232" s="2107" t="s">
        <v>1811</v>
      </c>
      <c r="V232" s="2094" t="s">
        <v>1423</v>
      </c>
      <c r="W232" s="2099">
        <v>3</v>
      </c>
      <c r="X232" s="2099"/>
      <c r="Y232" s="2099">
        <v>130</v>
      </c>
      <c r="Z232" s="2099"/>
      <c r="AA232" s="2104">
        <f>AVERAGE(0.29,0.2,0.3,0.28,0.2,0.23,0.24)</f>
        <v>0.24857142857142858</v>
      </c>
      <c r="AB232" s="1638"/>
    </row>
    <row r="233" spans="20:28" x14ac:dyDescent="0.25">
      <c r="T233" s="1637"/>
      <c r="U233" s="2107" t="s">
        <v>1811</v>
      </c>
      <c r="V233" s="2094" t="s">
        <v>2069</v>
      </c>
      <c r="W233" s="2099" t="e">
        <f>NA()</f>
        <v>#N/A</v>
      </c>
      <c r="X233" s="2099"/>
      <c r="Y233" s="2099" t="e">
        <f>NA()</f>
        <v>#N/A</v>
      </c>
      <c r="Z233" s="2099"/>
      <c r="AA233" s="2104" t="e">
        <f>NA()</f>
        <v>#N/A</v>
      </c>
      <c r="AB233" s="1638"/>
    </row>
    <row r="234" spans="20:28" ht="13.25" thickBot="1" x14ac:dyDescent="0.3">
      <c r="T234" s="1637"/>
      <c r="U234" s="2107" t="s">
        <v>1811</v>
      </c>
      <c r="V234" s="2095" t="s">
        <v>32</v>
      </c>
      <c r="W234" s="2099" t="e">
        <f>NA()</f>
        <v>#N/A</v>
      </c>
      <c r="X234" s="2099"/>
      <c r="Y234" s="2099" t="e">
        <f>NA()</f>
        <v>#N/A</v>
      </c>
      <c r="Z234" s="2099"/>
      <c r="AA234" s="2104" t="e">
        <f>NA()</f>
        <v>#N/A</v>
      </c>
      <c r="AB234" s="1638"/>
    </row>
    <row r="235" spans="20:28" x14ac:dyDescent="0.25">
      <c r="T235" s="1637"/>
      <c r="U235" s="2107" t="s">
        <v>1811</v>
      </c>
      <c r="V235" s="2096" t="s">
        <v>1860</v>
      </c>
      <c r="W235" s="2099">
        <v>3</v>
      </c>
      <c r="X235" s="2099"/>
      <c r="Y235" s="2099">
        <v>100</v>
      </c>
      <c r="Z235" s="2099"/>
      <c r="AA235" s="2104">
        <f>AVERAGE(0.4,0.44,0.46)</f>
        <v>0.43333333333333335</v>
      </c>
      <c r="AB235" s="1638"/>
    </row>
    <row r="236" spans="20:28" x14ac:dyDescent="0.25">
      <c r="T236" s="1637"/>
      <c r="U236" s="2107" t="s">
        <v>1811</v>
      </c>
      <c r="V236" s="2097" t="s">
        <v>1861</v>
      </c>
      <c r="W236" s="2099">
        <v>3</v>
      </c>
      <c r="X236" s="2099"/>
      <c r="Y236" s="2099">
        <v>130</v>
      </c>
      <c r="Z236" s="2099"/>
      <c r="AA236" s="2104">
        <f>AVERAGE(0.29,0.2,0.3,0.28,0.2,0.23,0.24)</f>
        <v>0.24857142857142858</v>
      </c>
      <c r="AB236" s="1638"/>
    </row>
    <row r="237" spans="20:28" x14ac:dyDescent="0.25">
      <c r="T237" s="1637"/>
      <c r="U237" s="2107" t="s">
        <v>1811</v>
      </c>
      <c r="V237" s="2097" t="s">
        <v>1862</v>
      </c>
      <c r="W237" s="2099" t="e">
        <f>NA()</f>
        <v>#N/A</v>
      </c>
      <c r="X237" s="2099"/>
      <c r="Y237" s="2099" t="e">
        <f>NA()</f>
        <v>#N/A</v>
      </c>
      <c r="Z237" s="2099"/>
      <c r="AA237" s="2104" t="e">
        <f>NA()</f>
        <v>#N/A</v>
      </c>
      <c r="AB237" s="1638"/>
    </row>
    <row r="238" spans="20:28" x14ac:dyDescent="0.25">
      <c r="T238" s="1637"/>
      <c r="U238" s="2107" t="s">
        <v>1811</v>
      </c>
      <c r="V238" s="2097" t="s">
        <v>1863</v>
      </c>
      <c r="W238" s="2099" t="e">
        <f>NA()</f>
        <v>#N/A</v>
      </c>
      <c r="X238" s="2099"/>
      <c r="Y238" s="2099" t="e">
        <f>NA()</f>
        <v>#N/A</v>
      </c>
      <c r="Z238" s="2099"/>
      <c r="AA238" s="2104" t="e">
        <f>NA()</f>
        <v>#N/A</v>
      </c>
      <c r="AB238" s="1638"/>
    </row>
    <row r="239" spans="20:28" x14ac:dyDescent="0.25">
      <c r="T239" s="1637"/>
      <c r="U239" s="2107" t="s">
        <v>1811</v>
      </c>
      <c r="V239" s="2097" t="s">
        <v>1864</v>
      </c>
      <c r="W239" s="2099" t="e">
        <f>NA()</f>
        <v>#N/A</v>
      </c>
      <c r="X239" s="2099"/>
      <c r="Y239" s="2099" t="e">
        <f>NA()</f>
        <v>#N/A</v>
      </c>
      <c r="Z239" s="2099"/>
      <c r="AA239" s="2104" t="e">
        <f>NA()</f>
        <v>#N/A</v>
      </c>
      <c r="AB239" s="1638"/>
    </row>
    <row r="240" spans="20:28" ht="13.25" thickBot="1" x14ac:dyDescent="0.3">
      <c r="T240" s="1637"/>
      <c r="U240" s="2107" t="s">
        <v>1811</v>
      </c>
      <c r="V240" s="2098" t="s">
        <v>1598</v>
      </c>
      <c r="W240" s="2099" t="e">
        <f>NA()</f>
        <v>#N/A</v>
      </c>
      <c r="X240" s="2099"/>
      <c r="Y240" s="2099" t="e">
        <f>NA()</f>
        <v>#N/A</v>
      </c>
      <c r="Z240" s="2099"/>
      <c r="AA240" s="2104" t="e">
        <f>NA()</f>
        <v>#N/A</v>
      </c>
      <c r="AB240" s="1638"/>
    </row>
    <row r="241" spans="20:28" x14ac:dyDescent="0.25">
      <c r="T241" s="1637"/>
      <c r="U241" s="2108" t="s">
        <v>1812</v>
      </c>
      <c r="V241" s="2093" t="s">
        <v>1644</v>
      </c>
      <c r="W241" s="2099" t="e">
        <f>NA()</f>
        <v>#N/A</v>
      </c>
      <c r="X241" s="2099"/>
      <c r="Y241" s="2099" t="e">
        <f>NA()</f>
        <v>#N/A</v>
      </c>
      <c r="Z241" s="2099"/>
      <c r="AA241" s="2104" t="e">
        <f>NA()</f>
        <v>#N/A</v>
      </c>
      <c r="AB241" s="1638"/>
    </row>
    <row r="242" spans="20:28" x14ac:dyDescent="0.25">
      <c r="T242" s="1637"/>
      <c r="U242" s="2108" t="s">
        <v>1812</v>
      </c>
      <c r="V242" s="2094" t="s">
        <v>1645</v>
      </c>
      <c r="W242" s="2099" t="e">
        <f>NA()</f>
        <v>#N/A</v>
      </c>
      <c r="X242" s="2099"/>
      <c r="Y242" s="2099" t="e">
        <f>NA()</f>
        <v>#N/A</v>
      </c>
      <c r="Z242" s="2099"/>
      <c r="AA242" s="2104" t="e">
        <f>NA()</f>
        <v>#N/A</v>
      </c>
      <c r="AB242" s="1638"/>
    </row>
    <row r="243" spans="20:28" x14ac:dyDescent="0.25">
      <c r="T243" s="1637"/>
      <c r="U243" s="2108" t="s">
        <v>1812</v>
      </c>
      <c r="V243" s="2094" t="s">
        <v>1647</v>
      </c>
      <c r="W243" s="2099">
        <v>1.1000000000000001</v>
      </c>
      <c r="X243" s="2099" t="s">
        <v>1648</v>
      </c>
      <c r="Y243" s="2099">
        <v>50</v>
      </c>
      <c r="Z243" s="2099" t="s">
        <v>1648</v>
      </c>
      <c r="AA243" s="2104">
        <v>0.39</v>
      </c>
      <c r="AB243" s="1638"/>
    </row>
    <row r="244" spans="20:28" x14ac:dyDescent="0.25">
      <c r="T244" s="1637"/>
      <c r="U244" s="2108" t="s">
        <v>1812</v>
      </c>
      <c r="V244" s="2094" t="s">
        <v>1650</v>
      </c>
      <c r="W244" s="2099">
        <v>1.1000000000000001</v>
      </c>
      <c r="X244" s="2099" t="s">
        <v>1648</v>
      </c>
      <c r="Y244" s="2099">
        <v>50</v>
      </c>
      <c r="Z244" s="2099" t="s">
        <v>1648</v>
      </c>
      <c r="AA244" s="2104">
        <v>0.24</v>
      </c>
      <c r="AB244" s="1638"/>
    </row>
    <row r="245" spans="20:28" x14ac:dyDescent="0.25">
      <c r="T245" s="1637"/>
      <c r="U245" s="2108" t="s">
        <v>1812</v>
      </c>
      <c r="V245" s="2094" t="s">
        <v>1417</v>
      </c>
      <c r="W245" s="2099" t="e">
        <f>NA()</f>
        <v>#N/A</v>
      </c>
      <c r="X245" s="2099"/>
      <c r="Y245" s="2099" t="e">
        <f>NA()</f>
        <v>#N/A</v>
      </c>
      <c r="Z245" s="2099"/>
      <c r="AA245" s="2104" t="e">
        <f>NA()</f>
        <v>#N/A</v>
      </c>
      <c r="AB245" s="1638"/>
    </row>
    <row r="246" spans="20:28" x14ac:dyDescent="0.25">
      <c r="T246" s="1637"/>
      <c r="U246" s="2108" t="s">
        <v>1812</v>
      </c>
      <c r="V246" s="2094" t="s">
        <v>1419</v>
      </c>
      <c r="W246" s="2099" t="e">
        <f>NA()</f>
        <v>#N/A</v>
      </c>
      <c r="X246" s="2099"/>
      <c r="Y246" s="2099" t="e">
        <f>NA()</f>
        <v>#N/A</v>
      </c>
      <c r="Z246" s="2099"/>
      <c r="AA246" s="2104" t="e">
        <f>NA()</f>
        <v>#N/A</v>
      </c>
      <c r="AB246" s="1638"/>
    </row>
    <row r="247" spans="20:28" x14ac:dyDescent="0.25">
      <c r="T247" s="1637"/>
      <c r="U247" s="2108" t="s">
        <v>1812</v>
      </c>
      <c r="V247" s="2094" t="s">
        <v>1421</v>
      </c>
      <c r="W247" s="2099">
        <v>1.1000000000000001</v>
      </c>
      <c r="X247" s="2099" t="s">
        <v>1648</v>
      </c>
      <c r="Y247" s="2099">
        <v>50</v>
      </c>
      <c r="Z247" s="2099" t="s">
        <v>1648</v>
      </c>
      <c r="AA247" s="2104">
        <v>0.39</v>
      </c>
      <c r="AB247" s="1638"/>
    </row>
    <row r="248" spans="20:28" x14ac:dyDescent="0.25">
      <c r="T248" s="1637"/>
      <c r="U248" s="2108" t="s">
        <v>1812</v>
      </c>
      <c r="V248" s="2094" t="s">
        <v>1423</v>
      </c>
      <c r="W248" s="2099">
        <v>1.1000000000000001</v>
      </c>
      <c r="X248" s="2099" t="s">
        <v>1648</v>
      </c>
      <c r="Y248" s="2099">
        <v>50</v>
      </c>
      <c r="Z248" s="2099" t="s">
        <v>1648</v>
      </c>
      <c r="AA248" s="2104">
        <v>0.24</v>
      </c>
      <c r="AB248" s="1638"/>
    </row>
    <row r="249" spans="20:28" x14ac:dyDescent="0.25">
      <c r="T249" s="1637"/>
      <c r="U249" s="2108" t="s">
        <v>1812</v>
      </c>
      <c r="V249" s="2094" t="s">
        <v>2069</v>
      </c>
      <c r="W249" s="2099" t="e">
        <f>NA()</f>
        <v>#N/A</v>
      </c>
      <c r="X249" s="2099"/>
      <c r="Y249" s="2099" t="e">
        <f>NA()</f>
        <v>#N/A</v>
      </c>
      <c r="Z249" s="2099"/>
      <c r="AA249" s="2104" t="e">
        <f>NA()</f>
        <v>#N/A</v>
      </c>
      <c r="AB249" s="1638"/>
    </row>
    <row r="250" spans="20:28" ht="13.25" thickBot="1" x14ac:dyDescent="0.3">
      <c r="T250" s="1637"/>
      <c r="U250" s="2108" t="s">
        <v>1812</v>
      </c>
      <c r="V250" s="2095" t="s">
        <v>32</v>
      </c>
      <c r="W250" s="2099" t="e">
        <f>NA()</f>
        <v>#N/A</v>
      </c>
      <c r="X250" s="2099"/>
      <c r="Y250" s="2099" t="e">
        <f>NA()</f>
        <v>#N/A</v>
      </c>
      <c r="Z250" s="2099"/>
      <c r="AA250" s="2104" t="e">
        <f>NA()</f>
        <v>#N/A</v>
      </c>
      <c r="AB250" s="1638"/>
    </row>
    <row r="251" spans="20:28" x14ac:dyDescent="0.25">
      <c r="T251" s="1637"/>
      <c r="U251" s="2108" t="s">
        <v>1812</v>
      </c>
      <c r="V251" s="2096" t="s">
        <v>1860</v>
      </c>
      <c r="W251" s="2099">
        <v>1.1000000000000001</v>
      </c>
      <c r="X251" s="2099" t="s">
        <v>1648</v>
      </c>
      <c r="Y251" s="2099">
        <v>50</v>
      </c>
      <c r="Z251" s="2099" t="s">
        <v>1648</v>
      </c>
      <c r="AA251" s="2104">
        <v>0.39</v>
      </c>
      <c r="AB251" s="1638"/>
    </row>
    <row r="252" spans="20:28" x14ac:dyDescent="0.25">
      <c r="T252" s="1637"/>
      <c r="U252" s="2108" t="s">
        <v>1812</v>
      </c>
      <c r="V252" s="2097" t="s">
        <v>1861</v>
      </c>
      <c r="W252" s="2099">
        <v>1.1000000000000001</v>
      </c>
      <c r="X252" s="2099" t="s">
        <v>1648</v>
      </c>
      <c r="Y252" s="2099">
        <v>50</v>
      </c>
      <c r="Z252" s="2099" t="s">
        <v>1648</v>
      </c>
      <c r="AA252" s="2104">
        <v>0.24</v>
      </c>
      <c r="AB252" s="1638"/>
    </row>
    <row r="253" spans="20:28" x14ac:dyDescent="0.25">
      <c r="T253" s="1637"/>
      <c r="U253" s="2108" t="s">
        <v>1812</v>
      </c>
      <c r="V253" s="2097" t="s">
        <v>1862</v>
      </c>
      <c r="W253" s="2099" t="e">
        <f>NA()</f>
        <v>#N/A</v>
      </c>
      <c r="X253" s="2099"/>
      <c r="Y253" s="2099" t="e">
        <f>NA()</f>
        <v>#N/A</v>
      </c>
      <c r="Z253" s="2099"/>
      <c r="AA253" s="2104" t="e">
        <f>NA()</f>
        <v>#N/A</v>
      </c>
      <c r="AB253" s="1638"/>
    </row>
    <row r="254" spans="20:28" x14ac:dyDescent="0.25">
      <c r="T254" s="1637"/>
      <c r="U254" s="2108" t="s">
        <v>1812</v>
      </c>
      <c r="V254" s="2097" t="s">
        <v>1863</v>
      </c>
      <c r="W254" s="2099" t="e">
        <f>NA()</f>
        <v>#N/A</v>
      </c>
      <c r="X254" s="2099"/>
      <c r="Y254" s="2099" t="e">
        <f>NA()</f>
        <v>#N/A</v>
      </c>
      <c r="Z254" s="2099"/>
      <c r="AA254" s="2104" t="e">
        <f>NA()</f>
        <v>#N/A</v>
      </c>
      <c r="AB254" s="1638"/>
    </row>
    <row r="255" spans="20:28" x14ac:dyDescent="0.25">
      <c r="T255" s="1637"/>
      <c r="U255" s="2108" t="s">
        <v>1812</v>
      </c>
      <c r="V255" s="2097" t="s">
        <v>1864</v>
      </c>
      <c r="W255" s="2099" t="e">
        <f>NA()</f>
        <v>#N/A</v>
      </c>
      <c r="X255" s="2099"/>
      <c r="Y255" s="2099" t="e">
        <f>NA()</f>
        <v>#N/A</v>
      </c>
      <c r="Z255" s="2099"/>
      <c r="AA255" s="2104" t="e">
        <f>NA()</f>
        <v>#N/A</v>
      </c>
      <c r="AB255" s="1638"/>
    </row>
    <row r="256" spans="20:28" ht="13.25" thickBot="1" x14ac:dyDescent="0.3">
      <c r="T256" s="1637"/>
      <c r="U256" s="2108" t="s">
        <v>1812</v>
      </c>
      <c r="V256" s="2098" t="s">
        <v>1598</v>
      </c>
      <c r="W256" s="2099" t="e">
        <f>NA()</f>
        <v>#N/A</v>
      </c>
      <c r="X256" s="2099"/>
      <c r="Y256" s="2099" t="e">
        <f>NA()</f>
        <v>#N/A</v>
      </c>
      <c r="Z256" s="2099"/>
      <c r="AA256" s="2104" t="e">
        <f>NA()</f>
        <v>#N/A</v>
      </c>
      <c r="AB256" s="1638"/>
    </row>
    <row r="257" spans="20:28" x14ac:dyDescent="0.25">
      <c r="T257" s="1637"/>
      <c r="U257" s="2108" t="s">
        <v>1813</v>
      </c>
      <c r="V257" s="2093" t="s">
        <v>1644</v>
      </c>
      <c r="W257" s="2099" t="e">
        <f>NA()</f>
        <v>#N/A</v>
      </c>
      <c r="X257" s="2099"/>
      <c r="Y257" s="2099" t="e">
        <f>NA()</f>
        <v>#N/A</v>
      </c>
      <c r="Z257" s="2099"/>
      <c r="AA257" s="2104" t="e">
        <f>NA()</f>
        <v>#N/A</v>
      </c>
      <c r="AB257" s="1638"/>
    </row>
    <row r="258" spans="20:28" x14ac:dyDescent="0.25">
      <c r="T258" s="1637"/>
      <c r="U258" s="2108" t="s">
        <v>1813</v>
      </c>
      <c r="V258" s="2094" t="s">
        <v>1645</v>
      </c>
      <c r="W258" s="2099" t="e">
        <f>NA()</f>
        <v>#N/A</v>
      </c>
      <c r="X258" s="2099"/>
      <c r="Y258" s="2099" t="e">
        <f>NA()</f>
        <v>#N/A</v>
      </c>
      <c r="Z258" s="2099"/>
      <c r="AA258" s="2104" t="e">
        <f>NA()</f>
        <v>#N/A</v>
      </c>
      <c r="AB258" s="1638"/>
    </row>
    <row r="259" spans="20:28" x14ac:dyDescent="0.25">
      <c r="T259" s="1637"/>
      <c r="U259" s="2108" t="s">
        <v>1813</v>
      </c>
      <c r="V259" s="2094" t="s">
        <v>1647</v>
      </c>
      <c r="W259" s="2099">
        <v>0.4</v>
      </c>
      <c r="X259" s="2099"/>
      <c r="Y259" s="2099">
        <v>3.5</v>
      </c>
      <c r="Z259" s="2099" t="s">
        <v>1648</v>
      </c>
      <c r="AA259" s="2104">
        <v>0.39</v>
      </c>
      <c r="AB259" s="1638"/>
    </row>
    <row r="260" spans="20:28" x14ac:dyDescent="0.25">
      <c r="T260" s="1637"/>
      <c r="U260" s="2108" t="s">
        <v>1813</v>
      </c>
      <c r="V260" s="2094" t="s">
        <v>1650</v>
      </c>
      <c r="W260" s="2099">
        <v>0.4</v>
      </c>
      <c r="X260" s="2099"/>
      <c r="Y260" s="2099">
        <v>17.5</v>
      </c>
      <c r="Z260" s="2099" t="s">
        <v>1648</v>
      </c>
      <c r="AA260" s="2104">
        <v>0.24</v>
      </c>
      <c r="AB260" s="1638"/>
    </row>
    <row r="261" spans="20:28" x14ac:dyDescent="0.25">
      <c r="T261" s="1637"/>
      <c r="U261" s="2108" t="s">
        <v>1813</v>
      </c>
      <c r="V261" s="2094" t="s">
        <v>1417</v>
      </c>
      <c r="W261" s="2099" t="e">
        <f>NA()</f>
        <v>#N/A</v>
      </c>
      <c r="X261" s="2099"/>
      <c r="Y261" s="2099" t="e">
        <f>NA()</f>
        <v>#N/A</v>
      </c>
      <c r="Z261" s="2099"/>
      <c r="AA261" s="2104" t="e">
        <f>NA()</f>
        <v>#N/A</v>
      </c>
      <c r="AB261" s="1638"/>
    </row>
    <row r="262" spans="20:28" x14ac:dyDescent="0.25">
      <c r="T262" s="1637"/>
      <c r="U262" s="2108" t="s">
        <v>1813</v>
      </c>
      <c r="V262" s="2094" t="s">
        <v>1419</v>
      </c>
      <c r="W262" s="2099" t="e">
        <f>NA()</f>
        <v>#N/A</v>
      </c>
      <c r="X262" s="2099"/>
      <c r="Y262" s="2099" t="e">
        <f>NA()</f>
        <v>#N/A</v>
      </c>
      <c r="Z262" s="2099"/>
      <c r="AA262" s="2104" t="e">
        <f>NA()</f>
        <v>#N/A</v>
      </c>
      <c r="AB262" s="1638"/>
    </row>
    <row r="263" spans="20:28" x14ac:dyDescent="0.25">
      <c r="T263" s="1637"/>
      <c r="U263" s="2108" t="s">
        <v>1813</v>
      </c>
      <c r="V263" s="2094" t="s">
        <v>1421</v>
      </c>
      <c r="W263" s="2099">
        <v>0.4</v>
      </c>
      <c r="X263" s="2099"/>
      <c r="Y263" s="2099">
        <v>3.5</v>
      </c>
      <c r="Z263" s="2099" t="s">
        <v>1648</v>
      </c>
      <c r="AA263" s="2104">
        <v>0.39</v>
      </c>
      <c r="AB263" s="1638"/>
    </row>
    <row r="264" spans="20:28" x14ac:dyDescent="0.25">
      <c r="T264" s="1637"/>
      <c r="U264" s="2108" t="s">
        <v>1813</v>
      </c>
      <c r="V264" s="2094" t="s">
        <v>1423</v>
      </c>
      <c r="W264" s="2099">
        <v>0.4</v>
      </c>
      <c r="X264" s="2099"/>
      <c r="Y264" s="2099">
        <v>17.5</v>
      </c>
      <c r="Z264" s="2099" t="s">
        <v>1648</v>
      </c>
      <c r="AA264" s="2104">
        <v>0.24</v>
      </c>
      <c r="AB264" s="1638"/>
    </row>
    <row r="265" spans="20:28" x14ac:dyDescent="0.25">
      <c r="T265" s="1637"/>
      <c r="U265" s="2108" t="s">
        <v>1813</v>
      </c>
      <c r="V265" s="2094" t="s">
        <v>2069</v>
      </c>
      <c r="W265" s="2099" t="e">
        <f>NA()</f>
        <v>#N/A</v>
      </c>
      <c r="X265" s="2099"/>
      <c r="Y265" s="2099" t="e">
        <f>NA()</f>
        <v>#N/A</v>
      </c>
      <c r="Z265" s="2099"/>
      <c r="AA265" s="2104" t="e">
        <f>NA()</f>
        <v>#N/A</v>
      </c>
      <c r="AB265" s="1638"/>
    </row>
    <row r="266" spans="20:28" ht="13.25" thickBot="1" x14ac:dyDescent="0.3">
      <c r="T266" s="1637"/>
      <c r="U266" s="2108" t="s">
        <v>1813</v>
      </c>
      <c r="V266" s="2095" t="s">
        <v>32</v>
      </c>
      <c r="W266" s="2099" t="e">
        <f>NA()</f>
        <v>#N/A</v>
      </c>
      <c r="X266" s="2099"/>
      <c r="Y266" s="2099" t="e">
        <f>NA()</f>
        <v>#N/A</v>
      </c>
      <c r="Z266" s="2099"/>
      <c r="AA266" s="2104" t="e">
        <f>NA()</f>
        <v>#N/A</v>
      </c>
      <c r="AB266" s="1638"/>
    </row>
    <row r="267" spans="20:28" x14ac:dyDescent="0.25">
      <c r="T267" s="1637"/>
      <c r="U267" s="2108" t="s">
        <v>1813</v>
      </c>
      <c r="V267" s="2096" t="s">
        <v>1860</v>
      </c>
      <c r="W267" s="2099">
        <v>0.4</v>
      </c>
      <c r="X267" s="2099"/>
      <c r="Y267" s="2099">
        <v>3.5</v>
      </c>
      <c r="Z267" s="2099" t="s">
        <v>1648</v>
      </c>
      <c r="AA267" s="2104">
        <v>0.39</v>
      </c>
      <c r="AB267" s="1638"/>
    </row>
    <row r="268" spans="20:28" x14ac:dyDescent="0.25">
      <c r="T268" s="1637"/>
      <c r="U268" s="2108" t="s">
        <v>1813</v>
      </c>
      <c r="V268" s="2097" t="s">
        <v>1861</v>
      </c>
      <c r="W268" s="2099">
        <v>0.4</v>
      </c>
      <c r="X268" s="2099"/>
      <c r="Y268" s="2099">
        <v>17.5</v>
      </c>
      <c r="Z268" s="2099" t="s">
        <v>1648</v>
      </c>
      <c r="AA268" s="2104">
        <v>0.24</v>
      </c>
      <c r="AB268" s="1638"/>
    </row>
    <row r="269" spans="20:28" x14ac:dyDescent="0.25">
      <c r="T269" s="1637"/>
      <c r="U269" s="2108" t="s">
        <v>1813</v>
      </c>
      <c r="V269" s="2097" t="s">
        <v>1862</v>
      </c>
      <c r="W269" s="2099" t="e">
        <f>NA()</f>
        <v>#N/A</v>
      </c>
      <c r="X269" s="2099"/>
      <c r="Y269" s="2099" t="e">
        <f>NA()</f>
        <v>#N/A</v>
      </c>
      <c r="Z269" s="2099"/>
      <c r="AA269" s="2104" t="e">
        <f>NA()</f>
        <v>#N/A</v>
      </c>
      <c r="AB269" s="1638"/>
    </row>
    <row r="270" spans="20:28" x14ac:dyDescent="0.25">
      <c r="T270" s="1637"/>
      <c r="U270" s="2108" t="s">
        <v>1813</v>
      </c>
      <c r="V270" s="2097" t="s">
        <v>1863</v>
      </c>
      <c r="W270" s="2099" t="e">
        <f>NA()</f>
        <v>#N/A</v>
      </c>
      <c r="X270" s="2099"/>
      <c r="Y270" s="2099" t="e">
        <f>NA()</f>
        <v>#N/A</v>
      </c>
      <c r="Z270" s="2099"/>
      <c r="AA270" s="2104" t="e">
        <f>NA()</f>
        <v>#N/A</v>
      </c>
      <c r="AB270" s="1638"/>
    </row>
    <row r="271" spans="20:28" x14ac:dyDescent="0.25">
      <c r="T271" s="1637"/>
      <c r="U271" s="2108" t="s">
        <v>1813</v>
      </c>
      <c r="V271" s="2097" t="s">
        <v>1864</v>
      </c>
      <c r="W271" s="2099" t="e">
        <f>NA()</f>
        <v>#N/A</v>
      </c>
      <c r="X271" s="2099"/>
      <c r="Y271" s="2099" t="e">
        <f>NA()</f>
        <v>#N/A</v>
      </c>
      <c r="Z271" s="2099"/>
      <c r="AA271" s="2104" t="e">
        <f>NA()</f>
        <v>#N/A</v>
      </c>
      <c r="AB271" s="1638"/>
    </row>
    <row r="272" spans="20:28" ht="13.25" thickBot="1" x14ac:dyDescent="0.3">
      <c r="T272" s="1637"/>
      <c r="U272" s="2108" t="s">
        <v>1813</v>
      </c>
      <c r="V272" s="2098" t="s">
        <v>1598</v>
      </c>
      <c r="W272" s="2099" t="e">
        <f>NA()</f>
        <v>#N/A</v>
      </c>
      <c r="X272" s="2099"/>
      <c r="Y272" s="2099" t="e">
        <f>NA()</f>
        <v>#N/A</v>
      </c>
      <c r="Z272" s="2099"/>
      <c r="AA272" s="2104" t="e">
        <f>NA()</f>
        <v>#N/A</v>
      </c>
      <c r="AB272" s="1638"/>
    </row>
    <row r="273" spans="20:28" x14ac:dyDescent="0.25">
      <c r="T273" s="1637"/>
      <c r="U273" s="2108" t="s">
        <v>1687</v>
      </c>
      <c r="V273" s="2093" t="s">
        <v>1644</v>
      </c>
      <c r="W273" s="2099" t="e">
        <f>NA()</f>
        <v>#N/A</v>
      </c>
      <c r="X273" s="2099"/>
      <c r="Y273" s="2099" t="e">
        <f>NA()</f>
        <v>#N/A</v>
      </c>
      <c r="Z273" s="2099"/>
      <c r="AA273" s="2104" t="e">
        <f>NA()</f>
        <v>#N/A</v>
      </c>
      <c r="AB273" s="1638"/>
    </row>
    <row r="274" spans="20:28" x14ac:dyDescent="0.25">
      <c r="T274" s="1637"/>
      <c r="U274" s="2108" t="s">
        <v>1687</v>
      </c>
      <c r="V274" s="2094" t="s">
        <v>1645</v>
      </c>
      <c r="W274" s="2099" t="e">
        <f>NA()</f>
        <v>#N/A</v>
      </c>
      <c r="X274" s="2099"/>
      <c r="Y274" s="2099" t="e">
        <f>NA()</f>
        <v>#N/A</v>
      </c>
      <c r="Z274" s="2099"/>
      <c r="AA274" s="2104" t="e">
        <f>NA()</f>
        <v>#N/A</v>
      </c>
      <c r="AB274" s="1638"/>
    </row>
    <row r="275" spans="20:28" x14ac:dyDescent="0.25">
      <c r="T275" s="1637"/>
      <c r="U275" s="2108" t="s">
        <v>1687</v>
      </c>
      <c r="V275" s="2094" t="s">
        <v>1647</v>
      </c>
      <c r="W275" s="2099">
        <v>1.05</v>
      </c>
      <c r="X275" s="2099" t="s">
        <v>1648</v>
      </c>
      <c r="Y275" s="2099">
        <v>13.5</v>
      </c>
      <c r="Z275" s="2099" t="s">
        <v>1648</v>
      </c>
      <c r="AA275" s="2104">
        <v>0.39</v>
      </c>
      <c r="AB275" s="1638"/>
    </row>
    <row r="276" spans="20:28" x14ac:dyDescent="0.25">
      <c r="T276" s="1637"/>
      <c r="U276" s="2108" t="s">
        <v>1687</v>
      </c>
      <c r="V276" s="2094" t="s">
        <v>1650</v>
      </c>
      <c r="W276" s="2099">
        <v>1.3</v>
      </c>
      <c r="X276" s="2099" t="s">
        <v>1648</v>
      </c>
      <c r="Y276" s="2099">
        <v>45</v>
      </c>
      <c r="Z276" s="2099" t="s">
        <v>1648</v>
      </c>
      <c r="AA276" s="2104">
        <v>0.24</v>
      </c>
      <c r="AB276" s="1638"/>
    </row>
    <row r="277" spans="20:28" x14ac:dyDescent="0.25">
      <c r="T277" s="1637"/>
      <c r="U277" s="2108" t="s">
        <v>1687</v>
      </c>
      <c r="V277" s="2094" t="s">
        <v>1417</v>
      </c>
      <c r="W277" s="2099" t="e">
        <f>NA()</f>
        <v>#N/A</v>
      </c>
      <c r="X277" s="2099"/>
      <c r="Y277" s="2099" t="e">
        <f>NA()</f>
        <v>#N/A</v>
      </c>
      <c r="Z277" s="2099"/>
      <c r="AA277" s="2104" t="e">
        <f>NA()</f>
        <v>#N/A</v>
      </c>
      <c r="AB277" s="1638"/>
    </row>
    <row r="278" spans="20:28" x14ac:dyDescent="0.25">
      <c r="T278" s="1637"/>
      <c r="U278" s="2108" t="s">
        <v>1687</v>
      </c>
      <c r="V278" s="2094" t="s">
        <v>1419</v>
      </c>
      <c r="W278" s="2099" t="e">
        <f>NA()</f>
        <v>#N/A</v>
      </c>
      <c r="X278" s="2099"/>
      <c r="Y278" s="2099" t="e">
        <f>NA()</f>
        <v>#N/A</v>
      </c>
      <c r="Z278" s="2099"/>
      <c r="AA278" s="2104" t="e">
        <f>NA()</f>
        <v>#N/A</v>
      </c>
      <c r="AB278" s="1638"/>
    </row>
    <row r="279" spans="20:28" x14ac:dyDescent="0.25">
      <c r="T279" s="1637"/>
      <c r="U279" s="2108" t="s">
        <v>1687</v>
      </c>
      <c r="V279" s="2094" t="s">
        <v>1421</v>
      </c>
      <c r="W279" s="2099">
        <v>1.05</v>
      </c>
      <c r="X279" s="2099" t="s">
        <v>1648</v>
      </c>
      <c r="Y279" s="2099">
        <v>13.5</v>
      </c>
      <c r="Z279" s="2099" t="s">
        <v>1648</v>
      </c>
      <c r="AA279" s="2104">
        <v>0.39</v>
      </c>
      <c r="AB279" s="1638"/>
    </row>
    <row r="280" spans="20:28" x14ac:dyDescent="0.25">
      <c r="T280" s="1637"/>
      <c r="U280" s="2108" t="s">
        <v>1687</v>
      </c>
      <c r="V280" s="2094" t="s">
        <v>1423</v>
      </c>
      <c r="W280" s="2099">
        <v>1.3</v>
      </c>
      <c r="X280" s="2099" t="s">
        <v>1648</v>
      </c>
      <c r="Y280" s="2099">
        <v>45</v>
      </c>
      <c r="Z280" s="2099" t="s">
        <v>1648</v>
      </c>
      <c r="AA280" s="2104">
        <v>0.24</v>
      </c>
      <c r="AB280" s="1638"/>
    </row>
    <row r="281" spans="20:28" x14ac:dyDescent="0.25">
      <c r="T281" s="1637"/>
      <c r="U281" s="2108" t="s">
        <v>1687</v>
      </c>
      <c r="V281" s="2094" t="s">
        <v>2069</v>
      </c>
      <c r="W281" s="2099" t="e">
        <f>NA()</f>
        <v>#N/A</v>
      </c>
      <c r="X281" s="2099"/>
      <c r="Y281" s="2099" t="e">
        <f>NA()</f>
        <v>#N/A</v>
      </c>
      <c r="Z281" s="2099"/>
      <c r="AA281" s="2104" t="e">
        <f>NA()</f>
        <v>#N/A</v>
      </c>
      <c r="AB281" s="1638"/>
    </row>
    <row r="282" spans="20:28" ht="13.25" thickBot="1" x14ac:dyDescent="0.3">
      <c r="T282" s="1637"/>
      <c r="U282" s="2108" t="s">
        <v>1687</v>
      </c>
      <c r="V282" s="2095" t="s">
        <v>32</v>
      </c>
      <c r="W282" s="2099" t="e">
        <f>NA()</f>
        <v>#N/A</v>
      </c>
      <c r="X282" s="2099"/>
      <c r="Y282" s="2099" t="e">
        <f>NA()</f>
        <v>#N/A</v>
      </c>
      <c r="Z282" s="2099"/>
      <c r="AA282" s="2104" t="e">
        <f>NA()</f>
        <v>#N/A</v>
      </c>
      <c r="AB282" s="1638"/>
    </row>
    <row r="283" spans="20:28" x14ac:dyDescent="0.25">
      <c r="T283" s="1637"/>
      <c r="U283" s="2108" t="s">
        <v>1687</v>
      </c>
      <c r="V283" s="2096" t="s">
        <v>1860</v>
      </c>
      <c r="W283" s="2099">
        <v>1.05</v>
      </c>
      <c r="X283" s="2099" t="s">
        <v>1648</v>
      </c>
      <c r="Y283" s="2099">
        <v>13.5</v>
      </c>
      <c r="Z283" s="2099" t="s">
        <v>1648</v>
      </c>
      <c r="AA283" s="2104">
        <v>0.39</v>
      </c>
      <c r="AB283" s="1638"/>
    </row>
    <row r="284" spans="20:28" x14ac:dyDescent="0.25">
      <c r="T284" s="1637"/>
      <c r="U284" s="2108" t="s">
        <v>1687</v>
      </c>
      <c r="V284" s="2097" t="s">
        <v>1861</v>
      </c>
      <c r="W284" s="2099">
        <v>1.3</v>
      </c>
      <c r="X284" s="2099" t="s">
        <v>1648</v>
      </c>
      <c r="Y284" s="2099">
        <v>45</v>
      </c>
      <c r="Z284" s="2099" t="s">
        <v>1648</v>
      </c>
      <c r="AA284" s="2104">
        <v>0.24</v>
      </c>
      <c r="AB284" s="1638"/>
    </row>
    <row r="285" spans="20:28" x14ac:dyDescent="0.25">
      <c r="T285" s="1637"/>
      <c r="U285" s="2108" t="s">
        <v>1687</v>
      </c>
      <c r="V285" s="2097" t="s">
        <v>1862</v>
      </c>
      <c r="W285" s="2099" t="e">
        <f>NA()</f>
        <v>#N/A</v>
      </c>
      <c r="X285" s="2099"/>
      <c r="Y285" s="2099" t="e">
        <f>NA()</f>
        <v>#N/A</v>
      </c>
      <c r="Z285" s="2099"/>
      <c r="AA285" s="2104" t="e">
        <f>NA()</f>
        <v>#N/A</v>
      </c>
      <c r="AB285" s="1638"/>
    </row>
    <row r="286" spans="20:28" x14ac:dyDescent="0.25">
      <c r="T286" s="1637"/>
      <c r="U286" s="2108" t="s">
        <v>1687</v>
      </c>
      <c r="V286" s="2097" t="s">
        <v>1863</v>
      </c>
      <c r="W286" s="2099" t="e">
        <f>NA()</f>
        <v>#N/A</v>
      </c>
      <c r="X286" s="2099"/>
      <c r="Y286" s="2099" t="e">
        <f>NA()</f>
        <v>#N/A</v>
      </c>
      <c r="Z286" s="2099"/>
      <c r="AA286" s="2104" t="e">
        <f>NA()</f>
        <v>#N/A</v>
      </c>
      <c r="AB286" s="1638"/>
    </row>
    <row r="287" spans="20:28" x14ac:dyDescent="0.25">
      <c r="T287" s="1637"/>
      <c r="U287" s="2108" t="s">
        <v>1687</v>
      </c>
      <c r="V287" s="2097" t="s">
        <v>1864</v>
      </c>
      <c r="W287" s="2099" t="e">
        <f>NA()</f>
        <v>#N/A</v>
      </c>
      <c r="X287" s="2099"/>
      <c r="Y287" s="2099" t="e">
        <f>NA()</f>
        <v>#N/A</v>
      </c>
      <c r="Z287" s="2099"/>
      <c r="AA287" s="2104" t="e">
        <f>NA()</f>
        <v>#N/A</v>
      </c>
      <c r="AB287" s="1638"/>
    </row>
    <row r="288" spans="20:28" ht="13.25" thickBot="1" x14ac:dyDescent="0.3">
      <c r="T288" s="1637"/>
      <c r="U288" s="2109" t="s">
        <v>1687</v>
      </c>
      <c r="V288" s="2098" t="s">
        <v>1598</v>
      </c>
      <c r="W288" s="2110" t="e">
        <f>NA()</f>
        <v>#N/A</v>
      </c>
      <c r="X288" s="2110"/>
      <c r="Y288" s="2110" t="e">
        <f>NA()</f>
        <v>#N/A</v>
      </c>
      <c r="Z288" s="2110"/>
      <c r="AA288" s="2111" t="e">
        <f>NA()</f>
        <v>#N/A</v>
      </c>
      <c r="AB288" s="1638"/>
    </row>
    <row r="289" spans="20:28" x14ac:dyDescent="0.25">
      <c r="T289" s="1637"/>
      <c r="U289" s="3"/>
      <c r="V289" s="3"/>
      <c r="W289" s="3"/>
      <c r="X289" s="3"/>
      <c r="Y289" s="3"/>
      <c r="Z289" s="3"/>
      <c r="AA289" s="3"/>
      <c r="AB289" s="1638"/>
    </row>
    <row r="290" spans="20:28" x14ac:dyDescent="0.25">
      <c r="T290" s="1637"/>
      <c r="U290" s="3"/>
      <c r="V290" s="3"/>
      <c r="W290" s="3"/>
      <c r="X290" s="3"/>
      <c r="Y290" s="3"/>
      <c r="Z290" s="3"/>
      <c r="AA290" s="3"/>
      <c r="AB290" s="1638"/>
    </row>
    <row r="291" spans="20:28" ht="13.25" thickBot="1" x14ac:dyDescent="0.3">
      <c r="T291" s="1641"/>
      <c r="U291" s="1642"/>
      <c r="V291" s="1642"/>
      <c r="W291" s="1642"/>
      <c r="X291" s="1642"/>
      <c r="Y291" s="1642"/>
      <c r="Z291" s="1642"/>
      <c r="AA291" s="1642"/>
      <c r="AB291" s="1643"/>
    </row>
  </sheetData>
  <sheetProtection algorithmName="SHA-512" hashValue="6ZqawYoerfL+PzbJZgz2b3gOxG1QY1YhVH5GU2E8jnjsGN8ScpO7wsHDkqk8r/32EyzvUJ61s+9Bh6JiuT8NRg==" saltValue="8gMwqMrYeFfRnZInxJX/lg==" spinCount="100000" sheet="1" objects="1" scenarios="1"/>
  <mergeCells count="37">
    <mergeCell ref="AC2:AC3"/>
    <mergeCell ref="AF2:AF3"/>
    <mergeCell ref="AD2:AD3"/>
    <mergeCell ref="AD127:AH128"/>
    <mergeCell ref="R22:R26"/>
    <mergeCell ref="R13:R14"/>
    <mergeCell ref="R15:R17"/>
    <mergeCell ref="AB2:AB3"/>
    <mergeCell ref="B42:D42"/>
    <mergeCell ref="G37:H37"/>
    <mergeCell ref="G38:H38"/>
    <mergeCell ref="G39:H39"/>
    <mergeCell ref="G40:H41"/>
    <mergeCell ref="B37:D37"/>
    <mergeCell ref="AN9:AP9"/>
    <mergeCell ref="AG2:AG3"/>
    <mergeCell ref="AE2:AE3"/>
    <mergeCell ref="AO3:AQ3"/>
    <mergeCell ref="AN7:AP7"/>
    <mergeCell ref="B3:B9"/>
    <mergeCell ref="D6:D7"/>
    <mergeCell ref="D8:D9"/>
    <mergeCell ref="B41:D41"/>
    <mergeCell ref="B18:B24"/>
    <mergeCell ref="B11:B17"/>
    <mergeCell ref="B39:D39"/>
    <mergeCell ref="B40:D40"/>
    <mergeCell ref="B38:D38"/>
    <mergeCell ref="H7:K7"/>
    <mergeCell ref="I14:L14"/>
    <mergeCell ref="I15:L15"/>
    <mergeCell ref="AJ95:AK96"/>
    <mergeCell ref="AJ47:AJ53"/>
    <mergeCell ref="AD47:AD57"/>
    <mergeCell ref="H9:K9"/>
    <mergeCell ref="I16:L17"/>
    <mergeCell ref="J37:M37"/>
  </mergeCells>
  <phoneticPr fontId="3" type="noConversion"/>
  <conditionalFormatting sqref="G21:G30">
    <cfRule type="cellIs" dxfId="8" priority="1" stopIfTrue="1" operator="equal">
      <formula>0</formula>
    </cfRule>
  </conditionalFormatting>
  <dataValidations xWindow="269" yWindow="297" count="16">
    <dataValidation type="list" allowBlank="1" showInputMessage="1" showErrorMessage="1" sqref="I37 E37" xr:uid="{00000000-0002-0000-0300-000000000000}">
      <formula1>$AK$107:$AK$110</formula1>
    </dataValidation>
    <dataValidation operator="equal" allowBlank="1" sqref="V15:V17 R7:S7 E3:L3 AA5" xr:uid="{00000000-0002-0000-0300-000001000000}"/>
    <dataValidation operator="equal" allowBlank="1" showInputMessage="1" sqref="F4:G4" xr:uid="{00000000-0002-0000-0300-000002000000}"/>
    <dataValidation allowBlank="1" showErrorMessage="1" promptTitle="General tillage practice changes" sqref="D12" xr:uid="{00000000-0002-0000-0300-000003000000}"/>
    <dataValidation type="list" allowBlank="1" showInputMessage="1" showErrorMessage="1" sqref="D31" xr:uid="{00000000-0002-0000-0300-000004000000}">
      <formula1>$BF$12:$BF$13</formula1>
    </dataValidation>
    <dataValidation type="list" allowBlank="1" showInputMessage="1" showErrorMessage="1" sqref="E9 E7" xr:uid="{00000000-0002-0000-0300-000005000000}">
      <formula1>$AE$48:$AE$63</formula1>
    </dataValidation>
    <dataValidation type="list" operator="equal" allowBlank="1" showInputMessage="1" sqref="E12" xr:uid="{00000000-0002-0000-0300-000006000000}">
      <formula1>$AK$58:$AK$64</formula1>
    </dataValidation>
    <dataValidation type="list" operator="equal" allowBlank="1" showInputMessage="1" sqref="E4" xr:uid="{00000000-0002-0000-0300-000007000000}">
      <formula1>$AK$49:$AK$55</formula1>
    </dataValidation>
    <dataValidation type="list" allowBlank="1" showInputMessage="1" showErrorMessage="1" sqref="J21:J30" xr:uid="{00000000-0002-0000-0300-000008000000}">
      <formula1>$AK$98:$AK$102</formula1>
    </dataValidation>
    <dataValidation allowBlank="1" showErrorMessage="1" sqref="D13:D16" xr:uid="{00000000-0002-0000-0300-000009000000}"/>
    <dataValidation allowBlank="1" showInputMessage="1" showErrorMessage="1" prompt="Defaults to last year's value which will give no biomass accumulation. " sqref="I20" xr:uid="{00000000-0002-0000-0300-00000A000000}"/>
    <dataValidation allowBlank="1" showInputMessage="1" showErrorMessage="1" prompt="trees planted - trees lost last year to this year" sqref="K20" xr:uid="{00000000-0002-0000-0300-00000B000000}"/>
    <dataValidation allowBlank="1" showInputMessage="1" showErrorMessage="1" prompt="Where long term grassland/pasture has been converted to arable production, or forest has been cleared. Select &quot;No&quot; if land use has been constant for 20 years or more." sqref="D4" xr:uid="{00000000-0002-0000-0300-00000C000000}"/>
    <dataValidation type="list" allowBlank="1" showInputMessage="1" showErrorMessage="1" sqref="E13" xr:uid="{00000000-0002-0000-0300-00000D000000}">
      <formula1>$AK$68:$AK$70</formula1>
    </dataValidation>
    <dataValidation type="list" allowBlank="1" showInputMessage="1" showErrorMessage="1" sqref="E14:E16" xr:uid="{00000000-0002-0000-0300-00000E000000}">
      <formula1>$AL$68:$AL$70</formula1>
    </dataValidation>
    <dataValidation type="list" allowBlank="1" showInputMessage="1" showErrorMessage="1" sqref="E21:E30" xr:uid="{00000000-0002-0000-0300-00000F000000}">
      <formula1>$AE$129:$AE$141</formula1>
    </dataValidation>
  </dataValidations>
  <pageMargins left="0.75" right="0.75" top="1" bottom="1" header="0.5" footer="0.5"/>
  <pageSetup paperSize="9" orientation="portrait" horizontalDpi="4294967293"/>
  <ignoredErrors>
    <ignoredError sqref="I15" formula="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DT505"/>
  <sheetViews>
    <sheetView showGridLines="0" workbookViewId="0">
      <pane ySplit="1" topLeftCell="A2" activePane="bottomLeft" state="frozen"/>
      <selection activeCell="E31" sqref="E31"/>
      <selection pane="bottomLeft" activeCell="G14" sqref="G14"/>
    </sheetView>
  </sheetViews>
  <sheetFormatPr defaultColWidth="11.44140625" defaultRowHeight="12.7" x14ac:dyDescent="0.25"/>
  <cols>
    <col min="1" max="1" width="5.6640625" customWidth="1" collapsed="1"/>
    <col min="2" max="2" width="14.6640625" customWidth="1" collapsed="1"/>
    <col min="3" max="3" width="2.44140625" customWidth="1" collapsed="1"/>
    <col min="4" max="4" width="22.77734375" customWidth="1" collapsed="1"/>
    <col min="5" max="5" width="28.44140625" customWidth="1" collapsed="1"/>
    <col min="6" max="6" width="18.33203125" customWidth="1" collapsed="1"/>
    <col min="7" max="7" width="14.33203125" customWidth="1" collapsed="1"/>
    <col min="8" max="8" width="18.44140625" customWidth="1" collapsed="1"/>
    <col min="9" max="9" width="17.77734375" customWidth="1" collapsed="1"/>
    <col min="10" max="13" width="15.33203125" customWidth="1" collapsed="1"/>
    <col min="14" max="14" width="6.44140625" customWidth="1" collapsed="1"/>
    <col min="15" max="15" width="35.6640625" customWidth="1" collapsed="1"/>
    <col min="16" max="18" width="13.44140625" customWidth="1" collapsed="1"/>
    <col min="19" max="20" width="36.33203125" customWidth="1" collapsed="1"/>
    <col min="21" max="21" width="13.44140625" customWidth="1" collapsed="1"/>
    <col min="22" max="22" width="16.77734375" customWidth="1" collapsed="1"/>
    <col min="23" max="23" width="18" customWidth="1" collapsed="1"/>
    <col min="24" max="24" width="8.77734375" customWidth="1" collapsed="1"/>
    <col min="25" max="25" width="33.44140625" customWidth="1" collapsed="1"/>
    <col min="26" max="26" width="15.6640625" customWidth="1" collapsed="1"/>
    <col min="27" max="27" width="18.6640625" customWidth="1" collapsed="1"/>
    <col min="28" max="28" width="29.44140625" customWidth="1" collapsed="1"/>
    <col min="29" max="29" width="30.21875" customWidth="1" collapsed="1"/>
    <col min="30" max="31" width="38.44140625" customWidth="1" collapsed="1"/>
    <col min="32" max="32" width="27.6640625" customWidth="1" collapsed="1"/>
    <col min="33" max="34" width="38.44140625" customWidth="1" collapsed="1"/>
    <col min="35" max="35" width="20.44140625" customWidth="1" collapsed="1"/>
    <col min="36" max="36" width="9.33203125" customWidth="1" collapsed="1"/>
    <col min="37" max="43" width="21.44140625" customWidth="1" collapsed="1"/>
    <col min="44" max="44" width="20.21875" customWidth="1" collapsed="1"/>
    <col min="45" max="47" width="18.6640625" customWidth="1" collapsed="1"/>
    <col min="48" max="48" width="15.44140625" customWidth="1" collapsed="1"/>
    <col min="49" max="51" width="13.77734375" customWidth="1" collapsed="1"/>
    <col min="52" max="52" width="15.33203125" customWidth="1" collapsed="1"/>
    <col min="53" max="54" width="13.44140625" customWidth="1" collapsed="1"/>
    <col min="55" max="55" width="23.21875" customWidth="1" collapsed="1"/>
    <col min="56" max="56" width="13.44140625" customWidth="1" collapsed="1"/>
    <col min="57" max="57" width="15" customWidth="1" collapsed="1"/>
    <col min="58" max="59" width="11.44140625" bestFit="1" customWidth="1" collapsed="1"/>
    <col min="60" max="62" width="16.44140625" customWidth="1" collapsed="1"/>
    <col min="63" max="63" width="25.44140625" customWidth="1" collapsed="1"/>
    <col min="64" max="64" width="12" bestFit="1" customWidth="1" collapsed="1"/>
    <col min="65" max="65" width="17.33203125" customWidth="1" collapsed="1"/>
    <col min="66" max="66" width="18" customWidth="1" collapsed="1"/>
    <col min="67" max="67" width="42.44140625" customWidth="1" collapsed="1"/>
    <col min="68" max="68" width="19.6640625" customWidth="1" collapsed="1"/>
    <col min="70" max="70" width="11.6640625" bestFit="1" customWidth="1" collapsed="1"/>
    <col min="71" max="71" width="13.77734375" bestFit="1" customWidth="1" collapsed="1"/>
    <col min="72" max="72" width="16" bestFit="1" customWidth="1" collapsed="1"/>
    <col min="73" max="73" width="21.77734375" bestFit="1" customWidth="1" collapsed="1"/>
    <col min="79" max="79" width="11.44140625" bestFit="1" customWidth="1" collapsed="1"/>
    <col min="80" max="80" width="32.44140625" customWidth="1" collapsed="1"/>
    <col min="81" max="81" width="17.21875" customWidth="1" collapsed="1"/>
    <col min="82" max="82" width="11.44140625" bestFit="1" customWidth="1" collapsed="1"/>
    <col min="83" max="83" width="23.77734375" customWidth="1" collapsed="1"/>
    <col min="84" max="84" width="17.21875" customWidth="1" collapsed="1"/>
    <col min="85" max="85" width="26.6640625" customWidth="1" collapsed="1"/>
    <col min="86" max="86" width="26.44140625" customWidth="1" collapsed="1"/>
    <col min="87" max="87" width="42.6640625" customWidth="1" collapsed="1"/>
    <col min="88" max="88" width="30.77734375" customWidth="1" collapsed="1"/>
    <col min="89" max="89" width="11.44140625" bestFit="1" customWidth="1" collapsed="1"/>
    <col min="90" max="90" width="11.77734375" bestFit="1" customWidth="1" collapsed="1"/>
    <col min="91" max="91" width="12.77734375" bestFit="1" customWidth="1" collapsed="1"/>
    <col min="92" max="93" width="11.77734375" bestFit="1" customWidth="1" collapsed="1"/>
    <col min="94" max="94" width="18.77734375" bestFit="1" customWidth="1" collapsed="1"/>
    <col min="95" max="95" width="11.77734375" bestFit="1" customWidth="1" collapsed="1"/>
    <col min="96" max="96" width="11.6640625" bestFit="1" customWidth="1" collapsed="1"/>
    <col min="97" max="107" width="11.44140625" bestFit="1" customWidth="1" collapsed="1"/>
    <col min="113" max="114" width="11.44140625" bestFit="1" customWidth="1" collapsed="1"/>
    <col min="120" max="120" width="11.44140625" bestFit="1" customWidth="1" collapsed="1"/>
    <col min="123" max="124" width="11.44140625" bestFit="1" customWidth="1" collapsed="1"/>
  </cols>
  <sheetData>
    <row r="1" spans="1:123" ht="97.5" customHeight="1" x14ac:dyDescent="0.25">
      <c r="A1" s="25"/>
      <c r="B1" s="25"/>
      <c r="C1" s="25"/>
      <c r="D1" s="360"/>
      <c r="E1" s="337"/>
      <c r="F1" s="338"/>
      <c r="G1" s="25"/>
      <c r="H1" s="338"/>
      <c r="I1" s="338"/>
      <c r="J1" s="25"/>
      <c r="K1" s="25"/>
      <c r="L1" s="25"/>
      <c r="M1" s="25"/>
      <c r="N1" s="25"/>
      <c r="O1" s="25"/>
      <c r="P1" s="25"/>
      <c r="Q1" s="25"/>
      <c r="R1" s="25"/>
      <c r="S1" s="25"/>
      <c r="T1" s="25"/>
      <c r="U1" s="25"/>
      <c r="V1" s="25"/>
      <c r="W1" s="25"/>
      <c r="X1" s="13"/>
      <c r="Y1" s="25"/>
      <c r="Z1" s="25"/>
      <c r="AA1" s="3"/>
      <c r="AB1" s="3"/>
      <c r="AC1" s="3"/>
      <c r="AD1" s="25"/>
      <c r="AE1" s="13"/>
      <c r="AF1" s="13"/>
      <c r="AG1" s="13"/>
      <c r="AH1" s="13"/>
      <c r="AI1" s="13"/>
      <c r="AJ1" s="13"/>
      <c r="AK1" s="13"/>
      <c r="AL1" s="13"/>
      <c r="AM1" s="79"/>
      <c r="AN1" s="13"/>
      <c r="AO1" s="13"/>
      <c r="AP1" s="13"/>
      <c r="AQ1" s="13"/>
      <c r="AR1" s="13"/>
      <c r="AS1" s="13"/>
      <c r="AT1" s="13"/>
      <c r="AU1" s="25"/>
      <c r="AV1" s="13"/>
      <c r="AW1" s="13"/>
      <c r="AX1" s="25"/>
      <c r="AY1" s="25"/>
      <c r="AZ1" s="25"/>
      <c r="BA1" s="25"/>
      <c r="BB1" s="25"/>
      <c r="BC1" s="25"/>
      <c r="BD1" s="25"/>
      <c r="BE1" s="25"/>
      <c r="BF1" s="25"/>
      <c r="BG1" s="25"/>
      <c r="BH1" s="25"/>
      <c r="BI1" s="25"/>
      <c r="BJ1" s="25"/>
      <c r="BK1" s="25"/>
      <c r="BL1" s="25"/>
      <c r="BM1" s="25"/>
      <c r="BN1" s="25"/>
      <c r="BO1" s="13"/>
      <c r="BP1" s="13"/>
      <c r="BQ1" s="13"/>
      <c r="BR1" s="13"/>
      <c r="BS1" s="13"/>
      <c r="BT1" s="13"/>
      <c r="BU1" s="13"/>
      <c r="BV1" s="13"/>
      <c r="BW1" s="13"/>
      <c r="BX1" s="2"/>
      <c r="BY1" s="2"/>
      <c r="BZ1" s="2"/>
      <c r="CA1" s="15"/>
      <c r="CB1" s="15"/>
      <c r="CC1" s="15"/>
      <c r="CD1" s="15"/>
      <c r="CE1" s="15"/>
      <c r="CF1" s="15"/>
      <c r="CG1" s="15"/>
      <c r="CH1" s="15"/>
      <c r="CI1" s="15"/>
      <c r="CJ1" s="15"/>
      <c r="CK1" s="15"/>
      <c r="CL1" s="15"/>
      <c r="CM1" s="15"/>
      <c r="CN1" s="15"/>
      <c r="CO1" s="15"/>
      <c r="CP1" s="15"/>
      <c r="CQ1" s="15"/>
      <c r="CR1" s="15"/>
      <c r="CS1" s="15"/>
      <c r="CT1" s="15"/>
      <c r="CU1" s="15"/>
      <c r="CV1" s="15"/>
      <c r="DS1" s="15"/>
    </row>
    <row r="2" spans="1:123" ht="14.25" customHeight="1" thickBot="1" x14ac:dyDescent="0.3">
      <c r="A2" s="25"/>
      <c r="B2" s="25"/>
      <c r="C2" s="25"/>
      <c r="D2" s="360"/>
      <c r="E2" s="337"/>
      <c r="F2" s="338"/>
      <c r="G2" s="25"/>
      <c r="H2" s="338"/>
      <c r="I2" s="338"/>
      <c r="J2" s="25"/>
      <c r="K2" s="25"/>
      <c r="L2" s="25"/>
      <c r="M2" s="25"/>
      <c r="N2" s="25"/>
      <c r="O2" s="25"/>
      <c r="P2" s="25"/>
      <c r="Q2" s="25"/>
      <c r="R2" s="25"/>
      <c r="S2" s="25"/>
      <c r="T2" s="25"/>
      <c r="U2" s="25"/>
      <c r="V2" s="25"/>
      <c r="W2" s="25"/>
      <c r="X2" s="13"/>
      <c r="Y2" s="25"/>
      <c r="Z2" s="25"/>
      <c r="AA2" s="3"/>
      <c r="AB2" s="3"/>
      <c r="AC2" s="3"/>
      <c r="AD2" s="25"/>
      <c r="AE2" s="13"/>
      <c r="AF2" s="13"/>
      <c r="AG2" s="13"/>
      <c r="AH2" s="13"/>
      <c r="AI2" s="13"/>
      <c r="AJ2" s="13"/>
      <c r="AK2" s="13"/>
      <c r="AL2" s="13"/>
      <c r="AM2" s="79"/>
      <c r="AN2" s="13"/>
      <c r="AO2" s="13"/>
      <c r="AP2" s="13"/>
      <c r="AQ2" s="13"/>
      <c r="AR2" s="13"/>
      <c r="AS2" s="13"/>
      <c r="AT2" s="13"/>
      <c r="AU2" s="25"/>
      <c r="AV2" s="13"/>
      <c r="AW2" s="13"/>
      <c r="AX2" s="13"/>
      <c r="AY2" s="13"/>
      <c r="AZ2" s="13"/>
      <c r="BA2" s="2"/>
      <c r="BB2" s="2"/>
      <c r="BC2" s="2"/>
      <c r="BD2" s="2"/>
      <c r="BE2" s="2"/>
      <c r="BF2" s="2"/>
      <c r="BG2" s="2"/>
      <c r="BH2" s="2"/>
      <c r="BI2" s="25"/>
      <c r="BJ2" s="25"/>
      <c r="BK2" s="25"/>
      <c r="BL2" s="25"/>
      <c r="BM2" s="25"/>
      <c r="BN2" s="25"/>
      <c r="BO2" s="13"/>
      <c r="BP2" s="13"/>
      <c r="BQ2" s="13"/>
      <c r="BR2" s="13"/>
      <c r="BS2" s="13"/>
      <c r="BT2" s="13"/>
      <c r="BU2" s="13"/>
      <c r="BV2" s="13"/>
      <c r="BW2" s="13"/>
      <c r="BX2" s="2"/>
      <c r="BY2" s="2"/>
      <c r="BZ2" s="2"/>
      <c r="CA2" s="15"/>
      <c r="CB2" s="15"/>
      <c r="CC2" s="15"/>
      <c r="CD2" s="15"/>
      <c r="CE2" s="15"/>
      <c r="CF2" s="15"/>
      <c r="CG2" s="15"/>
      <c r="CH2" s="15"/>
      <c r="CI2" s="15"/>
      <c r="CJ2" s="15"/>
      <c r="CK2" s="15"/>
      <c r="CL2" s="15"/>
      <c r="CM2" s="15"/>
      <c r="CN2" s="15"/>
      <c r="CO2" s="15"/>
      <c r="CP2" s="15"/>
      <c r="CQ2" s="15"/>
      <c r="CR2" s="15"/>
      <c r="CS2" s="15"/>
      <c r="CT2" s="15"/>
      <c r="CU2" s="15"/>
      <c r="CV2" s="15"/>
      <c r="DS2" s="15"/>
    </row>
    <row r="3" spans="1:123" ht="11.95" customHeight="1" x14ac:dyDescent="0.25">
      <c r="A3" s="13"/>
      <c r="B3" s="970"/>
      <c r="C3" s="971"/>
      <c r="D3" s="1229"/>
      <c r="E3" s="1230"/>
      <c r="F3" s="1230"/>
      <c r="G3" s="1230"/>
      <c r="H3" s="1230"/>
      <c r="I3" s="1230"/>
      <c r="J3" s="1230"/>
      <c r="K3" s="1230"/>
      <c r="L3" s="1230"/>
      <c r="M3" s="1230"/>
      <c r="N3" s="1230"/>
      <c r="O3" s="1230"/>
      <c r="P3" s="1230"/>
      <c r="Q3" s="1230"/>
      <c r="R3" s="1231"/>
      <c r="S3" s="406"/>
      <c r="T3" s="406"/>
      <c r="U3" s="406"/>
      <c r="V3" s="406"/>
      <c r="W3" s="25"/>
      <c r="X3" s="13"/>
      <c r="Y3" s="25"/>
      <c r="Z3" s="25"/>
      <c r="AA3" s="3"/>
      <c r="AB3" s="3"/>
      <c r="AC3" s="3"/>
      <c r="AD3" s="25"/>
      <c r="AE3" s="13"/>
      <c r="AF3" s="13"/>
      <c r="AG3" s="13"/>
      <c r="AH3" s="13"/>
      <c r="AI3" s="13"/>
      <c r="AJ3" s="13"/>
      <c r="AK3" s="13"/>
      <c r="AL3" s="13"/>
      <c r="AM3" s="25"/>
      <c r="AN3" s="13"/>
      <c r="AO3" s="13"/>
      <c r="AP3" s="13"/>
      <c r="AQ3" s="13"/>
      <c r="AR3" s="13"/>
      <c r="AS3" s="13"/>
      <c r="AT3" s="13"/>
      <c r="AU3" s="13"/>
      <c r="AV3" s="13"/>
      <c r="AW3" s="13"/>
      <c r="AX3" s="13"/>
      <c r="AY3" s="13"/>
      <c r="AZ3" s="13"/>
      <c r="BA3" s="2"/>
      <c r="BB3" s="2"/>
      <c r="BC3" s="2"/>
      <c r="BD3" s="2"/>
      <c r="BE3" s="2"/>
      <c r="BF3" s="2"/>
      <c r="BG3" s="2"/>
      <c r="BH3" s="2"/>
      <c r="BI3" s="25"/>
      <c r="BJ3" s="25"/>
      <c r="BK3" s="25"/>
      <c r="BL3" s="25"/>
      <c r="BM3" s="25"/>
      <c r="BN3" s="25"/>
      <c r="BO3" s="25"/>
      <c r="BP3" s="13"/>
      <c r="BQ3" s="13"/>
      <c r="BR3" s="25"/>
      <c r="BS3" s="25"/>
      <c r="BT3" s="25"/>
      <c r="BU3" s="25"/>
      <c r="BV3" s="25"/>
      <c r="BW3" s="25"/>
      <c r="BX3" s="2"/>
      <c r="BY3" s="2"/>
      <c r="BZ3" s="2"/>
      <c r="CA3" s="84"/>
      <c r="CB3" s="84"/>
      <c r="CC3" s="84"/>
      <c r="CD3" s="84"/>
      <c r="CE3" s="84"/>
      <c r="CF3" s="84"/>
      <c r="CG3" s="84"/>
      <c r="CH3" s="84"/>
      <c r="CI3" s="84"/>
      <c r="CJ3" s="84"/>
      <c r="CK3" s="84"/>
      <c r="CL3" s="84"/>
      <c r="CM3" s="84"/>
      <c r="CN3" s="84"/>
      <c r="CO3" s="84"/>
      <c r="CP3" s="84"/>
      <c r="CQ3" s="84"/>
      <c r="CR3" s="84"/>
      <c r="CS3" s="84"/>
      <c r="CT3" s="84"/>
      <c r="CU3" s="84"/>
      <c r="CV3" s="84"/>
      <c r="DS3" s="84"/>
    </row>
    <row r="4" spans="1:123" ht="36.75" customHeight="1" thickBot="1" x14ac:dyDescent="0.3">
      <c r="A4" s="13"/>
      <c r="B4" s="1243" t="s">
        <v>193</v>
      </c>
      <c r="C4" s="972"/>
      <c r="D4" s="2409" t="str">
        <f>IF('1.GeneralInfo'!E7="[Select]","You must enter information on the General Info tab for this page to work!",IF('1.GeneralInfo'!E7="","You must enter enter  information on the crop management tab for this page to work!",""))</f>
        <v/>
      </c>
      <c r="E4" s="2410"/>
      <c r="F4" s="407"/>
      <c r="G4" s="407"/>
      <c r="H4" s="407"/>
      <c r="I4" s="407"/>
      <c r="J4" s="407"/>
      <c r="K4" s="407"/>
      <c r="L4" s="407"/>
      <c r="M4" s="407"/>
      <c r="N4" s="407"/>
      <c r="O4" s="407"/>
      <c r="P4" s="407"/>
      <c r="Q4" s="407"/>
      <c r="R4" s="1232"/>
      <c r="S4" s="406"/>
      <c r="T4" s="406"/>
      <c r="U4" s="406"/>
      <c r="V4" s="406"/>
      <c r="W4" s="25"/>
      <c r="X4" s="13"/>
      <c r="Y4" s="25"/>
      <c r="Z4" s="25"/>
      <c r="AA4" s="3"/>
      <c r="AB4" s="3"/>
      <c r="AC4" s="3"/>
      <c r="AD4" s="25"/>
      <c r="AE4" s="13"/>
      <c r="AF4" s="13"/>
      <c r="AG4" s="13"/>
      <c r="AH4" s="13"/>
      <c r="AI4" s="13"/>
      <c r="AJ4" s="13"/>
      <c r="AK4" s="13"/>
      <c r="AL4" s="13"/>
      <c r="AM4" s="25"/>
      <c r="AN4" s="13"/>
      <c r="AO4" s="13"/>
      <c r="AP4" s="13"/>
      <c r="AQ4" s="13"/>
      <c r="AR4" s="13"/>
      <c r="AS4" s="13"/>
      <c r="AT4" s="13"/>
      <c r="AU4" s="13"/>
      <c r="AV4" s="13"/>
      <c r="AW4" s="13"/>
      <c r="AX4" s="13"/>
      <c r="AY4" s="13"/>
      <c r="AZ4" s="13"/>
      <c r="BA4" s="2"/>
      <c r="BB4" s="2"/>
      <c r="BC4" s="2"/>
      <c r="BD4" s="2"/>
      <c r="BE4" s="2"/>
      <c r="BF4" s="2"/>
      <c r="BG4" s="2"/>
      <c r="BH4" s="2"/>
      <c r="BI4" s="25"/>
      <c r="BJ4" s="25"/>
      <c r="BK4" s="25"/>
      <c r="BL4" s="25"/>
      <c r="BM4" s="25"/>
      <c r="BN4" s="25"/>
      <c r="BO4" s="25"/>
      <c r="BP4" s="25"/>
      <c r="BQ4" s="25"/>
      <c r="BR4" s="25"/>
      <c r="BS4" s="25"/>
      <c r="BT4" s="25"/>
      <c r="BU4" s="25"/>
      <c r="BV4" s="25"/>
      <c r="BW4" s="25"/>
      <c r="BX4" s="25"/>
      <c r="BY4" s="25"/>
      <c r="BZ4" s="25"/>
      <c r="CA4" s="84"/>
      <c r="CB4" s="84"/>
      <c r="CC4" s="84"/>
      <c r="CD4" s="84"/>
      <c r="CE4" s="84"/>
      <c r="CF4" s="84"/>
      <c r="CG4" s="84"/>
      <c r="CH4" s="84"/>
      <c r="CI4" s="84"/>
      <c r="CJ4" s="84"/>
      <c r="CK4" s="84"/>
      <c r="CL4" s="84"/>
      <c r="CM4" s="84"/>
      <c r="CN4" s="84"/>
      <c r="CO4" s="84"/>
      <c r="CP4" s="84"/>
      <c r="CQ4" s="84"/>
      <c r="CR4" s="84"/>
      <c r="CS4" s="84"/>
      <c r="CT4" s="84"/>
      <c r="CU4" s="84"/>
      <c r="CV4" s="84"/>
      <c r="DS4" s="84"/>
    </row>
    <row r="5" spans="1:123" ht="21.75" customHeight="1" x14ac:dyDescent="0.25">
      <c r="A5" s="13"/>
      <c r="B5" s="2435" t="s">
        <v>1384</v>
      </c>
      <c r="C5" s="1557"/>
      <c r="D5" s="1242" t="s">
        <v>498</v>
      </c>
      <c r="E5" s="1193" t="s">
        <v>499</v>
      </c>
      <c r="F5" s="408"/>
      <c r="G5" s="407" t="str">
        <f>IF(E5="Life cycle",IF(I12&lt;=I11,IF(I11&lt;=I10,"","Warning - animal numbers should not increase through a life cycle"),"Warning - animal numbers should not increase through a life cycle"),"")</f>
        <v/>
      </c>
      <c r="H5" s="408"/>
      <c r="I5" s="408"/>
      <c r="J5" s="408"/>
      <c r="K5" s="409"/>
      <c r="L5" s="409"/>
      <c r="M5" s="409"/>
      <c r="N5" s="409"/>
      <c r="O5" s="409"/>
      <c r="P5" s="409"/>
      <c r="Q5" s="409"/>
      <c r="R5" s="410"/>
      <c r="S5" s="406"/>
      <c r="T5" s="406"/>
      <c r="U5" s="406"/>
      <c r="V5" s="406"/>
      <c r="W5" s="25"/>
      <c r="X5" s="13"/>
      <c r="Y5" s="350"/>
      <c r="Z5" s="351"/>
      <c r="AA5" s="352"/>
      <c r="AB5" s="352"/>
      <c r="AC5" s="352"/>
      <c r="AD5" s="351"/>
      <c r="AE5" s="351"/>
      <c r="AF5" s="351"/>
      <c r="AG5" s="351"/>
      <c r="AH5" s="351"/>
      <c r="AI5" s="351"/>
      <c r="AJ5" s="351"/>
      <c r="AK5" s="351"/>
      <c r="AL5" s="351"/>
      <c r="AM5" s="351"/>
      <c r="AN5" s="351"/>
      <c r="AO5" s="351"/>
      <c r="AP5" s="351"/>
      <c r="AQ5" s="351"/>
      <c r="AR5" s="351"/>
      <c r="AS5" s="351"/>
      <c r="AT5" s="351"/>
      <c r="AU5" s="351"/>
      <c r="AV5" s="351"/>
      <c r="AW5" s="351"/>
      <c r="AX5" s="351"/>
      <c r="AY5" s="351"/>
      <c r="AZ5" s="351"/>
      <c r="BA5" s="1635"/>
      <c r="BB5" s="1635"/>
      <c r="BC5" s="1635"/>
      <c r="BD5" s="1635"/>
      <c r="BE5" s="1635"/>
      <c r="BF5" s="1635"/>
      <c r="BG5" s="1635"/>
      <c r="BH5" s="1635"/>
      <c r="BI5" s="351"/>
      <c r="BJ5" s="153"/>
      <c r="BK5" s="25"/>
      <c r="BL5" s="25"/>
      <c r="BM5" s="25"/>
      <c r="BN5" s="25"/>
      <c r="BO5" s="25"/>
      <c r="BP5" s="25"/>
      <c r="BQ5" s="25"/>
      <c r="BR5" s="25"/>
      <c r="BS5" s="25"/>
      <c r="BT5" s="2"/>
      <c r="BU5" s="2"/>
      <c r="BV5" s="2"/>
      <c r="BW5" s="25"/>
      <c r="BX5" s="25"/>
      <c r="BY5" s="25"/>
      <c r="BZ5" s="25"/>
      <c r="CA5" s="84"/>
      <c r="CB5" s="84"/>
      <c r="CC5" s="84"/>
      <c r="CD5" s="84"/>
      <c r="CE5" s="84"/>
      <c r="CF5" s="84"/>
      <c r="CG5" s="84"/>
      <c r="CH5" s="84"/>
      <c r="CI5" s="84"/>
      <c r="CJ5" s="84"/>
      <c r="CK5" s="84"/>
      <c r="CL5" s="84"/>
      <c r="CM5" s="84"/>
      <c r="CN5" s="84"/>
      <c r="CO5" s="84"/>
      <c r="CP5" s="84"/>
      <c r="CQ5" s="84"/>
      <c r="CR5" s="84"/>
      <c r="CS5" s="84"/>
      <c r="CT5" s="84"/>
      <c r="CU5" s="84"/>
      <c r="CV5" s="84"/>
      <c r="DS5" s="84"/>
    </row>
    <row r="6" spans="1:123" ht="18.75" customHeight="1" thickBot="1" x14ac:dyDescent="0.3">
      <c r="A6" s="13"/>
      <c r="B6" s="2436"/>
      <c r="C6" s="1557"/>
      <c r="D6" s="1233"/>
      <c r="E6" s="412"/>
      <c r="F6" s="413"/>
      <c r="G6" s="411"/>
      <c r="H6" s="1353"/>
      <c r="I6" s="413"/>
      <c r="J6" s="411"/>
      <c r="K6" s="411"/>
      <c r="L6" s="411"/>
      <c r="M6" s="411"/>
      <c r="N6" s="411"/>
      <c r="O6" s="411"/>
      <c r="P6" s="411"/>
      <c r="Q6" s="411"/>
      <c r="R6" s="414"/>
      <c r="S6" s="415"/>
      <c r="T6" s="415"/>
      <c r="U6" s="415"/>
      <c r="V6" s="415"/>
      <c r="W6" s="415"/>
      <c r="X6" s="25"/>
      <c r="Y6" s="121"/>
      <c r="Z6" s="77" t="s">
        <v>551</v>
      </c>
      <c r="AA6" s="77" t="s">
        <v>1001</v>
      </c>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343"/>
      <c r="BK6" s="25"/>
      <c r="BL6" s="106"/>
      <c r="BM6" s="25"/>
      <c r="BN6" s="25"/>
      <c r="BO6" s="25"/>
      <c r="BP6" s="25"/>
      <c r="BQ6" s="25"/>
      <c r="BR6" s="25"/>
      <c r="BS6" s="25"/>
      <c r="BT6" s="2"/>
      <c r="BU6" s="2"/>
      <c r="BV6" s="2"/>
      <c r="BW6" s="13"/>
      <c r="BX6" s="25"/>
      <c r="BY6" s="25"/>
      <c r="BZ6" s="25"/>
      <c r="CA6" s="25"/>
      <c r="CB6" s="13"/>
      <c r="CC6" s="84"/>
      <c r="CD6" s="84"/>
      <c r="CE6" s="84"/>
      <c r="CF6" s="84"/>
      <c r="CG6" s="84"/>
      <c r="CH6" s="84"/>
      <c r="CI6" s="84"/>
      <c r="CJ6" s="84"/>
      <c r="CK6" s="84"/>
      <c r="CL6" s="84"/>
      <c r="CM6" s="84"/>
      <c r="CN6" s="84"/>
      <c r="CO6" s="84"/>
      <c r="CP6" s="84"/>
      <c r="CQ6" s="84"/>
      <c r="CR6" s="84"/>
      <c r="CS6" s="84"/>
      <c r="CT6" s="84"/>
      <c r="CU6" s="84"/>
      <c r="CV6" s="84"/>
      <c r="DS6" s="84"/>
    </row>
    <row r="7" spans="1:123" ht="23.2" customHeight="1" x14ac:dyDescent="0.25">
      <c r="A7" s="13"/>
      <c r="B7" s="2436"/>
      <c r="C7" s="1557"/>
      <c r="D7" s="1234" t="s">
        <v>326</v>
      </c>
      <c r="E7" s="1202" t="str">
        <f>IF(ISBLANK(Import!D296),"[Select]", Import!D296)</f>
        <v>[Select]</v>
      </c>
      <c r="F7" s="413"/>
      <c r="G7" s="411">
        <f>SUMIF(AI122:AI133,E7,AQ122:AQ133)</f>
        <v>0</v>
      </c>
      <c r="H7" s="1450" t="str">
        <f ca="1">IF(E7&lt;&gt;"hens","NULL",IF(ISBLANK(Import!D297),OFFSET(AJ297,IF(E7="hens",1,0),),Import!D297))</f>
        <v>NULL</v>
      </c>
      <c r="I7" s="2425" t="str">
        <f>IF(G7=1,"you can select from a limited range of hen breeds from the drop-down list, to pre-fill dry matter intake","")</f>
        <v/>
      </c>
      <c r="J7" s="2425"/>
      <c r="K7" s="2425"/>
      <c r="L7" s="397"/>
      <c r="M7" s="411"/>
      <c r="N7" s="411"/>
      <c r="O7" s="411"/>
      <c r="P7" s="411"/>
      <c r="Q7" s="411"/>
      <c r="R7" s="414"/>
      <c r="S7" s="415"/>
      <c r="T7" s="415"/>
      <c r="U7" s="415"/>
      <c r="V7" s="415"/>
      <c r="W7" s="2"/>
      <c r="X7" s="13"/>
      <c r="Y7" s="121"/>
      <c r="Z7" s="77">
        <f>SUMIF(AD$298:AD$301,F10,AO$298:AO$301)*E10/365</f>
        <v>0</v>
      </c>
      <c r="AA7" s="77">
        <f>MIN(Z7,1)</f>
        <v>0</v>
      </c>
      <c r="AB7" s="3"/>
      <c r="AC7" s="3"/>
      <c r="AD7" s="25"/>
      <c r="AE7" s="3"/>
      <c r="AF7" s="3"/>
      <c r="AG7" s="3"/>
      <c r="AH7" s="25"/>
      <c r="AI7" s="360"/>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343"/>
      <c r="BK7" s="25"/>
      <c r="BL7" s="25"/>
      <c r="BM7" s="25"/>
      <c r="BN7" s="25"/>
      <c r="BO7" s="25"/>
      <c r="BP7" s="25"/>
      <c r="BQ7" s="25"/>
      <c r="BR7" s="25"/>
      <c r="BS7" s="25"/>
      <c r="BT7" s="2"/>
      <c r="BU7" s="2"/>
      <c r="BV7" s="2"/>
      <c r="BW7" s="13"/>
      <c r="BX7" s="13"/>
      <c r="BY7" s="13"/>
      <c r="BZ7" s="13"/>
      <c r="CA7" s="13"/>
      <c r="CB7" s="2447" t="s">
        <v>1220</v>
      </c>
      <c r="CC7" s="351"/>
      <c r="CD7" s="351"/>
      <c r="CE7" s="351"/>
      <c r="CF7" s="351"/>
      <c r="CG7" s="351"/>
      <c r="CH7" s="351"/>
      <c r="CI7" s="351"/>
      <c r="CJ7" s="351"/>
      <c r="CK7" s="351"/>
      <c r="CL7" s="351"/>
      <c r="CM7" s="351"/>
      <c r="CN7" s="351"/>
      <c r="CO7" s="351"/>
      <c r="CP7" s="351"/>
      <c r="CQ7" s="375"/>
      <c r="CR7" s="375"/>
      <c r="CS7" s="375"/>
      <c r="CT7" s="375"/>
      <c r="CU7" s="375"/>
      <c r="CV7" s="375"/>
      <c r="CW7" s="2029"/>
      <c r="DS7" s="84"/>
    </row>
    <row r="8" spans="1:123" ht="6.8" customHeight="1" x14ac:dyDescent="0.25">
      <c r="A8" s="13"/>
      <c r="B8" s="1556"/>
      <c r="C8" s="1557"/>
      <c r="D8" s="1235"/>
      <c r="E8" s="116"/>
      <c r="F8" s="378"/>
      <c r="G8" s="80"/>
      <c r="H8" s="340"/>
      <c r="I8" s="80"/>
      <c r="J8" s="80"/>
      <c r="K8" s="80"/>
      <c r="L8" s="80"/>
      <c r="M8" s="80"/>
      <c r="N8" s="80"/>
      <c r="O8" s="80"/>
      <c r="P8" s="80"/>
      <c r="Q8" s="80"/>
      <c r="R8" s="342"/>
      <c r="S8" s="25"/>
      <c r="T8" s="25"/>
      <c r="U8" s="25"/>
      <c r="V8" s="25"/>
      <c r="W8" s="2"/>
      <c r="X8" s="106"/>
      <c r="Y8" s="2033"/>
      <c r="Z8" s="77">
        <f>SUMIF(AD$298:AD$301,F11,AO$298:AO$301)*E11/365</f>
        <v>0</v>
      </c>
      <c r="AA8" s="77">
        <f>MIN(Z8,1)</f>
        <v>0</v>
      </c>
      <c r="AB8" s="106"/>
      <c r="AC8" s="2032"/>
      <c r="AD8" s="106"/>
      <c r="AE8" s="79"/>
      <c r="AF8" s="83"/>
      <c r="AG8" s="83"/>
      <c r="AH8" s="337"/>
      <c r="AI8" s="3"/>
      <c r="AJ8" s="25"/>
      <c r="AK8" s="149"/>
      <c r="AL8" s="149"/>
      <c r="AM8" s="4"/>
      <c r="AN8" s="4"/>
      <c r="AO8" s="4"/>
      <c r="AP8" s="4"/>
      <c r="AQ8" s="4"/>
      <c r="AR8" s="106"/>
      <c r="AS8" s="106"/>
      <c r="AT8" s="106"/>
      <c r="AU8" s="106"/>
      <c r="AV8" s="106"/>
      <c r="AW8" s="25"/>
      <c r="AX8" s="25"/>
      <c r="AY8" s="25"/>
      <c r="AZ8" s="25"/>
      <c r="BA8" s="79"/>
      <c r="BB8" s="79"/>
      <c r="BC8" s="79"/>
      <c r="BD8" s="79"/>
      <c r="BE8" s="79"/>
      <c r="BF8" s="79"/>
      <c r="BG8" s="79"/>
      <c r="BH8" s="79"/>
      <c r="BI8" s="79"/>
      <c r="BJ8" s="2163"/>
      <c r="BK8" s="106"/>
      <c r="BL8" s="106"/>
      <c r="BM8" s="25"/>
      <c r="BN8" s="25"/>
      <c r="BO8" s="25"/>
      <c r="BP8" s="25"/>
      <c r="BQ8" s="25"/>
      <c r="BR8" s="25"/>
      <c r="BS8" s="25"/>
      <c r="BT8" s="2"/>
      <c r="BU8" s="2"/>
      <c r="BV8" s="2"/>
      <c r="BW8" s="13"/>
      <c r="BX8" s="13"/>
      <c r="BY8" s="13"/>
      <c r="BZ8" s="13"/>
      <c r="CA8" s="13"/>
      <c r="CB8" s="2448"/>
      <c r="CC8" s="25"/>
      <c r="CD8" s="25"/>
      <c r="CE8" s="25"/>
      <c r="CF8" s="25"/>
      <c r="CG8" s="25"/>
      <c r="CH8" s="25"/>
      <c r="CI8" s="25"/>
      <c r="CJ8" s="25"/>
      <c r="CK8" s="25"/>
      <c r="CL8" s="25"/>
      <c r="CM8" s="25"/>
      <c r="CN8" s="25"/>
      <c r="CO8" s="25"/>
      <c r="CP8" s="25"/>
      <c r="CQ8" s="339"/>
      <c r="CR8" s="339"/>
      <c r="CS8" s="339"/>
      <c r="CT8" s="339"/>
      <c r="CU8" s="339"/>
      <c r="CV8" s="339"/>
      <c r="CW8" s="2030"/>
      <c r="DS8" s="15"/>
    </row>
    <row r="9" spans="1:123" ht="12.85" customHeight="1" x14ac:dyDescent="0.25">
      <c r="A9" s="13"/>
      <c r="B9" s="2437" t="s">
        <v>1416</v>
      </c>
      <c r="C9" s="1557"/>
      <c r="D9" s="1235"/>
      <c r="E9" s="114" t="s">
        <v>1071</v>
      </c>
      <c r="F9" s="115" t="s">
        <v>1072</v>
      </c>
      <c r="G9" s="339"/>
      <c r="H9" s="340"/>
      <c r="I9" s="340"/>
      <c r="J9" s="339"/>
      <c r="K9" s="339"/>
      <c r="L9" s="339"/>
      <c r="M9" s="339"/>
      <c r="N9" s="339"/>
      <c r="O9" s="339"/>
      <c r="P9" s="339"/>
      <c r="Q9" s="339"/>
      <c r="R9" s="341"/>
      <c r="S9" s="13"/>
      <c r="T9" s="13"/>
      <c r="U9" s="13"/>
      <c r="V9" s="13"/>
      <c r="W9" s="2"/>
      <c r="X9" s="13"/>
      <c r="Y9" s="121"/>
      <c r="Z9" s="77">
        <f>SUMIF(AD$298:AD$301,F12,AO$298:AO$301)*E12/365</f>
        <v>0</v>
      </c>
      <c r="AA9" s="77">
        <f>MIN(Z9,1)</f>
        <v>0</v>
      </c>
      <c r="AB9" s="25"/>
      <c r="AC9" s="3"/>
      <c r="AD9" s="3"/>
      <c r="AE9" s="25"/>
      <c r="AF9" s="3"/>
      <c r="AG9" s="3"/>
      <c r="AH9" s="25"/>
      <c r="AI9" s="3"/>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343"/>
      <c r="BK9" s="25"/>
      <c r="BL9" s="25"/>
      <c r="BM9" s="25"/>
      <c r="BN9" s="25"/>
      <c r="BO9" s="25"/>
      <c r="BP9" s="25"/>
      <c r="BQ9" s="25"/>
      <c r="BR9" s="25"/>
      <c r="BS9" s="25"/>
      <c r="BT9" s="2"/>
      <c r="BU9" s="2"/>
      <c r="BV9" s="2"/>
      <c r="BW9" s="13"/>
      <c r="BX9" s="13"/>
      <c r="BY9" s="13"/>
      <c r="BZ9" s="13"/>
      <c r="CA9" s="13"/>
      <c r="CB9" s="121"/>
      <c r="CC9" s="25"/>
      <c r="CD9" s="25"/>
      <c r="CE9" s="25"/>
      <c r="CF9" s="25"/>
      <c r="CG9" s="25"/>
      <c r="CH9" s="25"/>
      <c r="CI9" s="25"/>
      <c r="CJ9" s="25"/>
      <c r="CK9" s="25"/>
      <c r="CL9" s="25"/>
      <c r="CM9" s="25"/>
      <c r="CN9" s="25"/>
      <c r="CO9" s="25"/>
      <c r="CP9" s="25"/>
      <c r="CQ9" s="339"/>
      <c r="CR9" s="339"/>
      <c r="CS9" s="339" t="s">
        <v>1075</v>
      </c>
      <c r="CT9" s="339"/>
      <c r="CU9" s="339"/>
      <c r="CV9" s="339"/>
      <c r="CW9" s="2030"/>
      <c r="DS9" s="15"/>
    </row>
    <row r="10" spans="1:123" ht="12.85" customHeight="1" x14ac:dyDescent="0.25">
      <c r="A10" s="13"/>
      <c r="B10" s="2437"/>
      <c r="C10" s="1557"/>
      <c r="D10" s="1234" t="s">
        <v>1242</v>
      </c>
      <c r="E10" s="1201">
        <f>IF(ISBLANK(Import!B370),"", Import!B370)</f>
        <v>0</v>
      </c>
      <c r="F10" s="1193">
        <f>IF(ISBLANK(Import!C370),, Import!C370)</f>
        <v>0</v>
      </c>
      <c r="G10" s="339"/>
      <c r="H10" s="991" t="s">
        <v>1578</v>
      </c>
      <c r="I10" s="1193">
        <f>IF(ISBLANK(Import!D299),, Import!D299)</f>
        <v>0</v>
      </c>
      <c r="J10" s="339"/>
      <c r="K10" s="339"/>
      <c r="L10" s="339"/>
      <c r="M10" s="339"/>
      <c r="N10" s="339"/>
      <c r="O10" s="339"/>
      <c r="P10" s="339"/>
      <c r="Q10" s="339"/>
      <c r="R10" s="342"/>
      <c r="S10" s="13"/>
      <c r="T10" s="13"/>
      <c r="U10" s="13"/>
      <c r="V10" s="13"/>
      <c r="W10" s="2"/>
      <c r="X10" s="13"/>
      <c r="Y10" s="121"/>
      <c r="Z10" s="3"/>
      <c r="AA10" s="3"/>
      <c r="AB10" s="25"/>
      <c r="AC10" s="3"/>
      <c r="AD10" s="3"/>
      <c r="AE10" s="25"/>
      <c r="AF10" s="25"/>
      <c r="AG10" s="25"/>
      <c r="AH10" s="25"/>
      <c r="AI10" s="3"/>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343"/>
      <c r="BK10" s="25"/>
      <c r="BL10" s="25"/>
      <c r="BM10" s="25"/>
      <c r="BN10" s="25"/>
      <c r="BO10" s="25"/>
      <c r="BP10" s="25"/>
      <c r="BQ10" s="25"/>
      <c r="BR10" s="25"/>
      <c r="BS10" s="25"/>
      <c r="BT10" s="2"/>
      <c r="BU10" s="2"/>
      <c r="BV10" s="2"/>
      <c r="BW10" s="13"/>
      <c r="BX10" s="13"/>
      <c r="BY10" s="13"/>
      <c r="BZ10" s="13"/>
      <c r="CA10" s="13"/>
      <c r="CB10" s="1639" t="b">
        <f>IF('1.GeneralInfo'!E18&lt;&gt;"",TRUE)</f>
        <v>1</v>
      </c>
      <c r="CC10" s="149" t="b">
        <f ca="1">IF('1.GeneralInfo'!F18&lt;&gt;"",TRUE)</f>
        <v>1</v>
      </c>
      <c r="CD10" s="149"/>
      <c r="CE10" s="149"/>
      <c r="CF10" s="149"/>
      <c r="CG10" s="149"/>
      <c r="CH10" s="149"/>
      <c r="CI10" s="149" t="b">
        <f ca="1">IF(CB10,IF(CC10,TRUE,FALSE),TRUE)</f>
        <v>1</v>
      </c>
      <c r="CJ10" s="25"/>
      <c r="CK10" s="25"/>
      <c r="CL10" s="25" t="b">
        <v>1</v>
      </c>
      <c r="CM10" s="25">
        <v>0</v>
      </c>
      <c r="CN10" s="25"/>
      <c r="CO10" s="25" t="s">
        <v>1234</v>
      </c>
      <c r="CP10" s="25"/>
      <c r="CQ10" s="339"/>
      <c r="CR10" s="339"/>
      <c r="CS10" s="339"/>
      <c r="CT10" s="339"/>
      <c r="CU10" s="339"/>
      <c r="CV10" s="339"/>
      <c r="CW10" s="2030"/>
      <c r="DS10" s="15"/>
    </row>
    <row r="11" spans="1:123" ht="12.85" customHeight="1" x14ac:dyDescent="0.25">
      <c r="A11" s="13"/>
      <c r="B11" s="2437"/>
      <c r="C11" s="1557"/>
      <c r="D11" s="1238" t="s">
        <v>325</v>
      </c>
      <c r="E11" s="1202">
        <f>IF(ISBLANK(Import!B371),"", Import!B371)</f>
        <v>0</v>
      </c>
      <c r="F11" s="1194">
        <f>IF(ISBLANK(Import!C371),, Import!C371)</f>
        <v>0</v>
      </c>
      <c r="G11" s="339"/>
      <c r="H11" s="991" t="s">
        <v>496</v>
      </c>
      <c r="I11" s="1202">
        <f>IF(ISBLANK(Import!D300),, Import!D300)</f>
        <v>0</v>
      </c>
      <c r="J11" s="339"/>
      <c r="K11" s="339"/>
      <c r="L11" s="339"/>
      <c r="M11" s="339"/>
      <c r="N11" s="339"/>
      <c r="O11" s="339"/>
      <c r="P11" s="339"/>
      <c r="Q11" s="339"/>
      <c r="R11" s="342"/>
      <c r="S11" s="13"/>
      <c r="T11" s="13"/>
      <c r="U11" s="13"/>
      <c r="V11" s="13"/>
      <c r="W11" s="2"/>
      <c r="X11" s="13"/>
      <c r="Y11" s="121"/>
      <c r="Z11" s="3"/>
      <c r="AA11" s="3"/>
      <c r="AB11" s="25"/>
      <c r="AC11" s="3"/>
      <c r="AD11" s="3"/>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343"/>
      <c r="BK11" s="25"/>
      <c r="BL11" s="25"/>
      <c r="BM11" s="25"/>
      <c r="BN11" s="25"/>
      <c r="BO11" s="25"/>
      <c r="BP11" s="25"/>
      <c r="BQ11" s="25"/>
      <c r="BR11" s="25"/>
      <c r="BS11" s="360"/>
      <c r="BT11" s="2"/>
      <c r="BU11" s="2"/>
      <c r="BV11" s="2"/>
      <c r="BW11" s="13"/>
      <c r="BX11" s="13"/>
      <c r="BY11" s="13"/>
      <c r="BZ11" s="13"/>
      <c r="CA11" s="13"/>
      <c r="CB11" s="121"/>
      <c r="CC11" s="25"/>
      <c r="CD11" s="25"/>
      <c r="CE11" s="25"/>
      <c r="CF11" s="25"/>
      <c r="CG11" s="25"/>
      <c r="CH11" s="25"/>
      <c r="CI11" s="25"/>
      <c r="CJ11" s="25"/>
      <c r="CK11" s="25"/>
      <c r="CL11" s="25" t="b">
        <v>0</v>
      </c>
      <c r="CM11" s="25">
        <v>1</v>
      </c>
      <c r="CN11" s="25"/>
      <c r="CO11" s="25" t="s">
        <v>1227</v>
      </c>
      <c r="CP11" s="25"/>
      <c r="CQ11" s="339"/>
      <c r="CR11" s="339"/>
      <c r="CS11" s="339" t="b">
        <f t="shared" ref="CS11:CS20" si="0">IF(K23="",FALSE,TRUE)</f>
        <v>1</v>
      </c>
      <c r="CT11" s="339" t="b">
        <f t="shared" ref="CT11:CT20" si="1">IF(L23=0,FALSE,TRUE)</f>
        <v>0</v>
      </c>
      <c r="CU11" s="339" t="b">
        <f>IF(CS11=TRUE,IF(CT11=TRUE,TRUE,FALSE),FALSE)</f>
        <v>0</v>
      </c>
      <c r="CV11" s="339">
        <f>IF(CU11=TRUE,1,0)</f>
        <v>0</v>
      </c>
      <c r="CW11" s="2030"/>
      <c r="DS11" s="15"/>
    </row>
    <row r="12" spans="1:123" ht="25.5" customHeight="1" x14ac:dyDescent="0.25">
      <c r="A12" s="13"/>
      <c r="B12" s="2437"/>
      <c r="C12" s="1557"/>
      <c r="D12" s="1242" t="s">
        <v>1583</v>
      </c>
      <c r="E12" s="1201">
        <f>IF(ISBLANK(Import!B372),"", Import!B372)</f>
        <v>0</v>
      </c>
      <c r="F12" s="1193">
        <f>IF(ISBLANK(Import!C372),, Import!C372)</f>
        <v>0</v>
      </c>
      <c r="G12" s="339"/>
      <c r="H12" s="991" t="s">
        <v>1578</v>
      </c>
      <c r="I12" s="1193">
        <f>IF(ISBLANK(Import!D301),, Import!D301)</f>
        <v>0</v>
      </c>
      <c r="J12" s="339"/>
      <c r="K12" s="339"/>
      <c r="L12" s="339"/>
      <c r="M12" s="339"/>
      <c r="N12" s="339"/>
      <c r="O12" s="339"/>
      <c r="P12" s="339"/>
      <c r="Q12" s="339"/>
      <c r="R12" s="342"/>
      <c r="S12" s="13"/>
      <c r="T12" s="13"/>
      <c r="U12" s="13"/>
      <c r="V12" s="13"/>
      <c r="W12" s="2"/>
      <c r="X12" s="13"/>
      <c r="Y12" s="121"/>
      <c r="Z12" s="3"/>
      <c r="AA12" s="3"/>
      <c r="AB12" s="25"/>
      <c r="AC12" s="3"/>
      <c r="AD12" s="3"/>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343"/>
      <c r="BK12" s="25"/>
      <c r="BL12" s="25"/>
      <c r="BM12" s="25"/>
      <c r="BN12" s="25"/>
      <c r="BO12" s="25"/>
      <c r="BP12" s="25"/>
      <c r="BQ12" s="25"/>
      <c r="BR12" s="25"/>
      <c r="BS12" s="25"/>
      <c r="BT12" s="2"/>
      <c r="BU12" s="2"/>
      <c r="BV12" s="2"/>
      <c r="BW12" s="13"/>
      <c r="BX12" s="13"/>
      <c r="BY12" s="13"/>
      <c r="BZ12" s="13"/>
      <c r="CA12" s="13"/>
      <c r="CB12" s="121"/>
      <c r="CC12" s="25"/>
      <c r="CD12" s="25"/>
      <c r="CE12" s="25"/>
      <c r="CF12" s="25"/>
      <c r="CG12" s="25"/>
      <c r="CH12" s="25"/>
      <c r="CI12" s="25"/>
      <c r="CJ12" s="25"/>
      <c r="CK12" s="25"/>
      <c r="CL12" s="25"/>
      <c r="CM12" s="25"/>
      <c r="CN12" s="25"/>
      <c r="CO12" s="25"/>
      <c r="CP12" s="25"/>
      <c r="CQ12" s="339"/>
      <c r="CR12" s="339"/>
      <c r="CS12" s="339" t="b">
        <f t="shared" si="0"/>
        <v>1</v>
      </c>
      <c r="CT12" s="339" t="b">
        <f t="shared" si="1"/>
        <v>0</v>
      </c>
      <c r="CU12" s="339" t="b">
        <f t="shared" ref="CU12:CU20" si="2">IF(CS12=TRUE,IF(CT12=TRUE,TRUE,FALSE),FALSE)</f>
        <v>0</v>
      </c>
      <c r="CV12" s="339">
        <f t="shared" ref="CV12:CV20" si="3">IF(CU12=TRUE,1,0)</f>
        <v>0</v>
      </c>
      <c r="CW12" s="2030"/>
      <c r="DS12" s="15"/>
    </row>
    <row r="13" spans="1:123" ht="12.85" customHeight="1" x14ac:dyDescent="0.5">
      <c r="A13" s="13"/>
      <c r="B13" s="2437"/>
      <c r="C13" s="1557"/>
      <c r="D13" s="1236"/>
      <c r="E13" s="112"/>
      <c r="F13" s="340"/>
      <c r="G13" s="339"/>
      <c r="H13" s="992"/>
      <c r="I13" s="340"/>
      <c r="J13" s="339"/>
      <c r="K13" s="339"/>
      <c r="L13" s="339"/>
      <c r="M13" s="339"/>
      <c r="N13" s="339"/>
      <c r="O13" s="339"/>
      <c r="P13" s="339"/>
      <c r="Q13" s="339"/>
      <c r="R13" s="342"/>
      <c r="S13" s="13"/>
      <c r="T13" s="13"/>
      <c r="U13" s="13"/>
      <c r="V13" s="13"/>
      <c r="W13" s="13"/>
      <c r="X13" s="13"/>
      <c r="Y13" s="2443" t="s">
        <v>1907</v>
      </c>
      <c r="Z13" s="2444"/>
      <c r="AA13" s="2444"/>
      <c r="AB13" s="25"/>
      <c r="AC13" s="2441" t="s">
        <v>1124</v>
      </c>
      <c r="AD13" s="2441"/>
      <c r="AE13" s="2441"/>
      <c r="AF13" s="25"/>
      <c r="AG13" s="25"/>
      <c r="AH13" s="25"/>
      <c r="AI13" s="25"/>
      <c r="AJ13" s="2439"/>
      <c r="AK13" s="2439"/>
      <c r="AL13" s="2439"/>
      <c r="AM13" s="2439"/>
      <c r="AN13" s="2439"/>
      <c r="AO13" s="25"/>
      <c r="AP13" s="25"/>
      <c r="AQ13" s="25"/>
      <c r="AR13" s="25"/>
      <c r="AS13" s="25"/>
      <c r="AT13" s="25"/>
      <c r="AU13" s="25"/>
      <c r="AV13" s="2461" t="s">
        <v>754</v>
      </c>
      <c r="AW13" s="2461"/>
      <c r="AX13" s="2461"/>
      <c r="AY13" s="2461"/>
      <c r="AZ13" s="2461"/>
      <c r="BA13" s="2461"/>
      <c r="BB13" s="2461"/>
      <c r="BC13" s="2461"/>
      <c r="BD13" s="25"/>
      <c r="BE13" s="25"/>
      <c r="BF13" s="25"/>
      <c r="BG13" s="25"/>
      <c r="BH13" s="25"/>
      <c r="BI13" s="25"/>
      <c r="BJ13" s="343"/>
      <c r="BK13" s="2065"/>
      <c r="BL13" s="2065"/>
      <c r="BM13" s="25"/>
      <c r="BN13" s="25"/>
      <c r="BO13" s="25"/>
      <c r="BP13" s="25"/>
      <c r="BQ13" s="25"/>
      <c r="BR13" s="25"/>
      <c r="BS13" s="25"/>
      <c r="BT13" s="2"/>
      <c r="BU13" s="2"/>
      <c r="BV13" s="2"/>
      <c r="BW13" s="13"/>
      <c r="BX13" s="13"/>
      <c r="BY13" s="13"/>
      <c r="BZ13" s="13"/>
      <c r="CA13" s="13"/>
      <c r="CB13" s="121"/>
      <c r="CC13" s="25"/>
      <c r="CD13" s="25"/>
      <c r="CE13" s="25"/>
      <c r="CF13" s="25"/>
      <c r="CG13" s="25"/>
      <c r="CH13" s="25"/>
      <c r="CI13" s="25"/>
      <c r="CJ13" s="25"/>
      <c r="CK13" s="25"/>
      <c r="CL13" s="25"/>
      <c r="CM13" s="25"/>
      <c r="CN13" s="25"/>
      <c r="CO13" s="25"/>
      <c r="CP13" s="25"/>
      <c r="CQ13" s="339"/>
      <c r="CR13" s="339"/>
      <c r="CS13" s="339" t="b">
        <f t="shared" si="0"/>
        <v>1</v>
      </c>
      <c r="CT13" s="339" t="b">
        <f t="shared" si="1"/>
        <v>0</v>
      </c>
      <c r="CU13" s="339" t="b">
        <f t="shared" si="2"/>
        <v>0</v>
      </c>
      <c r="CV13" s="339">
        <f t="shared" si="3"/>
        <v>0</v>
      </c>
      <c r="CW13" s="2030"/>
      <c r="DS13" s="15"/>
    </row>
    <row r="14" spans="1:123" ht="12.85" customHeight="1" thickBot="1" x14ac:dyDescent="0.55000000000000004">
      <c r="A14" s="344"/>
      <c r="B14" s="973"/>
      <c r="C14" s="974"/>
      <c r="D14" s="1236"/>
      <c r="E14" s="105"/>
      <c r="F14" s="105"/>
      <c r="G14" s="105"/>
      <c r="H14" s="105"/>
      <c r="I14" s="105"/>
      <c r="J14" s="105"/>
      <c r="K14" s="105"/>
      <c r="L14" s="105"/>
      <c r="M14" s="105"/>
      <c r="N14" s="105"/>
      <c r="O14" s="105"/>
      <c r="P14" s="105"/>
      <c r="Q14" s="105"/>
      <c r="R14" s="345"/>
      <c r="S14" s="344"/>
      <c r="T14" s="344"/>
      <c r="U14" s="344"/>
      <c r="V14" s="344"/>
      <c r="W14" s="344"/>
      <c r="X14" s="344"/>
      <c r="Y14" s="2445"/>
      <c r="Z14" s="2446"/>
      <c r="AA14" s="2446"/>
      <c r="AB14" s="2034"/>
      <c r="AC14" s="2442"/>
      <c r="AD14" s="2442"/>
      <c r="AE14" s="2442"/>
      <c r="AF14" s="2034"/>
      <c r="AG14" s="2034"/>
      <c r="AH14" s="2034"/>
      <c r="AI14" s="2034"/>
      <c r="AJ14" s="2440"/>
      <c r="AK14" s="2440"/>
      <c r="AL14" s="2440"/>
      <c r="AM14" s="2440"/>
      <c r="AN14" s="2440"/>
      <c r="AO14" s="2034"/>
      <c r="AP14" s="2034"/>
      <c r="AQ14" s="2034"/>
      <c r="AR14" s="2034"/>
      <c r="AS14" s="2034"/>
      <c r="AT14" s="2034"/>
      <c r="AU14" s="2034"/>
      <c r="AV14" s="2462"/>
      <c r="AW14" s="2462"/>
      <c r="AX14" s="2462"/>
      <c r="AY14" s="2462"/>
      <c r="AZ14" s="2462"/>
      <c r="BA14" s="2462"/>
      <c r="BB14" s="2462"/>
      <c r="BC14" s="2462"/>
      <c r="BD14" s="2034"/>
      <c r="BE14" s="2034"/>
      <c r="BF14" s="2034"/>
      <c r="BG14" s="2034"/>
      <c r="BH14" s="2034"/>
      <c r="BI14" s="2034"/>
      <c r="BJ14" s="2184"/>
      <c r="BK14" s="2065"/>
      <c r="BL14" s="2065"/>
      <c r="BM14" s="360"/>
      <c r="BN14" s="360"/>
      <c r="BO14" s="360"/>
      <c r="BP14" s="360"/>
      <c r="BQ14" s="360"/>
      <c r="BR14" s="360"/>
      <c r="BS14" s="360"/>
      <c r="BT14" s="2"/>
      <c r="BU14" s="2"/>
      <c r="BV14" s="2"/>
      <c r="BW14" s="344"/>
      <c r="BX14" s="344"/>
      <c r="BY14" s="344"/>
      <c r="BZ14" s="344"/>
      <c r="CA14" s="344"/>
      <c r="CB14" s="358"/>
      <c r="CC14" s="360"/>
      <c r="CD14" s="360"/>
      <c r="CE14" s="360"/>
      <c r="CF14" s="360"/>
      <c r="CG14" s="360"/>
      <c r="CH14" s="360"/>
      <c r="CI14" s="360"/>
      <c r="CJ14" s="360"/>
      <c r="CK14" s="360"/>
      <c r="CL14" s="360"/>
      <c r="CM14" s="360"/>
      <c r="CN14" s="360"/>
      <c r="CO14" s="360"/>
      <c r="CP14" s="360"/>
      <c r="CQ14" s="105"/>
      <c r="CR14" s="105"/>
      <c r="CS14" s="339" t="b">
        <f t="shared" si="0"/>
        <v>1</v>
      </c>
      <c r="CT14" s="339" t="b">
        <f t="shared" si="1"/>
        <v>0</v>
      </c>
      <c r="CU14" s="339" t="b">
        <f t="shared" si="2"/>
        <v>0</v>
      </c>
      <c r="CV14" s="339">
        <f t="shared" si="3"/>
        <v>0</v>
      </c>
      <c r="CW14" s="2030"/>
      <c r="DS14" s="133"/>
    </row>
    <row r="15" spans="1:123" ht="18.75" customHeight="1" x14ac:dyDescent="0.25">
      <c r="A15" s="13"/>
      <c r="B15" s="2432" t="s">
        <v>1572</v>
      </c>
      <c r="C15" s="975"/>
      <c r="D15" s="1383"/>
      <c r="E15" s="731"/>
      <c r="F15" s="731"/>
      <c r="G15" s="731"/>
      <c r="H15" s="731"/>
      <c r="I15" s="731"/>
      <c r="J15" s="416" t="s">
        <v>159</v>
      </c>
      <c r="K15" s="348"/>
      <c r="L15" s="348"/>
      <c r="M15" s="349"/>
      <c r="N15" s="417" t="s">
        <v>1484</v>
      </c>
      <c r="O15" s="418"/>
      <c r="P15" s="348"/>
      <c r="Q15" s="348"/>
      <c r="R15" s="349"/>
      <c r="S15" s="149"/>
      <c r="T15" s="149"/>
      <c r="U15" s="149"/>
      <c r="V15" s="149"/>
      <c r="W15" s="13"/>
      <c r="X15" s="25"/>
      <c r="Y15" s="1981"/>
      <c r="Z15" s="1635"/>
      <c r="AA15" s="1635"/>
      <c r="AB15" s="353"/>
      <c r="AC15" s="2378" t="s">
        <v>1256</v>
      </c>
      <c r="AD15" s="2378"/>
      <c r="AE15" s="79"/>
      <c r="AF15" s="3"/>
      <c r="AG15" s="3"/>
      <c r="AH15" s="3"/>
      <c r="AI15" s="25"/>
      <c r="AJ15" s="25"/>
      <c r="AK15" s="3"/>
      <c r="AL15" s="3"/>
      <c r="AM15" s="3"/>
      <c r="AN15" s="3"/>
      <c r="AO15" s="3"/>
      <c r="AP15" s="3"/>
      <c r="AQ15" s="3"/>
      <c r="AR15" s="3"/>
      <c r="AS15" s="3"/>
      <c r="AT15" s="149"/>
      <c r="AU15" s="149"/>
      <c r="AV15" s="1639"/>
      <c r="AW15" s="25"/>
      <c r="AX15" s="25"/>
      <c r="AY15" s="25"/>
      <c r="AZ15" s="25"/>
      <c r="BA15" s="25"/>
      <c r="BB15" s="25"/>
      <c r="BC15" s="25"/>
      <c r="BD15" s="25"/>
      <c r="BE15" s="25"/>
      <c r="BF15" s="25"/>
      <c r="BG15" s="25"/>
      <c r="BH15" s="25"/>
      <c r="BI15" s="25"/>
      <c r="BJ15" s="343"/>
      <c r="BK15" s="25"/>
      <c r="BL15" s="25"/>
      <c r="BM15" s="25"/>
      <c r="BN15" s="25"/>
      <c r="BO15" s="25"/>
      <c r="BP15" s="25"/>
      <c r="BQ15" s="25"/>
      <c r="BR15" s="25"/>
      <c r="BS15" s="25"/>
      <c r="BT15" s="2"/>
      <c r="BU15" s="2"/>
      <c r="BV15" s="2"/>
      <c r="BW15" s="13"/>
      <c r="BX15" s="13"/>
      <c r="BY15" s="13"/>
      <c r="BZ15" s="13"/>
      <c r="CA15" s="13"/>
      <c r="CB15" s="121"/>
      <c r="CC15" s="25"/>
      <c r="CD15" s="25"/>
      <c r="CE15" s="25"/>
      <c r="CF15" s="25"/>
      <c r="CG15" s="25"/>
      <c r="CH15" s="25"/>
      <c r="CI15" s="25"/>
      <c r="CJ15" s="25"/>
      <c r="CK15" s="25"/>
      <c r="CL15" s="25"/>
      <c r="CM15" s="25"/>
      <c r="CN15" s="25"/>
      <c r="CO15" s="25"/>
      <c r="CP15" s="25"/>
      <c r="CQ15" s="339"/>
      <c r="CR15" s="339"/>
      <c r="CS15" s="339" t="b">
        <f t="shared" si="0"/>
        <v>1</v>
      </c>
      <c r="CT15" s="339" t="b">
        <f t="shared" si="1"/>
        <v>0</v>
      </c>
      <c r="CU15" s="339" t="b">
        <f t="shared" si="2"/>
        <v>0</v>
      </c>
      <c r="CV15" s="339">
        <f t="shared" si="3"/>
        <v>0</v>
      </c>
      <c r="CW15" s="2030"/>
      <c r="DS15" s="15"/>
    </row>
    <row r="16" spans="1:123" ht="24.8" customHeight="1" x14ac:dyDescent="0.25">
      <c r="A16" s="13"/>
      <c r="B16" s="2433"/>
      <c r="C16" s="975"/>
      <c r="D16" s="1384" t="s">
        <v>1614</v>
      </c>
      <c r="E16" s="291"/>
      <c r="F16" s="291"/>
      <c r="G16" s="837"/>
      <c r="H16" s="1385"/>
      <c r="I16" s="1385"/>
      <c r="J16" s="1386"/>
      <c r="K16" s="837"/>
      <c r="L16" s="837"/>
      <c r="M16" s="1559"/>
      <c r="N16" s="419"/>
      <c r="O16" s="141"/>
      <c r="P16" s="354"/>
      <c r="Q16" s="354"/>
      <c r="R16" s="355"/>
      <c r="S16" s="4"/>
      <c r="T16" s="149"/>
      <c r="U16" s="149"/>
      <c r="V16" s="149"/>
      <c r="W16" s="13"/>
      <c r="X16" s="25"/>
      <c r="Y16" s="1637"/>
      <c r="Z16" s="3"/>
      <c r="AA16" s="3"/>
      <c r="AB16" s="1638"/>
      <c r="AC16" s="2378"/>
      <c r="AD16" s="2378"/>
      <c r="AE16" s="106" t="s">
        <v>242</v>
      </c>
      <c r="AF16" s="3"/>
      <c r="AG16" s="3"/>
      <c r="AH16" s="3"/>
      <c r="AI16" s="25"/>
      <c r="AJ16" s="25"/>
      <c r="AK16" s="3"/>
      <c r="AL16" s="3"/>
      <c r="AM16" s="3"/>
      <c r="AN16" s="3"/>
      <c r="AO16" s="3"/>
      <c r="AP16" s="3"/>
      <c r="AQ16" s="3"/>
      <c r="AR16" s="3"/>
      <c r="AS16" s="3"/>
      <c r="AT16" s="149"/>
      <c r="AU16" s="3"/>
      <c r="AV16" s="1637"/>
      <c r="AW16" s="25"/>
      <c r="AX16" s="25"/>
      <c r="AY16" s="25"/>
      <c r="AZ16" s="25"/>
      <c r="BA16" s="25"/>
      <c r="BB16" s="25"/>
      <c r="BC16" s="25"/>
      <c r="BD16" s="25"/>
      <c r="BE16" s="25"/>
      <c r="BF16" s="25"/>
      <c r="BG16" s="25"/>
      <c r="BH16" s="25"/>
      <c r="BI16" s="25"/>
      <c r="BJ16" s="343"/>
      <c r="BK16" s="25"/>
      <c r="BL16" s="25"/>
      <c r="BM16" s="25"/>
      <c r="BN16" s="25"/>
      <c r="BO16" s="25"/>
      <c r="BP16" s="25"/>
      <c r="BQ16" s="25"/>
      <c r="BR16" s="25"/>
      <c r="BS16" s="25"/>
      <c r="BT16" s="2"/>
      <c r="BU16" s="2"/>
      <c r="BV16" s="2"/>
      <c r="BW16" s="13"/>
      <c r="BX16" s="13"/>
      <c r="BY16" s="13"/>
      <c r="BZ16" s="13"/>
      <c r="CA16" s="13"/>
      <c r="CB16" s="121"/>
      <c r="CC16" s="25"/>
      <c r="CD16" s="25"/>
      <c r="CE16" s="25"/>
      <c r="CF16" s="25"/>
      <c r="CG16" s="25"/>
      <c r="CH16" s="25"/>
      <c r="CI16" s="25"/>
      <c r="CJ16" s="25"/>
      <c r="CK16" s="25"/>
      <c r="CL16" s="25"/>
      <c r="CM16" s="25"/>
      <c r="CN16" s="25"/>
      <c r="CO16" s="25"/>
      <c r="CP16" s="25"/>
      <c r="CQ16" s="339"/>
      <c r="CR16" s="339"/>
      <c r="CS16" s="339" t="b">
        <f t="shared" si="0"/>
        <v>1</v>
      </c>
      <c r="CT16" s="339" t="b">
        <f t="shared" si="1"/>
        <v>0</v>
      </c>
      <c r="CU16" s="339" t="b">
        <f t="shared" si="2"/>
        <v>0</v>
      </c>
      <c r="CV16" s="339">
        <f t="shared" si="3"/>
        <v>0</v>
      </c>
      <c r="CW16" s="2030"/>
      <c r="DS16" s="15"/>
    </row>
    <row r="17" spans="1:123" ht="12.85" customHeight="1" thickBot="1" x14ac:dyDescent="0.3">
      <c r="A17" s="13"/>
      <c r="B17" s="2433"/>
      <c r="C17" s="975"/>
      <c r="D17" s="1388"/>
      <c r="E17" s="1389"/>
      <c r="F17" s="291"/>
      <c r="G17" s="837"/>
      <c r="H17" s="1385"/>
      <c r="I17" s="1385"/>
      <c r="J17" s="2399" t="s">
        <v>1243</v>
      </c>
      <c r="K17" s="837"/>
      <c r="L17" s="837"/>
      <c r="M17" s="1559"/>
      <c r="N17" s="81"/>
      <c r="O17" s="9" t="s">
        <v>156</v>
      </c>
      <c r="P17" s="138"/>
      <c r="Q17" s="138"/>
      <c r="R17" s="139"/>
      <c r="S17" s="25"/>
      <c r="T17" s="13"/>
      <c r="U17" s="13"/>
      <c r="V17" s="149"/>
      <c r="W17" s="13"/>
      <c r="X17" s="25"/>
      <c r="Y17" s="1637"/>
      <c r="Z17" s="3"/>
      <c r="AA17" s="3"/>
      <c r="AB17" s="1638"/>
      <c r="AC17" s="2378"/>
      <c r="AD17" s="2378"/>
      <c r="AE17" s="77" t="str">
        <f ca="1">OFFSET(AI$121,SUMIF(AI$122:AI$133,E$7,AH$122:AH$133),1)</f>
        <v>immature</v>
      </c>
      <c r="AF17" s="3"/>
      <c r="AG17" s="3"/>
      <c r="AH17" s="3"/>
      <c r="AI17" s="25"/>
      <c r="AJ17" s="25"/>
      <c r="AK17" s="3"/>
      <c r="AL17" s="3"/>
      <c r="AM17" s="3"/>
      <c r="AN17" s="3"/>
      <c r="AO17" s="3"/>
      <c r="AP17" s="3"/>
      <c r="AQ17" s="3"/>
      <c r="AR17" s="3"/>
      <c r="AS17" s="2152" t="s">
        <v>1727</v>
      </c>
      <c r="AT17" s="77">
        <f ca="1">SUMIF($AB$186:$AB$200,AE17,$AC$186:$AC$200)</f>
        <v>0</v>
      </c>
      <c r="AU17" s="3"/>
      <c r="AV17" s="1637"/>
      <c r="AW17" s="106" t="s">
        <v>752</v>
      </c>
      <c r="AX17" s="4"/>
      <c r="AY17" s="149"/>
      <c r="AZ17" s="149"/>
      <c r="BA17" s="25"/>
      <c r="BB17" s="25"/>
      <c r="BC17" s="25"/>
      <c r="BD17" s="25"/>
      <c r="BE17" s="25"/>
      <c r="BF17" s="25"/>
      <c r="BG17" s="25"/>
      <c r="BH17" s="25"/>
      <c r="BI17" s="25"/>
      <c r="BJ17" s="343"/>
      <c r="BK17" s="25"/>
      <c r="BL17" s="25"/>
      <c r="BM17" s="25"/>
      <c r="BN17" s="25"/>
      <c r="BO17" s="25"/>
      <c r="BP17" s="25"/>
      <c r="BQ17" s="360"/>
      <c r="BR17" s="360"/>
      <c r="BS17" s="25"/>
      <c r="BT17" s="2"/>
      <c r="BU17" s="2"/>
      <c r="BV17" s="2"/>
      <c r="BW17" s="13"/>
      <c r="BX17" s="13"/>
      <c r="BY17" s="13"/>
      <c r="BZ17" s="13"/>
      <c r="CA17" s="13"/>
      <c r="CB17" s="121"/>
      <c r="CC17" s="25"/>
      <c r="CD17" s="25"/>
      <c r="CE17" s="25"/>
      <c r="CF17" s="25"/>
      <c r="CG17" s="25"/>
      <c r="CH17" s="25"/>
      <c r="CI17" s="25"/>
      <c r="CJ17" s="25"/>
      <c r="CK17" s="25"/>
      <c r="CL17" s="25"/>
      <c r="CM17" s="25"/>
      <c r="CN17" s="25"/>
      <c r="CO17" s="25"/>
      <c r="CP17" s="25"/>
      <c r="CQ17" s="339"/>
      <c r="CR17" s="339"/>
      <c r="CS17" s="339" t="b">
        <f t="shared" si="0"/>
        <v>1</v>
      </c>
      <c r="CT17" s="339" t="b">
        <f t="shared" si="1"/>
        <v>0</v>
      </c>
      <c r="CU17" s="339" t="b">
        <f t="shared" si="2"/>
        <v>0</v>
      </c>
      <c r="CV17" s="339">
        <f t="shared" si="3"/>
        <v>0</v>
      </c>
      <c r="CW17" s="2030"/>
      <c r="DS17" s="15"/>
    </row>
    <row r="18" spans="1:123" ht="12.85" customHeight="1" x14ac:dyDescent="0.25">
      <c r="A18" s="13"/>
      <c r="B18" s="2433"/>
      <c r="C18" s="1380"/>
      <c r="D18" s="1388"/>
      <c r="E18" s="1389"/>
      <c r="F18" s="291"/>
      <c r="G18" s="837"/>
      <c r="H18" s="1385"/>
      <c r="I18" s="1385"/>
      <c r="J18" s="2400"/>
      <c r="K18" s="837"/>
      <c r="L18" s="837"/>
      <c r="M18" s="1559"/>
      <c r="N18" s="6"/>
      <c r="O18" s="138"/>
      <c r="P18" s="138"/>
      <c r="Q18" s="138"/>
      <c r="R18" s="357"/>
      <c r="S18" s="25"/>
      <c r="T18" s="13"/>
      <c r="U18" s="13"/>
      <c r="V18" s="149"/>
      <c r="W18" s="13"/>
      <c r="X18" s="25"/>
      <c r="Y18" s="121"/>
      <c r="Z18" s="25" t="s">
        <v>1905</v>
      </c>
      <c r="AA18" s="126" t="s">
        <v>1968</v>
      </c>
      <c r="AB18" s="343"/>
      <c r="AC18" s="25"/>
      <c r="AD18" s="3"/>
      <c r="AE18" s="25"/>
      <c r="AF18" s="25"/>
      <c r="AG18" s="25"/>
      <c r="AH18" s="25"/>
      <c r="AI18" s="25"/>
      <c r="AJ18" s="25"/>
      <c r="AK18" s="3"/>
      <c r="AL18" s="3"/>
      <c r="AM18" s="3"/>
      <c r="AN18" s="3"/>
      <c r="AO18" s="3"/>
      <c r="AP18" s="3"/>
      <c r="AQ18" s="3"/>
      <c r="AR18" s="3"/>
      <c r="AS18" s="3"/>
      <c r="AT18" s="149"/>
      <c r="AU18" s="3"/>
      <c r="AV18" s="1637"/>
      <c r="AW18" s="2058"/>
      <c r="AX18" s="1618" t="s">
        <v>1769</v>
      </c>
      <c r="AY18" s="2059" t="s">
        <v>1770</v>
      </c>
      <c r="AZ18" s="3"/>
      <c r="BA18" s="3"/>
      <c r="BB18" s="4"/>
      <c r="BC18" s="149"/>
      <c r="BD18" s="149"/>
      <c r="BE18" s="4"/>
      <c r="BF18" s="149"/>
      <c r="BG18" s="149"/>
      <c r="BH18" s="25"/>
      <c r="BI18" s="25"/>
      <c r="BJ18" s="343"/>
      <c r="BK18" s="25"/>
      <c r="BL18" s="106"/>
      <c r="BM18" s="25"/>
      <c r="BN18" s="25"/>
      <c r="BO18" s="25"/>
      <c r="BP18" s="25"/>
      <c r="BQ18" s="25"/>
      <c r="BR18" s="25"/>
      <c r="BS18" s="79"/>
      <c r="BT18" s="2"/>
      <c r="BU18" s="2"/>
      <c r="BV18" s="2"/>
      <c r="BW18" s="13"/>
      <c r="BX18" s="13"/>
      <c r="BY18" s="13"/>
      <c r="BZ18" s="13"/>
      <c r="CA18" s="13"/>
      <c r="CB18" s="121"/>
      <c r="CC18" s="339"/>
      <c r="CD18" s="339"/>
      <c r="CE18" s="339"/>
      <c r="CF18" s="339"/>
      <c r="CG18" s="339"/>
      <c r="CH18" s="339"/>
      <c r="CI18" s="339"/>
      <c r="CJ18" s="339"/>
      <c r="CK18" s="339"/>
      <c r="CL18" s="339"/>
      <c r="CM18" s="339"/>
      <c r="CN18" s="339"/>
      <c r="CO18" s="339"/>
      <c r="CP18" s="339"/>
      <c r="CQ18" s="339"/>
      <c r="CR18" s="339"/>
      <c r="CS18" s="339" t="b">
        <f t="shared" si="0"/>
        <v>1</v>
      </c>
      <c r="CT18" s="339" t="b">
        <f t="shared" si="1"/>
        <v>0</v>
      </c>
      <c r="CU18" s="339" t="b">
        <f t="shared" si="2"/>
        <v>0</v>
      </c>
      <c r="CV18" s="339">
        <f t="shared" si="3"/>
        <v>0</v>
      </c>
      <c r="CW18" s="2030"/>
      <c r="DS18" s="15"/>
    </row>
    <row r="19" spans="1:123" ht="12.85" customHeight="1" x14ac:dyDescent="0.25">
      <c r="A19" s="13"/>
      <c r="B19" s="2433"/>
      <c r="C19" s="1380"/>
      <c r="D19" s="1384"/>
      <c r="E19" s="1389"/>
      <c r="F19" s="291"/>
      <c r="G19" s="2438" t="s">
        <v>947</v>
      </c>
      <c r="H19" s="2438"/>
      <c r="I19" s="2438"/>
      <c r="J19" s="2401"/>
      <c r="K19" s="1558">
        <f ca="1">IF(ISBLANK(Import!E303),AE28*SUMIF(AJ242:AJ243,L19,AK242:AK243), Import!E303)</f>
        <v>0</v>
      </c>
      <c r="L19" s="291" t="str">
        <f ca="1">OFFSET('2.CropManagement'!AH182,SUMIF('2.CropManagement'!W183:W184,'1.GeneralInfo'!$E$8,'2.CropManagement'!X183:X184),0)</f>
        <v>kgs/day</v>
      </c>
      <c r="M19" s="1559"/>
      <c r="N19" s="81"/>
      <c r="O19" s="138"/>
      <c r="P19" s="138"/>
      <c r="Q19" s="138"/>
      <c r="R19" s="357"/>
      <c r="S19" s="25"/>
      <c r="T19" s="149"/>
      <c r="U19" s="149"/>
      <c r="V19" s="149"/>
      <c r="W19" s="13"/>
      <c r="X19" s="25"/>
      <c r="Y19" s="121"/>
      <c r="Z19" s="77">
        <f t="shared" ref="Z19:Z28" si="4">L23*100/Z$29</f>
        <v>0</v>
      </c>
      <c r="AA19" s="127">
        <f t="shared" ref="AA19:AA28" ca="1" si="5">SUMIF(AB$315:AB$349,K23,AC$315:AC$349)*AE$31*Z19/100</f>
        <v>0</v>
      </c>
      <c r="AB19" s="343"/>
      <c r="AC19" s="25"/>
      <c r="AD19" s="25"/>
      <c r="AE19" s="25"/>
      <c r="AF19" s="25"/>
      <c r="AG19" s="25"/>
      <c r="AH19" s="25"/>
      <c r="AI19" s="25"/>
      <c r="AJ19" s="25"/>
      <c r="AK19" s="3"/>
      <c r="AL19" s="3"/>
      <c r="AM19" s="3"/>
      <c r="AN19" s="3"/>
      <c r="AO19" s="3"/>
      <c r="AP19" s="3"/>
      <c r="AQ19" s="3"/>
      <c r="AR19" s="3"/>
      <c r="AS19" s="3"/>
      <c r="AT19" s="149"/>
      <c r="AU19" s="3"/>
      <c r="AV19" s="1637"/>
      <c r="AW19" s="1659" t="s">
        <v>987</v>
      </c>
      <c r="AX19" s="180">
        <f ca="1">IF(SUM(P24:P25)=0,BD39/2,(P24/SUMIF(AI242:AI243,Q24,AK242:AK243)+P23/SUMIF(AI242:AI243,Q24,AK242:AK243))/2)</f>
        <v>0</v>
      </c>
      <c r="AY19" s="131">
        <f ca="1">IF(SUM(P24:P25)=0,BD39/2,(P25/SUMIF(AI242:AI243,Q24,AK242:AK243)+P23/SUMIF(AI242:AI243,Q24,AK242:AK243))/2)</f>
        <v>0</v>
      </c>
      <c r="AZ19" s="3"/>
      <c r="BA19" s="3"/>
      <c r="BB19" s="2072"/>
      <c r="BC19" s="77" t="s">
        <v>915</v>
      </c>
      <c r="BD19" s="77" t="s">
        <v>748</v>
      </c>
      <c r="BE19" s="151" t="s">
        <v>1595</v>
      </c>
      <c r="BF19" s="25"/>
      <c r="BG19" s="25"/>
      <c r="BH19" s="25"/>
      <c r="BI19" s="25"/>
      <c r="BJ19" s="343"/>
      <c r="BK19" s="25"/>
      <c r="BL19" s="25"/>
      <c r="BM19" s="25"/>
      <c r="BN19" s="25"/>
      <c r="BO19" s="25"/>
      <c r="BP19" s="25"/>
      <c r="BQ19" s="25"/>
      <c r="BR19" s="25"/>
      <c r="BS19" s="425"/>
      <c r="BT19" s="2"/>
      <c r="BU19" s="2"/>
      <c r="BV19" s="2"/>
      <c r="BW19" s="13"/>
      <c r="BX19" s="13"/>
      <c r="BY19" s="13"/>
      <c r="BZ19" s="13"/>
      <c r="CA19" s="13"/>
      <c r="CB19" s="121"/>
      <c r="CC19" s="339"/>
      <c r="CD19" s="339"/>
      <c r="CE19" s="339"/>
      <c r="CF19" s="339"/>
      <c r="CG19" s="339"/>
      <c r="CH19" s="339"/>
      <c r="CI19" s="339"/>
      <c r="CJ19" s="339"/>
      <c r="CK19" s="339"/>
      <c r="CL19" s="339"/>
      <c r="CM19" s="339"/>
      <c r="CN19" s="339"/>
      <c r="CO19" s="339"/>
      <c r="CP19" s="339"/>
      <c r="CQ19" s="339"/>
      <c r="CR19" s="339"/>
      <c r="CS19" s="339" t="b">
        <f t="shared" si="0"/>
        <v>1</v>
      </c>
      <c r="CT19" s="339" t="b">
        <f t="shared" si="1"/>
        <v>0</v>
      </c>
      <c r="CU19" s="339" t="b">
        <f t="shared" si="2"/>
        <v>0</v>
      </c>
      <c r="CV19" s="339">
        <f t="shared" si="3"/>
        <v>0</v>
      </c>
      <c r="CW19" s="2030"/>
      <c r="DS19" s="15"/>
    </row>
    <row r="20" spans="1:123" ht="41.2" customHeight="1" thickBot="1" x14ac:dyDescent="0.3">
      <c r="A20" s="13"/>
      <c r="B20" s="2433"/>
      <c r="C20" s="1380"/>
      <c r="D20" s="1391" t="s">
        <v>1582</v>
      </c>
      <c r="E20" s="1193">
        <f>IF(ISBLANK(Import!E299),, Import!E299)</f>
        <v>0</v>
      </c>
      <c r="F20" s="1392" t="s">
        <v>1440</v>
      </c>
      <c r="G20" s="2438"/>
      <c r="H20" s="2438"/>
      <c r="I20" s="2438"/>
      <c r="J20" s="2404"/>
      <c r="K20" s="837"/>
      <c r="L20" s="837"/>
      <c r="M20" s="1559"/>
      <c r="N20" s="81"/>
      <c r="O20" s="138"/>
      <c r="P20" s="138"/>
      <c r="Q20" s="138"/>
      <c r="R20" s="357"/>
      <c r="S20" s="25"/>
      <c r="T20" s="149"/>
      <c r="U20" s="149"/>
      <c r="V20" s="149"/>
      <c r="W20" s="344"/>
      <c r="X20" s="25"/>
      <c r="Y20" s="121"/>
      <c r="Z20" s="77">
        <f t="shared" si="4"/>
        <v>0</v>
      </c>
      <c r="AA20" s="127">
        <f t="shared" ca="1" si="5"/>
        <v>0</v>
      </c>
      <c r="AB20" s="343"/>
      <c r="AC20" s="25"/>
      <c r="AD20" s="25"/>
      <c r="AE20" s="25"/>
      <c r="AF20" s="25"/>
      <c r="AG20" s="25"/>
      <c r="AH20" s="25"/>
      <c r="AI20" s="25"/>
      <c r="AJ20" s="360"/>
      <c r="AK20" s="3"/>
      <c r="AL20" s="3"/>
      <c r="AM20" s="3"/>
      <c r="AN20" s="3"/>
      <c r="AO20" s="3"/>
      <c r="AP20" s="3"/>
      <c r="AQ20" s="3"/>
      <c r="AR20" s="3"/>
      <c r="AS20" s="3"/>
      <c r="AT20" s="149"/>
      <c r="AU20" s="3"/>
      <c r="AV20" s="1637"/>
      <c r="AW20" s="2060" t="s">
        <v>988</v>
      </c>
      <c r="AX20" s="2061">
        <f ca="1">IF(SUM(P24:P25)=0,BE39,P24)</f>
        <v>0</v>
      </c>
      <c r="AY20" s="2174">
        <f ca="1">IF(SUM(P24:P25)=0,BE39,P25)</f>
        <v>0</v>
      </c>
      <c r="AZ20" s="3"/>
      <c r="BA20" s="3"/>
      <c r="BB20" s="77" t="s">
        <v>369</v>
      </c>
      <c r="BC20" s="77">
        <f ca="1">OFFSET('A2. Livestockdata'!$B$1,SUMIF($AB$186:$AB$200,$AE17,$AG$186:$AG$200)+1-SUMIF('1.GeneralInfo'!$R$27:$R$221,'1.GeneralInfo'!$E$7,'1.GeneralInfo'!$V$27:$V$221),0)</f>
        <v>0</v>
      </c>
      <c r="BD20" s="77">
        <f ca="1">AE30</f>
        <v>0</v>
      </c>
      <c r="BE20" s="2189">
        <f ca="1">IF(SUMIF($AB$186:$AB$200,$AE17,$AD$186:$AD$200)=0,BC20,BD20)</f>
        <v>0</v>
      </c>
      <c r="BF20" s="3"/>
      <c r="BG20" s="3"/>
      <c r="BH20" s="3"/>
      <c r="BI20" s="360"/>
      <c r="BJ20" s="361"/>
      <c r="BK20" s="79"/>
      <c r="BL20" s="79"/>
      <c r="BM20" s="79"/>
      <c r="BN20" s="79"/>
      <c r="BO20" s="79"/>
      <c r="BP20" s="149"/>
      <c r="BQ20" s="3"/>
      <c r="BR20" s="3"/>
      <c r="BS20" s="425"/>
      <c r="BT20" s="2"/>
      <c r="BU20" s="2"/>
      <c r="BV20" s="2"/>
      <c r="BW20" s="13"/>
      <c r="BX20" s="13"/>
      <c r="BY20" s="13"/>
      <c r="BZ20" s="13"/>
      <c r="CA20" s="13"/>
      <c r="CB20" s="121"/>
      <c r="CC20" s="339"/>
      <c r="CD20" s="339"/>
      <c r="CE20" s="339"/>
      <c r="CF20" s="339"/>
      <c r="CG20" s="339"/>
      <c r="CH20" s="339"/>
      <c r="CI20" s="339"/>
      <c r="CJ20" s="339"/>
      <c r="CK20" s="339"/>
      <c r="CL20" s="339"/>
      <c r="CM20" s="339"/>
      <c r="CN20" s="339"/>
      <c r="CO20" s="339"/>
      <c r="CP20" s="339"/>
      <c r="CQ20" s="339"/>
      <c r="CR20" s="339"/>
      <c r="CS20" s="339" t="b">
        <f t="shared" si="0"/>
        <v>1</v>
      </c>
      <c r="CT20" s="339" t="b">
        <f t="shared" si="1"/>
        <v>0</v>
      </c>
      <c r="CU20" s="339" t="b">
        <f t="shared" si="2"/>
        <v>0</v>
      </c>
      <c r="CV20" s="339">
        <f t="shared" si="3"/>
        <v>0</v>
      </c>
      <c r="CW20" s="2030"/>
      <c r="DS20" s="15"/>
    </row>
    <row r="21" spans="1:123" ht="8.25" customHeight="1" thickBot="1" x14ac:dyDescent="0.3">
      <c r="A21" s="13"/>
      <c r="B21" s="2433"/>
      <c r="C21" s="1380"/>
      <c r="D21" s="1393"/>
      <c r="E21" s="1389"/>
      <c r="F21" s="1394"/>
      <c r="G21" s="2438"/>
      <c r="H21" s="2438"/>
      <c r="I21" s="2438"/>
      <c r="J21" s="2404"/>
      <c r="K21" s="837"/>
      <c r="L21" s="837"/>
      <c r="M21" s="1559"/>
      <c r="N21" s="6"/>
      <c r="O21" s="138"/>
      <c r="P21" s="138"/>
      <c r="Q21" s="138"/>
      <c r="R21" s="357"/>
      <c r="S21" s="25"/>
      <c r="T21" s="149"/>
      <c r="U21" s="149"/>
      <c r="V21" s="149"/>
      <c r="W21" s="13"/>
      <c r="X21" s="25"/>
      <c r="Y21" s="121"/>
      <c r="Z21" s="77">
        <f t="shared" si="4"/>
        <v>0</v>
      </c>
      <c r="AA21" s="127">
        <f t="shared" ca="1" si="5"/>
        <v>0</v>
      </c>
      <c r="AB21" s="343"/>
      <c r="AC21" s="125"/>
      <c r="AD21" s="125"/>
      <c r="AE21" s="125"/>
      <c r="AF21" s="125"/>
      <c r="AG21" s="125"/>
      <c r="AH21" s="125"/>
      <c r="AI21" s="125"/>
      <c r="AJ21" s="125"/>
      <c r="AK21" s="125"/>
      <c r="AL21" s="125"/>
      <c r="AM21" s="125"/>
      <c r="AN21" s="125"/>
      <c r="AO21" s="125"/>
      <c r="AP21" s="125"/>
      <c r="AQ21" s="125"/>
      <c r="AR21" s="2154"/>
      <c r="AS21" s="385"/>
      <c r="AT21" s="385"/>
      <c r="AU21" s="1642"/>
      <c r="AV21" s="1637"/>
      <c r="AW21" s="3"/>
      <c r="AX21" s="3"/>
      <c r="AY21" s="3"/>
      <c r="AZ21" s="3"/>
      <c r="BA21" s="3"/>
      <c r="BB21" s="77" t="s">
        <v>370</v>
      </c>
      <c r="BC21" s="2189">
        <f ca="1">OFFSET('A2. Livestockdata'!$C$1,SUMIF($AB$186:$AB$200,$AE17,$AG$186:$AG$200)+1-SUMIF('1.GeneralInfo'!$R$27:$R$221,'1.GeneralInfo'!$E$7,'1.GeneralInfo'!$V$27:$V$221),0)</f>
        <v>0</v>
      </c>
      <c r="BD21" s="2189">
        <f ca="1">OFFSET('A2. Livestockdata'!$C$1,SUMIF($AB$186:$AB$200,$AE17,$AG$186:$AG$200)-1+SUMIF($AT$122:$AT$130,$AC$121,$AU$122:$AU$130),0)</f>
        <v>0</v>
      </c>
      <c r="BE21" s="2189">
        <f ca="1">IF(SUMIF($AB$186:$AB$200,$AE17,$AD$186:$AD$200)=0,BC21,BD21)</f>
        <v>0</v>
      </c>
      <c r="BF21" s="3"/>
      <c r="BG21" s="3"/>
      <c r="BH21" s="3"/>
      <c r="BI21" s="25"/>
      <c r="BJ21" s="343"/>
      <c r="BK21" s="25"/>
      <c r="BL21" s="25"/>
      <c r="BM21" s="25"/>
      <c r="BN21" s="420"/>
      <c r="BO21" s="25"/>
      <c r="BP21" s="149"/>
      <c r="BQ21" s="3"/>
      <c r="BR21" s="3"/>
      <c r="BS21" s="425"/>
      <c r="BT21" s="2"/>
      <c r="BU21" s="2"/>
      <c r="BV21" s="2"/>
      <c r="BW21" s="13"/>
      <c r="BX21" s="13"/>
      <c r="BY21" s="13"/>
      <c r="BZ21" s="13"/>
      <c r="CA21" s="13"/>
      <c r="CB21" s="121"/>
      <c r="CC21" s="339"/>
      <c r="CD21" s="339"/>
      <c r="CE21" s="339"/>
      <c r="CF21" s="339"/>
      <c r="CG21" s="339"/>
      <c r="CH21" s="339"/>
      <c r="CI21" s="339"/>
      <c r="CJ21" s="339"/>
      <c r="CK21" s="339"/>
      <c r="CL21" s="339"/>
      <c r="CM21" s="339"/>
      <c r="CN21" s="339"/>
      <c r="CO21" s="339"/>
      <c r="CP21" s="339"/>
      <c r="CQ21" s="339"/>
      <c r="CR21" s="339"/>
      <c r="CS21" s="339"/>
      <c r="CT21" s="339"/>
      <c r="CU21" s="339"/>
      <c r="CV21" s="339">
        <f>SUM(CV11:CV20)</f>
        <v>0</v>
      </c>
      <c r="CW21" s="2030"/>
      <c r="DS21" s="15"/>
    </row>
    <row r="22" spans="1:123" ht="28.55" customHeight="1" x14ac:dyDescent="0.25">
      <c r="A22" s="13"/>
      <c r="B22" s="1379"/>
      <c r="C22" s="1380"/>
      <c r="D22" s="1393"/>
      <c r="E22" s="1395" t="s">
        <v>707</v>
      </c>
      <c r="F22" s="1396" t="s">
        <v>922</v>
      </c>
      <c r="G22" s="2438"/>
      <c r="H22" s="2438"/>
      <c r="I22" s="2438"/>
      <c r="J22" s="1408"/>
      <c r="K22" s="1396" t="s">
        <v>949</v>
      </c>
      <c r="L22" s="1397" t="s">
        <v>2045</v>
      </c>
      <c r="M22" s="1559"/>
      <c r="N22" s="81"/>
      <c r="O22" s="138"/>
      <c r="P22" s="138"/>
      <c r="Q22" s="82" t="s">
        <v>1945</v>
      </c>
      <c r="R22" s="139"/>
      <c r="S22" s="25"/>
      <c r="T22" s="149"/>
      <c r="U22" s="149"/>
      <c r="V22" s="149"/>
      <c r="W22" s="13"/>
      <c r="X22" s="25"/>
      <c r="Y22" s="358"/>
      <c r="Z22" s="77">
        <f t="shared" si="4"/>
        <v>0</v>
      </c>
      <c r="AA22" s="127">
        <f t="shared" ca="1" si="5"/>
        <v>0</v>
      </c>
      <c r="AB22" s="343"/>
      <c r="AC22" s="25"/>
      <c r="AD22" s="25"/>
      <c r="AE22" s="25"/>
      <c r="AF22" s="25"/>
      <c r="AG22" s="25"/>
      <c r="AH22" s="25"/>
      <c r="AI22" s="25"/>
      <c r="AJ22" s="25"/>
      <c r="AK22" s="25"/>
      <c r="AL22" s="25"/>
      <c r="AM22" s="25"/>
      <c r="AN22" s="25"/>
      <c r="AO22" s="25"/>
      <c r="AP22" s="25"/>
      <c r="AQ22" s="25"/>
      <c r="AR22" s="359"/>
      <c r="AS22" s="149"/>
      <c r="AT22" s="149"/>
      <c r="AU22" s="3"/>
      <c r="AV22" s="1637"/>
      <c r="AW22" s="3"/>
      <c r="AX22" s="3"/>
      <c r="AY22" s="3"/>
      <c r="AZ22" s="3"/>
      <c r="BA22" s="3"/>
      <c r="BB22" s="77" t="s">
        <v>371</v>
      </c>
      <c r="BC22" s="2189">
        <f ca="1">OFFSET('A2. Livestockdata'!$D$1,SUMIF($AB$186:$AB$200,$AE17,$AG$186:$AG$200)+1-SUMIF('1.GeneralInfo'!$R$27:$R$221,'1.GeneralInfo'!$E$7,'1.GeneralInfo'!$V$27:$V$221),0)</f>
        <v>0</v>
      </c>
      <c r="BD22" s="2189">
        <f ca="1">OFFSET('A2. Livestockdata'!$D$1,SUMIF($AB$186:$AB$200,$AE17,$AG$186:$AG$200)-1+SUMIF($AT$122:$AT$130,$AC$121,$AU$122:$AU$130),0)</f>
        <v>0</v>
      </c>
      <c r="BE22" s="2189">
        <f ca="1">IF(SUMIF($AB$186:$AB$200,$AE17,$AD$186:$AD$200)=1,BD22,BC22)</f>
        <v>0</v>
      </c>
      <c r="BF22" s="25"/>
      <c r="BG22" s="3"/>
      <c r="BH22" s="3"/>
      <c r="BI22" s="25"/>
      <c r="BJ22" s="343"/>
      <c r="BK22" s="25"/>
      <c r="BL22" s="25"/>
      <c r="BM22" s="25"/>
      <c r="BN22" s="25"/>
      <c r="BO22" s="420"/>
      <c r="BP22" s="3"/>
      <c r="BQ22" s="3"/>
      <c r="BR22" s="3"/>
      <c r="BS22" s="425"/>
      <c r="BT22" s="2"/>
      <c r="BU22" s="2"/>
      <c r="BV22" s="2"/>
      <c r="BW22" s="13"/>
      <c r="BX22" s="13"/>
      <c r="BY22" s="13"/>
      <c r="BZ22" s="13"/>
      <c r="CA22" s="13"/>
      <c r="CB22" s="121"/>
      <c r="CC22" s="339"/>
      <c r="CD22" s="339"/>
      <c r="CE22" s="339"/>
      <c r="CF22" s="339"/>
      <c r="CG22" s="339"/>
      <c r="CH22" s="339"/>
      <c r="CI22" s="339"/>
      <c r="CJ22" s="339"/>
      <c r="CK22" s="339"/>
      <c r="CL22" s="339"/>
      <c r="CM22" s="339"/>
      <c r="CN22" s="339"/>
      <c r="CO22" s="339"/>
      <c r="CP22" s="339"/>
      <c r="CQ22" s="339"/>
      <c r="CR22" s="339"/>
      <c r="CS22" s="339"/>
      <c r="CT22" s="339"/>
      <c r="CU22" s="339"/>
      <c r="CV22" s="339"/>
      <c r="CW22" s="2030"/>
      <c r="DS22" s="15"/>
    </row>
    <row r="23" spans="1:123" ht="28.55" customHeight="1" x14ac:dyDescent="0.4">
      <c r="A23" s="13"/>
      <c r="B23" s="2434" t="s">
        <v>973</v>
      </c>
      <c r="C23" s="1380"/>
      <c r="D23" s="1391" t="s">
        <v>160</v>
      </c>
      <c r="E23" s="1193" t="str">
        <f>IF(ISBLANK(Import!F299),, Import!F299)</f>
        <v>[Select]</v>
      </c>
      <c r="F23" s="1193" t="str">
        <f>IF(ISBLANK(Import!G299),, Import!G299)</f>
        <v>[Select]</v>
      </c>
      <c r="G23" s="2438"/>
      <c r="H23" s="2438"/>
      <c r="I23" s="2438"/>
      <c r="J23" s="1398">
        <v>1</v>
      </c>
      <c r="K23" s="1193" t="str">
        <f>IF(ISBLANK(Import!E304),, Import!E304)</f>
        <v>Select</v>
      </c>
      <c r="L23" s="1193">
        <f>IF(ISBLANK(Import!G304),, Import!G304)</f>
        <v>0</v>
      </c>
      <c r="M23" s="1559" t="s">
        <v>1440</v>
      </c>
      <c r="N23" s="363"/>
      <c r="O23" s="9" t="s">
        <v>1928</v>
      </c>
      <c r="P23" s="1204"/>
      <c r="Q23" s="1204" t="str">
        <f ca="1">OFFSET('2.CropManagement'!AA$182,SUMIF('2.CropManagement'!W$183:W$184,'1.GeneralInfo'!$E$8,'2.CropManagement'!X$183:X$184),0)</f>
        <v>kgs</v>
      </c>
      <c r="R23" s="357"/>
      <c r="S23" s="149"/>
      <c r="T23" s="149"/>
      <c r="U23" s="149"/>
      <c r="V23" s="149"/>
      <c r="W23" s="13"/>
      <c r="X23" s="25"/>
      <c r="Y23" s="121"/>
      <c r="Z23" s="77">
        <f t="shared" si="4"/>
        <v>0</v>
      </c>
      <c r="AA23" s="127">
        <f t="shared" ca="1" si="5"/>
        <v>0</v>
      </c>
      <c r="AB23" s="343"/>
      <c r="AC23" s="2373" t="s">
        <v>1257</v>
      </c>
      <c r="AD23" s="2373"/>
      <c r="AE23" s="3"/>
      <c r="AF23" s="3"/>
      <c r="AG23" s="3"/>
      <c r="AH23" s="25"/>
      <c r="AI23" s="25"/>
      <c r="AJ23" s="25"/>
      <c r="AK23" s="149"/>
      <c r="AL23" s="149"/>
      <c r="AM23" s="149"/>
      <c r="AN23" s="2"/>
      <c r="AO23" s="106"/>
      <c r="AP23" s="4" t="s">
        <v>1119</v>
      </c>
      <c r="AQ23" s="4" t="s">
        <v>1120</v>
      </c>
      <c r="AR23" s="4" t="s">
        <v>2092</v>
      </c>
      <c r="AS23" s="75" t="s">
        <v>2078</v>
      </c>
      <c r="AT23" s="4" t="s">
        <v>538</v>
      </c>
      <c r="AU23" s="3"/>
      <c r="AV23" s="1637"/>
      <c r="AW23" s="25"/>
      <c r="AX23" s="25"/>
      <c r="AY23" s="25"/>
      <c r="AZ23" s="25"/>
      <c r="BA23" s="25"/>
      <c r="BB23" s="128" t="s">
        <v>540</v>
      </c>
      <c r="BC23" s="77"/>
      <c r="BD23" s="77"/>
      <c r="BE23" s="77" t="str">
        <f ca="1">OFFSET('A2. Livestockdata'!$B$138,SUMIF($AB$186:$AB$200,$AE$17,$AE$186:$AE$200),SUMIF($AT$122:$AT$130,$AC$121,$AU$122:$AU$130))</f>
        <v>Western Europe</v>
      </c>
      <c r="BF23" s="25"/>
      <c r="BG23" s="25"/>
      <c r="BH23" s="25"/>
      <c r="BI23" s="25"/>
      <c r="BJ23" s="343"/>
      <c r="BK23" s="25"/>
      <c r="BL23" s="25"/>
      <c r="BM23" s="25"/>
      <c r="BN23" s="25"/>
      <c r="BO23" s="420"/>
      <c r="BP23" s="3"/>
      <c r="BQ23" s="3"/>
      <c r="BR23" s="3"/>
      <c r="BS23" s="425"/>
      <c r="BT23" s="2"/>
      <c r="BU23" s="2"/>
      <c r="BV23" s="2"/>
      <c r="BW23" s="13"/>
      <c r="BX23" s="13"/>
      <c r="BY23" s="13"/>
      <c r="BZ23" s="13"/>
      <c r="CA23" s="13"/>
      <c r="CB23" s="121"/>
      <c r="CC23" s="339"/>
      <c r="CD23" s="339"/>
      <c r="CE23" s="339"/>
      <c r="CF23" s="339"/>
      <c r="CG23" s="339"/>
      <c r="CH23" s="339"/>
      <c r="CI23" s="339"/>
      <c r="CJ23" s="339"/>
      <c r="CK23" s="339"/>
      <c r="CL23" s="339"/>
      <c r="CM23" s="339"/>
      <c r="CN23" s="339"/>
      <c r="CO23" s="339"/>
      <c r="CP23" s="339"/>
      <c r="CQ23" s="339"/>
      <c r="CR23" s="339"/>
      <c r="CS23" s="339"/>
      <c r="CT23" s="339"/>
      <c r="CU23" s="339"/>
      <c r="CV23" s="339"/>
      <c r="CW23" s="2030"/>
      <c r="DS23" s="15"/>
    </row>
    <row r="24" spans="1:123" ht="17.3" customHeight="1" x14ac:dyDescent="0.25">
      <c r="A24" s="13"/>
      <c r="B24" s="2434"/>
      <c r="C24" s="1380"/>
      <c r="D24" s="1388"/>
      <c r="E24" s="1389"/>
      <c r="F24" s="291"/>
      <c r="G24" s="1390"/>
      <c r="H24" s="1390"/>
      <c r="I24" s="1390"/>
      <c r="J24" s="1398">
        <v>2</v>
      </c>
      <c r="K24" s="1193" t="str">
        <f>IF(ISBLANK(Import!E305),, Import!E305)</f>
        <v>Select</v>
      </c>
      <c r="L24" s="1193">
        <f>IF(ISBLANK(Import!G305),, Import!G305)</f>
        <v>0</v>
      </c>
      <c r="M24" s="1559" t="s">
        <v>1440</v>
      </c>
      <c r="N24" s="363"/>
      <c r="O24" s="9" t="s">
        <v>1929</v>
      </c>
      <c r="P24" s="1204"/>
      <c r="Q24" s="1204" t="str">
        <f ca="1">OFFSET('2.CropManagement'!AA$182,SUMIF('2.CropManagement'!W$183:W$184,'1.GeneralInfo'!$E$8,'2.CropManagement'!X$183:X$184),0)</f>
        <v>kgs</v>
      </c>
      <c r="R24" s="357"/>
      <c r="S24" s="149"/>
      <c r="T24" s="149"/>
      <c r="U24" s="149"/>
      <c r="V24" s="149"/>
      <c r="W24" s="13"/>
      <c r="X24" s="25"/>
      <c r="Y24" s="121"/>
      <c r="Z24" s="77">
        <f t="shared" si="4"/>
        <v>0</v>
      </c>
      <c r="AA24" s="127">
        <f t="shared" ca="1" si="5"/>
        <v>0</v>
      </c>
      <c r="AB24" s="343"/>
      <c r="AC24" s="25"/>
      <c r="AD24" s="3"/>
      <c r="AE24" s="3"/>
      <c r="AF24" s="3"/>
      <c r="AG24" s="3"/>
      <c r="AH24" s="25"/>
      <c r="AI24" s="2175" t="s">
        <v>1908</v>
      </c>
      <c r="AJ24" s="2181" t="str">
        <f>AO270</f>
        <v>cattle</v>
      </c>
      <c r="AK24" s="2"/>
      <c r="AL24" s="2176" t="s">
        <v>1117</v>
      </c>
      <c r="AM24" s="77">
        <f>SUMIF($AB$269:$AB$271,E23,$AH$259:$AH$261)</f>
        <v>0</v>
      </c>
      <c r="AN24" s="2"/>
      <c r="AO24" s="1059" t="s">
        <v>2093</v>
      </c>
      <c r="AP24" s="180">
        <f ca="1">AM27*POWER(BE20,0.75)</f>
        <v>0</v>
      </c>
      <c r="AQ24" s="180" t="e">
        <f ca="1">AP24/AM26/AM$25</f>
        <v>#DIV/0!</v>
      </c>
      <c r="AR24" s="180" t="e">
        <f ca="1">AQ24/AM$268</f>
        <v>#DIV/0!</v>
      </c>
      <c r="AS24" s="2"/>
      <c r="AT24" s="149"/>
      <c r="AU24" s="3"/>
      <c r="AV24" s="1637"/>
      <c r="AW24" s="25"/>
      <c r="AX24" s="25"/>
      <c r="AY24" s="25"/>
      <c r="AZ24" s="25"/>
      <c r="BA24" s="25"/>
      <c r="BB24" s="25"/>
      <c r="BC24" s="25"/>
      <c r="BD24" s="25"/>
      <c r="BE24" s="25"/>
      <c r="BF24" s="25"/>
      <c r="BG24" s="25"/>
      <c r="BH24" s="25"/>
      <c r="BI24" s="25"/>
      <c r="BJ24" s="343"/>
      <c r="BK24" s="25"/>
      <c r="BL24" s="25"/>
      <c r="BM24" s="25"/>
      <c r="BN24" s="79"/>
      <c r="BO24" s="79"/>
      <c r="BP24" s="3"/>
      <c r="BQ24" s="3"/>
      <c r="BR24" s="3"/>
      <c r="BS24" s="425"/>
      <c r="BT24" s="2"/>
      <c r="BU24" s="2"/>
      <c r="BV24" s="2"/>
      <c r="BW24" s="13"/>
      <c r="BX24" s="13"/>
      <c r="BY24" s="13"/>
      <c r="BZ24" s="13"/>
      <c r="CA24" s="13"/>
      <c r="CB24" s="121"/>
      <c r="CC24" s="339"/>
      <c r="CD24" s="339"/>
      <c r="CE24" s="339"/>
      <c r="CF24" s="339"/>
      <c r="CG24" s="339"/>
      <c r="CH24" s="339"/>
      <c r="CI24" s="339"/>
      <c r="CJ24" s="339"/>
      <c r="CK24" s="339"/>
      <c r="CL24" s="339"/>
      <c r="CM24" s="339"/>
      <c r="CN24" s="339"/>
      <c r="CO24" s="339"/>
      <c r="CP24" s="339"/>
      <c r="CQ24" s="339"/>
      <c r="CR24" s="339"/>
      <c r="CS24" s="339"/>
      <c r="CT24" s="339"/>
      <c r="CU24" s="339"/>
      <c r="CV24" s="339"/>
      <c r="CW24" s="2030"/>
      <c r="DS24" s="15"/>
    </row>
    <row r="25" spans="1:123" ht="17.3" customHeight="1" x14ac:dyDescent="0.25">
      <c r="A25" s="13"/>
      <c r="B25" s="2434"/>
      <c r="C25" s="1380"/>
      <c r="D25" s="1388"/>
      <c r="E25" s="1389"/>
      <c r="F25" s="1385"/>
      <c r="G25" s="837"/>
      <c r="H25" s="1385"/>
      <c r="I25" s="1385"/>
      <c r="J25" s="1398">
        <v>3</v>
      </c>
      <c r="K25" s="1193" t="str">
        <f>IF(ISBLANK(Import!E306),, Import!E306)</f>
        <v>Select</v>
      </c>
      <c r="L25" s="1193">
        <f>IF(ISBLANK(Import!G306),, Import!G306)</f>
        <v>0</v>
      </c>
      <c r="M25" s="1559" t="s">
        <v>1440</v>
      </c>
      <c r="N25" s="363"/>
      <c r="O25" s="9" t="s">
        <v>1930</v>
      </c>
      <c r="P25" s="1204"/>
      <c r="Q25" s="1204" t="str">
        <f ca="1">OFFSET('2.CropManagement'!AA$182,SUMIF('2.CropManagement'!W$183:W$184,'1.GeneralInfo'!$E$8,'2.CropManagement'!X$183:X$184),0)</f>
        <v>kgs</v>
      </c>
      <c r="R25" s="357"/>
      <c r="S25" s="149"/>
      <c r="T25" s="149"/>
      <c r="U25" s="149"/>
      <c r="V25" s="149"/>
      <c r="W25" s="13"/>
      <c r="X25" s="25"/>
      <c r="Y25" s="121"/>
      <c r="Z25" s="77">
        <f t="shared" si="4"/>
        <v>0</v>
      </c>
      <c r="AA25" s="127">
        <f t="shared" ca="1" si="5"/>
        <v>0</v>
      </c>
      <c r="AB25" s="343"/>
      <c r="AC25" s="25"/>
      <c r="AD25" s="2176" t="s">
        <v>1242</v>
      </c>
      <c r="AE25" s="180">
        <f>E10*SUMIF(AD298:AD301,F10,AO298:AO301)</f>
        <v>0</v>
      </c>
      <c r="AF25" s="25"/>
      <c r="AG25" s="3"/>
      <c r="AH25" s="25"/>
      <c r="AI25" s="2"/>
      <c r="AJ25" s="2"/>
      <c r="AK25" s="2"/>
      <c r="AL25" s="1059" t="s">
        <v>1118</v>
      </c>
      <c r="AM25" s="180" t="e">
        <f>(100-E20)*AM24/((100-E20)*AM24+E20*0.8)*SUMIF($AB$269:$AB$271,E23,$AC$269:$AC$271)+(1-(100-E20)*AM24/((100-E20)*AM24+E20*0.8))*$AH$258</f>
        <v>#DIV/0!</v>
      </c>
      <c r="AN25" s="2"/>
      <c r="AO25" s="1059" t="s">
        <v>2094</v>
      </c>
      <c r="AP25" s="180" t="e">
        <f ca="1">22.02*POWER((AX19/(0.8*AX20)),0.75)*POWER(AM$28,1.097)*AG26</f>
        <v>#DIV/0!</v>
      </c>
      <c r="AQ25" s="180" t="e">
        <f ca="1">AP25/AM29/AM$25</f>
        <v>#DIV/0!</v>
      </c>
      <c r="AR25" s="180" t="e">
        <f ca="1">AQ25/AM$268</f>
        <v>#DIV/0!</v>
      </c>
      <c r="AS25" s="149"/>
      <c r="AT25" s="149"/>
      <c r="AU25" s="3"/>
      <c r="AV25" s="1637"/>
      <c r="AW25" s="25"/>
      <c r="AX25" s="25"/>
      <c r="AY25" s="25"/>
      <c r="AZ25" s="25"/>
      <c r="BA25" s="25"/>
      <c r="BB25" s="25"/>
      <c r="BC25" s="25"/>
      <c r="BD25" s="25"/>
      <c r="BE25" s="25"/>
      <c r="BF25" s="25"/>
      <c r="BG25" s="25"/>
      <c r="BH25" s="25"/>
      <c r="BI25" s="25"/>
      <c r="BJ25" s="343"/>
      <c r="BK25" s="25"/>
      <c r="BL25" s="25"/>
      <c r="BM25" s="25"/>
      <c r="BN25" s="421"/>
      <c r="BO25" s="422"/>
      <c r="BP25" s="3"/>
      <c r="BQ25" s="3"/>
      <c r="BR25" s="3"/>
      <c r="BS25" s="425"/>
      <c r="BT25" s="2"/>
      <c r="BU25" s="2"/>
      <c r="BV25" s="2"/>
      <c r="BW25" s="13"/>
      <c r="BX25" s="13"/>
      <c r="BY25" s="13"/>
      <c r="BZ25" s="13"/>
      <c r="CA25" s="13"/>
      <c r="CB25" s="121"/>
      <c r="CC25" s="80"/>
      <c r="CD25" s="80"/>
      <c r="CE25" s="80"/>
      <c r="CF25" s="80"/>
      <c r="CG25" s="80"/>
      <c r="CH25" s="80"/>
      <c r="CI25" s="80"/>
      <c r="CJ25" s="80"/>
      <c r="CK25" s="80"/>
      <c r="CL25" s="80"/>
      <c r="CM25" s="80"/>
      <c r="CN25" s="80"/>
      <c r="CO25" s="80"/>
      <c r="CP25" s="80"/>
      <c r="CQ25" s="80"/>
      <c r="CR25" s="80"/>
      <c r="CS25" s="80"/>
      <c r="CT25" s="80"/>
      <c r="CU25" s="80"/>
      <c r="CV25" s="80"/>
      <c r="CW25" s="2030"/>
      <c r="DS25" s="84"/>
    </row>
    <row r="26" spans="1:123" ht="16.600000000000001" customHeight="1" x14ac:dyDescent="0.25">
      <c r="A26" s="13"/>
      <c r="B26" s="2434"/>
      <c r="C26" s="1380"/>
      <c r="D26" s="1388"/>
      <c r="E26" s="1389"/>
      <c r="F26" s="291"/>
      <c r="G26" s="837"/>
      <c r="H26" s="1385"/>
      <c r="I26" s="1385"/>
      <c r="J26" s="1398">
        <v>4</v>
      </c>
      <c r="K26" s="1193" t="str">
        <f>IF(ISBLANK(Import!E307),, Import!E307)</f>
        <v>Select</v>
      </c>
      <c r="L26" s="1193">
        <f>IF(ISBLANK(Import!G307),, Import!G307)</f>
        <v>0</v>
      </c>
      <c r="M26" s="1559" t="s">
        <v>1440</v>
      </c>
      <c r="N26" s="363"/>
      <c r="O26" s="82" t="s">
        <v>989</v>
      </c>
      <c r="P26" s="1204"/>
      <c r="Q26" s="150"/>
      <c r="R26" s="357"/>
      <c r="S26" s="149"/>
      <c r="T26" s="149"/>
      <c r="U26" s="149"/>
      <c r="V26" s="149"/>
      <c r="W26" s="13"/>
      <c r="X26" s="25"/>
      <c r="Y26" s="121"/>
      <c r="Z26" s="77">
        <f t="shared" si="4"/>
        <v>0</v>
      </c>
      <c r="AA26" s="127">
        <f t="shared" ca="1" si="5"/>
        <v>0</v>
      </c>
      <c r="AB26" s="343"/>
      <c r="AC26" s="25"/>
      <c r="AD26" s="2176" t="s">
        <v>158</v>
      </c>
      <c r="AE26" s="180">
        <f>I10</f>
        <v>0</v>
      </c>
      <c r="AF26" s="77" t="s">
        <v>985</v>
      </c>
      <c r="AG26" s="77">
        <f>IF(SUM(P24:P25)=0,0.5,P26/AE26)</f>
        <v>0.5</v>
      </c>
      <c r="AH26" s="25"/>
      <c r="AI26" s="2"/>
      <c r="AJ26" s="2"/>
      <c r="AK26" s="2"/>
      <c r="AL26" s="1059" t="s">
        <v>1910</v>
      </c>
      <c r="AM26" s="180" t="e">
        <f>1.123-(4.092*0.001*100*AM25)+(1.123*0.1*AM25*AM25)-25.4/(100*AM25)</f>
        <v>#DIV/0!</v>
      </c>
      <c r="AN26" s="2"/>
      <c r="AO26" s="1059" t="s">
        <v>2095</v>
      </c>
      <c r="AP26" s="180" t="e">
        <f ca="1">22.02*POWER(AY19/AY20,0.75)*POWER(AM$28,1.097)*AG27</f>
        <v>#DIV/0!</v>
      </c>
      <c r="AQ26" s="180" t="e">
        <f ca="1">AP26/AM29/AM$25</f>
        <v>#DIV/0!</v>
      </c>
      <c r="AR26" s="180" t="e">
        <f ca="1">AQ26/AM$268</f>
        <v>#DIV/0!</v>
      </c>
      <c r="AS26" s="149"/>
      <c r="AT26" s="149"/>
      <c r="AU26" s="3"/>
      <c r="AV26" s="1637"/>
      <c r="AW26" s="25"/>
      <c r="AX26" s="25"/>
      <c r="AY26" s="25"/>
      <c r="AZ26" s="25"/>
      <c r="BA26" s="25"/>
      <c r="BB26" s="25"/>
      <c r="BC26" s="25"/>
      <c r="BD26" s="25"/>
      <c r="BE26" s="25"/>
      <c r="BF26" s="25"/>
      <c r="BG26" s="25"/>
      <c r="BH26" s="25"/>
      <c r="BI26" s="25"/>
      <c r="BJ26" s="343"/>
      <c r="BK26" s="25"/>
      <c r="BL26" s="25"/>
      <c r="BM26" s="25"/>
      <c r="BN26" s="421"/>
      <c r="BO26" s="422"/>
      <c r="BP26" s="25"/>
      <c r="BQ26" s="360"/>
      <c r="BR26" s="25"/>
      <c r="BS26" s="25"/>
      <c r="BT26" s="2"/>
      <c r="BU26" s="2"/>
      <c r="BV26" s="2"/>
      <c r="BW26" s="13"/>
      <c r="BX26" s="13"/>
      <c r="BY26" s="13"/>
      <c r="BZ26" s="13"/>
      <c r="CA26" s="13"/>
      <c r="CB26" s="121"/>
      <c r="CC26" s="80"/>
      <c r="CD26" s="80"/>
      <c r="CE26" s="80"/>
      <c r="CF26" s="80"/>
      <c r="CG26" s="80"/>
      <c r="CH26" s="80"/>
      <c r="CI26" s="80"/>
      <c r="CJ26" s="80"/>
      <c r="CK26" s="80"/>
      <c r="CL26" s="80"/>
      <c r="CM26" s="80"/>
      <c r="CN26" s="80"/>
      <c r="CO26" s="80"/>
      <c r="CP26" s="80"/>
      <c r="CQ26" s="80"/>
      <c r="CR26" s="80"/>
      <c r="CS26" s="80"/>
      <c r="CT26" s="80"/>
      <c r="CU26" s="80"/>
      <c r="CV26" s="80"/>
      <c r="CW26" s="2030"/>
      <c r="DS26" s="84"/>
    </row>
    <row r="27" spans="1:123" ht="17.3" customHeight="1" x14ac:dyDescent="0.25">
      <c r="A27" s="13"/>
      <c r="B27" s="2434"/>
      <c r="C27" s="1380"/>
      <c r="D27" s="1388"/>
      <c r="E27" s="1389"/>
      <c r="F27" s="291"/>
      <c r="G27" s="837"/>
      <c r="H27" s="1385"/>
      <c r="I27" s="1385"/>
      <c r="J27" s="1398">
        <v>5</v>
      </c>
      <c r="K27" s="1193" t="str">
        <f>IF(ISBLANK(Import!E308),, Import!E308)</f>
        <v>Select</v>
      </c>
      <c r="L27" s="1193">
        <f>IF(ISBLANK(Import!G308),, Import!G308)</f>
        <v>0</v>
      </c>
      <c r="M27" s="1559" t="s">
        <v>1440</v>
      </c>
      <c r="N27" s="363"/>
      <c r="O27" s="138"/>
      <c r="P27" s="138"/>
      <c r="Q27" s="138"/>
      <c r="R27" s="357"/>
      <c r="S27" s="149"/>
      <c r="T27" s="149"/>
      <c r="U27" s="149"/>
      <c r="V27" s="149"/>
      <c r="W27" s="13"/>
      <c r="X27" s="25"/>
      <c r="Y27" s="121"/>
      <c r="Z27" s="77">
        <f t="shared" si="4"/>
        <v>0</v>
      </c>
      <c r="AA27" s="127">
        <f t="shared" ca="1" si="5"/>
        <v>0</v>
      </c>
      <c r="AB27" s="2163"/>
      <c r="AC27" s="25"/>
      <c r="AD27" s="2176" t="s">
        <v>2090</v>
      </c>
      <c r="AE27" s="180">
        <f>AE26-P26</f>
        <v>0</v>
      </c>
      <c r="AF27" s="77" t="s">
        <v>986</v>
      </c>
      <c r="AG27" s="77">
        <f>IF(SUM(P24:P25)=0,0.5,AE27/AE26)</f>
        <v>0.5</v>
      </c>
      <c r="AH27" s="25"/>
      <c r="AI27" s="2"/>
      <c r="AJ27" s="2"/>
      <c r="AK27" s="2"/>
      <c r="AL27" s="1059" t="s">
        <v>1122</v>
      </c>
      <c r="AM27" s="180">
        <f>SUMIF(AO268:AO270,AJ24,AP268:AP270)</f>
        <v>0.37</v>
      </c>
      <c r="AN27" s="2"/>
      <c r="AO27" s="1059" t="s">
        <v>0</v>
      </c>
      <c r="AP27" s="180">
        <f ca="1">(100-E20)/100*SUMIF(AE268:AE270,F23,AF268:AF270)*AP24</f>
        <v>0</v>
      </c>
      <c r="AQ27" s="180" t="e">
        <f ca="1">AP27/AM26/AM$25</f>
        <v>#DIV/0!</v>
      </c>
      <c r="AR27" s="180" t="e">
        <f ca="1">AQ27/AM$268</f>
        <v>#DIV/0!</v>
      </c>
      <c r="AS27" s="4"/>
      <c r="AT27" s="149"/>
      <c r="AU27" s="3"/>
      <c r="AV27" s="1637"/>
      <c r="AW27" s="25"/>
      <c r="AX27" s="25"/>
      <c r="AY27" s="25"/>
      <c r="AZ27" s="25"/>
      <c r="BA27" s="25"/>
      <c r="BB27" s="25"/>
      <c r="BC27" s="25"/>
      <c r="BD27" s="25"/>
      <c r="BE27" s="25"/>
      <c r="BF27" s="25"/>
      <c r="BG27" s="25"/>
      <c r="BH27" s="25"/>
      <c r="BI27" s="25"/>
      <c r="BJ27" s="343"/>
      <c r="BK27" s="25"/>
      <c r="BL27" s="25"/>
      <c r="BM27" s="25"/>
      <c r="BN27" s="421"/>
      <c r="BO27" s="422"/>
      <c r="BP27" s="25"/>
      <c r="BQ27" s="360"/>
      <c r="BR27" s="25"/>
      <c r="BS27" s="25"/>
      <c r="BT27" s="2"/>
      <c r="BU27" s="2"/>
      <c r="BV27" s="2"/>
      <c r="BW27" s="13"/>
      <c r="BX27" s="13"/>
      <c r="BY27" s="13"/>
      <c r="BZ27" s="13"/>
      <c r="CA27" s="13"/>
      <c r="CB27" s="121"/>
      <c r="CC27" s="80"/>
      <c r="CD27" s="80"/>
      <c r="CE27" s="80"/>
      <c r="CF27" s="80"/>
      <c r="CG27" s="80"/>
      <c r="CH27" s="80"/>
      <c r="CI27" s="80"/>
      <c r="CJ27" s="80"/>
      <c r="CK27" s="80"/>
      <c r="CL27" s="80"/>
      <c r="CM27" s="80"/>
      <c r="CN27" s="80"/>
      <c r="CO27" s="80"/>
      <c r="CP27" s="80"/>
      <c r="CQ27" s="80"/>
      <c r="CR27" s="80"/>
      <c r="CS27" s="80"/>
      <c r="CT27" s="80"/>
      <c r="CU27" s="80"/>
      <c r="CV27" s="80"/>
      <c r="CW27" s="2030"/>
      <c r="DS27" s="84"/>
    </row>
    <row r="28" spans="1:123" ht="27.8" customHeight="1" thickBot="1" x14ac:dyDescent="0.3">
      <c r="A28" s="13"/>
      <c r="B28" s="2434"/>
      <c r="C28" s="1380"/>
      <c r="D28" s="1384" t="s">
        <v>157</v>
      </c>
      <c r="E28" s="1389"/>
      <c r="F28" s="291"/>
      <c r="G28" s="291"/>
      <c r="H28" s="837"/>
      <c r="I28" s="837"/>
      <c r="J28" s="1398">
        <v>6</v>
      </c>
      <c r="K28" s="1193" t="str">
        <f>IF(ISBLANK(Import!E309),, Import!E309)</f>
        <v>Select</v>
      </c>
      <c r="L28" s="1193">
        <f>IF(ISBLANK(Import!G309),, Import!G309)</f>
        <v>0</v>
      </c>
      <c r="M28" s="1559" t="s">
        <v>1440</v>
      </c>
      <c r="N28" s="363"/>
      <c r="O28" s="2371" t="s">
        <v>1176</v>
      </c>
      <c r="P28" s="138"/>
      <c r="Q28" s="138"/>
      <c r="R28" s="357"/>
      <c r="S28" s="149"/>
      <c r="T28" s="149"/>
      <c r="U28" s="149"/>
      <c r="V28" s="149"/>
      <c r="W28" s="13"/>
      <c r="X28" s="25"/>
      <c r="Y28" s="121"/>
      <c r="Z28" s="77">
        <f t="shared" si="4"/>
        <v>0</v>
      </c>
      <c r="AA28" s="127">
        <f t="shared" ca="1" si="5"/>
        <v>0</v>
      </c>
      <c r="AB28" s="343"/>
      <c r="AC28" s="25"/>
      <c r="AD28" s="2177" t="s">
        <v>81</v>
      </c>
      <c r="AE28" s="77">
        <f ca="1">IF(E7=AI130,SUMIF(AJ298:AJ301,H7,AK298:AK301),IF(ISERROR(AR28),0,AR28))</f>
        <v>0</v>
      </c>
      <c r="AF28" s="367">
        <f ca="1">IF(SUMIF(AI$122:AI$133,E$7,AP$122:AP$133)=1,IF(K19=0,AE28,K19),K19)/SUMIF(AJ242:AJ243,L19,AK242:AK243)</f>
        <v>0</v>
      </c>
      <c r="AG28" s="2"/>
      <c r="AH28" s="25"/>
      <c r="AI28" s="2"/>
      <c r="AJ28" s="2"/>
      <c r="AK28" s="2"/>
      <c r="AL28" s="1059" t="s">
        <v>113</v>
      </c>
      <c r="AM28" s="180" t="e">
        <f ca="1">IF(ISERROR(AE29),0,(AE29-AE30)/AE25)</f>
        <v>#DIV/0!</v>
      </c>
      <c r="AN28" s="25"/>
      <c r="AO28" s="1059" t="s">
        <v>312</v>
      </c>
      <c r="AP28" s="149"/>
      <c r="AQ28" s="180" t="e">
        <f ca="1">SUM(AQ24:AQ27)</f>
        <v>#DIV/0!</v>
      </c>
      <c r="AR28" s="180" t="e">
        <f ca="1">AQ28/$AM$268</f>
        <v>#DIV/0!</v>
      </c>
      <c r="AS28" s="2062">
        <f>(100-E20)/100*SUMIF(AB$277:AB$279,E$23,AF$277:AF$279)+E20*AF276/100</f>
        <v>0</v>
      </c>
      <c r="AT28" s="180">
        <f>IF(SUMIF(AI$122:AI$133,E$7,AH$122:AH$133)=1,365*AF28*$AM$268*AS$28/55.65,0)</f>
        <v>0</v>
      </c>
      <c r="AU28" s="3"/>
      <c r="AV28" s="1637"/>
      <c r="AW28" s="25"/>
      <c r="AX28" s="25"/>
      <c r="AY28" s="25"/>
      <c r="AZ28" s="25"/>
      <c r="BA28" s="25"/>
      <c r="BB28" s="25"/>
      <c r="BC28" s="25"/>
      <c r="BD28" s="25"/>
      <c r="BE28" s="25"/>
      <c r="BF28" s="25"/>
      <c r="BG28" s="25"/>
      <c r="BH28" s="149"/>
      <c r="BI28" s="149"/>
      <c r="BJ28" s="1638"/>
      <c r="BK28" s="149"/>
      <c r="BL28" s="3"/>
      <c r="BM28" s="25"/>
      <c r="BN28" s="421"/>
      <c r="BO28" s="422"/>
      <c r="BP28" s="25"/>
      <c r="BQ28" s="360"/>
      <c r="BR28" s="25"/>
      <c r="BS28" s="25"/>
      <c r="BT28" s="2"/>
      <c r="BU28" s="2"/>
      <c r="BV28" s="2"/>
      <c r="BW28" s="13"/>
      <c r="BX28" s="13"/>
      <c r="BY28" s="13"/>
      <c r="BZ28" s="13"/>
      <c r="CA28" s="13"/>
      <c r="CB28" s="121"/>
      <c r="CC28" s="80"/>
      <c r="CD28" s="80"/>
      <c r="CE28" s="80"/>
      <c r="CF28" s="80"/>
      <c r="CG28" s="80"/>
      <c r="CH28" s="80"/>
      <c r="CI28" s="80"/>
      <c r="CJ28" s="80"/>
      <c r="CK28" s="80"/>
      <c r="CL28" s="80"/>
      <c r="CM28" s="80"/>
      <c r="CN28" s="80"/>
      <c r="CO28" s="80"/>
      <c r="CP28" s="80"/>
      <c r="CQ28" s="80"/>
      <c r="CR28" s="80"/>
      <c r="CS28" s="80"/>
      <c r="CT28" s="80"/>
      <c r="CU28" s="80"/>
      <c r="CV28" s="80"/>
      <c r="CW28" s="2030"/>
      <c r="DS28" s="84"/>
    </row>
    <row r="29" spans="1:123" ht="44.25" customHeight="1" thickBot="1" x14ac:dyDescent="0.55000000000000004">
      <c r="A29" s="13"/>
      <c r="B29" s="2434"/>
      <c r="C29" s="1380"/>
      <c r="D29" s="1384"/>
      <c r="E29" s="2411" t="s">
        <v>1107</v>
      </c>
      <c r="F29" s="2411" t="s">
        <v>1074</v>
      </c>
      <c r="G29" s="2411" t="s">
        <v>1070</v>
      </c>
      <c r="H29" s="2411"/>
      <c r="I29" s="1385"/>
      <c r="J29" s="1398">
        <v>7</v>
      </c>
      <c r="K29" s="1193" t="str">
        <f>IF(ISBLANK(Import!E310),, Import!E310)</f>
        <v>Select</v>
      </c>
      <c r="L29" s="1193">
        <f>IF(ISBLANK(Import!G310),, Import!G310)</f>
        <v>0</v>
      </c>
      <c r="M29" s="1559" t="s">
        <v>1440</v>
      </c>
      <c r="N29" s="363"/>
      <c r="O29" s="2371"/>
      <c r="P29" s="1205" t="str">
        <f ca="1">IF(AE28&gt;0,AE28,"")</f>
        <v/>
      </c>
      <c r="Q29" s="138" t="s">
        <v>1426</v>
      </c>
      <c r="R29" s="357"/>
      <c r="S29" s="149"/>
      <c r="T29" s="149"/>
      <c r="U29" s="149"/>
      <c r="V29" s="149"/>
      <c r="W29" s="13"/>
      <c r="X29" s="25"/>
      <c r="Y29" s="2165" t="s">
        <v>189</v>
      </c>
      <c r="Z29" s="77">
        <f>IF(L33=0,100,L33)</f>
        <v>100</v>
      </c>
      <c r="AA29" s="127">
        <f ca="1">SUM(AA19:AA28)</f>
        <v>0</v>
      </c>
      <c r="AB29" s="2163"/>
      <c r="AC29" s="25"/>
      <c r="AD29" s="2178" t="s">
        <v>1771</v>
      </c>
      <c r="AE29" s="180">
        <f ca="1">IF(SUM(P24:P25)=0,OFFSET('A2. Livestockdata'!$B$1,SUMIF($AB$186:$AB$200,$AE38,$AG$186:$AG$200)-1+SUMIF($AT$122:$AT$130,$AC$121,$AU$122:$AU$130),0),(P26*P24+AE27*P25)/(P26+AE27)/SUMIF(AI242:AI243,Q24,AK242:AK243))</f>
        <v>0</v>
      </c>
      <c r="AF29" s="3"/>
      <c r="AG29" s="3"/>
      <c r="AH29" s="3"/>
      <c r="AI29" s="2"/>
      <c r="AJ29" s="2"/>
      <c r="AK29" s="2"/>
      <c r="AL29" s="1059" t="s">
        <v>1909</v>
      </c>
      <c r="AM29" s="180" t="e">
        <f>1.164-(5.16*0.001*100*AM25)+(1.308*0.1*AM25*AM25)-37.4/(100*AM25)</f>
        <v>#DIV/0!</v>
      </c>
      <c r="AN29" s="25"/>
      <c r="AO29" s="25"/>
      <c r="AP29" s="25"/>
      <c r="AQ29" s="149"/>
      <c r="AR29" s="149"/>
      <c r="AS29" s="3"/>
      <c r="AT29" s="3"/>
      <c r="AU29" s="3"/>
      <c r="AV29" s="1637"/>
      <c r="AW29" s="2458" t="s">
        <v>360</v>
      </c>
      <c r="AX29" s="2454" t="s">
        <v>358</v>
      </c>
      <c r="AY29" s="2454"/>
      <c r="AZ29" s="2454"/>
      <c r="BA29" s="2455" t="s">
        <v>359</v>
      </c>
      <c r="BB29" s="2456"/>
      <c r="BC29" s="2456"/>
      <c r="BD29" s="2456"/>
      <c r="BE29" s="2456"/>
      <c r="BF29" s="2456"/>
      <c r="BG29" s="2457"/>
      <c r="BH29" s="3"/>
      <c r="BI29" s="3"/>
      <c r="BJ29" s="1638"/>
      <c r="BK29" s="3"/>
      <c r="BL29" s="3"/>
      <c r="BM29" s="3"/>
      <c r="BN29" s="3"/>
      <c r="BO29" s="3"/>
      <c r="BP29" s="3"/>
      <c r="BQ29" s="3"/>
      <c r="BR29" s="3"/>
      <c r="BS29" s="25"/>
      <c r="BT29" s="2"/>
      <c r="BU29" s="2"/>
      <c r="BV29" s="2"/>
      <c r="BW29" s="13"/>
      <c r="BX29" s="13"/>
      <c r="BY29" s="13"/>
      <c r="BZ29" s="13"/>
      <c r="CA29" s="13"/>
      <c r="CB29" s="121"/>
      <c r="CC29" s="80"/>
      <c r="CD29" s="80"/>
      <c r="CE29" s="80"/>
      <c r="CF29" s="80"/>
      <c r="CG29" s="80"/>
      <c r="CH29" s="80"/>
      <c r="CI29" s="80"/>
      <c r="CJ29" s="80"/>
      <c r="CK29" s="80"/>
      <c r="CL29" s="80"/>
      <c r="CM29" s="80"/>
      <c r="CN29" s="80"/>
      <c r="CO29" s="80"/>
      <c r="CP29" s="80"/>
      <c r="CQ29" s="80"/>
      <c r="CR29" s="80"/>
      <c r="CS29" s="80"/>
      <c r="CT29" s="80"/>
      <c r="CU29" s="80"/>
      <c r="CV29" s="80"/>
      <c r="CW29" s="2030"/>
      <c r="DS29" s="84"/>
    </row>
    <row r="30" spans="1:123" ht="36" customHeight="1" x14ac:dyDescent="0.25">
      <c r="A30" s="13"/>
      <c r="B30" s="2434"/>
      <c r="C30" s="1380"/>
      <c r="D30" s="1388"/>
      <c r="E30" s="2411"/>
      <c r="F30" s="2411"/>
      <c r="G30" s="2411"/>
      <c r="H30" s="2411"/>
      <c r="I30" s="837"/>
      <c r="J30" s="1398">
        <v>8</v>
      </c>
      <c r="K30" s="1193" t="str">
        <f>IF(ISBLANK(Import!E311),, Import!E311)</f>
        <v>Select</v>
      </c>
      <c r="L30" s="1193">
        <f>IF(ISBLANK(Import!G311),, Import!G311)</f>
        <v>0</v>
      </c>
      <c r="M30" s="1559" t="s">
        <v>1440</v>
      </c>
      <c r="N30" s="363"/>
      <c r="O30" s="150"/>
      <c r="P30" s="1206" t="str">
        <f ca="1">IF(P29&lt;&gt;"",P29*2.201,"")</f>
        <v/>
      </c>
      <c r="Q30" s="150" t="s">
        <v>1427</v>
      </c>
      <c r="R30" s="357"/>
      <c r="S30" s="149"/>
      <c r="T30" s="149"/>
      <c r="U30" s="149"/>
      <c r="V30" s="149"/>
      <c r="W30" s="13"/>
      <c r="X30" s="25"/>
      <c r="Y30" s="121"/>
      <c r="Z30" s="25"/>
      <c r="AA30" s="52"/>
      <c r="AB30" s="2163"/>
      <c r="AC30" s="25"/>
      <c r="AD30" s="2178" t="s">
        <v>673</v>
      </c>
      <c r="AE30" s="180">
        <f ca="1">IF(SUM(P24:P25)=0,OFFSET('A2. Livestockdata'!$B$1,SUMIF($AB$186:$AB$200,$AE17,$AG$186:$AG$200)-1+SUMIF($AT$122:$AT$130,$AC$121,$AU$122:$AU$130),0),P23+((P26*P24+AE27*P25)/(P26+AE27)-P23)/2/SUMIF(AI242:AI243,Q24,AK242:AK243))</f>
        <v>0</v>
      </c>
      <c r="AF30" s="3"/>
      <c r="AG30" s="3"/>
      <c r="AH30" s="3"/>
      <c r="AI30" s="2"/>
      <c r="AJ30" s="2"/>
      <c r="AK30" s="2"/>
      <c r="AL30" s="2"/>
      <c r="AM30" s="2"/>
      <c r="AN30" s="25"/>
      <c r="AO30" s="25"/>
      <c r="AP30" s="25"/>
      <c r="AQ30" s="149"/>
      <c r="AR30" s="149"/>
      <c r="AS30" s="149"/>
      <c r="AT30" s="149"/>
      <c r="AU30" s="3"/>
      <c r="AV30" s="1637"/>
      <c r="AW30" s="2459"/>
      <c r="AX30" s="2172" t="s">
        <v>938</v>
      </c>
      <c r="AY30" s="2170" t="s">
        <v>361</v>
      </c>
      <c r="AZ30" s="2171" t="s">
        <v>727</v>
      </c>
      <c r="BA30" s="358" t="s">
        <v>1290</v>
      </c>
      <c r="BB30" s="2167" t="s">
        <v>1069</v>
      </c>
      <c r="BC30" s="2167" t="s">
        <v>541</v>
      </c>
      <c r="BD30" s="2168" t="s">
        <v>216</v>
      </c>
      <c r="BE30" s="2167" t="s">
        <v>217</v>
      </c>
      <c r="BF30" s="2167" t="s">
        <v>728</v>
      </c>
      <c r="BG30" s="2169" t="s">
        <v>729</v>
      </c>
      <c r="BH30" s="3"/>
      <c r="BI30" s="3"/>
      <c r="BJ30" s="1638"/>
      <c r="BK30" s="3"/>
      <c r="BL30" s="3"/>
      <c r="BM30" s="3"/>
      <c r="BN30" s="3"/>
      <c r="BO30" s="3"/>
      <c r="BP30" s="3"/>
      <c r="BQ30" s="3"/>
      <c r="BR30" s="3"/>
      <c r="BS30" s="25"/>
      <c r="BT30" s="2"/>
      <c r="BU30" s="2"/>
      <c r="BV30" s="2"/>
      <c r="BW30" s="13"/>
      <c r="BX30" s="13"/>
      <c r="BY30" s="13"/>
      <c r="BZ30" s="13"/>
      <c r="CA30" s="13"/>
      <c r="CB30" s="121"/>
      <c r="CC30" s="80"/>
      <c r="CD30" s="80"/>
      <c r="CE30" s="80"/>
      <c r="CF30" s="80"/>
      <c r="CG30" s="80"/>
      <c r="CH30" s="80"/>
      <c r="CI30" s="80"/>
      <c r="CJ30" s="80"/>
      <c r="CK30" s="80"/>
      <c r="CL30" s="80"/>
      <c r="CM30" s="80"/>
      <c r="CN30" s="80"/>
      <c r="CO30" s="80"/>
      <c r="CP30" s="80"/>
      <c r="CQ30" s="80"/>
      <c r="CR30" s="80"/>
      <c r="CS30" s="80"/>
      <c r="CT30" s="80"/>
      <c r="CU30" s="80"/>
      <c r="CV30" s="80"/>
      <c r="CW30" s="2030"/>
      <c r="DS30" s="84"/>
    </row>
    <row r="31" spans="1:123" ht="24.8" customHeight="1" x14ac:dyDescent="0.25">
      <c r="A31" s="13"/>
      <c r="B31" s="2434"/>
      <c r="C31" s="1380"/>
      <c r="D31" s="1399"/>
      <c r="E31" s="1193" t="str">
        <f>IF(ISBLANK(Import!H299),, Import!H299)</f>
        <v>[Select]</v>
      </c>
      <c r="F31" s="1193">
        <f>IF(ISBLANK(Import!I299),, Import!I299)</f>
        <v>0</v>
      </c>
      <c r="G31" s="1193">
        <f>IF(ISBLANK(Import!J299),, Import!J299)</f>
        <v>0</v>
      </c>
      <c r="H31" s="1400"/>
      <c r="I31" s="1385"/>
      <c r="J31" s="1398">
        <v>9</v>
      </c>
      <c r="K31" s="1193" t="str">
        <f>IF(ISBLANK(Import!E312),, Import!E312)</f>
        <v>Select</v>
      </c>
      <c r="L31" s="1193">
        <f>IF(ISBLANK(Import!G312),, Import!G312)</f>
        <v>0</v>
      </c>
      <c r="M31" s="1559" t="s">
        <v>1440</v>
      </c>
      <c r="N31" s="363"/>
      <c r="O31" s="150"/>
      <c r="P31" s="150"/>
      <c r="Q31" s="150"/>
      <c r="R31" s="357"/>
      <c r="S31" s="149"/>
      <c r="T31" s="149"/>
      <c r="U31" s="149"/>
      <c r="V31" s="149"/>
      <c r="W31" s="13"/>
      <c r="X31" s="25"/>
      <c r="Y31" s="121"/>
      <c r="Z31" s="25"/>
      <c r="AA31" s="3"/>
      <c r="AB31" s="356"/>
      <c r="AC31" s="25"/>
      <c r="AD31" s="2176" t="s">
        <v>1259</v>
      </c>
      <c r="AE31" s="2155">
        <f ca="1">AF28*AE25/1000*E20/100*AE26</f>
        <v>0</v>
      </c>
      <c r="AF31" s="2"/>
      <c r="AG31" s="2"/>
      <c r="AH31" s="2"/>
      <c r="AI31" s="2"/>
      <c r="AJ31" s="2"/>
      <c r="AK31" s="149"/>
      <c r="AL31" s="2"/>
      <c r="AM31" s="2"/>
      <c r="AN31" s="25"/>
      <c r="AO31" s="25"/>
      <c r="AP31" s="25"/>
      <c r="AQ31" s="149"/>
      <c r="AR31" s="149"/>
      <c r="AS31" s="2152" t="s">
        <v>1728</v>
      </c>
      <c r="AT31" s="77">
        <f>IF(ISERROR(AT28),0,AT28)</f>
        <v>0</v>
      </c>
      <c r="AU31" s="3"/>
      <c r="AV31" s="1637"/>
      <c r="AW31" s="2156">
        <f>IF(E31="",0,F31/100)</f>
        <v>0</v>
      </c>
      <c r="AX31" s="1659">
        <f ca="1">OFFSET('A2. Livestockdata'!$D$28,$AD$131-10+1,SUMIF($AO$185:$AO$201,$E31,$AQ$185:$AQ$201))</f>
        <v>10</v>
      </c>
      <c r="AY31" s="2190">
        <f ca="1">G31*$BE$22*(BE$21*0.67*AX$31/100)*AW$31</f>
        <v>0</v>
      </c>
      <c r="AZ31" s="2064">
        <f ca="1">AE$26*IF(ISERROR(AY31),0,AY31)</f>
        <v>0</v>
      </c>
      <c r="BA31" s="1659">
        <f ca="1">OFFSET(AB$157,SUMIF(AB$158:AB$172,AE17,AA$158:AA$172),SUMIF($AC$157:$AT$157,E31,$AC$156:$AT$156))</f>
        <v>0</v>
      </c>
      <c r="BB31" s="77">
        <f>IF(G31&gt;0,F31*G31/365,0)/100</f>
        <v>0</v>
      </c>
      <c r="BC31" s="77" t="e">
        <f ca="1">BE23*365*AE$26*BE20/1000</f>
        <v>#VALUE!</v>
      </c>
      <c r="BD31" s="77">
        <f>SUMIF($AO$185:$AO$201,E31,$AP$185:$AP$201)</f>
        <v>0</v>
      </c>
      <c r="BE31" s="423">
        <f ca="1">IF(AW31&lt;&gt;"",SUMIF($AB$205:$AB$224,BA31,$AC$205:$AC$224)/100*0.01,"")</f>
        <v>0</v>
      </c>
      <c r="BF31" s="87">
        <f ca="1">IF(ISERROR(BC31),0,BB31*BD31*BC31*'A1. Submodels &amp; data'!B380*AW31)</f>
        <v>0</v>
      </c>
      <c r="BG31" s="2158">
        <f ca="1">IF(ISERROR(BC31),0,'A1. Submodels &amp; data'!B380*BB31*BE31*BC31*AW31)</f>
        <v>0</v>
      </c>
      <c r="BH31" s="3"/>
      <c r="BI31" s="3"/>
      <c r="BJ31" s="1638"/>
      <c r="BK31" s="3"/>
      <c r="BL31" s="3"/>
      <c r="BM31" s="3"/>
      <c r="BN31" s="3"/>
      <c r="BO31" s="3"/>
      <c r="BP31" s="3"/>
      <c r="BQ31" s="3"/>
      <c r="BR31" s="3"/>
      <c r="BS31" s="25"/>
      <c r="BT31" s="2"/>
      <c r="BU31" s="2"/>
      <c r="BV31" s="2"/>
      <c r="BW31" s="13"/>
      <c r="BX31" s="13"/>
      <c r="BY31" s="13"/>
      <c r="BZ31" s="13"/>
      <c r="CA31" s="13"/>
      <c r="CB31" s="121"/>
      <c r="CC31" s="80"/>
      <c r="CD31" s="80"/>
      <c r="CE31" s="80"/>
      <c r="CF31" s="80"/>
      <c r="CG31" s="80"/>
      <c r="CH31" s="80"/>
      <c r="CI31" s="80"/>
      <c r="CJ31" s="80"/>
      <c r="CK31" s="80"/>
      <c r="CL31" s="80"/>
      <c r="CM31" s="80"/>
      <c r="CN31" s="80"/>
      <c r="CO31" s="80"/>
      <c r="CP31" s="80"/>
      <c r="CQ31" s="80"/>
      <c r="CR31" s="80"/>
      <c r="CS31" s="339" t="b">
        <f t="shared" ref="CS31:CS40" si="6">IF(K45="",FALSE,TRUE)</f>
        <v>1</v>
      </c>
      <c r="CT31" s="339" t="b">
        <f t="shared" ref="CT31:CT40" si="7">IF(L45=0,FALSE,TRUE)</f>
        <v>0</v>
      </c>
      <c r="CU31" s="339" t="b">
        <f>IF(CS31=TRUE,IF(CT31=TRUE,TRUE,FALSE),FALSE)</f>
        <v>0</v>
      </c>
      <c r="CV31" s="339">
        <f>IF(CU31=TRUE,1,0)</f>
        <v>0</v>
      </c>
      <c r="CW31" s="2030"/>
      <c r="DS31" s="84"/>
    </row>
    <row r="32" spans="1:123" ht="24.8" customHeight="1" thickBot="1" x14ac:dyDescent="0.3">
      <c r="A32" s="13"/>
      <c r="B32" s="2434"/>
      <c r="C32" s="1380"/>
      <c r="D32" s="1401"/>
      <c r="E32" s="1193" t="str">
        <f>IF(ISBLANK(Import!K299),, Import!K299)</f>
        <v>[Select]</v>
      </c>
      <c r="F32" s="1193">
        <f>IF(ISBLANK(Import!L299),, Import!L299)</f>
        <v>0</v>
      </c>
      <c r="G32" s="1193">
        <f>IF(ISBLANK(Import!M299),, Import!M299)</f>
        <v>0</v>
      </c>
      <c r="H32" s="1400"/>
      <c r="I32" s="1385"/>
      <c r="J32" s="1398">
        <v>10</v>
      </c>
      <c r="K32" s="1193" t="str">
        <f>IF(ISBLANK(Import!E313),, Import!E313)</f>
        <v>Select</v>
      </c>
      <c r="L32" s="1193">
        <f>IF(ISBLANK(Import!G313),, Import!G313)</f>
        <v>0</v>
      </c>
      <c r="M32" s="1559" t="s">
        <v>1440</v>
      </c>
      <c r="N32" s="363"/>
      <c r="O32" s="150"/>
      <c r="P32" s="150"/>
      <c r="Q32" s="150"/>
      <c r="R32" s="357"/>
      <c r="S32" s="13"/>
      <c r="T32" s="13"/>
      <c r="U32" s="149"/>
      <c r="V32" s="149"/>
      <c r="W32" s="13"/>
      <c r="X32" s="25"/>
      <c r="Y32" s="121"/>
      <c r="Z32" s="259" t="s">
        <v>1906</v>
      </c>
      <c r="AA32" s="180">
        <f ca="1">IF(CV21=0,$AC$341*AE31,AA29)</f>
        <v>0</v>
      </c>
      <c r="AB32" s="356"/>
      <c r="AC32" s="25"/>
      <c r="AD32" s="3"/>
      <c r="AE32" s="25"/>
      <c r="AF32" s="149"/>
      <c r="AG32" s="3"/>
      <c r="AH32" s="3"/>
      <c r="AI32" s="25"/>
      <c r="AJ32" s="25"/>
      <c r="AK32" s="25"/>
      <c r="AL32" s="2"/>
      <c r="AM32" s="2"/>
      <c r="AN32" s="25"/>
      <c r="AO32" s="25"/>
      <c r="AP32" s="25"/>
      <c r="AQ32" s="149"/>
      <c r="AR32" s="149"/>
      <c r="AS32" s="25"/>
      <c r="AT32" s="25"/>
      <c r="AU32" s="3"/>
      <c r="AV32" s="1637"/>
      <c r="AW32" s="2156">
        <f>IF(E32="",0,F32/100)</f>
        <v>0</v>
      </c>
      <c r="AX32" s="1659">
        <f ca="1">OFFSET('A2. Livestockdata'!$D$28,$AD$131-10+1,SUMIF($AO$185:$AO$201,$E32,$AQ$185:$AQ$201))</f>
        <v>10</v>
      </c>
      <c r="AY32" s="2190">
        <f ca="1">G32*$BE$22*(BE$21*0.67*AX$32/100)*AW$32</f>
        <v>0</v>
      </c>
      <c r="AZ32" s="2064">
        <f ca="1">AE$26*IF(ISERROR(AY32),0,AY32)</f>
        <v>0</v>
      </c>
      <c r="BA32" s="1659">
        <f ca="1">OFFSET(AB$157,SUMIF(AB$158:AB$172,AE17,AA$158:AA$172),SUMIF($AC$157:$AT$157,E32,$AC$156:$AT$156))</f>
        <v>0</v>
      </c>
      <c r="BB32" s="77">
        <f>IF(G32&gt;0,F32*G32/365,0)/100</f>
        <v>0</v>
      </c>
      <c r="BC32" s="77" t="e">
        <f ca="1">BE$23*365*AE$26*BE$20/1000</f>
        <v>#VALUE!</v>
      </c>
      <c r="BD32" s="77">
        <f>SUMIF($AO$185:$AO$201,E32,$AP$185:$AP$201)</f>
        <v>0</v>
      </c>
      <c r="BE32" s="423">
        <f ca="1">IF(AW32&lt;&gt;"",SUMIF($AB$205:$AB$224,BA32,$AC$205:$AC$224)/100*0.01,"")</f>
        <v>0</v>
      </c>
      <c r="BF32" s="87">
        <f ca="1">IF(ISERROR(BC32),0,BB32*BD32*BC32*'A1. Submodels &amp; data'!B380*AW32)</f>
        <v>0</v>
      </c>
      <c r="BG32" s="2158">
        <f ca="1">IF(ISERROR(BC32),0,'A1. Submodels &amp; data'!B380*BB32*BE32*BC32*AW32)</f>
        <v>0</v>
      </c>
      <c r="BH32" s="3"/>
      <c r="BI32" s="3"/>
      <c r="BJ32" s="1638"/>
      <c r="BK32" s="3"/>
      <c r="BL32" s="3"/>
      <c r="BM32" s="3"/>
      <c r="BN32" s="3"/>
      <c r="BO32" s="3"/>
      <c r="BP32" s="3"/>
      <c r="BQ32" s="3"/>
      <c r="BR32" s="3"/>
      <c r="BS32" s="25"/>
      <c r="BT32" s="2"/>
      <c r="BU32" s="2"/>
      <c r="BV32" s="2"/>
      <c r="BW32" s="13"/>
      <c r="BX32" s="13"/>
      <c r="BY32" s="13"/>
      <c r="BZ32" s="13"/>
      <c r="CA32" s="13"/>
      <c r="CB32" s="121"/>
      <c r="CC32" s="80"/>
      <c r="CD32" s="80"/>
      <c r="CE32" s="80"/>
      <c r="CF32" s="80"/>
      <c r="CG32" s="80"/>
      <c r="CH32" s="80"/>
      <c r="CI32" s="80"/>
      <c r="CJ32" s="80"/>
      <c r="CK32" s="80"/>
      <c r="CL32" s="80"/>
      <c r="CM32" s="80"/>
      <c r="CN32" s="80"/>
      <c r="CO32" s="80"/>
      <c r="CP32" s="80"/>
      <c r="CQ32" s="80"/>
      <c r="CR32" s="80"/>
      <c r="CS32" s="339" t="b">
        <f t="shared" si="6"/>
        <v>1</v>
      </c>
      <c r="CT32" s="339" t="b">
        <f t="shared" si="7"/>
        <v>0</v>
      </c>
      <c r="CU32" s="339" t="b">
        <f t="shared" ref="CU32:CU40" si="8">IF(CS32=TRUE,IF(CT32=TRUE,TRUE,FALSE),FALSE)</f>
        <v>0</v>
      </c>
      <c r="CV32" s="339">
        <f t="shared" ref="CV32:CV40" si="9">IF(CU32=TRUE,1,0)</f>
        <v>0</v>
      </c>
      <c r="CW32" s="2030"/>
      <c r="DS32" s="84"/>
    </row>
    <row r="33" spans="1:123" ht="24.8" customHeight="1" thickBot="1" x14ac:dyDescent="0.3">
      <c r="A33" s="13"/>
      <c r="B33" s="1379"/>
      <c r="C33" s="1380"/>
      <c r="D33" s="1401"/>
      <c r="E33" s="1193" t="str">
        <f>IF(ISBLANK(Import!N299),, Import!N299)</f>
        <v>[Select]</v>
      </c>
      <c r="F33" s="1193">
        <f>IF(ISBLANK(Import!O299),, Import!O299)</f>
        <v>0</v>
      </c>
      <c r="G33" s="1193">
        <f>IF(ISBLANK(Import!P299),, Import!P299)</f>
        <v>0</v>
      </c>
      <c r="H33" s="1400"/>
      <c r="I33" s="1385"/>
      <c r="J33" s="1398"/>
      <c r="K33" s="1387" t="s">
        <v>312</v>
      </c>
      <c r="L33" s="1387">
        <f>SUM(L23:L32)</f>
        <v>0</v>
      </c>
      <c r="M33" s="1559" t="s">
        <v>1440</v>
      </c>
      <c r="N33" s="363"/>
      <c r="O33" s="150"/>
      <c r="P33" s="150"/>
      <c r="Q33" s="150"/>
      <c r="R33" s="357"/>
      <c r="S33" s="149"/>
      <c r="T33" s="149"/>
      <c r="U33" s="149"/>
      <c r="V33" s="149"/>
      <c r="W33" s="13"/>
      <c r="X33" s="25"/>
      <c r="Y33" s="121"/>
      <c r="Z33" s="25"/>
      <c r="AA33" s="4"/>
      <c r="AB33" s="356"/>
      <c r="AC33" s="351"/>
      <c r="AD33" s="351"/>
      <c r="AE33" s="1635"/>
      <c r="AF33" s="1635"/>
      <c r="AG33" s="1635"/>
      <c r="AH33" s="1635"/>
      <c r="AI33" s="1635"/>
      <c r="AJ33" s="351"/>
      <c r="AK33" s="352"/>
      <c r="AL33" s="352"/>
      <c r="AM33" s="351"/>
      <c r="AN33" s="351"/>
      <c r="AO33" s="1635"/>
      <c r="AP33" s="1635"/>
      <c r="AQ33" s="351"/>
      <c r="AR33" s="351"/>
      <c r="AS33" s="351"/>
      <c r="AT33" s="351"/>
      <c r="AU33" s="351"/>
      <c r="AV33" s="1637"/>
      <c r="AW33" s="2157">
        <f>IF(E33="",0,F33/100)</f>
        <v>0</v>
      </c>
      <c r="AX33" s="2060">
        <f ca="1">OFFSET('A2. Livestockdata'!$D$28,$AD$131-10+1,SUMIF($AO$185:$AO$201,$E33,$AQ$185:$AQ$201))</f>
        <v>10</v>
      </c>
      <c r="AY33" s="2190">
        <f ca="1">G33*$BE$22*(BE$21*0.67*AX$33/100)*AW$33</f>
        <v>0</v>
      </c>
      <c r="AZ33" s="2162">
        <f ca="1">AE$26*IF(ISERROR(AY33),0,AY33)</f>
        <v>0</v>
      </c>
      <c r="BA33" s="2060">
        <f ca="1">OFFSET(AB$157,SUMIF(AB$158:AB$172,AE17,AA$158:AA$172),SUMIF($AC$157:$AT$157,E33,$AC$156:$AT$156))</f>
        <v>0</v>
      </c>
      <c r="BB33" s="2061">
        <f>IF(G33&gt;0,F33*G33/365,0)/100</f>
        <v>0</v>
      </c>
      <c r="BC33" s="2061" t="e">
        <f ca="1">BE$23*365*AE$26*BE$20/1000</f>
        <v>#VALUE!</v>
      </c>
      <c r="BD33" s="2061">
        <f>SUMIF($AO$185:$AO$201,E33,$AP$185:$AP$201)</f>
        <v>0</v>
      </c>
      <c r="BE33" s="2159">
        <f ca="1">IF(AW33&lt;&gt;"",SUMIF($AB$205:$AB$224,BA33,$AC$205:$AC$224)/100*0.01,"")</f>
        <v>0</v>
      </c>
      <c r="BF33" s="2160">
        <f ca="1">IF(ISERROR(BC33),0,BB33*BD33*BC33*'A1. Submodels &amp; data'!B380*AW33)</f>
        <v>0</v>
      </c>
      <c r="BG33" s="2161">
        <f ca="1">IF(ISERROR(BC33),0,'A1. Submodels &amp; data'!B380*BB33*BE33*BC33*AW33)</f>
        <v>0</v>
      </c>
      <c r="BH33" s="3"/>
      <c r="BI33" s="3"/>
      <c r="BJ33" s="1638"/>
      <c r="BK33" s="3"/>
      <c r="BL33" s="3"/>
      <c r="BM33" s="3"/>
      <c r="BN33" s="3"/>
      <c r="BO33" s="3"/>
      <c r="BP33" s="3"/>
      <c r="BQ33" s="3"/>
      <c r="BR33" s="3"/>
      <c r="BS33" s="25"/>
      <c r="BT33" s="2"/>
      <c r="BU33" s="2"/>
      <c r="BV33" s="2"/>
      <c r="BW33" s="13"/>
      <c r="BX33" s="13"/>
      <c r="BY33" s="13"/>
      <c r="BZ33" s="13"/>
      <c r="CA33" s="13"/>
      <c r="CB33" s="121"/>
      <c r="CC33" s="80"/>
      <c r="CD33" s="80"/>
      <c r="CE33" s="80"/>
      <c r="CF33" s="80"/>
      <c r="CG33" s="80"/>
      <c r="CH33" s="80"/>
      <c r="CI33" s="80"/>
      <c r="CJ33" s="80"/>
      <c r="CK33" s="80"/>
      <c r="CL33" s="80"/>
      <c r="CM33" s="80"/>
      <c r="CN33" s="80"/>
      <c r="CO33" s="80"/>
      <c r="CP33" s="80"/>
      <c r="CQ33" s="80"/>
      <c r="CR33" s="80"/>
      <c r="CS33" s="339" t="b">
        <f t="shared" si="6"/>
        <v>1</v>
      </c>
      <c r="CT33" s="339" t="b">
        <f t="shared" si="7"/>
        <v>0</v>
      </c>
      <c r="CU33" s="339" t="b">
        <f t="shared" si="8"/>
        <v>0</v>
      </c>
      <c r="CV33" s="339">
        <f t="shared" si="9"/>
        <v>0</v>
      </c>
      <c r="CW33" s="2030"/>
      <c r="DS33" s="84"/>
    </row>
    <row r="34" spans="1:123" ht="24.8" customHeight="1" x14ac:dyDescent="0.35">
      <c r="A34" s="13"/>
      <c r="B34" s="1379"/>
      <c r="C34" s="1380"/>
      <c r="D34" s="2412" t="s">
        <v>238</v>
      </c>
      <c r="E34" s="2413" t="str">
        <f>IF(ISBLANK(Import!C366),"(Type over this cell to enter any comments about your manure management strategy .)",Import!C366)</f>
        <v>(Type over this cell to enter any comments about your manure management strategy .)</v>
      </c>
      <c r="F34" s="2414"/>
      <c r="G34" s="1402">
        <f>SUM(F31*G31+F32*G32+F33*G33)/100</f>
        <v>0</v>
      </c>
      <c r="H34" s="1385"/>
      <c r="I34" s="1385"/>
      <c r="J34" s="1386"/>
      <c r="K34" s="837"/>
      <c r="L34" s="837"/>
      <c r="M34" s="1559"/>
      <c r="N34" s="363"/>
      <c r="O34" s="150"/>
      <c r="P34" s="138"/>
      <c r="Q34" s="138"/>
      <c r="R34" s="139"/>
      <c r="S34" s="13"/>
      <c r="T34" s="13"/>
      <c r="U34" s="149"/>
      <c r="V34" s="149"/>
      <c r="W34" s="13"/>
      <c r="X34" s="25"/>
      <c r="Y34" s="121"/>
      <c r="Z34" s="25"/>
      <c r="AA34" s="52"/>
      <c r="AB34" s="2164"/>
      <c r="AC34" s="2379" t="s">
        <v>1258</v>
      </c>
      <c r="AD34" s="2379"/>
      <c r="AE34" s="3"/>
      <c r="AF34" s="3"/>
      <c r="AG34" s="3"/>
      <c r="AH34" s="3"/>
      <c r="AI34" s="3"/>
      <c r="AJ34" s="25"/>
      <c r="AK34" s="149"/>
      <c r="AL34" s="149"/>
      <c r="AM34" s="25"/>
      <c r="AN34" s="25"/>
      <c r="AO34" s="3"/>
      <c r="AP34" s="3"/>
      <c r="AQ34" s="25"/>
      <c r="AR34" s="25"/>
      <c r="AS34" s="2152" t="s">
        <v>192</v>
      </c>
      <c r="AT34" s="87">
        <f ca="1">IF(AT31&gt;0,AT31,AT17)</f>
        <v>0</v>
      </c>
      <c r="AU34" s="25"/>
      <c r="AV34" s="1637"/>
      <c r="AW34" s="25"/>
      <c r="AX34" s="25"/>
      <c r="AY34" s="25"/>
      <c r="AZ34" s="25"/>
      <c r="BA34" s="25"/>
      <c r="BB34" s="149"/>
      <c r="BC34" s="149"/>
      <c r="BD34" s="149"/>
      <c r="BE34" s="149"/>
      <c r="BF34" s="149"/>
      <c r="BG34" s="149"/>
      <c r="BH34" s="149"/>
      <c r="BI34" s="149"/>
      <c r="BJ34" s="343"/>
      <c r="BK34" s="25"/>
      <c r="BL34" s="25"/>
      <c r="BM34" s="25"/>
      <c r="BN34" s="421"/>
      <c r="BO34" s="424"/>
      <c r="BP34" s="424"/>
      <c r="BQ34" s="25"/>
      <c r="BR34" s="25"/>
      <c r="BS34" s="25"/>
      <c r="BT34" s="2"/>
      <c r="BU34" s="2"/>
      <c r="BV34" s="2"/>
      <c r="BW34" s="13"/>
      <c r="BX34" s="13"/>
      <c r="BY34" s="13"/>
      <c r="BZ34" s="13"/>
      <c r="CA34" s="13"/>
      <c r="CB34" s="121"/>
      <c r="CC34" s="339"/>
      <c r="CD34" s="339"/>
      <c r="CE34" s="339"/>
      <c r="CF34" s="339"/>
      <c r="CG34" s="339"/>
      <c r="CH34" s="339"/>
      <c r="CI34" s="339"/>
      <c r="CJ34" s="339"/>
      <c r="CK34" s="339"/>
      <c r="CL34" s="339"/>
      <c r="CM34" s="339"/>
      <c r="CN34" s="339"/>
      <c r="CO34" s="339"/>
      <c r="CP34" s="339"/>
      <c r="CQ34" s="339"/>
      <c r="CR34" s="339"/>
      <c r="CS34" s="339" t="b">
        <f t="shared" si="6"/>
        <v>1</v>
      </c>
      <c r="CT34" s="339" t="b">
        <f t="shared" si="7"/>
        <v>0</v>
      </c>
      <c r="CU34" s="339" t="b">
        <f t="shared" si="8"/>
        <v>0</v>
      </c>
      <c r="CV34" s="339">
        <f t="shared" si="9"/>
        <v>0</v>
      </c>
      <c r="CW34" s="2030"/>
      <c r="DS34" s="15"/>
    </row>
    <row r="35" spans="1:123" ht="12.85" customHeight="1" thickBot="1" x14ac:dyDescent="0.3">
      <c r="A35" s="13"/>
      <c r="B35" s="976"/>
      <c r="C35" s="977"/>
      <c r="D35" s="2412"/>
      <c r="E35" s="2415"/>
      <c r="F35" s="2416"/>
      <c r="G35" s="1403"/>
      <c r="H35" s="1404"/>
      <c r="I35" s="1404"/>
      <c r="J35" s="1405"/>
      <c r="K35" s="1403"/>
      <c r="L35" s="1403"/>
      <c r="M35" s="1560"/>
      <c r="N35" s="372"/>
      <c r="O35" s="373"/>
      <c r="P35" s="373"/>
      <c r="Q35" s="373"/>
      <c r="R35" s="374"/>
      <c r="S35" s="149"/>
      <c r="T35" s="149"/>
      <c r="U35" s="149"/>
      <c r="V35" s="149"/>
      <c r="W35" s="13"/>
      <c r="X35" s="25"/>
      <c r="Y35" s="383"/>
      <c r="Z35" s="125"/>
      <c r="AA35" s="125"/>
      <c r="AB35" s="384"/>
      <c r="AC35" s="25"/>
      <c r="AD35" s="25"/>
      <c r="AE35" s="3"/>
      <c r="AF35" s="3"/>
      <c r="AG35" s="3"/>
      <c r="AH35" s="3"/>
      <c r="AI35" s="3"/>
      <c r="AJ35" s="25"/>
      <c r="AK35" s="149"/>
      <c r="AL35" s="149"/>
      <c r="AM35" s="25"/>
      <c r="AN35" s="25"/>
      <c r="AO35" s="3"/>
      <c r="AP35" s="3"/>
      <c r="AQ35" s="25"/>
      <c r="AR35" s="25"/>
      <c r="AS35" s="25"/>
      <c r="AT35" s="25"/>
      <c r="AU35" s="25"/>
      <c r="AV35" s="1637"/>
      <c r="AW35" s="25"/>
      <c r="AX35" s="25"/>
      <c r="AY35" s="25"/>
      <c r="AZ35" s="25"/>
      <c r="BA35" s="25"/>
      <c r="BB35" s="149"/>
      <c r="BC35" s="149"/>
      <c r="BD35" s="149"/>
      <c r="BE35" s="149"/>
      <c r="BF35" s="149"/>
      <c r="BG35" s="149"/>
      <c r="BH35" s="149"/>
      <c r="BI35" s="149"/>
      <c r="BJ35" s="343"/>
      <c r="BK35" s="25"/>
      <c r="BL35" s="25"/>
      <c r="BM35" s="25"/>
      <c r="BN35" s="421"/>
      <c r="BO35" s="424"/>
      <c r="BP35" s="424"/>
      <c r="BQ35" s="25"/>
      <c r="BR35" s="25"/>
      <c r="BS35" s="25"/>
      <c r="BT35" s="2"/>
      <c r="BU35" s="2"/>
      <c r="BV35" s="2"/>
      <c r="BW35" s="13"/>
      <c r="BX35" s="13"/>
      <c r="BY35" s="13"/>
      <c r="BZ35" s="13"/>
      <c r="CA35" s="13"/>
      <c r="CB35" s="121"/>
      <c r="CC35" s="339"/>
      <c r="CD35" s="339"/>
      <c r="CE35" s="339"/>
      <c r="CF35" s="339"/>
      <c r="CG35" s="339"/>
      <c r="CH35" s="339"/>
      <c r="CI35" s="339"/>
      <c r="CJ35" s="339"/>
      <c r="CK35" s="339"/>
      <c r="CL35" s="339"/>
      <c r="CM35" s="339"/>
      <c r="CN35" s="339"/>
      <c r="CO35" s="339"/>
      <c r="CP35" s="339"/>
      <c r="CQ35" s="339"/>
      <c r="CR35" s="339"/>
      <c r="CS35" s="339" t="b">
        <f t="shared" si="6"/>
        <v>1</v>
      </c>
      <c r="CT35" s="339" t="b">
        <f t="shared" si="7"/>
        <v>0</v>
      </c>
      <c r="CU35" s="339" t="b">
        <f t="shared" si="8"/>
        <v>0</v>
      </c>
      <c r="CV35" s="339">
        <f t="shared" si="9"/>
        <v>0</v>
      </c>
      <c r="CW35" s="2030"/>
      <c r="DS35" s="15"/>
    </row>
    <row r="36" spans="1:123" ht="19.45" customHeight="1" x14ac:dyDescent="0.4">
      <c r="A36" s="13"/>
      <c r="B36" s="2426" t="s">
        <v>1577</v>
      </c>
      <c r="C36" s="2427"/>
      <c r="D36" s="985"/>
      <c r="E36" s="376"/>
      <c r="F36" s="377"/>
      <c r="G36" s="375"/>
      <c r="H36" s="118"/>
      <c r="I36" s="118"/>
      <c r="J36" s="416" t="s">
        <v>159</v>
      </c>
      <c r="K36" s="348"/>
      <c r="L36" s="348"/>
      <c r="M36" s="348"/>
      <c r="N36" s="417" t="s">
        <v>1484</v>
      </c>
      <c r="O36" s="418"/>
      <c r="P36" s="348"/>
      <c r="Q36" s="348"/>
      <c r="R36" s="349"/>
      <c r="S36" s="149"/>
      <c r="T36" s="149"/>
      <c r="U36" s="149"/>
      <c r="V36" s="149"/>
      <c r="W36" s="13"/>
      <c r="X36" s="25"/>
      <c r="Y36" s="2463"/>
      <c r="Z36" s="2464"/>
      <c r="AA36" s="2464"/>
      <c r="AB36" s="353"/>
      <c r="AC36" s="2376" t="s">
        <v>1256</v>
      </c>
      <c r="AD36" s="2376"/>
      <c r="AE36" s="352"/>
      <c r="AF36" s="352"/>
      <c r="AG36" s="352"/>
      <c r="AH36" s="352"/>
      <c r="AI36" s="352"/>
      <c r="AJ36" s="351"/>
      <c r="AK36" s="352"/>
      <c r="AL36" s="352"/>
      <c r="AM36" s="351"/>
      <c r="AN36" s="352"/>
      <c r="AO36" s="352"/>
      <c r="AP36" s="352"/>
      <c r="AQ36" s="352"/>
      <c r="AR36" s="352"/>
      <c r="AS36" s="352"/>
      <c r="AT36" s="352"/>
      <c r="AU36" s="1635"/>
      <c r="AV36" s="1981"/>
      <c r="AW36" s="351"/>
      <c r="AX36" s="351"/>
      <c r="AY36" s="351"/>
      <c r="AZ36" s="351"/>
      <c r="BA36" s="352"/>
      <c r="BB36" s="352"/>
      <c r="BC36" s="352"/>
      <c r="BD36" s="352"/>
      <c r="BE36" s="352"/>
      <c r="BF36" s="352"/>
      <c r="BG36" s="352"/>
      <c r="BH36" s="352"/>
      <c r="BI36" s="352"/>
      <c r="BJ36" s="153"/>
      <c r="BK36" s="25"/>
      <c r="BL36" s="25"/>
      <c r="BM36" s="25"/>
      <c r="BN36" s="25"/>
      <c r="BO36" s="25"/>
      <c r="BP36" s="25"/>
      <c r="BQ36" s="25"/>
      <c r="BR36" s="25"/>
      <c r="BS36" s="25"/>
      <c r="BT36" s="2"/>
      <c r="BU36" s="2"/>
      <c r="BV36" s="2"/>
      <c r="BW36" s="13"/>
      <c r="BX36" s="13"/>
      <c r="BY36" s="13"/>
      <c r="BZ36" s="13"/>
      <c r="CA36" s="13"/>
      <c r="CB36" s="121"/>
      <c r="CC36" s="339"/>
      <c r="CD36" s="339"/>
      <c r="CE36" s="339"/>
      <c r="CF36" s="339"/>
      <c r="CG36" s="339"/>
      <c r="CH36" s="339"/>
      <c r="CI36" s="339"/>
      <c r="CJ36" s="339"/>
      <c r="CK36" s="339"/>
      <c r="CL36" s="339"/>
      <c r="CM36" s="339"/>
      <c r="CN36" s="339"/>
      <c r="CO36" s="339"/>
      <c r="CP36" s="339"/>
      <c r="CQ36" s="339"/>
      <c r="CR36" s="339"/>
      <c r="CS36" s="339" t="b">
        <f t="shared" si="6"/>
        <v>1</v>
      </c>
      <c r="CT36" s="339" t="b">
        <f t="shared" si="7"/>
        <v>0</v>
      </c>
      <c r="CU36" s="339" t="b">
        <f t="shared" si="8"/>
        <v>0</v>
      </c>
      <c r="CV36" s="339">
        <f t="shared" si="9"/>
        <v>0</v>
      </c>
      <c r="CW36" s="2030"/>
      <c r="DS36" s="15"/>
    </row>
    <row r="37" spans="1:123" ht="24.05" customHeight="1" x14ac:dyDescent="0.25">
      <c r="A37" s="13"/>
      <c r="B37" s="2428"/>
      <c r="C37" s="2429"/>
      <c r="D37" s="432" t="s">
        <v>1614</v>
      </c>
      <c r="E37" s="116"/>
      <c r="F37" s="378"/>
      <c r="G37" s="80"/>
      <c r="H37" s="378"/>
      <c r="I37" s="80"/>
      <c r="J37" s="379"/>
      <c r="K37" s="80"/>
      <c r="L37" s="80"/>
      <c r="M37" s="80"/>
      <c r="N37" s="419"/>
      <c r="O37" s="141"/>
      <c r="P37" s="354"/>
      <c r="Q37" s="354"/>
      <c r="R37" s="355"/>
      <c r="S37" s="149"/>
      <c r="T37" s="149"/>
      <c r="U37" s="149"/>
      <c r="V37" s="149"/>
      <c r="W37" s="13"/>
      <c r="X37" s="25"/>
      <c r="Y37" s="121"/>
      <c r="Z37" s="25"/>
      <c r="AA37" s="149"/>
      <c r="AB37" s="356"/>
      <c r="AC37" s="2378"/>
      <c r="AD37" s="2378"/>
      <c r="AE37" s="106" t="s">
        <v>242</v>
      </c>
      <c r="AF37" s="3"/>
      <c r="AG37" s="3"/>
      <c r="AH37" s="3"/>
      <c r="AI37" s="149"/>
      <c r="AJ37" s="25"/>
      <c r="AK37" s="3"/>
      <c r="AL37" s="3"/>
      <c r="AM37" s="3"/>
      <c r="AN37" s="3"/>
      <c r="AO37" s="3"/>
      <c r="AP37" s="3"/>
      <c r="AQ37" s="3"/>
      <c r="AR37" s="3"/>
      <c r="AS37" s="3"/>
      <c r="AT37" s="149"/>
      <c r="AU37" s="3"/>
      <c r="AV37" s="1637"/>
      <c r="AW37" s="25"/>
      <c r="AX37" s="25"/>
      <c r="AY37" s="25"/>
      <c r="AZ37" s="25"/>
      <c r="BA37" s="25"/>
      <c r="BB37" s="25"/>
      <c r="BC37" s="25"/>
      <c r="BD37" s="25"/>
      <c r="BE37" s="25"/>
      <c r="BF37" s="25"/>
      <c r="BG37" s="25"/>
      <c r="BH37" s="25"/>
      <c r="BI37" s="25"/>
      <c r="BJ37" s="343"/>
      <c r="BK37" s="25"/>
      <c r="BL37" s="25"/>
      <c r="BM37" s="25"/>
      <c r="BN37" s="25"/>
      <c r="BO37" s="25"/>
      <c r="BP37" s="25"/>
      <c r="BQ37" s="25"/>
      <c r="BR37" s="25"/>
      <c r="BS37" s="25"/>
      <c r="BT37" s="2"/>
      <c r="BU37" s="2"/>
      <c r="BV37" s="2"/>
      <c r="BW37" s="13"/>
      <c r="BX37" s="13"/>
      <c r="BY37" s="13"/>
      <c r="BZ37" s="13"/>
      <c r="CA37" s="13"/>
      <c r="CB37" s="121"/>
      <c r="CC37" s="339"/>
      <c r="CD37" s="339"/>
      <c r="CE37" s="339"/>
      <c r="CF37" s="339"/>
      <c r="CG37" s="339"/>
      <c r="CH37" s="339"/>
      <c r="CI37" s="339"/>
      <c r="CJ37" s="339"/>
      <c r="CK37" s="339"/>
      <c r="CL37" s="339"/>
      <c r="CM37" s="339"/>
      <c r="CN37" s="339"/>
      <c r="CO37" s="339"/>
      <c r="CP37" s="339"/>
      <c r="CQ37" s="339"/>
      <c r="CR37" s="339"/>
      <c r="CS37" s="339" t="b">
        <f t="shared" si="6"/>
        <v>1</v>
      </c>
      <c r="CT37" s="339" t="b">
        <f t="shared" si="7"/>
        <v>0</v>
      </c>
      <c r="CU37" s="339" t="b">
        <f t="shared" si="8"/>
        <v>0</v>
      </c>
      <c r="CV37" s="339">
        <f t="shared" si="9"/>
        <v>0</v>
      </c>
      <c r="CW37" s="2030"/>
      <c r="DS37" s="15"/>
    </row>
    <row r="38" spans="1:123" ht="15.7" customHeight="1" x14ac:dyDescent="0.25">
      <c r="A38" s="13"/>
      <c r="B38" s="2428"/>
      <c r="C38" s="2429"/>
      <c r="D38" s="397"/>
      <c r="E38" s="116"/>
      <c r="F38" s="378"/>
      <c r="G38" s="80"/>
      <c r="H38" s="378"/>
      <c r="I38" s="122"/>
      <c r="J38" s="379"/>
      <c r="K38" s="80"/>
      <c r="L38" s="122"/>
      <c r="M38" s="122"/>
      <c r="N38" s="81"/>
      <c r="O38" s="82" t="s">
        <v>156</v>
      </c>
      <c r="P38" s="138"/>
      <c r="Q38" s="138"/>
      <c r="R38" s="139"/>
      <c r="S38" s="149"/>
      <c r="T38" s="149"/>
      <c r="U38" s="149"/>
      <c r="V38" s="149"/>
      <c r="W38" s="13"/>
      <c r="X38" s="25"/>
      <c r="Y38" s="1637"/>
      <c r="Z38" s="3"/>
      <c r="AA38" s="3"/>
      <c r="AB38" s="343"/>
      <c r="AC38" s="2378"/>
      <c r="AD38" s="2378"/>
      <c r="AE38" s="77" t="str">
        <f ca="1">OFFSET(AI$121,SUMIF(AI$122:AI$133,E$7,AH$122:AH$133),2)</f>
        <v>lactating</v>
      </c>
      <c r="AF38" s="3"/>
      <c r="AG38" s="3"/>
      <c r="AH38" s="3"/>
      <c r="AI38" s="25"/>
      <c r="AJ38" s="25"/>
      <c r="AK38" s="3"/>
      <c r="AL38" s="3"/>
      <c r="AM38" s="3"/>
      <c r="AN38" s="3"/>
      <c r="AO38" s="3"/>
      <c r="AP38" s="3"/>
      <c r="AQ38" s="3"/>
      <c r="AR38" s="3"/>
      <c r="AS38" s="83" t="s">
        <v>1727</v>
      </c>
      <c r="AT38" s="77">
        <f ca="1">SUMIF($AB$186:$AB$200,AE38,$AC$186:$AC$200)</f>
        <v>0</v>
      </c>
      <c r="AU38" s="3"/>
      <c r="AV38" s="1637"/>
      <c r="AW38" s="25"/>
      <c r="AX38" s="25"/>
      <c r="AY38" s="25"/>
      <c r="AZ38" s="25"/>
      <c r="BA38" s="25"/>
      <c r="BB38" s="25"/>
      <c r="BC38" s="77" t="s">
        <v>915</v>
      </c>
      <c r="BD38" s="77" t="s">
        <v>748</v>
      </c>
      <c r="BE38" s="151" t="s">
        <v>1595</v>
      </c>
      <c r="BF38" s="25"/>
      <c r="BG38" s="25"/>
      <c r="BH38" s="25"/>
      <c r="BI38" s="25"/>
      <c r="BJ38" s="343"/>
      <c r="BK38" s="25"/>
      <c r="BL38" s="25"/>
      <c r="BM38" s="25"/>
      <c r="BN38" s="25"/>
      <c r="BO38" s="25"/>
      <c r="BP38" s="25"/>
      <c r="BQ38" s="25"/>
      <c r="BR38" s="25"/>
      <c r="BS38" s="25"/>
      <c r="BT38" s="2"/>
      <c r="BU38" s="2"/>
      <c r="BV38" s="2"/>
      <c r="BW38" s="13"/>
      <c r="BX38" s="13"/>
      <c r="BY38" s="13"/>
      <c r="BZ38" s="13"/>
      <c r="CA38" s="13"/>
      <c r="CB38" s="121"/>
      <c r="CC38" s="339"/>
      <c r="CD38" s="339"/>
      <c r="CE38" s="339"/>
      <c r="CF38" s="339"/>
      <c r="CG38" s="339"/>
      <c r="CH38" s="339"/>
      <c r="CI38" s="339"/>
      <c r="CJ38" s="339"/>
      <c r="CK38" s="339"/>
      <c r="CL38" s="339"/>
      <c r="CM38" s="339"/>
      <c r="CN38" s="339"/>
      <c r="CO38" s="339"/>
      <c r="CP38" s="339"/>
      <c r="CQ38" s="339"/>
      <c r="CR38" s="339"/>
      <c r="CS38" s="339" t="b">
        <f t="shared" si="6"/>
        <v>1</v>
      </c>
      <c r="CT38" s="339" t="b">
        <f t="shared" si="7"/>
        <v>0</v>
      </c>
      <c r="CU38" s="339" t="b">
        <f t="shared" si="8"/>
        <v>0</v>
      </c>
      <c r="CV38" s="339">
        <f t="shared" si="9"/>
        <v>0</v>
      </c>
      <c r="CW38" s="2030"/>
      <c r="DS38" s="15"/>
    </row>
    <row r="39" spans="1:123" ht="10.55" customHeight="1" x14ac:dyDescent="0.25">
      <c r="A39" s="13"/>
      <c r="B39" s="2430"/>
      <c r="C39" s="2431"/>
      <c r="D39" s="397"/>
      <c r="E39" s="116"/>
      <c r="F39" s="378"/>
      <c r="G39" s="80"/>
      <c r="H39" s="378"/>
      <c r="I39" s="172"/>
      <c r="J39" s="2399" t="s">
        <v>1243</v>
      </c>
      <c r="K39" s="80"/>
      <c r="L39" s="172"/>
      <c r="M39" s="172"/>
      <c r="N39" s="363"/>
      <c r="O39" s="150"/>
      <c r="P39" s="150"/>
      <c r="Q39" s="150"/>
      <c r="R39" s="357"/>
      <c r="S39" s="149"/>
      <c r="T39" s="149"/>
      <c r="U39" s="149"/>
      <c r="V39" s="149"/>
      <c r="W39" s="13"/>
      <c r="X39" s="25"/>
      <c r="Y39" s="121"/>
      <c r="Z39" s="25"/>
      <c r="AA39" s="126" t="s">
        <v>1968</v>
      </c>
      <c r="AB39" s="1638"/>
      <c r="AC39" s="25"/>
      <c r="AD39" s="3"/>
      <c r="AE39" s="25"/>
      <c r="AF39" s="25"/>
      <c r="AG39" s="25"/>
      <c r="AH39" s="25"/>
      <c r="AI39" s="25"/>
      <c r="AJ39" s="25"/>
      <c r="AK39" s="3"/>
      <c r="AL39" s="3"/>
      <c r="AM39" s="3"/>
      <c r="AN39" s="3"/>
      <c r="AO39" s="3"/>
      <c r="AP39" s="3"/>
      <c r="AQ39" s="3"/>
      <c r="AR39" s="3"/>
      <c r="AS39" s="3"/>
      <c r="AT39" s="149"/>
      <c r="AU39" s="3"/>
      <c r="AV39" s="1637"/>
      <c r="AW39" s="25"/>
      <c r="AX39" s="25"/>
      <c r="AY39" s="25"/>
      <c r="AZ39" s="25"/>
      <c r="BA39" s="25"/>
      <c r="BB39" s="77" t="s">
        <v>369</v>
      </c>
      <c r="BC39" s="77">
        <f ca="1">OFFSET('A2. Livestockdata'!$B$1,SUMIF($AB$186:$AB$200,$AE38,$AG$186:$AG$200)+1-SUMIF('1.GeneralInfo'!$R$27:$R$221,'1.GeneralInfo'!$E$7,'1.GeneralInfo'!$V$27:$V$221),0)</f>
        <v>0</v>
      </c>
      <c r="BD39" s="77">
        <f ca="1">AE29</f>
        <v>0</v>
      </c>
      <c r="BE39" s="2189">
        <f ca="1">IF(SUMIF($AB$186:$AB$200,$AE$38,$AD$186:$AD$200)=0,BC39,BD39)</f>
        <v>0</v>
      </c>
      <c r="BF39" s="25"/>
      <c r="BG39" s="25"/>
      <c r="BH39" s="25"/>
      <c r="BI39" s="25"/>
      <c r="BJ39" s="343"/>
      <c r="BK39" s="25"/>
      <c r="BL39" s="25"/>
      <c r="BM39" s="25"/>
      <c r="BN39" s="25"/>
      <c r="BO39" s="25"/>
      <c r="BP39" s="25"/>
      <c r="BQ39" s="25"/>
      <c r="BR39" s="25"/>
      <c r="BS39" s="25"/>
      <c r="BT39" s="2"/>
      <c r="BU39" s="2"/>
      <c r="BV39" s="2"/>
      <c r="BW39" s="13"/>
      <c r="BX39" s="13"/>
      <c r="BY39" s="13"/>
      <c r="BZ39" s="13"/>
      <c r="CA39" s="13"/>
      <c r="CB39" s="121"/>
      <c r="CC39" s="80"/>
      <c r="CD39" s="80"/>
      <c r="CE39" s="80"/>
      <c r="CF39" s="80"/>
      <c r="CG39" s="80"/>
      <c r="CH39" s="80"/>
      <c r="CI39" s="80"/>
      <c r="CJ39" s="80"/>
      <c r="CK39" s="80"/>
      <c r="CL39" s="80"/>
      <c r="CM39" s="80"/>
      <c r="CN39" s="80"/>
      <c r="CO39" s="80"/>
      <c r="CP39" s="80"/>
      <c r="CQ39" s="80"/>
      <c r="CR39" s="80"/>
      <c r="CS39" s="339" t="b">
        <f t="shared" si="6"/>
        <v>1</v>
      </c>
      <c r="CT39" s="339" t="b">
        <f t="shared" si="7"/>
        <v>0</v>
      </c>
      <c r="CU39" s="339" t="b">
        <f t="shared" si="8"/>
        <v>0</v>
      </c>
      <c r="CV39" s="339">
        <f t="shared" si="9"/>
        <v>0</v>
      </c>
      <c r="CW39" s="2030"/>
      <c r="DS39" s="84"/>
    </row>
    <row r="40" spans="1:123" ht="15" customHeight="1" x14ac:dyDescent="0.25">
      <c r="A40" s="13"/>
      <c r="B40" s="2430"/>
      <c r="C40" s="2431"/>
      <c r="D40" s="105"/>
      <c r="E40" s="112"/>
      <c r="F40" s="186"/>
      <c r="G40" s="105"/>
      <c r="H40" s="105"/>
      <c r="I40" s="172"/>
      <c r="J40" s="2400"/>
      <c r="K40" s="80"/>
      <c r="L40" s="172"/>
      <c r="M40" s="172"/>
      <c r="N40" s="17"/>
      <c r="O40" s="138"/>
      <c r="P40" s="82"/>
      <c r="Q40" s="82"/>
      <c r="R40" s="357"/>
      <c r="S40" s="149"/>
      <c r="T40" s="2"/>
      <c r="U40" s="149"/>
      <c r="V40" s="149"/>
      <c r="W40" s="13"/>
      <c r="X40" s="25"/>
      <c r="Y40" s="121"/>
      <c r="Z40" s="77">
        <f t="shared" ref="Z40:Z49" si="10">L45*100/Z$50</f>
        <v>0</v>
      </c>
      <c r="AA40" s="2153">
        <f t="shared" ref="AA40:AA49" ca="1" si="11">SUMIF(AB$315:AB$349,K45,AC$315:AC$349)*AE$49*Z40/100</f>
        <v>0</v>
      </c>
      <c r="AB40" s="343"/>
      <c r="AC40" s="25"/>
      <c r="AD40" s="25"/>
      <c r="AE40" s="25"/>
      <c r="AF40" s="25"/>
      <c r="AG40" s="25"/>
      <c r="AH40" s="25"/>
      <c r="AI40" s="25"/>
      <c r="AJ40" s="25"/>
      <c r="AK40" s="3"/>
      <c r="AL40" s="3"/>
      <c r="AM40" s="3"/>
      <c r="AN40" s="3"/>
      <c r="AO40" s="3"/>
      <c r="AP40" s="3"/>
      <c r="AQ40" s="3"/>
      <c r="AR40" s="3"/>
      <c r="AS40" s="3"/>
      <c r="AT40" s="149"/>
      <c r="AU40" s="3"/>
      <c r="AV40" s="1637"/>
      <c r="AW40" s="25"/>
      <c r="AX40" s="4"/>
      <c r="AY40" s="149"/>
      <c r="AZ40" s="149"/>
      <c r="BA40" s="3"/>
      <c r="BB40" s="77" t="s">
        <v>370</v>
      </c>
      <c r="BC40" s="2189">
        <f ca="1">OFFSET('A2. Livestockdata'!$C$1,SUMIF($AB$186:$AB$200,$AE38,$AG$186:$AG$200)+1-SUMIF('1.GeneralInfo'!$R$27:$R$221,'1.GeneralInfo'!$E$7,'1.GeneralInfo'!$V$27:$V$221),0)</f>
        <v>0</v>
      </c>
      <c r="BD40" s="2189">
        <f ca="1">OFFSET('A2. Livestockdata'!$C$1,SUMIF($AB$186:$AB$200,$AE38,$AG$186:$AG$200)-1+SUMIF($AT$122:$AT$130,$AC$121,$AU$122:$AU$130),0)</f>
        <v>0</v>
      </c>
      <c r="BE40" s="2189">
        <f ca="1">IF(SUMIF($AB$186:$AB$200,$AE$38,$AD$186:$AD$200)=0,BC40,BD40)</f>
        <v>0</v>
      </c>
      <c r="BF40" s="25"/>
      <c r="BG40" s="25"/>
      <c r="BH40" s="25"/>
      <c r="BI40" s="25"/>
      <c r="BJ40" s="343"/>
      <c r="BK40" s="25"/>
      <c r="BL40" s="106"/>
      <c r="BM40" s="25"/>
      <c r="BN40" s="25"/>
      <c r="BO40" s="25"/>
      <c r="BP40" s="25"/>
      <c r="BQ40" s="25"/>
      <c r="BR40" s="25"/>
      <c r="BS40" s="25"/>
      <c r="BT40" s="2"/>
      <c r="BU40" s="2"/>
      <c r="BV40" s="2"/>
      <c r="BW40" s="13"/>
      <c r="BX40" s="13"/>
      <c r="BY40" s="13"/>
      <c r="BZ40" s="13"/>
      <c r="CA40" s="13"/>
      <c r="CB40" s="121"/>
      <c r="CC40" s="80"/>
      <c r="CD40" s="80"/>
      <c r="CE40" s="80"/>
      <c r="CF40" s="80"/>
      <c r="CG40" s="80"/>
      <c r="CH40" s="80"/>
      <c r="CI40" s="80"/>
      <c r="CJ40" s="80"/>
      <c r="CK40" s="80"/>
      <c r="CL40" s="80"/>
      <c r="CM40" s="80"/>
      <c r="CN40" s="80"/>
      <c r="CO40" s="80"/>
      <c r="CP40" s="80"/>
      <c r="CQ40" s="80"/>
      <c r="CR40" s="80"/>
      <c r="CS40" s="339" t="b">
        <f t="shared" si="6"/>
        <v>1</v>
      </c>
      <c r="CT40" s="339" t="b">
        <f t="shared" si="7"/>
        <v>0</v>
      </c>
      <c r="CU40" s="339" t="b">
        <f t="shared" si="8"/>
        <v>0</v>
      </c>
      <c r="CV40" s="339">
        <f t="shared" si="9"/>
        <v>0</v>
      </c>
      <c r="CW40" s="2030"/>
      <c r="DS40" s="84"/>
    </row>
    <row r="41" spans="1:123" ht="43.5" customHeight="1" thickBot="1" x14ac:dyDescent="0.3">
      <c r="A41" s="13"/>
      <c r="B41" s="2430"/>
      <c r="C41" s="2431"/>
      <c r="D41" s="1391" t="s">
        <v>1582</v>
      </c>
      <c r="E41" s="1193">
        <f>IF(ISBLANK(Import!E300),, Import!E300)</f>
        <v>0</v>
      </c>
      <c r="F41" s="1140" t="s">
        <v>1440</v>
      </c>
      <c r="G41" s="2402" t="s">
        <v>1903</v>
      </c>
      <c r="H41" s="2402"/>
      <c r="I41" s="2403"/>
      <c r="J41" s="2401"/>
      <c r="K41" s="1413">
        <f ca="1">IF(ISBLANK(Import!E315),AE48*SUMIF(AJ242:AJ243,L19,AK242:AK243), Import!E315)</f>
        <v>0</v>
      </c>
      <c r="L41" s="186" t="str">
        <f ca="1">OFFSET('2.CropManagement'!AH182,SUMIF('2.CropManagement'!W183:W184,'1.GeneralInfo'!$E$8,'2.CropManagement'!X183:X184),0)</f>
        <v>kgs/day</v>
      </c>
      <c r="M41" s="172"/>
      <c r="N41" s="81"/>
      <c r="O41" s="140"/>
      <c r="P41" s="1257"/>
      <c r="Q41" s="1258"/>
      <c r="R41" s="139"/>
      <c r="S41" s="149"/>
      <c r="T41" s="2"/>
      <c r="U41" s="149"/>
      <c r="V41" s="149"/>
      <c r="W41" s="13"/>
      <c r="X41" s="25"/>
      <c r="Y41" s="121"/>
      <c r="Z41" s="77">
        <f t="shared" si="10"/>
        <v>0</v>
      </c>
      <c r="AA41" s="127">
        <f t="shared" ca="1" si="11"/>
        <v>0</v>
      </c>
      <c r="AB41" s="343"/>
      <c r="AC41" s="125"/>
      <c r="AD41" s="125"/>
      <c r="AE41" s="125"/>
      <c r="AF41" s="125"/>
      <c r="AG41" s="125"/>
      <c r="AH41" s="125"/>
      <c r="AI41" s="125"/>
      <c r="AJ41" s="125"/>
      <c r="AK41" s="1642"/>
      <c r="AL41" s="1642"/>
      <c r="AM41" s="1642"/>
      <c r="AN41" s="1642"/>
      <c r="AO41" s="1642"/>
      <c r="AP41" s="1642"/>
      <c r="AQ41" s="1642"/>
      <c r="AR41" s="1642"/>
      <c r="AS41" s="1642"/>
      <c r="AT41" s="125"/>
      <c r="AU41" s="1642"/>
      <c r="AV41" s="1637"/>
      <c r="AW41" s="4"/>
      <c r="AX41" s="149"/>
      <c r="AY41" s="149"/>
      <c r="AZ41" s="25"/>
      <c r="BA41" s="3"/>
      <c r="BB41" s="77" t="s">
        <v>371</v>
      </c>
      <c r="BC41" s="2189">
        <f ca="1">OFFSET('A2. Livestockdata'!$D$1,SUMIF($AB$186:$AB$200,$AE38,$AG$186:$AG$200)+1-SUMIF('1.GeneralInfo'!$R$27:$R$221,'1.GeneralInfo'!$E$7,'1.GeneralInfo'!$V$27:$V$221),0)</f>
        <v>0</v>
      </c>
      <c r="BD41" s="2189">
        <f ca="1">OFFSET('A2. Livestockdata'!$D$1,SUMIF($AB$186:$AB$200,$AE38,$AG$186:$AG$200)-1+SUMIF($AT$122:$AT$130,$AC$121,$AU$122:$AU$130),0)</f>
        <v>0</v>
      </c>
      <c r="BE41" s="2189">
        <f ca="1">IF(SUMIF($AB$186:$AB$200,$AE38,$AD$186:$AD$200)=1,BD41,BC41)</f>
        <v>0</v>
      </c>
      <c r="BF41" s="25"/>
      <c r="BG41" s="25"/>
      <c r="BH41" s="25"/>
      <c r="BI41" s="25"/>
      <c r="BJ41" s="343"/>
      <c r="BK41" s="25"/>
      <c r="BL41" s="25"/>
      <c r="BM41" s="25"/>
      <c r="BN41" s="25"/>
      <c r="BO41" s="25"/>
      <c r="BP41" s="149"/>
      <c r="BQ41" s="2449"/>
      <c r="BR41" s="25"/>
      <c r="BS41" s="25"/>
      <c r="BT41" s="2"/>
      <c r="BU41" s="2"/>
      <c r="BV41" s="2"/>
      <c r="BW41" s="13"/>
      <c r="BX41" s="13"/>
      <c r="BY41" s="13"/>
      <c r="BZ41" s="13"/>
      <c r="CA41" s="13"/>
      <c r="CB41" s="121"/>
      <c r="CC41" s="80"/>
      <c r="CD41" s="80"/>
      <c r="CE41" s="80"/>
      <c r="CF41" s="80"/>
      <c r="CG41" s="80"/>
      <c r="CH41" s="80"/>
      <c r="CI41" s="80"/>
      <c r="CJ41" s="80"/>
      <c r="CK41" s="80"/>
      <c r="CL41" s="80"/>
      <c r="CM41" s="80"/>
      <c r="CN41" s="80"/>
      <c r="CO41" s="80"/>
      <c r="CP41" s="80"/>
      <c r="CQ41" s="80"/>
      <c r="CR41" s="80"/>
      <c r="CS41" s="80"/>
      <c r="CT41" s="80"/>
      <c r="CU41" s="80"/>
      <c r="CV41" s="339">
        <f>SUM(CV31:CV40)</f>
        <v>0</v>
      </c>
      <c r="CW41" s="2030"/>
      <c r="DS41" s="84"/>
    </row>
    <row r="42" spans="1:123" ht="7.5" customHeight="1" x14ac:dyDescent="0.25">
      <c r="A42" s="13"/>
      <c r="B42" s="2430"/>
      <c r="C42" s="2431"/>
      <c r="D42" s="56"/>
      <c r="E42" s="362"/>
      <c r="F42" s="1139"/>
      <c r="G42" s="2402"/>
      <c r="H42" s="2402"/>
      <c r="I42" s="2403"/>
      <c r="J42" s="379"/>
      <c r="K42" s="80"/>
      <c r="L42" s="80"/>
      <c r="M42" s="80"/>
      <c r="N42" s="81"/>
      <c r="O42" s="138"/>
      <c r="P42" s="138"/>
      <c r="Q42" s="138"/>
      <c r="R42" s="380"/>
      <c r="S42" s="149"/>
      <c r="T42" s="149"/>
      <c r="U42" s="149"/>
      <c r="V42" s="149"/>
      <c r="W42" s="13"/>
      <c r="X42" s="25"/>
      <c r="Y42" s="121"/>
      <c r="Z42" s="77">
        <f t="shared" si="10"/>
        <v>0</v>
      </c>
      <c r="AA42" s="127">
        <f t="shared" ca="1" si="11"/>
        <v>0</v>
      </c>
      <c r="AB42" s="343"/>
      <c r="AC42" s="351"/>
      <c r="AD42" s="351"/>
      <c r="AE42" s="351"/>
      <c r="AF42" s="351"/>
      <c r="AG42" s="351"/>
      <c r="AH42" s="351"/>
      <c r="AI42" s="351"/>
      <c r="AJ42" s="351"/>
      <c r="AK42" s="1635"/>
      <c r="AL42" s="1635"/>
      <c r="AM42" s="1635"/>
      <c r="AN42" s="1635"/>
      <c r="AO42" s="1635"/>
      <c r="AP42" s="1635"/>
      <c r="AQ42" s="1635"/>
      <c r="AR42" s="1635"/>
      <c r="AS42" s="1635"/>
      <c r="AT42" s="1635"/>
      <c r="AU42" s="1635"/>
      <c r="AV42" s="1637"/>
      <c r="AW42" s="25"/>
      <c r="AX42" s="25"/>
      <c r="AY42" s="25"/>
      <c r="AZ42" s="25"/>
      <c r="BA42" s="3"/>
      <c r="BB42" s="128" t="s">
        <v>540</v>
      </c>
      <c r="BC42" s="77"/>
      <c r="BD42" s="77"/>
      <c r="BE42" s="366" t="str">
        <f ca="1">OFFSET('A2. Livestockdata'!$B$138,SUMIF($AB$186:$AB$200,$AE$38,$AE$186:$AE$200),SUMIF($AT$122:$AT$130,$AC$121,$AU$122:$AU$130))</f>
        <v>Western Europe</v>
      </c>
      <c r="BF42" s="360"/>
      <c r="BG42" s="360"/>
      <c r="BH42" s="360"/>
      <c r="BI42" s="360"/>
      <c r="BJ42" s="361"/>
      <c r="BK42" s="25"/>
      <c r="BL42" s="25"/>
      <c r="BM42" s="25"/>
      <c r="BN42" s="25"/>
      <c r="BO42" s="25"/>
      <c r="BP42" s="149"/>
      <c r="BQ42" s="2449"/>
      <c r="BR42" s="25"/>
      <c r="BS42" s="25"/>
      <c r="BT42" s="2"/>
      <c r="BU42" s="2"/>
      <c r="BV42" s="2"/>
      <c r="BW42" s="13"/>
      <c r="BX42" s="13"/>
      <c r="BY42" s="13"/>
      <c r="BZ42" s="13"/>
      <c r="CA42" s="13"/>
      <c r="CB42" s="121"/>
      <c r="CC42" s="80"/>
      <c r="CD42" s="80"/>
      <c r="CE42" s="80"/>
      <c r="CF42" s="80"/>
      <c r="CG42" s="80"/>
      <c r="CH42" s="80"/>
      <c r="CI42" s="80"/>
      <c r="CJ42" s="80"/>
      <c r="CK42" s="80"/>
      <c r="CL42" s="80"/>
      <c r="CM42" s="80"/>
      <c r="CN42" s="80"/>
      <c r="CO42" s="80"/>
      <c r="CP42" s="80"/>
      <c r="CQ42" s="80"/>
      <c r="CR42" s="80"/>
      <c r="CS42" s="80"/>
      <c r="CT42" s="80"/>
      <c r="CU42" s="80"/>
      <c r="CV42" s="80"/>
      <c r="CW42" s="2030"/>
      <c r="DS42" s="84"/>
    </row>
    <row r="43" spans="1:123" ht="17.3" customHeight="1" x14ac:dyDescent="0.25">
      <c r="A43" s="13"/>
      <c r="B43" s="2430"/>
      <c r="C43" s="2431"/>
      <c r="D43" s="56"/>
      <c r="E43" s="1142" t="s">
        <v>707</v>
      </c>
      <c r="F43" s="56" t="s">
        <v>922</v>
      </c>
      <c r="G43" s="2402"/>
      <c r="H43" s="2402"/>
      <c r="I43" s="2403"/>
      <c r="J43" s="381"/>
      <c r="K43" s="186"/>
      <c r="L43" s="186"/>
      <c r="M43" s="186"/>
      <c r="N43" s="81"/>
      <c r="O43" s="140" t="s">
        <v>845</v>
      </c>
      <c r="P43" s="1204"/>
      <c r="Q43" s="1208" t="str">
        <f ca="1">IF(ISBLANK(Import!G329),OFFSET(AI241,SUMIF('1.GeneralInfo'!AE28:AE30,'1.GeneralInfo'!E8,'1.GeneralInfo'!AF28:AF30),0), Import!G329)</f>
        <v>kgs</v>
      </c>
      <c r="R43" s="139"/>
      <c r="S43" s="149"/>
      <c r="T43" s="149"/>
      <c r="U43" s="149"/>
      <c r="V43" s="149"/>
      <c r="W43" s="13"/>
      <c r="X43" s="25"/>
      <c r="Y43" s="121"/>
      <c r="Z43" s="77">
        <f t="shared" si="10"/>
        <v>0</v>
      </c>
      <c r="AA43" s="127">
        <f t="shared" ca="1" si="11"/>
        <v>0</v>
      </c>
      <c r="AB43" s="343"/>
      <c r="AC43" s="25"/>
      <c r="AD43" s="25"/>
      <c r="AE43" s="25"/>
      <c r="AF43" s="25"/>
      <c r="AG43" s="25"/>
      <c r="AH43" s="25"/>
      <c r="AI43" s="25"/>
      <c r="AJ43" s="25"/>
      <c r="AK43" s="149"/>
      <c r="AL43" s="3"/>
      <c r="AM43" s="3"/>
      <c r="AN43" s="3"/>
      <c r="AO43" s="3"/>
      <c r="AP43" s="3"/>
      <c r="AQ43" s="3"/>
      <c r="AR43" s="3"/>
      <c r="AS43" s="3"/>
      <c r="AT43" s="3"/>
      <c r="AU43" s="3"/>
      <c r="AV43" s="1637"/>
      <c r="AW43" s="3"/>
      <c r="AX43" s="3"/>
      <c r="AY43" s="3"/>
      <c r="AZ43" s="3"/>
      <c r="BA43" s="3"/>
      <c r="BB43" s="3"/>
      <c r="BC43" s="3"/>
      <c r="BD43" s="3"/>
      <c r="BE43" s="3"/>
      <c r="BF43" s="25"/>
      <c r="BG43" s="25"/>
      <c r="BH43" s="25"/>
      <c r="BI43" s="25"/>
      <c r="BJ43" s="343"/>
      <c r="BK43" s="25"/>
      <c r="BL43" s="25"/>
      <c r="BM43" s="25"/>
      <c r="BN43" s="25"/>
      <c r="BO43" s="25"/>
      <c r="BP43" s="3"/>
      <c r="BQ43" s="2449"/>
      <c r="BR43" s="83"/>
      <c r="BS43" s="25"/>
      <c r="BT43" s="2"/>
      <c r="BU43" s="2"/>
      <c r="BV43" s="2"/>
      <c r="BW43" s="13"/>
      <c r="BX43" s="13"/>
      <c r="BY43" s="13"/>
      <c r="BZ43" s="13"/>
      <c r="CA43" s="13"/>
      <c r="CB43" s="121"/>
      <c r="CC43" s="80"/>
      <c r="CD43" s="80"/>
      <c r="CE43" s="80"/>
      <c r="CF43" s="80"/>
      <c r="CG43" s="80"/>
      <c r="CH43" s="80"/>
      <c r="CI43" s="80"/>
      <c r="CJ43" s="80"/>
      <c r="CK43" s="80"/>
      <c r="CL43" s="80"/>
      <c r="CM43" s="80"/>
      <c r="CN43" s="80"/>
      <c r="CO43" s="80"/>
      <c r="CP43" s="80"/>
      <c r="CQ43" s="80"/>
      <c r="CR43" s="80"/>
      <c r="CS43" s="80"/>
      <c r="CT43" s="80"/>
      <c r="CU43" s="80"/>
      <c r="CV43" s="80"/>
      <c r="CW43" s="2030"/>
      <c r="DS43" s="84"/>
    </row>
    <row r="44" spans="1:123" ht="30.85" customHeight="1" x14ac:dyDescent="0.4">
      <c r="A44" s="13"/>
      <c r="B44" s="2430"/>
      <c r="C44" s="2431"/>
      <c r="D44" s="1237" t="s">
        <v>160</v>
      </c>
      <c r="E44" s="1193" t="str">
        <f>IF(ISBLANK(Import!F300),, Import!F300)</f>
        <v>[Select]</v>
      </c>
      <c r="F44" s="1193" t="str">
        <f>IF(ISBLANK(Import!G300),, Import!G300)</f>
        <v>[Select]</v>
      </c>
      <c r="G44" s="339"/>
      <c r="H44" s="340"/>
      <c r="I44" s="113"/>
      <c r="J44" s="195"/>
      <c r="K44" s="56" t="s">
        <v>1213</v>
      </c>
      <c r="L44" s="57" t="s">
        <v>2045</v>
      </c>
      <c r="M44" s="58"/>
      <c r="N44" s="81"/>
      <c r="O44" s="141" t="s">
        <v>3</v>
      </c>
      <c r="P44" s="1204"/>
      <c r="Q44" s="150"/>
      <c r="R44" s="139"/>
      <c r="S44" s="13"/>
      <c r="T44" s="13"/>
      <c r="U44" s="149"/>
      <c r="V44" s="149"/>
      <c r="W44" s="13"/>
      <c r="X44" s="25"/>
      <c r="Y44" s="121"/>
      <c r="Z44" s="77">
        <f t="shared" si="10"/>
        <v>0</v>
      </c>
      <c r="AA44" s="127">
        <f t="shared" ca="1" si="11"/>
        <v>0</v>
      </c>
      <c r="AB44" s="343"/>
      <c r="AC44" s="2373" t="s">
        <v>1257</v>
      </c>
      <c r="AD44" s="2373"/>
      <c r="AE44" s="3"/>
      <c r="AF44" s="3"/>
      <c r="AG44" s="25"/>
      <c r="AH44" s="25"/>
      <c r="AI44" s="25" t="s">
        <v>1121</v>
      </c>
      <c r="AJ44" s="25"/>
      <c r="AK44" s="25"/>
      <c r="AL44" s="149"/>
      <c r="AM44" s="149"/>
      <c r="AN44" s="2"/>
      <c r="AO44" s="25"/>
      <c r="AP44" s="4" t="s">
        <v>1119</v>
      </c>
      <c r="AQ44" s="4" t="s">
        <v>1120</v>
      </c>
      <c r="AR44" s="4" t="s">
        <v>2092</v>
      </c>
      <c r="AS44" s="75" t="s">
        <v>2078</v>
      </c>
      <c r="AT44" s="4" t="s">
        <v>538</v>
      </c>
      <c r="AU44" s="3"/>
      <c r="AV44" s="1637"/>
      <c r="AW44" s="3"/>
      <c r="AX44" s="3"/>
      <c r="AY44" s="3"/>
      <c r="AZ44" s="3"/>
      <c r="BA44" s="3"/>
      <c r="BB44" s="3"/>
      <c r="BC44" s="25"/>
      <c r="BD44" s="25"/>
      <c r="BE44" s="25"/>
      <c r="BF44" s="25"/>
      <c r="BG44" s="25"/>
      <c r="BH44" s="25"/>
      <c r="BI44" s="25"/>
      <c r="BJ44" s="343"/>
      <c r="BK44" s="25"/>
      <c r="BL44" s="25"/>
      <c r="BM44" s="25"/>
      <c r="BN44" s="25"/>
      <c r="BO44" s="25"/>
      <c r="BP44" s="3"/>
      <c r="BQ44" s="3"/>
      <c r="BR44" s="3"/>
      <c r="BS44" s="25"/>
      <c r="BT44" s="2"/>
      <c r="BU44" s="2"/>
      <c r="BV44" s="2"/>
      <c r="BW44" s="13"/>
      <c r="BX44" s="13"/>
      <c r="BY44" s="13"/>
      <c r="BZ44" s="13"/>
      <c r="CA44" s="13"/>
      <c r="CB44" s="121"/>
      <c r="CC44" s="80"/>
      <c r="CD44" s="80"/>
      <c r="CE44" s="80"/>
      <c r="CF44" s="80"/>
      <c r="CG44" s="80"/>
      <c r="CH44" s="80"/>
      <c r="CI44" s="80"/>
      <c r="CJ44" s="80"/>
      <c r="CK44" s="80"/>
      <c r="CL44" s="80"/>
      <c r="CM44" s="80"/>
      <c r="CN44" s="80"/>
      <c r="CO44" s="80"/>
      <c r="CP44" s="80"/>
      <c r="CQ44" s="80"/>
      <c r="CR44" s="80"/>
      <c r="CS44" s="80"/>
      <c r="CT44" s="80"/>
      <c r="CU44" s="80"/>
      <c r="CV44" s="80"/>
      <c r="CW44" s="2030"/>
      <c r="DS44" s="84"/>
    </row>
    <row r="45" spans="1:123" ht="15.7" customHeight="1" x14ac:dyDescent="0.25">
      <c r="A45" s="13"/>
      <c r="B45" s="2394" t="s">
        <v>973</v>
      </c>
      <c r="C45" s="1381"/>
      <c r="D45" s="569"/>
      <c r="E45" s="186"/>
      <c r="F45" s="186"/>
      <c r="G45" s="339"/>
      <c r="H45" s="340"/>
      <c r="I45" s="340"/>
      <c r="J45" s="59">
        <v>1</v>
      </c>
      <c r="K45" s="1203" t="str">
        <f>IF(ISBLANK(Import!E316),, Import!E316)</f>
        <v>Select</v>
      </c>
      <c r="L45" s="1211">
        <f>IF(ISBLANK(Import!G316),, Import!G316)</f>
        <v>0</v>
      </c>
      <c r="M45" s="58" t="s">
        <v>1440</v>
      </c>
      <c r="N45" s="81"/>
      <c r="O45" s="82" t="s">
        <v>797</v>
      </c>
      <c r="P45" s="1207"/>
      <c r="Q45" s="138"/>
      <c r="R45" s="139"/>
      <c r="S45" s="13"/>
      <c r="T45" s="13"/>
      <c r="U45" s="149"/>
      <c r="V45" s="149"/>
      <c r="W45" s="13"/>
      <c r="X45" s="25"/>
      <c r="Y45" s="121"/>
      <c r="Z45" s="77">
        <f t="shared" si="10"/>
        <v>0</v>
      </c>
      <c r="AA45" s="127">
        <f t="shared" ca="1" si="11"/>
        <v>0</v>
      </c>
      <c r="AB45" s="343"/>
      <c r="AC45" s="25"/>
      <c r="AD45" s="3"/>
      <c r="AE45" s="3"/>
      <c r="AF45" s="3"/>
      <c r="AG45" s="25"/>
      <c r="AH45" s="2179" t="str">
        <f>AO269</f>
        <v>Lactating cows</v>
      </c>
      <c r="AI45" s="180">
        <f>AP269</f>
        <v>0.38600000000000001</v>
      </c>
      <c r="AJ45" s="25"/>
      <c r="AK45" s="2"/>
      <c r="AL45" s="2176" t="s">
        <v>1117</v>
      </c>
      <c r="AM45" s="77">
        <f>SUMIF($AB$269:$AB$271,E44,$AH$259:$AH$261)</f>
        <v>0</v>
      </c>
      <c r="AN45" s="2"/>
      <c r="AO45" s="1059" t="s">
        <v>2093</v>
      </c>
      <c r="AP45" s="1701">
        <f ca="1">AM48*POWER(BE39,0.75)</f>
        <v>0</v>
      </c>
      <c r="AQ45" s="1890" t="e">
        <f ca="1">AP45/AM47/AM$46</f>
        <v>#DIV/0!</v>
      </c>
      <c r="AR45" s="180" t="e">
        <f ca="1">AQ45/AM$268</f>
        <v>#DIV/0!</v>
      </c>
      <c r="AS45" s="2"/>
      <c r="AT45" s="149"/>
      <c r="AU45" s="3"/>
      <c r="AV45" s="1637"/>
      <c r="AW45" s="25"/>
      <c r="AX45" s="25"/>
      <c r="AY45" s="25"/>
      <c r="AZ45" s="25"/>
      <c r="BA45" s="25"/>
      <c r="BB45" s="25"/>
      <c r="BC45" s="25"/>
      <c r="BD45" s="25"/>
      <c r="BE45" s="25"/>
      <c r="BF45" s="25"/>
      <c r="BG45" s="25"/>
      <c r="BH45" s="25"/>
      <c r="BI45" s="25"/>
      <c r="BJ45" s="343"/>
      <c r="BK45" s="25"/>
      <c r="BL45" s="25"/>
      <c r="BM45" s="25"/>
      <c r="BN45" s="25"/>
      <c r="BO45" s="25"/>
      <c r="BP45" s="3"/>
      <c r="BQ45" s="3"/>
      <c r="BR45" s="3"/>
      <c r="BS45" s="25"/>
      <c r="BT45" s="2"/>
      <c r="BU45" s="2"/>
      <c r="BV45" s="2"/>
      <c r="BW45" s="13"/>
      <c r="BX45" s="13"/>
      <c r="BY45" s="13"/>
      <c r="BZ45" s="13"/>
      <c r="CA45" s="13"/>
      <c r="CB45" s="121"/>
      <c r="CC45" s="80"/>
      <c r="CD45" s="80"/>
      <c r="CE45" s="80"/>
      <c r="CF45" s="80"/>
      <c r="CG45" s="80"/>
      <c r="CH45" s="80"/>
      <c r="CI45" s="80"/>
      <c r="CJ45" s="80"/>
      <c r="CK45" s="80"/>
      <c r="CL45" s="80"/>
      <c r="CM45" s="80"/>
      <c r="CN45" s="80"/>
      <c r="CO45" s="80"/>
      <c r="CP45" s="80"/>
      <c r="CQ45" s="80"/>
      <c r="CR45" s="80"/>
      <c r="CS45" s="80"/>
      <c r="CT45" s="80"/>
      <c r="CU45" s="80"/>
      <c r="CV45" s="80"/>
      <c r="CW45" s="2030"/>
      <c r="DS45" s="84"/>
    </row>
    <row r="46" spans="1:123" ht="15" customHeight="1" x14ac:dyDescent="0.25">
      <c r="A46" s="13"/>
      <c r="B46" s="2394"/>
      <c r="C46" s="1381"/>
      <c r="D46" s="569"/>
      <c r="E46" s="186"/>
      <c r="F46" s="186"/>
      <c r="G46" s="339"/>
      <c r="H46" s="340"/>
      <c r="I46" s="105"/>
      <c r="J46" s="59">
        <v>2</v>
      </c>
      <c r="K46" s="1203" t="str">
        <f>IF(ISBLANK(Import!E317),, Import!E317)</f>
        <v>Select</v>
      </c>
      <c r="L46" s="1211">
        <f>IF(ISBLANK(Import!G317),, Import!G317)</f>
        <v>0</v>
      </c>
      <c r="M46" s="58" t="s">
        <v>1440</v>
      </c>
      <c r="N46" s="81"/>
      <c r="O46" s="138"/>
      <c r="P46" s="138"/>
      <c r="Q46" s="138"/>
      <c r="R46" s="139"/>
      <c r="S46" s="149"/>
      <c r="T46" s="149"/>
      <c r="U46" s="149"/>
      <c r="V46" s="149"/>
      <c r="W46" s="13"/>
      <c r="X46" s="25"/>
      <c r="Y46" s="121"/>
      <c r="Z46" s="77">
        <f t="shared" si="10"/>
        <v>0</v>
      </c>
      <c r="AA46" s="127">
        <f t="shared" ca="1" si="11"/>
        <v>0</v>
      </c>
      <c r="AB46" s="343"/>
      <c r="AC46" s="25"/>
      <c r="AD46" s="1059" t="s">
        <v>1244</v>
      </c>
      <c r="AE46" s="180">
        <f>E11*SUMIF(AD298:AD301,F11,AO298:AO301)</f>
        <v>0</v>
      </c>
      <c r="AF46" s="25"/>
      <c r="AG46" s="25"/>
      <c r="AH46" s="2179" t="str">
        <f>AO270</f>
        <v>cattle</v>
      </c>
      <c r="AI46" s="180">
        <f>AP270</f>
        <v>0.37</v>
      </c>
      <c r="AJ46" s="2"/>
      <c r="AK46" s="2"/>
      <c r="AL46" s="1059" t="s">
        <v>1118</v>
      </c>
      <c r="AM46" s="180" t="e">
        <f>(100-E41)*AM45/((100-E41)*AM45+E41*0.8)*SUMIF($AB$269:$AB$271,E44,$AC$269:$AC$271)+(1-(100-E41)*AM45/((100-E41)*AM45+E41*0.8))*0.8</f>
        <v>#DIV/0!</v>
      </c>
      <c r="AN46" s="2"/>
      <c r="AO46" s="1059" t="s">
        <v>2</v>
      </c>
      <c r="AP46" s="1701">
        <f>P43*(1.47+0.4*P44)*AE50/100</f>
        <v>0</v>
      </c>
      <c r="AQ46" s="1890" t="e">
        <f>AP46/AM47/AM$46</f>
        <v>#DIV/0!</v>
      </c>
      <c r="AR46" s="180" t="e">
        <f>AQ46/AM$268</f>
        <v>#DIV/0!</v>
      </c>
      <c r="AS46" s="149"/>
      <c r="AT46" s="149"/>
      <c r="AU46" s="3"/>
      <c r="AV46" s="1637"/>
      <c r="AW46" s="25"/>
      <c r="AX46" s="25"/>
      <c r="AY46" s="25"/>
      <c r="AZ46" s="25"/>
      <c r="BA46" s="25"/>
      <c r="BB46" s="25"/>
      <c r="BC46" s="25"/>
      <c r="BD46" s="25"/>
      <c r="BE46" s="25"/>
      <c r="BF46" s="25"/>
      <c r="BG46" s="25"/>
      <c r="BH46" s="25"/>
      <c r="BI46" s="25"/>
      <c r="BJ46" s="343"/>
      <c r="BK46" s="25"/>
      <c r="BL46" s="25"/>
      <c r="BM46" s="25"/>
      <c r="BN46" s="25"/>
      <c r="BO46" s="25"/>
      <c r="BP46" s="3"/>
      <c r="BQ46" s="3"/>
      <c r="BR46" s="3"/>
      <c r="BS46" s="25"/>
      <c r="BT46" s="2"/>
      <c r="BU46" s="2"/>
      <c r="BV46" s="2"/>
      <c r="BW46" s="13"/>
      <c r="BX46" s="13"/>
      <c r="BY46" s="13"/>
      <c r="BZ46" s="13"/>
      <c r="CA46" s="13"/>
      <c r="CB46" s="121"/>
      <c r="CC46" s="80"/>
      <c r="CD46" s="80"/>
      <c r="CE46" s="80"/>
      <c r="CF46" s="80"/>
      <c r="CG46" s="80"/>
      <c r="CH46" s="80"/>
      <c r="CI46" s="80"/>
      <c r="CJ46" s="80"/>
      <c r="CK46" s="80"/>
      <c r="CL46" s="80"/>
      <c r="CM46" s="80"/>
      <c r="CN46" s="80"/>
      <c r="CO46" s="80"/>
      <c r="CP46" s="80"/>
      <c r="CQ46" s="80"/>
      <c r="CR46" s="80"/>
      <c r="CS46" s="80"/>
      <c r="CT46" s="80"/>
      <c r="CU46" s="80"/>
      <c r="CV46" s="80"/>
      <c r="CW46" s="2030"/>
      <c r="DS46" s="84"/>
    </row>
    <row r="47" spans="1:123" ht="27.8" customHeight="1" thickBot="1" x14ac:dyDescent="0.3">
      <c r="A47" s="13"/>
      <c r="B47" s="2394"/>
      <c r="C47" s="1381"/>
      <c r="D47" s="986" t="s">
        <v>157</v>
      </c>
      <c r="E47" s="186"/>
      <c r="F47" s="186"/>
      <c r="G47" s="181"/>
      <c r="H47" s="80"/>
      <c r="I47" s="105"/>
      <c r="J47" s="59">
        <v>3</v>
      </c>
      <c r="K47" s="1203" t="str">
        <f>IF(ISBLANK(Import!E318),, Import!E318)</f>
        <v>Select</v>
      </c>
      <c r="L47" s="1211">
        <f>IF(ISBLANK(Import!G318),, Import!G318)</f>
        <v>0</v>
      </c>
      <c r="M47" s="58" t="s">
        <v>1440</v>
      </c>
      <c r="N47" s="81"/>
      <c r="O47" s="138"/>
      <c r="P47" s="86"/>
      <c r="Q47" s="138"/>
      <c r="R47" s="139"/>
      <c r="S47" s="149"/>
      <c r="T47" s="149"/>
      <c r="U47" s="149"/>
      <c r="V47" s="149"/>
      <c r="W47" s="13"/>
      <c r="X47" s="25"/>
      <c r="Y47" s="121"/>
      <c r="Z47" s="77">
        <f t="shared" si="10"/>
        <v>0</v>
      </c>
      <c r="AA47" s="127">
        <f t="shared" ca="1" si="11"/>
        <v>0</v>
      </c>
      <c r="AB47" s="343"/>
      <c r="AC47" s="25"/>
      <c r="AD47" s="1059" t="s">
        <v>1009</v>
      </c>
      <c r="AE47" s="180">
        <f>I11</f>
        <v>0</v>
      </c>
      <c r="AF47" s="25"/>
      <c r="AG47" s="25"/>
      <c r="AH47" s="1059" t="s">
        <v>856</v>
      </c>
      <c r="AI47" s="180">
        <f>AI46*1.1</f>
        <v>0.40700000000000003</v>
      </c>
      <c r="AJ47" s="2"/>
      <c r="AK47" s="2"/>
      <c r="AL47" s="2178" t="s">
        <v>1910</v>
      </c>
      <c r="AM47" s="180" t="e">
        <f>1.123-(4.092*0.001*100*AM46)+(1.123*0.1*AM46*AM46)-25.4/(100*AM46)</f>
        <v>#DIV/0!</v>
      </c>
      <c r="AN47" s="2"/>
      <c r="AO47" s="1059" t="s">
        <v>0</v>
      </c>
      <c r="AP47" s="1701">
        <f ca="1">(100-E41)/100*SUMIF(AE$268:AE$270,F44,AF$268:AF$270)*AP45</f>
        <v>0</v>
      </c>
      <c r="AQ47" s="1890" t="e">
        <f ca="1">AP47/AM47/AM$46</f>
        <v>#DIV/0!</v>
      </c>
      <c r="AR47" s="180" t="e">
        <f ca="1">AQ47/AM$268</f>
        <v>#DIV/0!</v>
      </c>
      <c r="AS47" s="149"/>
      <c r="AT47" s="149"/>
      <c r="AU47" s="3"/>
      <c r="AV47" s="1637"/>
      <c r="AW47" s="25"/>
      <c r="AX47" s="25"/>
      <c r="AY47" s="25"/>
      <c r="AZ47" s="25"/>
      <c r="BA47" s="25"/>
      <c r="BB47" s="25"/>
      <c r="BC47" s="25"/>
      <c r="BD47" s="25"/>
      <c r="BE47" s="25"/>
      <c r="BF47" s="25"/>
      <c r="BG47" s="25"/>
      <c r="BH47" s="25"/>
      <c r="BI47" s="25"/>
      <c r="BJ47" s="343"/>
      <c r="BK47" s="25"/>
      <c r="BL47" s="25"/>
      <c r="BM47" s="25"/>
      <c r="BN47" s="25"/>
      <c r="BO47" s="25"/>
      <c r="BP47" s="25"/>
      <c r="BQ47" s="25"/>
      <c r="BR47" s="25"/>
      <c r="BS47" s="25"/>
      <c r="BT47" s="2"/>
      <c r="BU47" s="2"/>
      <c r="BV47" s="2"/>
      <c r="BW47" s="13"/>
      <c r="BX47" s="13"/>
      <c r="BY47" s="13"/>
      <c r="BZ47" s="13"/>
      <c r="CA47" s="13"/>
      <c r="CB47" s="121"/>
      <c r="CC47" s="80"/>
      <c r="CD47" s="80"/>
      <c r="CE47" s="80"/>
      <c r="CF47" s="80"/>
      <c r="CG47" s="80"/>
      <c r="CH47" s="80"/>
      <c r="CI47" s="80"/>
      <c r="CJ47" s="80"/>
      <c r="CK47" s="80"/>
      <c r="CL47" s="80"/>
      <c r="CM47" s="80"/>
      <c r="CN47" s="80"/>
      <c r="CO47" s="80"/>
      <c r="CP47" s="80"/>
      <c r="CQ47" s="80"/>
      <c r="CR47" s="80"/>
      <c r="CS47" s="80"/>
      <c r="CT47" s="80"/>
      <c r="CU47" s="80"/>
      <c r="CV47" s="80"/>
      <c r="CW47" s="2030"/>
      <c r="DS47" s="84"/>
    </row>
    <row r="48" spans="1:123" ht="44.25" customHeight="1" thickBot="1" x14ac:dyDescent="0.55000000000000004">
      <c r="A48" s="13"/>
      <c r="B48" s="2394"/>
      <c r="C48" s="1381"/>
      <c r="D48" s="105"/>
      <c r="E48" s="2372" t="s">
        <v>1107</v>
      </c>
      <c r="F48" s="2372" t="s">
        <v>833</v>
      </c>
      <c r="G48" s="2372" t="s">
        <v>1070</v>
      </c>
      <c r="H48" s="2372"/>
      <c r="I48" s="105"/>
      <c r="J48" s="59">
        <v>4</v>
      </c>
      <c r="K48" s="1203" t="str">
        <f>IF(ISBLANK(Import!E319),, Import!E319)</f>
        <v>Select</v>
      </c>
      <c r="L48" s="1211">
        <f>IF(ISBLANK(Import!G319),, Import!G319)</f>
        <v>0</v>
      </c>
      <c r="M48" s="58" t="s">
        <v>1440</v>
      </c>
      <c r="N48" s="81"/>
      <c r="O48" s="138"/>
      <c r="P48" s="138"/>
      <c r="Q48" s="138"/>
      <c r="R48" s="139"/>
      <c r="S48" s="149"/>
      <c r="T48" s="149"/>
      <c r="U48" s="149"/>
      <c r="V48" s="149"/>
      <c r="W48" s="13"/>
      <c r="X48" s="25"/>
      <c r="Y48" s="121"/>
      <c r="Z48" s="77">
        <f t="shared" si="10"/>
        <v>0</v>
      </c>
      <c r="AA48" s="127">
        <f t="shared" ca="1" si="11"/>
        <v>0</v>
      </c>
      <c r="AB48" s="343"/>
      <c r="AC48" s="25"/>
      <c r="AD48" s="2176" t="s">
        <v>81</v>
      </c>
      <c r="AE48" s="77">
        <f ca="1">IF(E7=AI130,SUMIF(AJ298:AJ301,H7,AL298:AL301),IF(ISERROR(AR48),0,AR48))</f>
        <v>0</v>
      </c>
      <c r="AF48" s="2180">
        <f ca="1">IF(SUMIF(AI$122:AI$133,E$7,AP$122:AP$133)=1,IF(K41=0,AE48,K41),K41)/SUMIF(AJ242:AJ243,L19,AK242:AK243)</f>
        <v>0</v>
      </c>
      <c r="AG48" s="25"/>
      <c r="AH48" s="2"/>
      <c r="AI48" s="2"/>
      <c r="AJ48" s="2"/>
      <c r="AK48" s="2"/>
      <c r="AL48" s="1059" t="s">
        <v>1122</v>
      </c>
      <c r="AM48" s="180">
        <f>(AE50/100*AI45+(100-AE50-P49)/100*AI46+P49/100*AI47)</f>
        <v>0.38600000000000001</v>
      </c>
      <c r="AN48" s="25"/>
      <c r="AO48" s="1059" t="s">
        <v>312</v>
      </c>
      <c r="AP48" s="149"/>
      <c r="AQ48" s="180" t="e">
        <f ca="1">SUM(AQ45:AQ47)</f>
        <v>#DIV/0!</v>
      </c>
      <c r="AR48" s="180" t="e">
        <f ca="1">SUM(AR45:AR47)</f>
        <v>#DIV/0!</v>
      </c>
      <c r="AS48" s="2062">
        <f>(100-E41)/100*SUMIF(AB$277:AB$279,E$23,AF$277:AF$279)+E41*AF$276/100</f>
        <v>0</v>
      </c>
      <c r="AT48" s="180">
        <f>IF(SUMIF(AI$122:AI$133,E$7,AH$122:AH$133)=1,365*AQ48*AS$48/55.65,0)</f>
        <v>0</v>
      </c>
      <c r="AU48" s="3"/>
      <c r="AV48" s="1637"/>
      <c r="AW48" s="2458" t="s">
        <v>1729</v>
      </c>
      <c r="AX48" s="2454" t="s">
        <v>358</v>
      </c>
      <c r="AY48" s="2454"/>
      <c r="AZ48" s="2454"/>
      <c r="BA48" s="2455" t="s">
        <v>359</v>
      </c>
      <c r="BB48" s="2456"/>
      <c r="BC48" s="2456"/>
      <c r="BD48" s="2456"/>
      <c r="BE48" s="2456"/>
      <c r="BF48" s="2456"/>
      <c r="BG48" s="2457"/>
      <c r="BH48" s="25"/>
      <c r="BI48" s="25"/>
      <c r="BJ48" s="343"/>
      <c r="BK48" s="25"/>
      <c r="BL48" s="106"/>
      <c r="BM48" s="25"/>
      <c r="BN48" s="25"/>
      <c r="BO48" s="25"/>
      <c r="BP48" s="420"/>
      <c r="BQ48" s="420"/>
      <c r="BR48" s="25"/>
      <c r="BS48" s="25"/>
      <c r="BT48" s="2"/>
      <c r="BU48" s="2"/>
      <c r="BV48" s="2"/>
      <c r="BW48" s="13"/>
      <c r="BX48" s="13"/>
      <c r="BY48" s="13"/>
      <c r="BZ48" s="13"/>
      <c r="CA48" s="13"/>
      <c r="CB48" s="121"/>
      <c r="CC48" s="80"/>
      <c r="CD48" s="80"/>
      <c r="CE48" s="80"/>
      <c r="CF48" s="80"/>
      <c r="CG48" s="80"/>
      <c r="CH48" s="80"/>
      <c r="CI48" s="80"/>
      <c r="CJ48" s="80"/>
      <c r="CK48" s="80"/>
      <c r="CL48" s="80"/>
      <c r="CM48" s="80"/>
      <c r="CN48" s="80"/>
      <c r="CO48" s="80"/>
      <c r="CP48" s="80"/>
      <c r="CQ48" s="80"/>
      <c r="CR48" s="80"/>
      <c r="CS48" s="80"/>
      <c r="CT48" s="80"/>
      <c r="CU48" s="80"/>
      <c r="CV48" s="80"/>
      <c r="CW48" s="2030"/>
      <c r="DS48" s="84"/>
    </row>
    <row r="49" spans="1:123" ht="21.75" customHeight="1" thickBot="1" x14ac:dyDescent="0.3">
      <c r="A49" s="13"/>
      <c r="B49" s="2394"/>
      <c r="C49" s="1381"/>
      <c r="D49" s="569"/>
      <c r="E49" s="2372"/>
      <c r="F49" s="2372"/>
      <c r="G49" s="2372"/>
      <c r="H49" s="2372"/>
      <c r="I49" s="112"/>
      <c r="J49" s="59">
        <v>5</v>
      </c>
      <c r="K49" s="1203" t="str">
        <f>IF(ISBLANK(Import!E320),, Import!E320)</f>
        <v>Select</v>
      </c>
      <c r="L49" s="1211">
        <f>IF(ISBLANK(Import!G320),, Import!G320)</f>
        <v>0</v>
      </c>
      <c r="M49" s="58" t="s">
        <v>1440</v>
      </c>
      <c r="N49" s="81"/>
      <c r="O49" s="140" t="s">
        <v>1073</v>
      </c>
      <c r="P49" s="1207">
        <v>0</v>
      </c>
      <c r="Q49" s="138" t="s">
        <v>1440</v>
      </c>
      <c r="R49" s="357"/>
      <c r="S49" s="149"/>
      <c r="T49" s="149"/>
      <c r="U49" s="149"/>
      <c r="V49" s="149"/>
      <c r="W49" s="13"/>
      <c r="X49" s="25"/>
      <c r="Y49" s="121"/>
      <c r="Z49" s="77">
        <f t="shared" si="10"/>
        <v>0</v>
      </c>
      <c r="AA49" s="127">
        <f t="shared" ca="1" si="11"/>
        <v>0</v>
      </c>
      <c r="AB49" s="2163"/>
      <c r="AC49" s="25"/>
      <c r="AD49" s="2176" t="s">
        <v>1259</v>
      </c>
      <c r="AE49" s="2155">
        <f ca="1">AF48*AE46/1000*E41/100*AE47</f>
        <v>0</v>
      </c>
      <c r="AF49" s="25"/>
      <c r="AG49" s="25"/>
      <c r="AH49" s="2"/>
      <c r="AI49" s="2"/>
      <c r="AJ49" s="2"/>
      <c r="AK49" s="2"/>
      <c r="AL49" s="2"/>
      <c r="AM49" s="25"/>
      <c r="AN49" s="25"/>
      <c r="AO49" s="25"/>
      <c r="AP49" s="25"/>
      <c r="AQ49" s="25"/>
      <c r="AR49" s="149"/>
      <c r="AS49" s="3"/>
      <c r="AT49" s="3"/>
      <c r="AU49" s="3"/>
      <c r="AV49" s="1637"/>
      <c r="AW49" s="2460"/>
      <c r="AX49" s="2173" t="s">
        <v>938</v>
      </c>
      <c r="AY49" s="2170" t="s">
        <v>361</v>
      </c>
      <c r="AZ49" s="2171" t="s">
        <v>727</v>
      </c>
      <c r="BA49" s="358" t="s">
        <v>1290</v>
      </c>
      <c r="BB49" s="2167" t="s">
        <v>1069</v>
      </c>
      <c r="BC49" s="2167" t="s">
        <v>541</v>
      </c>
      <c r="BD49" s="2168" t="s">
        <v>216</v>
      </c>
      <c r="BE49" s="2167" t="s">
        <v>217</v>
      </c>
      <c r="BF49" s="2167" t="s">
        <v>728</v>
      </c>
      <c r="BG49" s="2169" t="s">
        <v>729</v>
      </c>
      <c r="BH49" s="3"/>
      <c r="BI49" s="3"/>
      <c r="BJ49" s="1638"/>
      <c r="BK49" s="25"/>
      <c r="BL49" s="25"/>
      <c r="BM49" s="25"/>
      <c r="BN49" s="25"/>
      <c r="BO49" s="3"/>
      <c r="BP49" s="3"/>
      <c r="BQ49" s="3"/>
      <c r="BR49" s="3"/>
      <c r="BS49" s="25"/>
      <c r="BT49" s="2"/>
      <c r="BU49" s="2"/>
      <c r="BV49" s="2"/>
      <c r="BW49" s="13"/>
      <c r="BX49" s="13"/>
      <c r="BY49" s="13"/>
      <c r="BZ49" s="13"/>
      <c r="CA49" s="13"/>
      <c r="CB49" s="121"/>
      <c r="CC49" s="80"/>
      <c r="CD49" s="80"/>
      <c r="CE49" s="80"/>
      <c r="CF49" s="80"/>
      <c r="CG49" s="80"/>
      <c r="CH49" s="80"/>
      <c r="CI49" s="80"/>
      <c r="CJ49" s="80"/>
      <c r="CK49" s="80"/>
      <c r="CL49" s="80"/>
      <c r="CM49" s="80"/>
      <c r="CN49" s="80"/>
      <c r="CO49" s="80"/>
      <c r="CP49" s="80"/>
      <c r="CQ49" s="80"/>
      <c r="CR49" s="80"/>
      <c r="CS49" s="80"/>
      <c r="CT49" s="80"/>
      <c r="CU49" s="80"/>
      <c r="CV49" s="80"/>
      <c r="CW49" s="2030"/>
      <c r="DS49" s="84"/>
    </row>
    <row r="50" spans="1:123" ht="23.2" customHeight="1" x14ac:dyDescent="0.25">
      <c r="A50" s="13"/>
      <c r="B50" s="2394"/>
      <c r="C50" s="1381"/>
      <c r="D50" s="549"/>
      <c r="E50" s="1209" t="str">
        <f>IF(ISBLANK(Import!H300),, Import!H300)</f>
        <v>[Select]</v>
      </c>
      <c r="F50" s="1210">
        <f>IF(ISBLANK(Import!I300),, Import!I300)</f>
        <v>0</v>
      </c>
      <c r="G50" s="1210">
        <f>IF(ISBLANK(Import!J300),, Import!J300)</f>
        <v>0</v>
      </c>
      <c r="H50" s="172"/>
      <c r="I50" s="112"/>
      <c r="J50" s="59">
        <v>6</v>
      </c>
      <c r="K50" s="1203" t="str">
        <f>IF(ISBLANK(Import!E321),, Import!E321)</f>
        <v>Select</v>
      </c>
      <c r="L50" s="1211">
        <f>IF(ISBLANK(Import!G321),, Import!G321)</f>
        <v>0</v>
      </c>
      <c r="M50" s="58" t="s">
        <v>1440</v>
      </c>
      <c r="N50" s="81"/>
      <c r="O50" s="138"/>
      <c r="P50" s="138"/>
      <c r="Q50" s="138"/>
      <c r="R50" s="357"/>
      <c r="S50" s="149"/>
      <c r="T50" s="149"/>
      <c r="U50" s="149"/>
      <c r="V50" s="149"/>
      <c r="W50" s="13"/>
      <c r="X50" s="25"/>
      <c r="Y50" s="2165" t="s">
        <v>189</v>
      </c>
      <c r="Z50" s="77">
        <f>IF(L55=0,100,L55)</f>
        <v>100</v>
      </c>
      <c r="AA50" s="127">
        <f ca="1">SUM(AA40:AA49)</f>
        <v>0</v>
      </c>
      <c r="AB50" s="2163"/>
      <c r="AC50" s="25"/>
      <c r="AD50" s="1059" t="s">
        <v>1887</v>
      </c>
      <c r="AE50" s="180">
        <f>100</f>
        <v>100</v>
      </c>
      <c r="AF50" s="25"/>
      <c r="AG50" s="3"/>
      <c r="AH50" s="3"/>
      <c r="AI50" s="25"/>
      <c r="AJ50" s="2"/>
      <c r="AK50" s="2"/>
      <c r="AL50" s="25"/>
      <c r="AM50" s="25"/>
      <c r="AN50" s="25"/>
      <c r="AO50" s="25"/>
      <c r="AP50" s="25"/>
      <c r="AQ50" s="25"/>
      <c r="AR50" s="149"/>
      <c r="AS50" s="83" t="s">
        <v>1728</v>
      </c>
      <c r="AT50" s="77">
        <f>IF(ISERROR(AT48),0,AT48)</f>
        <v>0</v>
      </c>
      <c r="AU50" s="3"/>
      <c r="AV50" s="1637"/>
      <c r="AW50" s="2185">
        <f>IF(E50="",0,F50/100)</f>
        <v>0</v>
      </c>
      <c r="AX50" s="365">
        <f ca="1">OFFSET('A2. Livestockdata'!$D$28,$AD$131-10+1,SUMIF($AO$185:$AO$201,$E50,$AQ$185:$AQ$201))</f>
        <v>10</v>
      </c>
      <c r="AY50" s="2190">
        <f ca="1">G50*BE$41*(BE$40*0.67*AX$50/100)*AW$50</f>
        <v>0</v>
      </c>
      <c r="AZ50" s="2064">
        <f ca="1">AE$47*IF(ISERROR(AY50),0,AY50)</f>
        <v>0</v>
      </c>
      <c r="BA50" s="77">
        <f ca="1">OFFSET(AB$157,SUMIF(AB$158:AB$172,AE38,AA$158:AA$172),SUMIF($AC$157:$AT$157,E50,$AC$156:$AT$156))</f>
        <v>0</v>
      </c>
      <c r="BB50" s="77">
        <f>IF(G50&gt;0,F50*G50/365,0)/100</f>
        <v>0</v>
      </c>
      <c r="BC50" s="131" t="e">
        <f ca="1">BE$42*365*AE$47*BE$39/1000</f>
        <v>#VALUE!</v>
      </c>
      <c r="BD50" s="77">
        <f>SUMIF($AO$185:$AO$201,E50,$AP$185:$AP$201)</f>
        <v>0</v>
      </c>
      <c r="BE50" s="423">
        <f ca="1">IF(AW50&lt;&gt;"",SUMIF($AB$205:$AB$224,BA50,$AC$205:$AC$224)/100*0.01,"")</f>
        <v>0</v>
      </c>
      <c r="BF50" s="87">
        <f ca="1">IF(ISERROR(BC50),0,BB50*BD50*BC50*'A1. Submodels &amp; data'!B380*AW50)</f>
        <v>0</v>
      </c>
      <c r="BG50" s="2158">
        <f ca="1">IF(ISERROR(BC50),0,'A1. Submodels &amp; data'!B380*BB50*BE50*BC50*AW50)</f>
        <v>0</v>
      </c>
      <c r="BH50" s="3"/>
      <c r="BI50" s="3"/>
      <c r="BJ50" s="1638"/>
      <c r="BK50" s="79"/>
      <c r="BL50" s="3"/>
      <c r="BM50" s="3"/>
      <c r="BN50" s="25"/>
      <c r="BO50" s="3"/>
      <c r="BP50" s="3"/>
      <c r="BQ50" s="3"/>
      <c r="BR50" s="3"/>
      <c r="BS50" s="25"/>
      <c r="BT50" s="2"/>
      <c r="BU50" s="2"/>
      <c r="BV50" s="2"/>
      <c r="BW50" s="13"/>
      <c r="BX50" s="13"/>
      <c r="BY50" s="13"/>
      <c r="BZ50" s="13"/>
      <c r="CA50" s="13"/>
      <c r="CB50" s="121"/>
      <c r="CC50" s="80"/>
      <c r="CD50" s="80"/>
      <c r="CE50" s="80"/>
      <c r="CF50" s="80"/>
      <c r="CG50" s="80"/>
      <c r="CH50" s="80"/>
      <c r="CI50" s="80"/>
      <c r="CJ50" s="80"/>
      <c r="CK50" s="80"/>
      <c r="CL50" s="80"/>
      <c r="CM50" s="80"/>
      <c r="CN50" s="80"/>
      <c r="CO50" s="80"/>
      <c r="CP50" s="80"/>
      <c r="CQ50" s="80"/>
      <c r="CR50" s="80"/>
      <c r="CS50" s="80"/>
      <c r="CT50" s="80"/>
      <c r="CU50" s="80"/>
      <c r="CV50" s="80"/>
      <c r="CW50" s="2030"/>
      <c r="DS50" s="84"/>
    </row>
    <row r="51" spans="1:123" ht="23.2" customHeight="1" x14ac:dyDescent="0.25">
      <c r="A51" s="13"/>
      <c r="B51" s="2394"/>
      <c r="C51" s="1381"/>
      <c r="D51" s="569"/>
      <c r="E51" s="1209" t="str">
        <f>IF(ISBLANK(Import!K300),, Import!K300)</f>
        <v>[Select]</v>
      </c>
      <c r="F51" s="1210">
        <f>IF(ISBLANK(Import!L300),, Import!L300)</f>
        <v>0</v>
      </c>
      <c r="G51" s="1210">
        <f>IF(ISBLANK(Import!M300),, Import!M300)</f>
        <v>0</v>
      </c>
      <c r="H51" s="172"/>
      <c r="I51" s="112"/>
      <c r="J51" s="59">
        <v>7</v>
      </c>
      <c r="K51" s="1203" t="str">
        <f>IF(ISBLANK(Import!E322),, Import!E322)</f>
        <v>Select</v>
      </c>
      <c r="L51" s="1211">
        <f>IF(ISBLANK(Import!G322),, Import!G322)</f>
        <v>0</v>
      </c>
      <c r="M51" s="58" t="s">
        <v>1440</v>
      </c>
      <c r="N51" s="81"/>
      <c r="O51" s="152" t="s">
        <v>1176</v>
      </c>
      <c r="P51" s="138"/>
      <c r="Q51" s="138"/>
      <c r="R51" s="357"/>
      <c r="S51" s="149"/>
      <c r="T51" s="149"/>
      <c r="U51" s="149"/>
      <c r="V51" s="149"/>
      <c r="W51" s="13"/>
      <c r="X51" s="25"/>
      <c r="Y51" s="121"/>
      <c r="Z51" s="25"/>
      <c r="AA51" s="25"/>
      <c r="AB51" s="2163"/>
      <c r="AC51" s="25"/>
      <c r="AD51" s="25"/>
      <c r="AE51" s="25"/>
      <c r="AF51" s="25"/>
      <c r="AG51" s="3"/>
      <c r="AH51" s="3"/>
      <c r="AI51" s="25"/>
      <c r="AJ51" s="2"/>
      <c r="AK51" s="2"/>
      <c r="AL51" s="25"/>
      <c r="AM51" s="25"/>
      <c r="AN51" s="25"/>
      <c r="AO51" s="25"/>
      <c r="AP51" s="25"/>
      <c r="AQ51" s="25"/>
      <c r="AR51" s="149"/>
      <c r="AS51" s="25"/>
      <c r="AT51" s="25"/>
      <c r="AU51" s="3"/>
      <c r="AV51" s="1637"/>
      <c r="AW51" s="2186">
        <f>IF(E51="",0,F51/100)</f>
        <v>0</v>
      </c>
      <c r="AX51" s="365">
        <f ca="1">OFFSET('A2. Livestockdata'!$D$28,$AD$131-10+1,SUMIF($AO$185:$AO$201,$E51,$AQ$185:$AQ$201))</f>
        <v>10</v>
      </c>
      <c r="AY51" s="2190">
        <f ca="1">G51*BE$41*(BE$40*0.67*AX$51/100)*AW$51</f>
        <v>0</v>
      </c>
      <c r="AZ51" s="2064">
        <f ca="1">AE$47*IF(ISERROR(AY51),0,AY51)</f>
        <v>0</v>
      </c>
      <c r="BA51" s="77">
        <f ca="1">OFFSET(AB$157,SUMIF(AB$158:AB$172,AE38,AA$158:AA$172),SUMIF($AC$157:$AT$157,E51,$AC$156:$AT$156))</f>
        <v>0</v>
      </c>
      <c r="BB51" s="77">
        <f>IF(G51&gt;0,F51*G51/365,0)/100</f>
        <v>0</v>
      </c>
      <c r="BC51" s="131" t="e">
        <f ca="1">BE$42*365*AE$47*BE$39/1000</f>
        <v>#VALUE!</v>
      </c>
      <c r="BD51" s="77">
        <f>SUMIF($AO$185:$AO$201,E51,$AP$185:$AP$201)</f>
        <v>0</v>
      </c>
      <c r="BE51" s="423">
        <f ca="1">IF(AW51&lt;&gt;"",SUMIF($AB$205:$AB$224,BA51,$AC$205:$AC$224)/100*0.01,"")</f>
        <v>0</v>
      </c>
      <c r="BF51" s="87">
        <f ca="1">IF(ISERROR(BC51),0,BB51*BD51*BC51*'A1. Submodels &amp; data'!B380*AW51)</f>
        <v>0</v>
      </c>
      <c r="BG51" s="2158">
        <f ca="1">IF(ISERROR(BC51),0,'A1. Submodels &amp; data'!B380*BB51*BE51*BC51*AW51)</f>
        <v>0</v>
      </c>
      <c r="BH51" s="3"/>
      <c r="BI51" s="3"/>
      <c r="BJ51" s="1638"/>
      <c r="BK51" s="25"/>
      <c r="BL51" s="3"/>
      <c r="BM51" s="3"/>
      <c r="BN51" s="421"/>
      <c r="BO51" s="3"/>
      <c r="BP51" s="3"/>
      <c r="BQ51" s="3"/>
      <c r="BR51" s="3"/>
      <c r="BS51" s="25"/>
      <c r="BT51" s="2"/>
      <c r="BU51" s="2"/>
      <c r="BV51" s="2"/>
      <c r="BW51" s="13"/>
      <c r="BX51" s="13"/>
      <c r="BY51" s="13"/>
      <c r="BZ51" s="13"/>
      <c r="CA51" s="13"/>
      <c r="CB51" s="121"/>
      <c r="CC51" s="80"/>
      <c r="CD51" s="80"/>
      <c r="CE51" s="80"/>
      <c r="CF51" s="80"/>
      <c r="CG51" s="80"/>
      <c r="CH51" s="80"/>
      <c r="CI51" s="80"/>
      <c r="CJ51" s="80"/>
      <c r="CK51" s="80"/>
      <c r="CL51" s="80"/>
      <c r="CM51" s="80"/>
      <c r="CN51" s="80"/>
      <c r="CO51" s="80"/>
      <c r="CP51" s="80"/>
      <c r="CQ51" s="80"/>
      <c r="CR51" s="80"/>
      <c r="CS51" s="339"/>
      <c r="CT51" s="339"/>
      <c r="CU51" s="339"/>
      <c r="CV51" s="339"/>
      <c r="CW51" s="2030"/>
      <c r="DS51" s="84"/>
    </row>
    <row r="52" spans="1:123" ht="23.2" customHeight="1" thickBot="1" x14ac:dyDescent="0.3">
      <c r="A52" s="13"/>
      <c r="B52" s="2394"/>
      <c r="C52" s="1381"/>
      <c r="D52" s="569"/>
      <c r="E52" s="1209" t="str">
        <f>IF(ISBLANK(Import!N300),, Import!N300)</f>
        <v>[Select]</v>
      </c>
      <c r="F52" s="1210">
        <f>IF(ISBLANK(Import!O300),, Import!O300)</f>
        <v>0</v>
      </c>
      <c r="G52" s="1210">
        <f>IF(ISBLANK(Import!P300),, Import!P300)</f>
        <v>0</v>
      </c>
      <c r="H52" s="172"/>
      <c r="I52" s="340"/>
      <c r="J52" s="59">
        <v>8</v>
      </c>
      <c r="K52" s="1203" t="str">
        <f>IF(ISBLANK(Import!E323),, Import!E323)</f>
        <v>Select</v>
      </c>
      <c r="L52" s="1211">
        <f>IF(ISBLANK(Import!G323),, Import!G323)</f>
        <v>0</v>
      </c>
      <c r="M52" s="58" t="s">
        <v>1440</v>
      </c>
      <c r="N52" s="81"/>
      <c r="O52" s="152"/>
      <c r="P52" s="1205" t="str">
        <f ca="1">IF(AE48&gt;0,AE48,"")</f>
        <v/>
      </c>
      <c r="Q52" s="138" t="s">
        <v>1426</v>
      </c>
      <c r="R52" s="357"/>
      <c r="S52" s="149"/>
      <c r="T52" s="149"/>
      <c r="U52" s="149"/>
      <c r="V52" s="149"/>
      <c r="W52" s="13"/>
      <c r="X52" s="25"/>
      <c r="Y52" s="121"/>
      <c r="Z52" s="25"/>
      <c r="AA52" s="149"/>
      <c r="AB52" s="2163"/>
      <c r="AC52" s="125"/>
      <c r="AD52" s="125"/>
      <c r="AE52" s="125"/>
      <c r="AF52" s="125"/>
      <c r="AG52" s="1642"/>
      <c r="AH52" s="1642"/>
      <c r="AI52" s="125"/>
      <c r="AJ52" s="125"/>
      <c r="AK52" s="1642"/>
      <c r="AL52" s="125"/>
      <c r="AM52" s="125"/>
      <c r="AN52" s="125"/>
      <c r="AO52" s="125"/>
      <c r="AP52" s="125"/>
      <c r="AQ52" s="125"/>
      <c r="AR52" s="385"/>
      <c r="AS52" s="125"/>
      <c r="AT52" s="125"/>
      <c r="AU52" s="1642"/>
      <c r="AV52" s="1637"/>
      <c r="AW52" s="2187">
        <f>IF(E52="",0,F52/100)</f>
        <v>0</v>
      </c>
      <c r="AX52" s="2188">
        <f ca="1">OFFSET('A2. Livestockdata'!$D$28,$AD$131-10+1,SUMIF($AO$185:$AO$201,$E52,$AQ$185:$AQ$201))</f>
        <v>10</v>
      </c>
      <c r="AY52" s="2190">
        <f ca="1">G52*BE$41*(BE$40*0.67*AX$52/100)*AW$52</f>
        <v>0</v>
      </c>
      <c r="AZ52" s="2162">
        <f ca="1">AE$47*IF(ISERROR(AY52),0,AY52)</f>
        <v>0</v>
      </c>
      <c r="BA52" s="2061">
        <f ca="1">OFFSET(AB$157,SUMIF(AB$158:AB$172,AE38,AA$158:AA$172),SUMIF($AC$157:$AT$157,E52,$AC$156:$AT$156))</f>
        <v>0</v>
      </c>
      <c r="BB52" s="2061">
        <f>IF(G52&gt;0,F52*G52/365,0)/100</f>
        <v>0</v>
      </c>
      <c r="BC52" s="2174" t="e">
        <f ca="1">BE$42*365*AE$47*BE$39/1000</f>
        <v>#VALUE!</v>
      </c>
      <c r="BD52" s="2061">
        <f>SUMIF($AO$185:$AO$201,E52,$AP$185:$AP$201)</f>
        <v>0</v>
      </c>
      <c r="BE52" s="2159">
        <f ca="1">IF(AW52&lt;&gt;"",SUMIF($AB$205:$AB$224,BA52,$AC$205:$AC$224)/100*0.01,"")</f>
        <v>0</v>
      </c>
      <c r="BF52" s="2160">
        <f ca="1">IF(ISERROR(BC52),0,BB52*BD52*BC52*'A1. Submodels &amp; data'!B380*AW52)</f>
        <v>0</v>
      </c>
      <c r="BG52" s="2161">
        <f ca="1">IF(ISERROR(BC52),0,'A1. Submodels &amp; data'!B380*BB52*BE52*BC52*AW52)</f>
        <v>0</v>
      </c>
      <c r="BH52" s="3"/>
      <c r="BI52" s="3"/>
      <c r="BJ52" s="1638"/>
      <c r="BK52" s="25"/>
      <c r="BL52" s="3"/>
      <c r="BM52" s="3"/>
      <c r="BN52" s="25"/>
      <c r="BO52" s="3"/>
      <c r="BP52" s="3"/>
      <c r="BQ52" s="3"/>
      <c r="BR52" s="3"/>
      <c r="BS52" s="25"/>
      <c r="BT52" s="2"/>
      <c r="BU52" s="2"/>
      <c r="BV52" s="2"/>
      <c r="BW52" s="13"/>
      <c r="BX52" s="13"/>
      <c r="BY52" s="13"/>
      <c r="BZ52" s="13"/>
      <c r="CA52" s="13"/>
      <c r="CB52" s="121"/>
      <c r="CC52" s="80"/>
      <c r="CD52" s="80"/>
      <c r="CE52" s="80"/>
      <c r="CF52" s="80"/>
      <c r="CG52" s="80"/>
      <c r="CH52" s="80"/>
      <c r="CI52" s="80"/>
      <c r="CJ52" s="80"/>
      <c r="CK52" s="80"/>
      <c r="CL52" s="80"/>
      <c r="CM52" s="80"/>
      <c r="CN52" s="80"/>
      <c r="CO52" s="80"/>
      <c r="CP52" s="80"/>
      <c r="CQ52" s="80"/>
      <c r="CR52" s="80"/>
      <c r="CS52" s="339" t="b">
        <f t="shared" ref="CS52:CS61" si="12">IF(K66="",FALSE,TRUE)</f>
        <v>1</v>
      </c>
      <c r="CT52" s="339" t="b">
        <f t="shared" ref="CT52:CT61" si="13">IF(L66=0,FALSE,TRUE)</f>
        <v>0</v>
      </c>
      <c r="CU52" s="339" t="b">
        <f t="shared" ref="CU52:CU61" si="14">IF(CS52=TRUE,IF(CT52=TRUE,TRUE,FALSE),FALSE)</f>
        <v>0</v>
      </c>
      <c r="CV52" s="339">
        <f t="shared" ref="CV52:CV59" si="15">IF(CU52=TRUE,1,0)</f>
        <v>0</v>
      </c>
      <c r="CW52" s="2030"/>
      <c r="DS52" s="84"/>
    </row>
    <row r="53" spans="1:123" ht="21.75" customHeight="1" x14ac:dyDescent="0.25">
      <c r="A53" s="13"/>
      <c r="B53" s="2394"/>
      <c r="C53" s="1381"/>
      <c r="D53" s="2395" t="s">
        <v>238</v>
      </c>
      <c r="E53" s="2390" t="str">
        <f>IF(ISBLANK(Import!C367),"(Type over this cell to enter any comments about your manure management strategy .)",Import!C367)</f>
        <v>(Type over this cell to enter any comments about your manure management strategy .)</v>
      </c>
      <c r="F53" s="2405"/>
      <c r="G53" s="1351">
        <f>SUM(F50*G50+F51*G51+F52*G52)/100</f>
        <v>0</v>
      </c>
      <c r="H53" s="340"/>
      <c r="I53" s="340"/>
      <c r="J53" s="59">
        <v>9</v>
      </c>
      <c r="K53" s="1203" t="str">
        <f>IF(ISBLANK(Import!E324),, Import!E324)</f>
        <v>Select</v>
      </c>
      <c r="L53" s="1211">
        <f>IF(ISBLANK(Import!G324),, Import!G324)</f>
        <v>0</v>
      </c>
      <c r="M53" s="58" t="s">
        <v>1440</v>
      </c>
      <c r="N53" s="81"/>
      <c r="O53" s="138"/>
      <c r="P53" s="1206" t="str">
        <f ca="1">IF(P52&lt;&gt;"",P52*2.201,"")</f>
        <v/>
      </c>
      <c r="Q53" s="138" t="s">
        <v>1427</v>
      </c>
      <c r="R53" s="357"/>
      <c r="S53" s="149"/>
      <c r="T53" s="149"/>
      <c r="U53" s="149"/>
      <c r="V53" s="149"/>
      <c r="W53" s="13"/>
      <c r="X53" s="25"/>
      <c r="Y53" s="121"/>
      <c r="Z53" s="259" t="s">
        <v>1906</v>
      </c>
      <c r="AA53" s="180">
        <f ca="1">IF(CV41=0,$AC$341*AE49,AA50)</f>
        <v>0</v>
      </c>
      <c r="AB53" s="2163"/>
      <c r="AC53" s="25"/>
      <c r="AD53" s="25"/>
      <c r="AE53" s="25"/>
      <c r="AF53" s="25"/>
      <c r="AG53" s="2"/>
      <c r="AH53" s="2"/>
      <c r="AI53" s="25"/>
      <c r="AJ53" s="25"/>
      <c r="AK53" s="25"/>
      <c r="AL53" s="25"/>
      <c r="AM53" s="25"/>
      <c r="AN53" s="25"/>
      <c r="AO53" s="25"/>
      <c r="AP53" s="25"/>
      <c r="AQ53" s="25"/>
      <c r="AR53" s="149"/>
      <c r="AS53" s="25"/>
      <c r="AT53" s="25"/>
      <c r="AU53" s="3"/>
      <c r="AV53" s="1637"/>
      <c r="AW53" s="25"/>
      <c r="AX53" s="25"/>
      <c r="AY53" s="25"/>
      <c r="AZ53" s="25"/>
      <c r="BA53" s="25"/>
      <c r="BB53" s="25"/>
      <c r="BC53" s="25"/>
      <c r="BD53" s="25"/>
      <c r="BE53" s="25"/>
      <c r="BF53" s="25"/>
      <c r="BG53" s="25"/>
      <c r="BH53" s="149"/>
      <c r="BI53" s="149"/>
      <c r="BJ53" s="343"/>
      <c r="BK53" s="25"/>
      <c r="BL53" s="25"/>
      <c r="BM53" s="25"/>
      <c r="BN53" s="25"/>
      <c r="BO53" s="25"/>
      <c r="BP53" s="425"/>
      <c r="BQ53" s="420"/>
      <c r="BR53" s="25"/>
      <c r="BS53" s="25"/>
      <c r="BT53" s="2"/>
      <c r="BU53" s="2"/>
      <c r="BV53" s="2"/>
      <c r="BW53" s="13"/>
      <c r="BX53" s="13"/>
      <c r="BY53" s="13"/>
      <c r="BZ53" s="13"/>
      <c r="CA53" s="13"/>
      <c r="CB53" s="121"/>
      <c r="CC53" s="80"/>
      <c r="CD53" s="80"/>
      <c r="CE53" s="80"/>
      <c r="CF53" s="80"/>
      <c r="CG53" s="80"/>
      <c r="CH53" s="80"/>
      <c r="CI53" s="80"/>
      <c r="CJ53" s="80"/>
      <c r="CK53" s="80"/>
      <c r="CL53" s="80"/>
      <c r="CM53" s="80"/>
      <c r="CN53" s="80"/>
      <c r="CO53" s="80"/>
      <c r="CP53" s="80"/>
      <c r="CQ53" s="80"/>
      <c r="CR53" s="80"/>
      <c r="CS53" s="339" t="b">
        <f t="shared" si="12"/>
        <v>1</v>
      </c>
      <c r="CT53" s="339" t="b">
        <f t="shared" si="13"/>
        <v>0</v>
      </c>
      <c r="CU53" s="339" t="b">
        <f t="shared" si="14"/>
        <v>0</v>
      </c>
      <c r="CV53" s="339">
        <f t="shared" si="15"/>
        <v>0</v>
      </c>
      <c r="CW53" s="2030"/>
      <c r="DS53" s="84"/>
    </row>
    <row r="54" spans="1:123" ht="19.45" customHeight="1" x14ac:dyDescent="0.35">
      <c r="A54" s="13"/>
      <c r="B54" s="2394"/>
      <c r="C54" s="1381"/>
      <c r="D54" s="2395"/>
      <c r="E54" s="2406"/>
      <c r="F54" s="2407"/>
      <c r="G54" s="339"/>
      <c r="H54" s="340"/>
      <c r="I54" s="340"/>
      <c r="J54" s="59">
        <v>10</v>
      </c>
      <c r="K54" s="1203" t="str">
        <f>IF(ISBLANK(Import!E325),, Import!E325)</f>
        <v>Select</v>
      </c>
      <c r="L54" s="1211">
        <f>IF(ISBLANK(Import!G325),, Import!G325)</f>
        <v>0</v>
      </c>
      <c r="M54" s="58" t="s">
        <v>1440</v>
      </c>
      <c r="N54" s="363"/>
      <c r="O54" s="150"/>
      <c r="P54" s="150"/>
      <c r="Q54" s="150"/>
      <c r="R54" s="357"/>
      <c r="S54" s="149"/>
      <c r="T54" s="149"/>
      <c r="U54" s="149"/>
      <c r="V54" s="149"/>
      <c r="W54" s="13"/>
      <c r="X54" s="25"/>
      <c r="Y54" s="121"/>
      <c r="Z54" s="25"/>
      <c r="AA54" s="4"/>
      <c r="AB54" s="2182"/>
      <c r="AC54" s="2379" t="s">
        <v>1258</v>
      </c>
      <c r="AD54" s="2379"/>
      <c r="AE54" s="25"/>
      <c r="AF54" s="25"/>
      <c r="AG54" s="2"/>
      <c r="AH54" s="2"/>
      <c r="AI54" s="25"/>
      <c r="AJ54" s="25"/>
      <c r="AK54" s="25"/>
      <c r="AL54" s="25"/>
      <c r="AM54" s="25"/>
      <c r="AN54" s="25"/>
      <c r="AO54" s="25"/>
      <c r="AP54" s="25"/>
      <c r="AQ54" s="25"/>
      <c r="AR54" s="149"/>
      <c r="AS54" s="83" t="s">
        <v>192</v>
      </c>
      <c r="AT54" s="87">
        <f ca="1">IF(AT50&gt;0,AT50,AT38)</f>
        <v>0</v>
      </c>
      <c r="AU54" s="3"/>
      <c r="AV54" s="1637"/>
      <c r="AW54" s="25"/>
      <c r="AX54" s="25"/>
      <c r="AY54" s="25"/>
      <c r="AZ54" s="25"/>
      <c r="BA54" s="25"/>
      <c r="BB54" s="25"/>
      <c r="BC54" s="25"/>
      <c r="BD54" s="25"/>
      <c r="BE54" s="25"/>
      <c r="BF54" s="25"/>
      <c r="BG54" s="25"/>
      <c r="BH54" s="149"/>
      <c r="BI54" s="149"/>
      <c r="BJ54" s="343"/>
      <c r="BK54" s="25"/>
      <c r="BL54" s="25"/>
      <c r="BM54" s="25"/>
      <c r="BN54" s="25"/>
      <c r="BO54" s="25"/>
      <c r="BP54" s="425"/>
      <c r="BQ54" s="420"/>
      <c r="BR54" s="25"/>
      <c r="BS54" s="25"/>
      <c r="BT54" s="2"/>
      <c r="BU54" s="2"/>
      <c r="BV54" s="2"/>
      <c r="BW54" s="13"/>
      <c r="BX54" s="13"/>
      <c r="BY54" s="13"/>
      <c r="BZ54" s="13"/>
      <c r="CA54" s="13"/>
      <c r="CB54" s="121"/>
      <c r="CC54" s="80"/>
      <c r="CD54" s="80"/>
      <c r="CE54" s="80"/>
      <c r="CF54" s="80"/>
      <c r="CG54" s="80"/>
      <c r="CH54" s="80"/>
      <c r="CI54" s="80"/>
      <c r="CJ54" s="80"/>
      <c r="CK54" s="80"/>
      <c r="CL54" s="80"/>
      <c r="CM54" s="80"/>
      <c r="CN54" s="80"/>
      <c r="CO54" s="80"/>
      <c r="CP54" s="80"/>
      <c r="CQ54" s="80"/>
      <c r="CR54" s="80"/>
      <c r="CS54" s="339" t="b">
        <f t="shared" si="12"/>
        <v>1</v>
      </c>
      <c r="CT54" s="339" t="b">
        <f t="shared" si="13"/>
        <v>0</v>
      </c>
      <c r="CU54" s="339" t="b">
        <f t="shared" si="14"/>
        <v>0</v>
      </c>
      <c r="CV54" s="339">
        <f t="shared" si="15"/>
        <v>0</v>
      </c>
      <c r="CW54" s="2030"/>
      <c r="DS54" s="84"/>
    </row>
    <row r="55" spans="1:123" ht="19.45" customHeight="1" x14ac:dyDescent="0.25">
      <c r="A55" s="13"/>
      <c r="B55" s="2394"/>
      <c r="C55" s="1381"/>
      <c r="D55" s="105"/>
      <c r="E55" s="112"/>
      <c r="F55" s="340"/>
      <c r="G55" s="339"/>
      <c r="H55" s="340"/>
      <c r="I55" s="80"/>
      <c r="J55" s="379"/>
      <c r="K55" s="58" t="s">
        <v>312</v>
      </c>
      <c r="L55" s="58">
        <f>SUM(L45:L54)</f>
        <v>0</v>
      </c>
      <c r="M55" s="80"/>
      <c r="N55" s="363"/>
      <c r="O55" s="150"/>
      <c r="P55" s="150"/>
      <c r="Q55" s="150"/>
      <c r="R55" s="357"/>
      <c r="S55" s="149"/>
      <c r="T55" s="149"/>
      <c r="U55" s="149"/>
      <c r="V55" s="149"/>
      <c r="W55" s="13"/>
      <c r="X55" s="25"/>
      <c r="Y55" s="121"/>
      <c r="Z55" s="25"/>
      <c r="AA55" s="52"/>
      <c r="AB55" s="2164"/>
      <c r="AC55" s="25"/>
      <c r="AD55" s="25"/>
      <c r="AE55" s="25"/>
      <c r="AF55" s="25"/>
      <c r="AG55" s="25"/>
      <c r="AH55" s="25"/>
      <c r="AI55" s="25"/>
      <c r="AJ55" s="25"/>
      <c r="AK55" s="25"/>
      <c r="AL55" s="25"/>
      <c r="AM55" s="25"/>
      <c r="AN55" s="25"/>
      <c r="AO55" s="25"/>
      <c r="AP55" s="25"/>
      <c r="AQ55" s="25"/>
      <c r="AR55" s="149"/>
      <c r="AS55" s="149"/>
      <c r="AT55" s="149"/>
      <c r="AU55" s="3"/>
      <c r="AV55" s="1637"/>
      <c r="AW55" s="25"/>
      <c r="AX55" s="25"/>
      <c r="AY55" s="25"/>
      <c r="AZ55" s="25"/>
      <c r="BA55" s="25"/>
      <c r="BB55" s="4"/>
      <c r="BC55" s="149"/>
      <c r="BD55" s="149"/>
      <c r="BE55" s="149"/>
      <c r="BF55" s="149"/>
      <c r="BG55" s="149"/>
      <c r="BH55" s="149"/>
      <c r="BI55" s="149"/>
      <c r="BJ55" s="343"/>
      <c r="BK55" s="25"/>
      <c r="BL55" s="25"/>
      <c r="BM55" s="25"/>
      <c r="BN55" s="25"/>
      <c r="BO55" s="25"/>
      <c r="BP55" s="425"/>
      <c r="BQ55" s="420"/>
      <c r="BR55" s="25"/>
      <c r="BS55" s="25"/>
      <c r="BT55" s="2"/>
      <c r="BU55" s="2"/>
      <c r="BV55" s="2"/>
      <c r="BW55" s="13"/>
      <c r="BX55" s="13"/>
      <c r="BY55" s="13"/>
      <c r="BZ55" s="13"/>
      <c r="CA55" s="13"/>
      <c r="CB55" s="121"/>
      <c r="CC55" s="80"/>
      <c r="CD55" s="80"/>
      <c r="CE55" s="80"/>
      <c r="CF55" s="80"/>
      <c r="CG55" s="80"/>
      <c r="CH55" s="80"/>
      <c r="CI55" s="80"/>
      <c r="CJ55" s="80"/>
      <c r="CK55" s="80"/>
      <c r="CL55" s="80"/>
      <c r="CM55" s="80"/>
      <c r="CN55" s="80"/>
      <c r="CO55" s="80"/>
      <c r="CP55" s="80"/>
      <c r="CQ55" s="80"/>
      <c r="CR55" s="80"/>
      <c r="CS55" s="339" t="b">
        <f t="shared" si="12"/>
        <v>1</v>
      </c>
      <c r="CT55" s="339" t="b">
        <f t="shared" si="13"/>
        <v>0</v>
      </c>
      <c r="CU55" s="339" t="b">
        <f t="shared" si="14"/>
        <v>0</v>
      </c>
      <c r="CV55" s="339">
        <f t="shared" si="15"/>
        <v>0</v>
      </c>
      <c r="CW55" s="2030"/>
      <c r="DS55" s="84"/>
    </row>
    <row r="56" spans="1:123" ht="8.25" customHeight="1" thickBot="1" x14ac:dyDescent="0.3">
      <c r="A56" s="13"/>
      <c r="B56" s="976"/>
      <c r="C56" s="977"/>
      <c r="D56" s="105"/>
      <c r="E56" s="112"/>
      <c r="F56" s="340"/>
      <c r="G56" s="339"/>
      <c r="H56" s="340"/>
      <c r="I56" s="80"/>
      <c r="J56" s="371"/>
      <c r="K56" s="117"/>
      <c r="L56" s="117"/>
      <c r="M56" s="117"/>
      <c r="N56" s="372"/>
      <c r="O56" s="373"/>
      <c r="P56" s="373"/>
      <c r="Q56" s="373"/>
      <c r="R56" s="374"/>
      <c r="S56" s="149"/>
      <c r="T56" s="149"/>
      <c r="U56" s="149"/>
      <c r="V56" s="149"/>
      <c r="W56" s="13"/>
      <c r="X56" s="25"/>
      <c r="Y56" s="383"/>
      <c r="Z56" s="125"/>
      <c r="AA56" s="130"/>
      <c r="AB56" s="2166"/>
      <c r="AC56" s="25"/>
      <c r="AD56" s="25"/>
      <c r="AE56" s="25"/>
      <c r="AF56" s="25"/>
      <c r="AG56" s="25"/>
      <c r="AH56" s="25"/>
      <c r="AI56" s="25"/>
      <c r="AJ56" s="25"/>
      <c r="AK56" s="25"/>
      <c r="AL56" s="25"/>
      <c r="AM56" s="25"/>
      <c r="AN56" s="25"/>
      <c r="AO56" s="25"/>
      <c r="AP56" s="25"/>
      <c r="AQ56" s="25"/>
      <c r="AR56" s="149"/>
      <c r="AS56" s="149"/>
      <c r="AT56" s="149"/>
      <c r="AU56" s="3"/>
      <c r="AV56" s="1641"/>
      <c r="AW56" s="125"/>
      <c r="AX56" s="125"/>
      <c r="AY56" s="125"/>
      <c r="AZ56" s="125"/>
      <c r="BA56" s="125"/>
      <c r="BB56" s="120"/>
      <c r="BC56" s="385"/>
      <c r="BD56" s="385"/>
      <c r="BE56" s="385"/>
      <c r="BF56" s="385"/>
      <c r="BG56" s="385"/>
      <c r="BH56" s="385"/>
      <c r="BI56" s="385"/>
      <c r="BJ56" s="384"/>
      <c r="BK56" s="25"/>
      <c r="BL56" s="25"/>
      <c r="BM56" s="25"/>
      <c r="BN56" s="25"/>
      <c r="BO56" s="25"/>
      <c r="BP56" s="425"/>
      <c r="BQ56" s="420"/>
      <c r="BR56" s="25"/>
      <c r="BS56" s="25"/>
      <c r="BT56" s="2"/>
      <c r="BU56" s="2"/>
      <c r="BV56" s="2"/>
      <c r="BW56" s="13"/>
      <c r="BX56" s="13"/>
      <c r="BY56" s="13"/>
      <c r="BZ56" s="13"/>
      <c r="CA56" s="13"/>
      <c r="CB56" s="121"/>
      <c r="CC56" s="80"/>
      <c r="CD56" s="80"/>
      <c r="CE56" s="80"/>
      <c r="CF56" s="80"/>
      <c r="CG56" s="80"/>
      <c r="CH56" s="80"/>
      <c r="CI56" s="80"/>
      <c r="CJ56" s="80"/>
      <c r="CK56" s="80"/>
      <c r="CL56" s="80"/>
      <c r="CM56" s="80"/>
      <c r="CN56" s="80"/>
      <c r="CO56" s="80"/>
      <c r="CP56" s="80"/>
      <c r="CQ56" s="80"/>
      <c r="CR56" s="80"/>
      <c r="CS56" s="339" t="b">
        <f t="shared" si="12"/>
        <v>1</v>
      </c>
      <c r="CT56" s="339" t="b">
        <f t="shared" si="13"/>
        <v>0</v>
      </c>
      <c r="CU56" s="339" t="b">
        <f t="shared" si="14"/>
        <v>0</v>
      </c>
      <c r="CV56" s="339">
        <f t="shared" si="15"/>
        <v>0</v>
      </c>
      <c r="CW56" s="2030"/>
      <c r="DS56" s="84"/>
    </row>
    <row r="57" spans="1:123" ht="12.85" customHeight="1" x14ac:dyDescent="0.4">
      <c r="A57" s="13"/>
      <c r="B57" s="978"/>
      <c r="C57" s="979"/>
      <c r="D57" s="985"/>
      <c r="E57" s="376"/>
      <c r="F57" s="377"/>
      <c r="G57" s="375"/>
      <c r="H57" s="118"/>
      <c r="I57" s="118"/>
      <c r="J57" s="416" t="s">
        <v>159</v>
      </c>
      <c r="K57" s="348"/>
      <c r="L57" s="348"/>
      <c r="M57" s="348"/>
      <c r="N57" s="426"/>
      <c r="O57" s="427"/>
      <c r="P57" s="387"/>
      <c r="Q57" s="387"/>
      <c r="R57" s="388"/>
      <c r="S57" s="149"/>
      <c r="T57" s="149"/>
      <c r="U57" s="149"/>
      <c r="V57" s="149"/>
      <c r="W57" s="13"/>
      <c r="X57" s="25"/>
      <c r="Y57" s="2465"/>
      <c r="Z57" s="2183"/>
      <c r="AA57" s="2183"/>
      <c r="AB57" s="353"/>
      <c r="AC57" s="2375" t="s">
        <v>1256</v>
      </c>
      <c r="AD57" s="2376"/>
      <c r="AE57" s="352"/>
      <c r="AF57" s="352"/>
      <c r="AG57" s="1635"/>
      <c r="AH57" s="1635"/>
      <c r="AI57" s="1635"/>
      <c r="AJ57" s="351"/>
      <c r="AK57" s="352"/>
      <c r="AL57" s="352"/>
      <c r="AM57" s="351"/>
      <c r="AN57" s="352"/>
      <c r="AO57" s="352"/>
      <c r="AP57" s="352"/>
      <c r="AQ57" s="352"/>
      <c r="AR57" s="352"/>
      <c r="AS57" s="352"/>
      <c r="AT57" s="352"/>
      <c r="AU57" s="352"/>
      <c r="AV57" s="1637"/>
      <c r="AW57" s="25"/>
      <c r="AX57" s="25"/>
      <c r="AY57" s="25"/>
      <c r="AZ57" s="25"/>
      <c r="BA57" s="149"/>
      <c r="BB57" s="149"/>
      <c r="BC57" s="149"/>
      <c r="BD57" s="149"/>
      <c r="BE57" s="149"/>
      <c r="BF57" s="149"/>
      <c r="BG57" s="149"/>
      <c r="BH57" s="149"/>
      <c r="BI57" s="149"/>
      <c r="BJ57" s="343"/>
      <c r="BK57" s="25"/>
      <c r="BL57" s="25"/>
      <c r="BM57" s="25"/>
      <c r="BN57" s="25"/>
      <c r="BO57" s="25"/>
      <c r="BP57" s="25"/>
      <c r="BQ57" s="25"/>
      <c r="BR57" s="25"/>
      <c r="BS57" s="25"/>
      <c r="BT57" s="2"/>
      <c r="BU57" s="2"/>
      <c r="BV57" s="2"/>
      <c r="BW57" s="13"/>
      <c r="BX57" s="13"/>
      <c r="BY57" s="13"/>
      <c r="BZ57" s="13"/>
      <c r="CA57" s="13"/>
      <c r="CB57" s="121"/>
      <c r="CC57" s="80"/>
      <c r="CD57" s="80"/>
      <c r="CE57" s="80"/>
      <c r="CF57" s="80"/>
      <c r="CG57" s="80"/>
      <c r="CH57" s="80"/>
      <c r="CI57" s="80"/>
      <c r="CJ57" s="80"/>
      <c r="CK57" s="80"/>
      <c r="CL57" s="80"/>
      <c r="CM57" s="80"/>
      <c r="CN57" s="80"/>
      <c r="CO57" s="80"/>
      <c r="CP57" s="80"/>
      <c r="CQ57" s="80"/>
      <c r="CR57" s="80"/>
      <c r="CS57" s="339" t="b">
        <f t="shared" si="12"/>
        <v>1</v>
      </c>
      <c r="CT57" s="339" t="b">
        <f t="shared" si="13"/>
        <v>0</v>
      </c>
      <c r="CU57" s="339" t="b">
        <f t="shared" si="14"/>
        <v>0</v>
      </c>
      <c r="CV57" s="339">
        <f t="shared" si="15"/>
        <v>0</v>
      </c>
      <c r="CW57" s="2030"/>
      <c r="DS57" s="84"/>
    </row>
    <row r="58" spans="1:123" ht="30.85" customHeight="1" x14ac:dyDescent="0.25">
      <c r="A58" s="13"/>
      <c r="B58" s="2386" t="s">
        <v>497</v>
      </c>
      <c r="C58" s="2387"/>
      <c r="D58" s="432" t="s">
        <v>1614</v>
      </c>
      <c r="E58" s="116"/>
      <c r="F58" s="378"/>
      <c r="G58" s="80"/>
      <c r="H58" s="378"/>
      <c r="I58" s="80"/>
      <c r="J58" s="379"/>
      <c r="K58" s="80"/>
      <c r="L58" s="80"/>
      <c r="M58" s="80"/>
      <c r="N58" s="419"/>
      <c r="O58" s="141"/>
      <c r="P58" s="354"/>
      <c r="Q58" s="354"/>
      <c r="R58" s="355"/>
      <c r="S58" s="149"/>
      <c r="T58" s="149"/>
      <c r="U58" s="149"/>
      <c r="V58" s="149"/>
      <c r="W58" s="13"/>
      <c r="X58" s="25"/>
      <c r="Y58" s="2374"/>
      <c r="Z58" s="25"/>
      <c r="AA58" s="149"/>
      <c r="AB58" s="356"/>
      <c r="AC58" s="2377"/>
      <c r="AD58" s="2378"/>
      <c r="AE58" s="106" t="s">
        <v>242</v>
      </c>
      <c r="AF58" s="3"/>
      <c r="AG58" s="3"/>
      <c r="AH58" s="3"/>
      <c r="AI58" s="3"/>
      <c r="AJ58" s="25"/>
      <c r="AK58" s="3"/>
      <c r="AL58" s="3"/>
      <c r="AM58" s="3"/>
      <c r="AN58" s="3"/>
      <c r="AO58" s="3"/>
      <c r="AP58" s="3"/>
      <c r="AQ58" s="3"/>
      <c r="AR58" s="3"/>
      <c r="AS58" s="3"/>
      <c r="AT58" s="3"/>
      <c r="AU58" s="149"/>
      <c r="AV58" s="1637"/>
      <c r="AW58" s="25"/>
      <c r="AX58" s="25"/>
      <c r="AY58" s="25"/>
      <c r="AZ58" s="25"/>
      <c r="BA58" s="25"/>
      <c r="BB58" s="4" t="s">
        <v>719</v>
      </c>
      <c r="BC58" s="25"/>
      <c r="BD58" s="25"/>
      <c r="BE58" s="25"/>
      <c r="BF58" s="25"/>
      <c r="BG58" s="25"/>
      <c r="BH58" s="25"/>
      <c r="BI58" s="25"/>
      <c r="BJ58" s="343"/>
      <c r="BK58" s="25"/>
      <c r="BL58" s="25"/>
      <c r="BM58" s="25"/>
      <c r="BN58" s="25"/>
      <c r="BO58" s="25"/>
      <c r="BP58" s="25"/>
      <c r="BQ58" s="25"/>
      <c r="BR58" s="25"/>
      <c r="BS58" s="25"/>
      <c r="BT58" s="2"/>
      <c r="BU58" s="2"/>
      <c r="BV58" s="2"/>
      <c r="BW58" s="13"/>
      <c r="BX58" s="13"/>
      <c r="BY58" s="13"/>
      <c r="BZ58" s="13"/>
      <c r="CA58" s="13"/>
      <c r="CB58" s="121"/>
      <c r="CC58" s="80"/>
      <c r="CD58" s="80"/>
      <c r="CE58" s="80"/>
      <c r="CF58" s="80"/>
      <c r="CG58" s="80"/>
      <c r="CH58" s="80"/>
      <c r="CI58" s="80"/>
      <c r="CJ58" s="80"/>
      <c r="CK58" s="80"/>
      <c r="CL58" s="80"/>
      <c r="CM58" s="80"/>
      <c r="CN58" s="80"/>
      <c r="CO58" s="80"/>
      <c r="CP58" s="80"/>
      <c r="CQ58" s="80"/>
      <c r="CR58" s="80"/>
      <c r="CS58" s="339" t="b">
        <f t="shared" si="12"/>
        <v>1</v>
      </c>
      <c r="CT58" s="339" t="b">
        <f t="shared" si="13"/>
        <v>0</v>
      </c>
      <c r="CU58" s="339" t="b">
        <f t="shared" si="14"/>
        <v>0</v>
      </c>
      <c r="CV58" s="339">
        <f t="shared" si="15"/>
        <v>0</v>
      </c>
      <c r="CW58" s="2030"/>
      <c r="DS58" s="84"/>
    </row>
    <row r="59" spans="1:123" ht="30.85" customHeight="1" x14ac:dyDescent="0.25">
      <c r="A59" s="13"/>
      <c r="B59" s="2386"/>
      <c r="C59" s="2387"/>
      <c r="D59" s="397"/>
      <c r="E59" s="116"/>
      <c r="F59" s="378"/>
      <c r="G59" s="80"/>
      <c r="H59" s="378"/>
      <c r="I59" s="122"/>
      <c r="J59" s="379"/>
      <c r="K59" s="80"/>
      <c r="L59" s="122"/>
      <c r="M59" s="122"/>
      <c r="N59" s="81"/>
      <c r="O59" s="9"/>
      <c r="P59" s="138"/>
      <c r="Q59" s="138"/>
      <c r="R59" s="139"/>
      <c r="S59" s="149"/>
      <c r="T59" s="149"/>
      <c r="U59" s="149"/>
      <c r="V59" s="149"/>
      <c r="W59" s="13"/>
      <c r="X59" s="25"/>
      <c r="Y59" s="121"/>
      <c r="Z59" s="25"/>
      <c r="AA59" s="126" t="s">
        <v>1968</v>
      </c>
      <c r="AB59" s="343"/>
      <c r="AC59" s="2377"/>
      <c r="AD59" s="2378"/>
      <c r="AE59" s="77" t="str">
        <f ca="1">OFFSET(AI$121,SUMIF(AI$122:AI$133,E$7,AH$122:AH$133),4)</f>
        <v>olds</v>
      </c>
      <c r="AF59" s="3"/>
      <c r="AG59" s="3"/>
      <c r="AH59" s="3"/>
      <c r="AI59" s="3"/>
      <c r="AJ59" s="25"/>
      <c r="AK59" s="3"/>
      <c r="AL59" s="3"/>
      <c r="AM59" s="3"/>
      <c r="AN59" s="3"/>
      <c r="AO59" s="3"/>
      <c r="AP59" s="3"/>
      <c r="AQ59" s="3"/>
      <c r="AR59" s="3"/>
      <c r="AS59" s="83" t="s">
        <v>1727</v>
      </c>
      <c r="AT59" s="77">
        <f ca="1">SUMIF($AB$186:$AB$200,AE59,$AC$186:$AC$200)</f>
        <v>0</v>
      </c>
      <c r="AU59" s="25"/>
      <c r="AV59" s="1637"/>
      <c r="AW59" s="25"/>
      <c r="AX59" s="25"/>
      <c r="AY59" s="25"/>
      <c r="AZ59" s="25"/>
      <c r="BA59" s="25"/>
      <c r="BB59" s="77"/>
      <c r="BC59" s="77" t="s">
        <v>915</v>
      </c>
      <c r="BD59" s="77" t="s">
        <v>748</v>
      </c>
      <c r="BE59" s="77" t="s">
        <v>1596</v>
      </c>
      <c r="BF59" s="25"/>
      <c r="BG59" s="25"/>
      <c r="BH59" s="25"/>
      <c r="BI59" s="25"/>
      <c r="BJ59" s="343"/>
      <c r="BK59" s="25"/>
      <c r="BL59" s="25"/>
      <c r="BM59" s="25"/>
      <c r="BN59" s="25"/>
      <c r="BO59" s="25"/>
      <c r="BP59" s="25"/>
      <c r="BQ59" s="25"/>
      <c r="BR59" s="25"/>
      <c r="BS59" s="25"/>
      <c r="BT59" s="2"/>
      <c r="BU59" s="2"/>
      <c r="BV59" s="2"/>
      <c r="BW59" s="13"/>
      <c r="BX59" s="13"/>
      <c r="BY59" s="13"/>
      <c r="BZ59" s="13"/>
      <c r="CA59" s="13"/>
      <c r="CB59" s="121"/>
      <c r="CC59" s="80"/>
      <c r="CD59" s="80"/>
      <c r="CE59" s="80"/>
      <c r="CF59" s="80"/>
      <c r="CG59" s="80"/>
      <c r="CH59" s="80"/>
      <c r="CI59" s="80"/>
      <c r="CJ59" s="80"/>
      <c r="CK59" s="80"/>
      <c r="CL59" s="80"/>
      <c r="CM59" s="80"/>
      <c r="CN59" s="80"/>
      <c r="CO59" s="80"/>
      <c r="CP59" s="80"/>
      <c r="CQ59" s="80"/>
      <c r="CR59" s="80"/>
      <c r="CS59" s="339" t="b">
        <f t="shared" si="12"/>
        <v>1</v>
      </c>
      <c r="CT59" s="339" t="b">
        <f t="shared" si="13"/>
        <v>0</v>
      </c>
      <c r="CU59" s="339" t="b">
        <f t="shared" si="14"/>
        <v>0</v>
      </c>
      <c r="CV59" s="339">
        <f t="shared" si="15"/>
        <v>0</v>
      </c>
      <c r="CW59" s="2030"/>
      <c r="DS59" s="84"/>
    </row>
    <row r="60" spans="1:123" ht="14.25" customHeight="1" x14ac:dyDescent="0.25">
      <c r="A60" s="13"/>
      <c r="B60" s="2388"/>
      <c r="C60" s="2389"/>
      <c r="D60" s="397"/>
      <c r="E60" s="116"/>
      <c r="F60" s="378"/>
      <c r="G60" s="80"/>
      <c r="H60" s="378"/>
      <c r="I60" s="172"/>
      <c r="J60" s="2399" t="s">
        <v>1243</v>
      </c>
      <c r="K60" s="80"/>
      <c r="L60" s="172"/>
      <c r="M60" s="172"/>
      <c r="N60" s="363"/>
      <c r="O60" s="150"/>
      <c r="P60" s="150"/>
      <c r="Q60" s="150"/>
      <c r="R60" s="357"/>
      <c r="S60" s="149"/>
      <c r="T60" s="149"/>
      <c r="U60" s="149"/>
      <c r="V60" s="149"/>
      <c r="W60" s="13"/>
      <c r="X60" s="25"/>
      <c r="Y60" s="121"/>
      <c r="Z60" s="77">
        <f t="shared" ref="Z60:Z69" si="16">L66*100/Z$50</f>
        <v>0</v>
      </c>
      <c r="AA60" s="127">
        <f t="shared" ref="AA60:AA69" ca="1" si="17">SUMIF(AB$315:AB$349,K66,AC$315:AC$349)*AE$67*Z60/100</f>
        <v>0</v>
      </c>
      <c r="AB60" s="1638"/>
      <c r="AC60" s="121"/>
      <c r="AD60" s="3"/>
      <c r="AE60" s="25"/>
      <c r="AF60" s="25"/>
      <c r="AG60" s="3"/>
      <c r="AH60" s="3"/>
      <c r="AI60" s="3"/>
      <c r="AJ60" s="25"/>
      <c r="AK60" s="3"/>
      <c r="AL60" s="3"/>
      <c r="AM60" s="3"/>
      <c r="AN60" s="3"/>
      <c r="AO60" s="3"/>
      <c r="AP60" s="3"/>
      <c r="AQ60" s="3"/>
      <c r="AR60" s="3"/>
      <c r="AS60" s="25"/>
      <c r="AT60" s="25"/>
      <c r="AU60" s="25"/>
      <c r="AV60" s="1637"/>
      <c r="AW60" s="25"/>
      <c r="AX60" s="25"/>
      <c r="AY60" s="4"/>
      <c r="AZ60" s="149"/>
      <c r="BA60" s="149"/>
      <c r="BB60" s="77" t="s">
        <v>369</v>
      </c>
      <c r="BC60" s="77">
        <f ca="1">OFFSET('A2. Livestockdata'!$B$1,SUMIF($AB$186:$AB$200,$AE59,$AG$186:$AG$200)+1-SUMIF('1.GeneralInfo'!$R$27:$R$221,'1.GeneralInfo'!$E$7,'1.GeneralInfo'!$V$27:$V$221),0)</f>
        <v>0</v>
      </c>
      <c r="BD60" s="77">
        <f ca="1">AE29</f>
        <v>0</v>
      </c>
      <c r="BE60" s="2189">
        <f ca="1">IF(SUMIF($AB$186:$AB$200,$AE$59,$AD$186:$AD$200)=0,BC60,BD60)</f>
        <v>0</v>
      </c>
      <c r="BF60" s="25"/>
      <c r="BG60" s="25"/>
      <c r="BH60" s="25"/>
      <c r="BI60" s="25"/>
      <c r="BJ60" s="343"/>
      <c r="BK60" s="25"/>
      <c r="BL60" s="106"/>
      <c r="BM60" s="25"/>
      <c r="BN60" s="25"/>
      <c r="BO60" s="25"/>
      <c r="BP60" s="149"/>
      <c r="BQ60" s="79"/>
      <c r="BR60" s="25"/>
      <c r="BS60" s="25"/>
      <c r="BT60" s="2"/>
      <c r="BU60" s="2"/>
      <c r="BV60" s="2"/>
      <c r="BW60" s="13"/>
      <c r="BX60" s="13"/>
      <c r="BY60" s="13"/>
      <c r="BZ60" s="13"/>
      <c r="CA60" s="13"/>
      <c r="CB60" s="121"/>
      <c r="CC60" s="80"/>
      <c r="CD60" s="80"/>
      <c r="CE60" s="80"/>
      <c r="CF60" s="80"/>
      <c r="CG60" s="80"/>
      <c r="CH60" s="80"/>
      <c r="CI60" s="80"/>
      <c r="CJ60" s="80"/>
      <c r="CK60" s="80"/>
      <c r="CL60" s="80"/>
      <c r="CM60" s="80"/>
      <c r="CN60" s="80"/>
      <c r="CO60" s="80"/>
      <c r="CP60" s="80"/>
      <c r="CQ60" s="80"/>
      <c r="CR60" s="80"/>
      <c r="CS60" s="339" t="b">
        <f t="shared" si="12"/>
        <v>1</v>
      </c>
      <c r="CT60" s="339" t="b">
        <f t="shared" si="13"/>
        <v>0</v>
      </c>
      <c r="CU60" s="339" t="b">
        <f t="shared" si="14"/>
        <v>0</v>
      </c>
      <c r="CV60" s="1319"/>
      <c r="CW60" s="2030"/>
      <c r="DS60" s="84"/>
    </row>
    <row r="61" spans="1:123" ht="14.25" customHeight="1" thickBot="1" x14ac:dyDescent="0.3">
      <c r="A61" s="13"/>
      <c r="B61" s="2388"/>
      <c r="C61" s="2389"/>
      <c r="D61" s="105"/>
      <c r="E61" s="112"/>
      <c r="F61" s="186"/>
      <c r="G61" s="105"/>
      <c r="H61" s="105"/>
      <c r="I61" s="172"/>
      <c r="J61" s="2400"/>
      <c r="K61" s="80"/>
      <c r="L61" s="172"/>
      <c r="M61" s="172"/>
      <c r="N61" s="81"/>
      <c r="O61" s="138"/>
      <c r="P61" s="138"/>
      <c r="Q61" s="82"/>
      <c r="R61" s="357"/>
      <c r="S61" s="149"/>
      <c r="T61" s="149"/>
      <c r="U61" s="149"/>
      <c r="V61" s="149"/>
      <c r="W61" s="13"/>
      <c r="X61" s="25"/>
      <c r="Y61" s="121"/>
      <c r="Z61" s="77">
        <f t="shared" si="16"/>
        <v>0</v>
      </c>
      <c r="AA61" s="127">
        <f t="shared" ca="1" si="17"/>
        <v>0</v>
      </c>
      <c r="AB61" s="343"/>
      <c r="AC61" s="121"/>
      <c r="AD61" s="3"/>
      <c r="AE61" s="25"/>
      <c r="AF61" s="25"/>
      <c r="AG61" s="3"/>
      <c r="AH61" s="3"/>
      <c r="AI61" s="3"/>
      <c r="AJ61" s="25"/>
      <c r="AK61" s="3"/>
      <c r="AL61" s="3"/>
      <c r="AM61" s="3"/>
      <c r="AN61" s="3"/>
      <c r="AO61" s="3"/>
      <c r="AP61" s="3"/>
      <c r="AQ61" s="3"/>
      <c r="AR61" s="3"/>
      <c r="AS61" s="25"/>
      <c r="AT61" s="25"/>
      <c r="AU61" s="25"/>
      <c r="AV61" s="1637"/>
      <c r="AW61" s="25"/>
      <c r="AX61" s="4"/>
      <c r="AY61" s="3"/>
      <c r="AZ61" s="25"/>
      <c r="BA61" s="25"/>
      <c r="BB61" s="77" t="s">
        <v>370</v>
      </c>
      <c r="BC61" s="2189">
        <f ca="1">OFFSET('A2. Livestockdata'!$C$1,SUMIF($AB$186:$AB$200,$AE59,$AG$186:$AG$200)+1-SUMIF('1.GeneralInfo'!$R$27:$R$221,'1.GeneralInfo'!$E$7,'1.GeneralInfo'!$V$27:$V$221),0)</f>
        <v>0</v>
      </c>
      <c r="BD61" s="2189">
        <f ca="1">OFFSET('A2. Livestockdata'!$C$1,SUMIF($AB$186:$AB$200,$AE59,$AG$186:$AG$200)-1+SUMIF($AT$122:$AT$130,$AC$121,$AU$122:$AU$130),0)</f>
        <v>0</v>
      </c>
      <c r="BE61" s="2189">
        <f ca="1">IF(SUMIF($AB$186:$AB$200,$AE$59,$AD$186:$AD$200)=0,BC61,BD61)</f>
        <v>0</v>
      </c>
      <c r="BF61" s="25"/>
      <c r="BG61" s="25"/>
      <c r="BH61" s="25"/>
      <c r="BI61" s="25"/>
      <c r="BJ61" s="343"/>
      <c r="BK61" s="25"/>
      <c r="BL61" s="25"/>
      <c r="BM61" s="25"/>
      <c r="BN61" s="25"/>
      <c r="BO61" s="25"/>
      <c r="BP61" s="149"/>
      <c r="BQ61" s="79"/>
      <c r="BR61" s="25"/>
      <c r="BS61" s="25"/>
      <c r="BT61" s="2"/>
      <c r="BU61" s="2"/>
      <c r="BV61" s="2"/>
      <c r="BW61" s="13"/>
      <c r="BX61" s="13"/>
      <c r="BY61" s="13"/>
      <c r="BZ61" s="13"/>
      <c r="CA61" s="13"/>
      <c r="CB61" s="121"/>
      <c r="CC61" s="80"/>
      <c r="CD61" s="80"/>
      <c r="CE61" s="80"/>
      <c r="CF61" s="80"/>
      <c r="CG61" s="80"/>
      <c r="CH61" s="80"/>
      <c r="CI61" s="80"/>
      <c r="CJ61" s="80"/>
      <c r="CK61" s="80"/>
      <c r="CL61" s="80"/>
      <c r="CM61" s="80"/>
      <c r="CN61" s="80"/>
      <c r="CO61" s="80"/>
      <c r="CP61" s="80"/>
      <c r="CQ61" s="80"/>
      <c r="CR61" s="80"/>
      <c r="CS61" s="339" t="b">
        <f t="shared" si="12"/>
        <v>1</v>
      </c>
      <c r="CT61" s="339" t="b">
        <f t="shared" si="13"/>
        <v>0</v>
      </c>
      <c r="CU61" s="339" t="b">
        <f t="shared" si="14"/>
        <v>0</v>
      </c>
      <c r="CV61" s="339">
        <f>IF(CU61=TRUE,1,0)</f>
        <v>0</v>
      </c>
      <c r="CW61" s="2030"/>
      <c r="DS61" s="84"/>
    </row>
    <row r="62" spans="1:123" ht="43.5" customHeight="1" x14ac:dyDescent="0.25">
      <c r="A62" s="13"/>
      <c r="B62" s="2388"/>
      <c r="C62" s="2389"/>
      <c r="D62" s="1391" t="s">
        <v>1582</v>
      </c>
      <c r="E62" s="1211">
        <f>IF(ISBLANK(Import!E301),, Import!E301)</f>
        <v>0</v>
      </c>
      <c r="F62" s="1140" t="s">
        <v>1440</v>
      </c>
      <c r="G62" s="2402" t="s">
        <v>947</v>
      </c>
      <c r="H62" s="2402"/>
      <c r="I62" s="2403"/>
      <c r="J62" s="2401"/>
      <c r="K62" s="1211">
        <f ca="1">IF(ISBLANK(Import!E331),AE66*SUMIF(AJ242:AJ243,L19,AK242:AK243), Import!E331)</f>
        <v>0</v>
      </c>
      <c r="L62" s="186" t="str">
        <f ca="1">OFFSET('2.CropManagement'!AH182,SUMIF('2.CropManagement'!W183:W184,'1.GeneralInfo'!$E$8,'2.CropManagement'!X183:X184),0)</f>
        <v>kgs/day</v>
      </c>
      <c r="M62" s="172"/>
      <c r="N62" s="81"/>
      <c r="O62" s="140"/>
      <c r="P62" s="390"/>
      <c r="Q62" s="390"/>
      <c r="R62" s="139"/>
      <c r="S62" s="149"/>
      <c r="T62" s="149"/>
      <c r="U62" s="149"/>
      <c r="V62" s="149"/>
      <c r="W62" s="13"/>
      <c r="X62" s="25"/>
      <c r="Y62" s="121"/>
      <c r="Z62" s="77">
        <f t="shared" si="16"/>
        <v>0</v>
      </c>
      <c r="AA62" s="127">
        <f t="shared" ca="1" si="17"/>
        <v>0</v>
      </c>
      <c r="AB62" s="343"/>
      <c r="AC62" s="350"/>
      <c r="AD62" s="351"/>
      <c r="AE62" s="351"/>
      <c r="AF62" s="351"/>
      <c r="AG62" s="351"/>
      <c r="AH62" s="351"/>
      <c r="AI62" s="351"/>
      <c r="AJ62" s="351"/>
      <c r="AK62" s="1635"/>
      <c r="AL62" s="1635"/>
      <c r="AM62" s="1635"/>
      <c r="AN62" s="1635"/>
      <c r="AO62" s="1635"/>
      <c r="AP62" s="1635"/>
      <c r="AQ62" s="1635"/>
      <c r="AR62" s="1635"/>
      <c r="AS62" s="1635"/>
      <c r="AT62" s="351"/>
      <c r="AU62" s="1635"/>
      <c r="AV62" s="1637"/>
      <c r="AW62" s="25"/>
      <c r="AX62" s="25"/>
      <c r="AY62" s="25"/>
      <c r="AZ62" s="25"/>
      <c r="BA62" s="25"/>
      <c r="BB62" s="77" t="s">
        <v>371</v>
      </c>
      <c r="BC62" s="2189">
        <f ca="1">OFFSET('A2. Livestockdata'!$D$1,SUMIF($AB$186:$AB$200,$AE59,$AG$186:$AG$200)+1-SUMIF('1.GeneralInfo'!$R$27:$R$221,'1.GeneralInfo'!$E$7,'1.GeneralInfo'!$V$27:$V$221),0)</f>
        <v>0</v>
      </c>
      <c r="BD62" s="2189">
        <f ca="1">OFFSET('A2. Livestockdata'!$D$1,SUMIF($AB$186:$AB$200,$AE59,$AG$186:$AG$200)-1+SUMIF($AT$122:$AT$130,$AC$121,$AU$122:$AU$130),0)</f>
        <v>0</v>
      </c>
      <c r="BE62" s="2189">
        <f ca="1">IF(SUMIF($AB$186:$AB$200,$AE59,$AD$186:$AD$200)=1,BD62,BC62)</f>
        <v>0</v>
      </c>
      <c r="BF62" s="25"/>
      <c r="BG62" s="25"/>
      <c r="BH62" s="25"/>
      <c r="BI62" s="25"/>
      <c r="BJ62" s="343"/>
      <c r="BK62" s="25"/>
      <c r="BL62" s="25"/>
      <c r="BM62" s="25"/>
      <c r="BN62" s="25"/>
      <c r="BO62" s="25"/>
      <c r="BP62" s="3"/>
      <c r="BQ62" s="3"/>
      <c r="BR62" s="3"/>
      <c r="BS62" s="25"/>
      <c r="BT62" s="2"/>
      <c r="BU62" s="2"/>
      <c r="BV62" s="2"/>
      <c r="BW62" s="13"/>
      <c r="BX62" s="13"/>
      <c r="BY62" s="13"/>
      <c r="BZ62" s="13"/>
      <c r="CA62" s="13"/>
      <c r="CB62" s="121"/>
      <c r="CC62" s="80"/>
      <c r="CD62" s="80"/>
      <c r="CE62" s="80"/>
      <c r="CF62" s="80"/>
      <c r="CG62" s="80"/>
      <c r="CH62" s="80"/>
      <c r="CI62" s="80"/>
      <c r="CJ62" s="80"/>
      <c r="CK62" s="80"/>
      <c r="CL62" s="80"/>
      <c r="CM62" s="80"/>
      <c r="CN62" s="80"/>
      <c r="CO62" s="80"/>
      <c r="CP62" s="80"/>
      <c r="CQ62" s="80"/>
      <c r="CR62" s="80"/>
      <c r="CS62" s="80"/>
      <c r="CT62" s="80"/>
      <c r="CU62" s="80"/>
      <c r="CV62" s="339">
        <f>SUM(CV51:CV61)</f>
        <v>0</v>
      </c>
      <c r="CW62" s="2030"/>
      <c r="DS62" s="84"/>
    </row>
    <row r="63" spans="1:123" ht="44.25" customHeight="1" x14ac:dyDescent="0.4">
      <c r="A63" s="13"/>
      <c r="B63" s="2388"/>
      <c r="C63" s="2389"/>
      <c r="D63" s="212"/>
      <c r="E63" s="362"/>
      <c r="F63" s="1139"/>
      <c r="G63" s="2402"/>
      <c r="H63" s="2402"/>
      <c r="I63" s="2403"/>
      <c r="J63" s="2404"/>
      <c r="K63" s="80"/>
      <c r="L63" s="80"/>
      <c r="M63" s="80"/>
      <c r="N63" s="81"/>
      <c r="O63" s="140"/>
      <c r="P63" s="150"/>
      <c r="Q63" s="150"/>
      <c r="R63" s="380"/>
      <c r="S63" s="149"/>
      <c r="T63" s="149"/>
      <c r="U63" s="149"/>
      <c r="V63" s="149"/>
      <c r="W63" s="13"/>
      <c r="X63" s="25"/>
      <c r="Y63" s="121"/>
      <c r="Z63" s="77">
        <f t="shared" si="16"/>
        <v>0</v>
      </c>
      <c r="AA63" s="127">
        <f t="shared" ca="1" si="17"/>
        <v>0</v>
      </c>
      <c r="AB63" s="343"/>
      <c r="AC63" s="2374" t="s">
        <v>1257</v>
      </c>
      <c r="AD63" s="2373"/>
      <c r="AE63" s="25"/>
      <c r="AF63" s="25"/>
      <c r="AG63" s="25"/>
      <c r="AH63" s="3"/>
      <c r="AI63" s="3"/>
      <c r="AJ63" s="25"/>
      <c r="AK63" s="149"/>
      <c r="AL63" s="149"/>
      <c r="AM63" s="2"/>
      <c r="AN63" s="2"/>
      <c r="AO63" s="25"/>
      <c r="AP63" s="4" t="s">
        <v>1119</v>
      </c>
      <c r="AQ63" s="4" t="s">
        <v>1120</v>
      </c>
      <c r="AR63" s="4" t="s">
        <v>2092</v>
      </c>
      <c r="AS63" s="75" t="s">
        <v>2078</v>
      </c>
      <c r="AT63" s="4" t="s">
        <v>538</v>
      </c>
      <c r="AU63" s="3"/>
      <c r="AV63" s="1637"/>
      <c r="AW63" s="25"/>
      <c r="AX63" s="3"/>
      <c r="AY63" s="3"/>
      <c r="AZ63" s="3"/>
      <c r="BA63" s="3"/>
      <c r="BB63" s="128" t="s">
        <v>540</v>
      </c>
      <c r="BC63" s="77"/>
      <c r="BD63" s="77"/>
      <c r="BE63" s="77" t="str">
        <f ca="1">OFFSET('A2. Livestockdata'!$B$138,SUMIF($AB$186:$AB$200,$AE$59,$AE$186:$AE$200),SUMIF($AT$122:$AT$130,$AC$121,$AU$122:$AU$130))</f>
        <v>Western Europe</v>
      </c>
      <c r="BF63" s="360"/>
      <c r="BG63" s="360"/>
      <c r="BH63" s="360"/>
      <c r="BI63" s="360"/>
      <c r="BJ63" s="361"/>
      <c r="BK63" s="25"/>
      <c r="BL63" s="25"/>
      <c r="BM63" s="25"/>
      <c r="BN63" s="25"/>
      <c r="BO63" s="25"/>
      <c r="BP63" s="3"/>
      <c r="BQ63" s="3"/>
      <c r="BR63" s="3"/>
      <c r="BS63" s="25"/>
      <c r="BT63" s="2"/>
      <c r="BU63" s="2"/>
      <c r="BV63" s="2"/>
      <c r="BW63" s="13"/>
      <c r="BX63" s="13"/>
      <c r="BY63" s="13"/>
      <c r="BZ63" s="13"/>
      <c r="CA63" s="13"/>
      <c r="CB63" s="121"/>
      <c r="CC63" s="80"/>
      <c r="CD63" s="80"/>
      <c r="CE63" s="80"/>
      <c r="CF63" s="80"/>
      <c r="CG63" s="80"/>
      <c r="CH63" s="80"/>
      <c r="CI63" s="80"/>
      <c r="CJ63" s="80"/>
      <c r="CK63" s="80"/>
      <c r="CL63" s="80"/>
      <c r="CM63" s="80"/>
      <c r="CN63" s="80"/>
      <c r="CO63" s="80"/>
      <c r="CP63" s="80"/>
      <c r="CQ63" s="80"/>
      <c r="CR63" s="80"/>
      <c r="CS63" s="80"/>
      <c r="CT63" s="80"/>
      <c r="CU63" s="80"/>
      <c r="CV63" s="80"/>
      <c r="CW63" s="2030"/>
      <c r="DS63" s="84"/>
    </row>
    <row r="64" spans="1:123" ht="22.5" customHeight="1" x14ac:dyDescent="0.25">
      <c r="A64" s="13"/>
      <c r="B64" s="2388"/>
      <c r="C64" s="2389"/>
      <c r="D64" s="212"/>
      <c r="E64" s="1142" t="s">
        <v>707</v>
      </c>
      <c r="F64" s="56" t="s">
        <v>922</v>
      </c>
      <c r="G64" s="2402"/>
      <c r="H64" s="2402"/>
      <c r="I64" s="2403"/>
      <c r="J64" s="2404"/>
      <c r="K64" s="1409"/>
      <c r="L64" s="186"/>
      <c r="M64" s="186"/>
      <c r="N64" s="81"/>
      <c r="O64" s="141"/>
      <c r="P64" s="150"/>
      <c r="Q64" s="150"/>
      <c r="R64" s="139"/>
      <c r="S64" s="149"/>
      <c r="T64" s="149"/>
      <c r="U64" s="149"/>
      <c r="V64" s="149"/>
      <c r="W64" s="13"/>
      <c r="X64" s="25"/>
      <c r="Y64" s="121"/>
      <c r="Z64" s="77">
        <f t="shared" si="16"/>
        <v>0</v>
      </c>
      <c r="AA64" s="127">
        <f t="shared" ca="1" si="17"/>
        <v>0</v>
      </c>
      <c r="AB64" s="343"/>
      <c r="AC64" s="121"/>
      <c r="AD64" s="1059" t="s">
        <v>1244</v>
      </c>
      <c r="AE64" s="180">
        <f>E12*SUMIF(AD298:AD301,F12,AO298:AO301)</f>
        <v>0</v>
      </c>
      <c r="AF64" s="25"/>
      <c r="AG64" s="25"/>
      <c r="AH64" s="180" t="str">
        <f>AH46</f>
        <v>cattle</v>
      </c>
      <c r="AI64" s="180">
        <f>AI46</f>
        <v>0.37</v>
      </c>
      <c r="AJ64" s="25"/>
      <c r="AK64" s="2"/>
      <c r="AL64" s="2176" t="s">
        <v>1117</v>
      </c>
      <c r="AM64" s="77">
        <f>SUMIF($AB$269:$AB$271,E65,$AH$259:$AH$261)</f>
        <v>0</v>
      </c>
      <c r="AN64" s="2"/>
      <c r="AO64" s="1059" t="s">
        <v>2093</v>
      </c>
      <c r="AP64" s="180">
        <f ca="1">AM67*POWER(BE60,0.75)</f>
        <v>0</v>
      </c>
      <c r="AQ64" s="180" t="e">
        <f ca="1">AP64/AM65/AM$66</f>
        <v>#DIV/0!</v>
      </c>
      <c r="AR64" s="180" t="e">
        <f ca="1">AQ64/AM$268</f>
        <v>#DIV/0!</v>
      </c>
      <c r="AS64" s="2"/>
      <c r="AT64" s="149"/>
      <c r="AU64" s="3"/>
      <c r="AV64" s="1637"/>
      <c r="AW64" s="25"/>
      <c r="AX64" s="3"/>
      <c r="AY64" s="3"/>
      <c r="AZ64" s="3"/>
      <c r="BA64" s="3"/>
      <c r="BB64" s="3"/>
      <c r="BC64" s="3"/>
      <c r="BD64" s="3"/>
      <c r="BE64" s="3"/>
      <c r="BF64" s="25"/>
      <c r="BG64" s="25"/>
      <c r="BH64" s="25"/>
      <c r="BI64" s="25"/>
      <c r="BJ64" s="343"/>
      <c r="BK64" s="25"/>
      <c r="BL64" s="25"/>
      <c r="BM64" s="25"/>
      <c r="BN64" s="25"/>
      <c r="BO64" s="25"/>
      <c r="BP64" s="3"/>
      <c r="BQ64" s="3"/>
      <c r="BR64" s="3"/>
      <c r="BS64" s="25"/>
      <c r="BT64" s="2"/>
      <c r="BU64" s="2"/>
      <c r="BV64" s="2"/>
      <c r="BW64" s="13"/>
      <c r="BX64" s="13"/>
      <c r="BY64" s="13"/>
      <c r="BZ64" s="13"/>
      <c r="CA64" s="13"/>
      <c r="CB64" s="121"/>
      <c r="CC64" s="80"/>
      <c r="CD64" s="80"/>
      <c r="CE64" s="80"/>
      <c r="CF64" s="80"/>
      <c r="CG64" s="80"/>
      <c r="CH64" s="80"/>
      <c r="CI64" s="80"/>
      <c r="CJ64" s="80"/>
      <c r="CK64" s="80"/>
      <c r="CL64" s="80"/>
      <c r="CM64" s="80"/>
      <c r="CN64" s="80"/>
      <c r="CO64" s="80"/>
      <c r="CP64" s="80"/>
      <c r="CQ64" s="80"/>
      <c r="CR64" s="80"/>
      <c r="CS64" s="80"/>
      <c r="CT64" s="80"/>
      <c r="CU64" s="80"/>
      <c r="CV64" s="80"/>
      <c r="CW64" s="2030"/>
      <c r="DS64" s="84"/>
    </row>
    <row r="65" spans="1:123" ht="29.25" customHeight="1" thickBot="1" x14ac:dyDescent="0.3">
      <c r="A65" s="13"/>
      <c r="B65" s="2388"/>
      <c r="C65" s="2389"/>
      <c r="D65" s="1237" t="s">
        <v>160</v>
      </c>
      <c r="E65" s="1193" t="str">
        <f>IF(ISBLANK(Import!F301),, Import!F301)</f>
        <v>[Select]</v>
      </c>
      <c r="F65" s="1193" t="str">
        <f>IF(ISBLANK(Import!G301),, Import!G301)</f>
        <v>[Select]</v>
      </c>
      <c r="G65" s="339"/>
      <c r="H65" s="340"/>
      <c r="I65" s="113"/>
      <c r="J65" s="195"/>
      <c r="K65" s="56" t="s">
        <v>1213</v>
      </c>
      <c r="L65" s="57" t="s">
        <v>2045</v>
      </c>
      <c r="M65" s="58"/>
      <c r="N65" s="81"/>
      <c r="O65" s="82"/>
      <c r="P65" s="138"/>
      <c r="Q65" s="138"/>
      <c r="R65" s="139"/>
      <c r="S65" s="13"/>
      <c r="T65" s="13"/>
      <c r="U65" s="149"/>
      <c r="V65" s="149"/>
      <c r="W65" s="13"/>
      <c r="X65" s="25"/>
      <c r="Y65" s="121"/>
      <c r="Z65" s="77">
        <f t="shared" si="16"/>
        <v>0</v>
      </c>
      <c r="AA65" s="127">
        <f t="shared" ca="1" si="17"/>
        <v>0</v>
      </c>
      <c r="AB65" s="343"/>
      <c r="AC65" s="121"/>
      <c r="AD65" s="1059" t="s">
        <v>1009</v>
      </c>
      <c r="AE65" s="180">
        <f>I12</f>
        <v>0</v>
      </c>
      <c r="AF65" s="25"/>
      <c r="AG65" s="25"/>
      <c r="AH65" s="2"/>
      <c r="AI65" s="2"/>
      <c r="AJ65" s="25"/>
      <c r="AK65" s="2"/>
      <c r="AL65" s="1059" t="s">
        <v>1118</v>
      </c>
      <c r="AM65" s="2072" t="e">
        <f>(100-E62)*AM64/((100-E62)*AM45+E62*0.8)*SUMIF($AB$269:$AB$271,E65,$AC$269:$AC$271)+(1-(100-E62)*AM45/((100-E62)*AM45+E62*0.8))*0.8</f>
        <v>#DIV/0!</v>
      </c>
      <c r="AN65" s="2"/>
      <c r="AO65" s="1059" t="s">
        <v>0</v>
      </c>
      <c r="AP65" s="180">
        <f ca="1">(100-E62)/100*SUMIF(AE$268:AE$270,F65,AF$268:AF$270)*AP64</f>
        <v>0</v>
      </c>
      <c r="AQ65" s="180" t="e">
        <f ca="1">AP65/AM65/AM$66</f>
        <v>#DIV/0!</v>
      </c>
      <c r="AR65" s="180" t="e">
        <f ca="1">AQ65/AM$268</f>
        <v>#DIV/0!</v>
      </c>
      <c r="AS65" s="149"/>
      <c r="AT65" s="149"/>
      <c r="AU65" s="3"/>
      <c r="AV65" s="1637"/>
      <c r="AW65" s="25"/>
      <c r="AX65" s="3"/>
      <c r="AY65" s="3"/>
      <c r="AZ65" s="3"/>
      <c r="BA65" s="3"/>
      <c r="BB65" s="3"/>
      <c r="BC65" s="25"/>
      <c r="BD65" s="25"/>
      <c r="BE65" s="25"/>
      <c r="BF65" s="25"/>
      <c r="BG65" s="25"/>
      <c r="BH65" s="25"/>
      <c r="BI65" s="25"/>
      <c r="BJ65" s="343"/>
      <c r="BK65" s="25"/>
      <c r="BL65" s="25"/>
      <c r="BM65" s="25"/>
      <c r="BN65" s="25"/>
      <c r="BO65" s="25"/>
      <c r="BP65" s="3"/>
      <c r="BQ65" s="3"/>
      <c r="BR65" s="3"/>
      <c r="BS65" s="25"/>
      <c r="BT65" s="2"/>
      <c r="BU65" s="2"/>
      <c r="BV65" s="2"/>
      <c r="BW65" s="13"/>
      <c r="BX65" s="13"/>
      <c r="BY65" s="13"/>
      <c r="BZ65" s="13"/>
      <c r="CA65" s="13"/>
      <c r="CB65" s="383"/>
      <c r="CC65" s="117"/>
      <c r="CD65" s="117"/>
      <c r="CE65" s="117"/>
      <c r="CF65" s="117"/>
      <c r="CG65" s="117"/>
      <c r="CH65" s="117"/>
      <c r="CI65" s="117"/>
      <c r="CJ65" s="117"/>
      <c r="CK65" s="117"/>
      <c r="CL65" s="117"/>
      <c r="CM65" s="117"/>
      <c r="CN65" s="117"/>
      <c r="CO65" s="117"/>
      <c r="CP65" s="117"/>
      <c r="CQ65" s="117"/>
      <c r="CR65" s="117"/>
      <c r="CS65" s="117"/>
      <c r="CT65" s="117"/>
      <c r="CU65" s="117"/>
      <c r="CV65" s="117"/>
      <c r="CW65" s="2031"/>
      <c r="DS65" s="84"/>
    </row>
    <row r="66" spans="1:123" ht="15" customHeight="1" x14ac:dyDescent="0.25">
      <c r="A66" s="13"/>
      <c r="B66" s="2388"/>
      <c r="C66" s="2389"/>
      <c r="D66" s="569"/>
      <c r="E66" s="186"/>
      <c r="F66" s="186"/>
      <c r="G66" s="339"/>
      <c r="H66" s="340"/>
      <c r="I66" s="340"/>
      <c r="J66" s="59">
        <v>1</v>
      </c>
      <c r="K66" s="1203" t="str">
        <f>IF(ISBLANK(Import!E332),, Import!E332)</f>
        <v>Select</v>
      </c>
      <c r="L66" s="1211">
        <f>IF(ISBLANK(Import!G332),, Import!G332)</f>
        <v>0</v>
      </c>
      <c r="M66" s="58" t="s">
        <v>1440</v>
      </c>
      <c r="N66" s="81"/>
      <c r="O66" s="140"/>
      <c r="P66" s="138"/>
      <c r="Q66" s="138"/>
      <c r="R66" s="139"/>
      <c r="S66" s="13"/>
      <c r="T66" s="13"/>
      <c r="U66" s="149"/>
      <c r="V66" s="149"/>
      <c r="W66" s="13"/>
      <c r="X66" s="25"/>
      <c r="Y66" s="121"/>
      <c r="Z66" s="77">
        <f t="shared" si="16"/>
        <v>0</v>
      </c>
      <c r="AA66" s="127">
        <f t="shared" ca="1" si="17"/>
        <v>0</v>
      </c>
      <c r="AB66" s="343"/>
      <c r="AC66" s="121"/>
      <c r="AD66" s="2176" t="s">
        <v>81</v>
      </c>
      <c r="AE66" s="77">
        <f ca="1">IF(E7=AA306,SUMIF(J153:J156,H7,L153:L156),IF(ISERROR(AR66),0,AR66))</f>
        <v>0</v>
      </c>
      <c r="AF66" s="2180">
        <f ca="1">IF(SUMIF(AI$122:AI$133,E$7,AP$122:AP$133)=1,IF(K62=0,AE66,K62),K62)/SUMIF(AJ242:AJ243,L19,AK242:AK243)</f>
        <v>0</v>
      </c>
      <c r="AG66" s="25"/>
      <c r="AH66" s="2"/>
      <c r="AI66" s="2"/>
      <c r="AJ66" s="25"/>
      <c r="AK66" s="2"/>
      <c r="AL66" s="2178" t="s">
        <v>1910</v>
      </c>
      <c r="AM66" s="180" t="e">
        <f>(100-E62)*AM64/((100-E62)*AM64+E62*0.8)*SUMIF($AB$269:$AB$271,E65,$AC$269:$AC$271)+(1-(100-E62)*AM64/((100-E62)*AM64+E62*0.8))*0.8</f>
        <v>#DIV/0!</v>
      </c>
      <c r="AN66" s="25"/>
      <c r="AO66" s="1059" t="s">
        <v>312</v>
      </c>
      <c r="AP66" s="149"/>
      <c r="AQ66" s="180" t="e">
        <f ca="1">SUM(AQ64:AQ65)</f>
        <v>#DIV/0!</v>
      </c>
      <c r="AR66" s="180" t="e">
        <f ca="1">SUM(AR64:AR65)</f>
        <v>#DIV/0!</v>
      </c>
      <c r="AS66" s="2062">
        <f>(100-E62)/100*SUMIF(AB$277:AB$279,E$23,AF$277:AF$279)+E62*AF$276/100</f>
        <v>0</v>
      </c>
      <c r="AT66" s="180">
        <f>IF(SUMIF(AI$122:AI$133,E$7,AH$122:AH$133)=1,365*AQ66*AS$48/55.65,0)</f>
        <v>0</v>
      </c>
      <c r="AU66" s="3"/>
      <c r="AV66" s="1637"/>
      <c r="AW66" s="25"/>
      <c r="AX66" s="25"/>
      <c r="AY66" s="25"/>
      <c r="AZ66" s="25"/>
      <c r="BA66" s="25"/>
      <c r="BB66" s="25"/>
      <c r="BC66" s="25"/>
      <c r="BD66" s="25"/>
      <c r="BE66" s="25"/>
      <c r="BF66" s="25"/>
      <c r="BG66" s="25"/>
      <c r="BH66" s="25"/>
      <c r="BI66" s="25"/>
      <c r="BJ66" s="343"/>
      <c r="BK66" s="25"/>
      <c r="BL66" s="25"/>
      <c r="BM66" s="25"/>
      <c r="BN66" s="25"/>
      <c r="BO66" s="25"/>
      <c r="BP66" s="25"/>
      <c r="BQ66" s="25"/>
      <c r="BR66" s="25"/>
      <c r="BS66" s="25"/>
      <c r="BT66" s="2"/>
      <c r="BU66" s="2"/>
      <c r="BV66" s="2"/>
      <c r="BW66" s="13"/>
      <c r="BX66" s="13"/>
      <c r="BY66" s="13"/>
      <c r="BZ66" s="13"/>
      <c r="CV66" s="25"/>
      <c r="CW66" s="13"/>
      <c r="CX66" s="13"/>
      <c r="CY66" s="84"/>
      <c r="CZ66" s="84"/>
      <c r="DA66" s="84"/>
      <c r="DB66" s="84"/>
      <c r="DC66" s="84"/>
      <c r="DD66" s="84"/>
      <c r="DE66" s="84"/>
      <c r="DF66" s="84"/>
      <c r="DG66" s="84"/>
      <c r="DH66" s="84"/>
      <c r="DI66" s="84"/>
      <c r="DJ66" s="84"/>
      <c r="DK66" s="84"/>
      <c r="DL66" s="84"/>
      <c r="DM66" s="84"/>
      <c r="DN66" s="84"/>
      <c r="DO66" s="84"/>
      <c r="DP66" s="84"/>
      <c r="DQ66" s="84"/>
      <c r="DR66" s="84"/>
      <c r="DS66" s="84"/>
    </row>
    <row r="67" spans="1:123" ht="15" customHeight="1" x14ac:dyDescent="0.25">
      <c r="A67" s="13"/>
      <c r="B67" s="2388"/>
      <c r="C67" s="2389"/>
      <c r="D67" s="569"/>
      <c r="E67" s="186"/>
      <c r="F67" s="186"/>
      <c r="G67" s="339"/>
      <c r="H67" s="340"/>
      <c r="I67" s="105"/>
      <c r="J67" s="59">
        <v>2</v>
      </c>
      <c r="K67" s="1203" t="str">
        <f>IF(ISBLANK(Import!E333),, Import!E333)</f>
        <v>Select</v>
      </c>
      <c r="L67" s="1211">
        <f>IF(ISBLANK(Import!G333),, Import!G333)</f>
        <v>0</v>
      </c>
      <c r="M67" s="58" t="s">
        <v>1440</v>
      </c>
      <c r="N67" s="81"/>
      <c r="O67" s="138"/>
      <c r="P67" s="138"/>
      <c r="Q67" s="138"/>
      <c r="R67" s="139"/>
      <c r="S67" s="149"/>
      <c r="T67" s="149"/>
      <c r="U67" s="149"/>
      <c r="V67" s="149"/>
      <c r="W67" s="13"/>
      <c r="X67" s="25"/>
      <c r="Y67" s="121"/>
      <c r="Z67" s="77">
        <f t="shared" si="16"/>
        <v>0</v>
      </c>
      <c r="AA67" s="127">
        <f t="shared" ca="1" si="17"/>
        <v>0</v>
      </c>
      <c r="AB67" s="343"/>
      <c r="AC67" s="121"/>
      <c r="AD67" s="2176" t="s">
        <v>1259</v>
      </c>
      <c r="AE67" s="2155">
        <f ca="1">AF66*AE64/1000*E62/100*AE65</f>
        <v>0</v>
      </c>
      <c r="AF67" s="25"/>
      <c r="AG67" s="25"/>
      <c r="AH67" s="2"/>
      <c r="AI67" s="2"/>
      <c r="AJ67" s="25"/>
      <c r="AK67" s="2"/>
      <c r="AL67" s="1059" t="s">
        <v>1123</v>
      </c>
      <c r="AM67" s="180">
        <f>AI64</f>
        <v>0.37</v>
      </c>
      <c r="AN67" s="2"/>
      <c r="AO67" s="2"/>
      <c r="AP67" s="2"/>
      <c r="AQ67" s="2"/>
      <c r="AR67" s="2"/>
      <c r="AS67" s="25"/>
      <c r="AT67" s="2"/>
      <c r="AU67" s="3"/>
      <c r="AV67" s="1637"/>
      <c r="AW67" s="25"/>
      <c r="AX67" s="25"/>
      <c r="AY67" s="25"/>
      <c r="AZ67" s="25"/>
      <c r="BA67" s="25"/>
      <c r="BB67" s="25"/>
      <c r="BC67" s="25"/>
      <c r="BD67" s="25"/>
      <c r="BE67" s="25"/>
      <c r="BF67" s="25"/>
      <c r="BG67" s="25"/>
      <c r="BH67" s="25"/>
      <c r="BI67" s="25"/>
      <c r="BJ67" s="343"/>
      <c r="BK67" s="25"/>
      <c r="BL67" s="25"/>
      <c r="BM67" s="25"/>
      <c r="BN67" s="25"/>
      <c r="BO67" s="25"/>
      <c r="BP67" s="25"/>
      <c r="BQ67" s="25"/>
      <c r="BR67" s="25"/>
      <c r="BS67" s="25"/>
      <c r="BT67" s="2"/>
      <c r="BU67" s="2"/>
      <c r="BV67" s="2"/>
      <c r="BW67" s="13"/>
      <c r="BX67" s="13"/>
      <c r="BY67" s="13"/>
      <c r="BZ67" s="13"/>
      <c r="CV67" s="25"/>
      <c r="CW67" s="13"/>
      <c r="CX67" s="13"/>
      <c r="CY67" s="84"/>
      <c r="CZ67" s="84"/>
      <c r="DA67" s="84"/>
      <c r="DB67" s="84"/>
      <c r="DC67" s="84"/>
      <c r="DD67" s="84"/>
      <c r="DE67" s="84"/>
      <c r="DF67" s="84"/>
      <c r="DG67" s="84"/>
      <c r="DH67" s="84"/>
      <c r="DI67" s="84"/>
      <c r="DJ67" s="84"/>
      <c r="DK67" s="84"/>
      <c r="DL67" s="84"/>
      <c r="DM67" s="84"/>
      <c r="DN67" s="84"/>
      <c r="DO67" s="84"/>
      <c r="DP67" s="84"/>
      <c r="DQ67" s="84"/>
      <c r="DR67" s="84"/>
      <c r="DS67" s="84"/>
    </row>
    <row r="68" spans="1:123" ht="26.25" customHeight="1" thickBot="1" x14ac:dyDescent="0.3">
      <c r="A68" s="13"/>
      <c r="B68" s="1382"/>
      <c r="C68" s="1381"/>
      <c r="D68" s="986" t="s">
        <v>157</v>
      </c>
      <c r="E68" s="186"/>
      <c r="F68" s="186"/>
      <c r="G68" s="181"/>
      <c r="H68" s="80"/>
      <c r="I68" s="105" t="s">
        <v>1435</v>
      </c>
      <c r="J68" s="59">
        <v>3</v>
      </c>
      <c r="K68" s="1203" t="str">
        <f>IF(ISBLANK(Import!E334),, Import!E334)</f>
        <v>Select</v>
      </c>
      <c r="L68" s="1211">
        <f>IF(ISBLANK(Import!G334),, Import!G334)</f>
        <v>0</v>
      </c>
      <c r="M68" s="58" t="s">
        <v>1440</v>
      </c>
      <c r="N68" s="81"/>
      <c r="O68" s="2371"/>
      <c r="P68" s="138"/>
      <c r="Q68" s="138"/>
      <c r="R68" s="139"/>
      <c r="S68" s="149"/>
      <c r="T68" s="149"/>
      <c r="U68" s="149"/>
      <c r="V68" s="149"/>
      <c r="W68" s="13"/>
      <c r="X68" s="25"/>
      <c r="Y68" s="121"/>
      <c r="Z68" s="77">
        <f t="shared" si="16"/>
        <v>0</v>
      </c>
      <c r="AA68" s="127">
        <f t="shared" ca="1" si="17"/>
        <v>0</v>
      </c>
      <c r="AB68" s="343"/>
      <c r="AC68" s="121"/>
      <c r="AD68" s="3"/>
      <c r="AE68" s="3"/>
      <c r="AF68" s="3"/>
      <c r="AG68" s="25"/>
      <c r="AH68" s="2"/>
      <c r="AI68" s="2"/>
      <c r="AJ68" s="25"/>
      <c r="AK68" s="149"/>
      <c r="AL68" s="149"/>
      <c r="AM68" s="25"/>
      <c r="AN68" s="149"/>
      <c r="AO68" s="149"/>
      <c r="AP68" s="149"/>
      <c r="AQ68" s="149"/>
      <c r="AR68" s="25"/>
      <c r="AS68" s="25"/>
      <c r="AT68" s="3"/>
      <c r="AU68" s="3"/>
      <c r="AV68" s="1637"/>
      <c r="AW68" s="25"/>
      <c r="AX68" s="25"/>
      <c r="AY68" s="25"/>
      <c r="AZ68" s="25"/>
      <c r="BA68" s="25"/>
      <c r="BB68" s="25"/>
      <c r="BC68" s="25"/>
      <c r="BD68" s="25"/>
      <c r="BE68" s="25"/>
      <c r="BF68" s="25"/>
      <c r="BG68" s="25"/>
      <c r="BH68" s="25"/>
      <c r="BI68" s="25"/>
      <c r="BJ68" s="343"/>
      <c r="BK68" s="25"/>
      <c r="BL68" s="25"/>
      <c r="BM68" s="25"/>
      <c r="BN68" s="25"/>
      <c r="BO68" s="25"/>
      <c r="BP68" s="25"/>
      <c r="BQ68" s="25"/>
      <c r="BR68" s="25"/>
      <c r="BS68" s="25"/>
      <c r="BT68" s="2"/>
      <c r="BU68" s="2"/>
      <c r="BV68" s="2"/>
      <c r="BW68" s="13"/>
      <c r="BX68" s="13"/>
      <c r="BY68" s="13"/>
      <c r="BZ68" s="13"/>
      <c r="CV68" s="25"/>
      <c r="CW68" s="13"/>
      <c r="CX68" s="13"/>
      <c r="CY68" s="84"/>
      <c r="CZ68" s="84"/>
      <c r="DA68" s="84"/>
      <c r="DB68" s="84"/>
      <c r="DC68" s="84"/>
      <c r="DD68" s="84"/>
      <c r="DE68" s="84"/>
      <c r="DF68" s="84"/>
      <c r="DG68" s="84"/>
      <c r="DH68" s="84"/>
      <c r="DI68" s="84"/>
      <c r="DJ68" s="84"/>
      <c r="DK68" s="84"/>
      <c r="DL68" s="84"/>
      <c r="DM68" s="84"/>
      <c r="DN68" s="84"/>
      <c r="DO68" s="84"/>
      <c r="DP68" s="84"/>
      <c r="DQ68" s="84"/>
      <c r="DR68" s="84"/>
      <c r="DS68" s="84"/>
    </row>
    <row r="69" spans="1:123" ht="28.55" customHeight="1" thickBot="1" x14ac:dyDescent="0.55000000000000004">
      <c r="A69" s="13"/>
      <c r="B69" s="2394" t="s">
        <v>973</v>
      </c>
      <c r="C69" s="1381"/>
      <c r="D69" s="105"/>
      <c r="E69" s="2372" t="s">
        <v>1107</v>
      </c>
      <c r="F69" s="2372" t="s">
        <v>1074</v>
      </c>
      <c r="G69" s="2372" t="s">
        <v>1070</v>
      </c>
      <c r="H69" s="2372"/>
      <c r="I69" s="105"/>
      <c r="J69" s="59">
        <v>4</v>
      </c>
      <c r="K69" s="1203" t="str">
        <f>IF(ISBLANK(Import!E335),, Import!E335)</f>
        <v>Select</v>
      </c>
      <c r="L69" s="1211">
        <f>IF(ISBLANK(Import!G335),, Import!G335)</f>
        <v>0</v>
      </c>
      <c r="M69" s="58" t="s">
        <v>1440</v>
      </c>
      <c r="N69" s="81"/>
      <c r="O69" s="2371"/>
      <c r="P69" s="391"/>
      <c r="Q69" s="391"/>
      <c r="R69" s="139"/>
      <c r="S69" s="149"/>
      <c r="T69" s="149"/>
      <c r="U69" s="149"/>
      <c r="V69" s="149"/>
      <c r="W69" s="13"/>
      <c r="X69" s="25"/>
      <c r="Y69" s="121"/>
      <c r="Z69" s="77">
        <f t="shared" si="16"/>
        <v>0</v>
      </c>
      <c r="AA69" s="127">
        <f t="shared" ca="1" si="17"/>
        <v>0</v>
      </c>
      <c r="AB69" s="343"/>
      <c r="AC69" s="121"/>
      <c r="AD69" s="3"/>
      <c r="AE69" s="25"/>
      <c r="AF69" s="25"/>
      <c r="AG69" s="25"/>
      <c r="AH69" s="25"/>
      <c r="AI69" s="25"/>
      <c r="AJ69" s="25"/>
      <c r="AK69" s="25"/>
      <c r="AL69" s="25"/>
      <c r="AM69" s="25"/>
      <c r="AN69" s="25"/>
      <c r="AO69" s="25"/>
      <c r="AP69" s="25"/>
      <c r="AQ69" s="25"/>
      <c r="AR69" s="25"/>
      <c r="AS69" s="25"/>
      <c r="AT69" s="3"/>
      <c r="AU69" s="3"/>
      <c r="AV69" s="1637"/>
      <c r="AW69" s="2458" t="s">
        <v>1729</v>
      </c>
      <c r="AX69" s="2474" t="s">
        <v>358</v>
      </c>
      <c r="AY69" s="2475"/>
      <c r="AZ69" s="2476"/>
      <c r="BA69" s="2455" t="s">
        <v>359</v>
      </c>
      <c r="BB69" s="2456"/>
      <c r="BC69" s="2456"/>
      <c r="BD69" s="2456"/>
      <c r="BE69" s="2456"/>
      <c r="BF69" s="2456"/>
      <c r="BG69" s="2457"/>
      <c r="BH69" s="25"/>
      <c r="BI69" s="25"/>
      <c r="BJ69" s="343"/>
      <c r="BK69" s="25"/>
      <c r="BL69" s="106"/>
      <c r="BM69" s="25"/>
      <c r="BN69" s="25"/>
      <c r="BO69" s="25"/>
      <c r="BP69" s="420"/>
      <c r="BQ69" s="420"/>
      <c r="BR69" s="25"/>
      <c r="BS69" s="25"/>
      <c r="BT69" s="2"/>
      <c r="BU69" s="2"/>
      <c r="BV69" s="2"/>
      <c r="BW69" s="13"/>
      <c r="BX69" s="13"/>
      <c r="BY69" s="13"/>
      <c r="BZ69" s="13"/>
      <c r="CV69" s="25"/>
      <c r="CW69" s="13"/>
      <c r="CX69" s="13"/>
      <c r="CY69" s="84"/>
      <c r="CZ69" s="84"/>
      <c r="DA69" s="84"/>
      <c r="DB69" s="84"/>
      <c r="DC69" s="84"/>
      <c r="DD69" s="84"/>
      <c r="DE69" s="84"/>
      <c r="DF69" s="84"/>
      <c r="DG69" s="84"/>
      <c r="DH69" s="84"/>
      <c r="DI69" s="84"/>
      <c r="DJ69" s="84"/>
      <c r="DK69" s="84"/>
      <c r="DL69" s="84"/>
      <c r="DM69" s="84"/>
      <c r="DN69" s="84"/>
      <c r="DO69" s="84"/>
      <c r="DP69" s="84"/>
      <c r="DQ69" s="84"/>
      <c r="DR69" s="84"/>
      <c r="DS69" s="84"/>
    </row>
    <row r="70" spans="1:123" ht="29.95" customHeight="1" thickBot="1" x14ac:dyDescent="0.3">
      <c r="A70" s="13"/>
      <c r="B70" s="2394"/>
      <c r="C70" s="1381"/>
      <c r="D70" s="569"/>
      <c r="E70" s="2372"/>
      <c r="F70" s="2372"/>
      <c r="G70" s="2372"/>
      <c r="H70" s="2372"/>
      <c r="I70" s="112"/>
      <c r="J70" s="59">
        <v>5</v>
      </c>
      <c r="K70" s="1203" t="str">
        <f>IF(ISBLANK(Import!E336),, Import!E336)</f>
        <v>Select</v>
      </c>
      <c r="L70" s="1211">
        <f>IF(ISBLANK(Import!G336),, Import!G336)</f>
        <v>0</v>
      </c>
      <c r="M70" s="58" t="s">
        <v>1440</v>
      </c>
      <c r="N70" s="81"/>
      <c r="O70" s="138"/>
      <c r="P70" s="138"/>
      <c r="Q70" s="138"/>
      <c r="R70" s="357"/>
      <c r="S70" s="149"/>
      <c r="T70" s="149"/>
      <c r="U70" s="149"/>
      <c r="V70" s="149"/>
      <c r="W70" s="13"/>
      <c r="X70" s="25"/>
      <c r="Y70" s="2165" t="s">
        <v>189</v>
      </c>
      <c r="Z70" s="77">
        <f>IF(L76=0,100,L76)</f>
        <v>100</v>
      </c>
      <c r="AA70" s="127">
        <f ca="1">SUM(AA60:AA69)</f>
        <v>0</v>
      </c>
      <c r="AB70" s="2163" t="s">
        <v>312</v>
      </c>
      <c r="AC70" s="121"/>
      <c r="AD70" s="3"/>
      <c r="AE70" s="25"/>
      <c r="AF70" s="25"/>
      <c r="AG70" s="25"/>
      <c r="AH70" s="25"/>
      <c r="AI70" s="25"/>
      <c r="AJ70" s="25"/>
      <c r="AK70" s="25"/>
      <c r="AL70" s="25"/>
      <c r="AM70" s="25"/>
      <c r="AN70" s="25"/>
      <c r="AO70" s="25"/>
      <c r="AP70" s="25"/>
      <c r="AQ70" s="25"/>
      <c r="AR70" s="149"/>
      <c r="AS70" s="149"/>
      <c r="AT70" s="3"/>
      <c r="AU70" s="3"/>
      <c r="AV70" s="1637"/>
      <c r="AW70" s="2460"/>
      <c r="AX70" s="2173" t="s">
        <v>938</v>
      </c>
      <c r="AY70" s="2170" t="s">
        <v>361</v>
      </c>
      <c r="AZ70" s="2171" t="s">
        <v>727</v>
      </c>
      <c r="BA70" s="358" t="s">
        <v>1290</v>
      </c>
      <c r="BB70" s="2167" t="s">
        <v>1069</v>
      </c>
      <c r="BC70" s="2167" t="s">
        <v>541</v>
      </c>
      <c r="BD70" s="2168" t="s">
        <v>216</v>
      </c>
      <c r="BE70" s="2167" t="s">
        <v>217</v>
      </c>
      <c r="BF70" s="2167" t="s">
        <v>728</v>
      </c>
      <c r="BG70" s="2169" t="s">
        <v>729</v>
      </c>
      <c r="BH70" s="3"/>
      <c r="BI70" s="3"/>
      <c r="BJ70" s="1638"/>
      <c r="BK70" s="25"/>
      <c r="BL70" s="3"/>
      <c r="BM70" s="3"/>
      <c r="BN70" s="25"/>
      <c r="BO70" s="3"/>
      <c r="BP70" s="3"/>
      <c r="BQ70" s="3"/>
      <c r="BR70" s="3"/>
      <c r="BS70" s="25"/>
      <c r="BT70" s="2"/>
      <c r="BU70" s="2"/>
      <c r="BV70" s="2"/>
      <c r="BW70" s="360"/>
      <c r="BX70" s="25"/>
      <c r="BY70" s="13"/>
      <c r="BZ70" s="13"/>
      <c r="CV70" s="25"/>
      <c r="CW70" s="13"/>
      <c r="CX70" s="13"/>
      <c r="CY70" s="84"/>
      <c r="CZ70" s="84"/>
      <c r="DA70" s="84"/>
      <c r="DB70" s="84"/>
      <c r="DC70" s="84"/>
      <c r="DD70" s="84"/>
      <c r="DE70" s="84"/>
      <c r="DF70" s="84"/>
      <c r="DG70" s="84"/>
      <c r="DH70" s="84"/>
      <c r="DI70" s="84"/>
      <c r="DJ70" s="84"/>
      <c r="DK70" s="84"/>
      <c r="DL70" s="84"/>
      <c r="DM70" s="84"/>
      <c r="DN70" s="84"/>
      <c r="DO70" s="84"/>
      <c r="DP70" s="84"/>
      <c r="DQ70" s="84"/>
      <c r="DR70" s="84"/>
      <c r="DS70" s="84"/>
    </row>
    <row r="71" spans="1:123" ht="23.2" customHeight="1" x14ac:dyDescent="0.25">
      <c r="A71" s="13"/>
      <c r="B71" s="2394"/>
      <c r="C71" s="1381"/>
      <c r="D71" s="549"/>
      <c r="E71" s="1209" t="str">
        <f>IF(ISBLANK(Import!H301),, Import!H301)</f>
        <v>[Select]</v>
      </c>
      <c r="F71" s="1210">
        <f>IF(ISBLANK(Import!I301),, Import!I301)</f>
        <v>0</v>
      </c>
      <c r="G71" s="1210">
        <f>IF(ISBLANK(Import!J301),, Import!J301)</f>
        <v>0</v>
      </c>
      <c r="H71" s="172"/>
      <c r="I71" s="112"/>
      <c r="J71" s="59">
        <v>6</v>
      </c>
      <c r="K71" s="1203" t="str">
        <f>IF(ISBLANK(Import!E337),, Import!E337)</f>
        <v>Select</v>
      </c>
      <c r="L71" s="1211">
        <f>IF(ISBLANK(Import!G337),, Import!G337)</f>
        <v>0</v>
      </c>
      <c r="M71" s="58" t="s">
        <v>1440</v>
      </c>
      <c r="N71" s="363"/>
      <c r="O71" s="150"/>
      <c r="P71" s="150"/>
      <c r="Q71" s="150"/>
      <c r="R71" s="357"/>
      <c r="S71" s="149"/>
      <c r="T71" s="149"/>
      <c r="U71" s="149"/>
      <c r="V71" s="149"/>
      <c r="W71" s="13"/>
      <c r="X71" s="25"/>
      <c r="Y71" s="121"/>
      <c r="Z71" s="25"/>
      <c r="AA71" s="52"/>
      <c r="AB71" s="2163"/>
      <c r="AC71" s="121"/>
      <c r="AD71" s="3"/>
      <c r="AE71" s="25"/>
      <c r="AF71" s="25"/>
      <c r="AG71" s="3"/>
      <c r="AH71" s="3"/>
      <c r="AI71" s="25"/>
      <c r="AJ71" s="25"/>
      <c r="AK71" s="3"/>
      <c r="AL71" s="3"/>
      <c r="AM71" s="3"/>
      <c r="AN71" s="3"/>
      <c r="AO71" s="25"/>
      <c r="AP71" s="25"/>
      <c r="AQ71" s="25"/>
      <c r="AR71" s="149"/>
      <c r="AS71" s="83" t="s">
        <v>1728</v>
      </c>
      <c r="AT71" s="77">
        <f>IF(ISERROR(AT66),0,AT66)</f>
        <v>0</v>
      </c>
      <c r="AU71" s="3"/>
      <c r="AV71" s="1637"/>
      <c r="AW71" s="2185">
        <f>IF(E71="",0,F71/100)</f>
        <v>0</v>
      </c>
      <c r="AX71" s="365">
        <f ca="1">OFFSET('A2. Livestockdata'!$D$28,$AD$131-10+1,SUMIF($AO$185:$AO$201,$E71,$AQ$185:$AQ$201))</f>
        <v>10</v>
      </c>
      <c r="AY71" s="2190">
        <f ca="1">G71*BE$62*(BE$61*0.67*AX$71/100)*AW$71</f>
        <v>0</v>
      </c>
      <c r="AZ71" s="2064">
        <f ca="1">AE$65*IF(ISERROR(AY71),0,AY71)</f>
        <v>0</v>
      </c>
      <c r="BA71" s="77">
        <f ca="1">OFFSET(AB$157,SUMIF(AB$158:AB$172,AE59,AA$158:AA$172),SUMIF($AC$157:$AT$157,E71,$AC$156:$AT$156))</f>
        <v>0</v>
      </c>
      <c r="BB71" s="77">
        <f>IF(G71&gt;0,F71*G71/365,0)/100</f>
        <v>0</v>
      </c>
      <c r="BC71" s="131" t="e">
        <f ca="1">BE$63*365*AE$65*BE$60/1000</f>
        <v>#VALUE!</v>
      </c>
      <c r="BD71" s="77">
        <f>SUMIF($AO$185:$AO$201,E71,$AP$185:$AP$201)</f>
        <v>0</v>
      </c>
      <c r="BE71" s="423">
        <f ca="1">IF(AW71&lt;&gt;"",SUMIF($AB$205:$AB$224,BA71,$AC$205:$AC$224)/100*0.01,"")</f>
        <v>0</v>
      </c>
      <c r="BF71" s="87">
        <f ca="1">IF(ISERROR(BC71),0,BB71*BD71*BC71*'A1. Submodels &amp; data'!B380*AW71)</f>
        <v>0</v>
      </c>
      <c r="BG71" s="2158">
        <f ca="1">IF(ISERROR(BC71),0,'A1. Submodels &amp; data'!B380*BB71*BE71*BC71*AW71)</f>
        <v>0</v>
      </c>
      <c r="BH71" s="3"/>
      <c r="BI71" s="3"/>
      <c r="BJ71" s="1638"/>
      <c r="BK71" s="79"/>
      <c r="BL71" s="3"/>
      <c r="BM71" s="3"/>
      <c r="BN71" s="25"/>
      <c r="BO71" s="3"/>
      <c r="BP71" s="3"/>
      <c r="BQ71" s="3"/>
      <c r="BR71" s="3"/>
      <c r="BS71" s="25"/>
      <c r="BT71" s="2"/>
      <c r="BU71" s="2"/>
      <c r="BV71" s="2"/>
      <c r="BW71" s="190"/>
      <c r="BX71" s="190"/>
      <c r="BY71" s="13"/>
      <c r="BZ71" s="13"/>
      <c r="CV71" s="25"/>
      <c r="CW71" s="13"/>
      <c r="CX71" s="13"/>
      <c r="CY71" s="84"/>
      <c r="CZ71" s="84"/>
      <c r="DA71" s="84"/>
      <c r="DB71" s="84"/>
      <c r="DC71" s="84"/>
      <c r="DD71" s="84"/>
      <c r="DE71" s="84"/>
      <c r="DF71" s="84"/>
      <c r="DG71" s="84"/>
      <c r="DH71" s="84"/>
      <c r="DI71" s="84"/>
      <c r="DJ71" s="84"/>
      <c r="DK71" s="84"/>
      <c r="DL71" s="84"/>
      <c r="DM71" s="84"/>
      <c r="DN71" s="84"/>
      <c r="DO71" s="84"/>
      <c r="DP71" s="84"/>
      <c r="DQ71" s="84"/>
      <c r="DR71" s="84"/>
      <c r="DS71" s="84"/>
    </row>
    <row r="72" spans="1:123" ht="23.2" customHeight="1" thickBot="1" x14ac:dyDescent="0.3">
      <c r="A72" s="13"/>
      <c r="B72" s="2394"/>
      <c r="C72" s="1381"/>
      <c r="D72" s="569"/>
      <c r="E72" s="1209" t="str">
        <f>IF(ISBLANK(Import!K301),, Import!K301)</f>
        <v>[Select]</v>
      </c>
      <c r="F72" s="1210">
        <f>IF(ISBLANK(Import!L301),, Import!L301)</f>
        <v>0</v>
      </c>
      <c r="G72" s="1210">
        <f>IF(ISBLANK(Import!M301),, Import!M301)</f>
        <v>0</v>
      </c>
      <c r="H72" s="172"/>
      <c r="I72" s="112"/>
      <c r="J72" s="59">
        <v>7</v>
      </c>
      <c r="K72" s="1203" t="str">
        <f>IF(ISBLANK(Import!E338),, Import!E338)</f>
        <v>Select</v>
      </c>
      <c r="L72" s="1211">
        <f>IF(ISBLANK(Import!G338),, Import!G338)</f>
        <v>0</v>
      </c>
      <c r="M72" s="58" t="s">
        <v>1440</v>
      </c>
      <c r="N72" s="363"/>
      <c r="O72" s="150"/>
      <c r="P72" s="150"/>
      <c r="Q72" s="150"/>
      <c r="R72" s="357"/>
      <c r="S72" s="149"/>
      <c r="T72" s="149"/>
      <c r="U72" s="149"/>
      <c r="V72" s="149"/>
      <c r="W72" s="13"/>
      <c r="X72" s="25"/>
      <c r="Y72" s="121"/>
      <c r="Z72" s="25"/>
      <c r="AA72" s="25"/>
      <c r="AB72" s="2163"/>
      <c r="AC72" s="121"/>
      <c r="AD72" s="25"/>
      <c r="AE72" s="25"/>
      <c r="AF72" s="25"/>
      <c r="AG72" s="3"/>
      <c r="AH72" s="3"/>
      <c r="AI72" s="25"/>
      <c r="AJ72" s="25"/>
      <c r="AK72" s="3"/>
      <c r="AL72" s="3"/>
      <c r="AM72" s="25"/>
      <c r="AN72" s="25"/>
      <c r="AO72" s="25"/>
      <c r="AP72" s="25"/>
      <c r="AQ72" s="25"/>
      <c r="AR72" s="149"/>
      <c r="AS72" s="25"/>
      <c r="AT72" s="25"/>
      <c r="AU72" s="3"/>
      <c r="AV72" s="1637"/>
      <c r="AW72" s="2186">
        <f>IF(E72="",0,F72/100)</f>
        <v>0</v>
      </c>
      <c r="AX72" s="365">
        <f ca="1">OFFSET('A2. Livestockdata'!$D$28,$AD$131-10+1,SUMIF($AO$185:$AO$201,$E72,$AQ$185:$AQ$201))</f>
        <v>10</v>
      </c>
      <c r="AY72" s="2190">
        <f ca="1">G72*BE$62*(BE$61*0.67*AX$72/100)*AW$72</f>
        <v>0</v>
      </c>
      <c r="AZ72" s="2064">
        <f ca="1">AE$65*IF(ISERROR(AY72),0,AY72)</f>
        <v>0</v>
      </c>
      <c r="BA72" s="77">
        <f ca="1">OFFSET(AB$157,SUMIF(AB$158:AB$172,AE59,AA$158:AA$172),SUMIF($AC$157:$AT$157,E72,$AC$156:$AT$156))</f>
        <v>0</v>
      </c>
      <c r="BB72" s="77">
        <f>IF(G72&gt;0,F72*G72/365,0)/100</f>
        <v>0</v>
      </c>
      <c r="BC72" s="131" t="e">
        <f ca="1">BE$63*365*AE$65*BE$60/1000</f>
        <v>#VALUE!</v>
      </c>
      <c r="BD72" s="77">
        <f>SUMIF($AO$185:$AO$201,E72,$AP$185:$AP$201)</f>
        <v>0</v>
      </c>
      <c r="BE72" s="423">
        <f ca="1">IF(AW72&lt;&gt;"",SUMIF($AB$205:$AB$224,BA72,$AC$205:$AC$224)/100*0.01,"")</f>
        <v>0</v>
      </c>
      <c r="BF72" s="87">
        <f ca="1">IF(ISERROR(BC72),0,BB72*BD72*BC72*'A1. Submodels &amp; data'!B380*AW72)</f>
        <v>0</v>
      </c>
      <c r="BG72" s="2158">
        <f ca="1">IF(ISERROR(BC72),0,'A1. Submodels &amp; data'!B380*BB72*BE72*BC72*AW72)</f>
        <v>0</v>
      </c>
      <c r="BH72" s="3"/>
      <c r="BI72" s="3"/>
      <c r="BJ72" s="1638"/>
      <c r="BK72" s="25"/>
      <c r="BL72" s="3"/>
      <c r="BM72" s="3"/>
      <c r="BN72" s="421"/>
      <c r="BO72" s="3"/>
      <c r="BP72" s="3"/>
      <c r="BQ72" s="3"/>
      <c r="BR72" s="3"/>
      <c r="BS72" s="25"/>
      <c r="BT72" s="2"/>
      <c r="BU72" s="2"/>
      <c r="BV72" s="2"/>
      <c r="BW72" s="428"/>
      <c r="BX72" s="428"/>
      <c r="BY72" s="13"/>
      <c r="BZ72" s="13"/>
      <c r="CV72" s="13"/>
      <c r="CW72" s="13"/>
      <c r="CX72" s="13"/>
      <c r="CY72" s="84"/>
      <c r="CZ72" s="84"/>
      <c r="DA72" s="84"/>
      <c r="DB72" s="84"/>
      <c r="DC72" s="84"/>
      <c r="DD72" s="84"/>
      <c r="DE72" s="84"/>
      <c r="DF72" s="84"/>
      <c r="DG72" s="84"/>
      <c r="DH72" s="84"/>
      <c r="DI72" s="84"/>
      <c r="DJ72" s="84"/>
      <c r="DK72" s="84"/>
      <c r="DL72" s="84"/>
      <c r="DM72" s="84"/>
      <c r="DN72" s="84"/>
      <c r="DO72" s="84"/>
      <c r="DP72" s="84"/>
      <c r="DQ72" s="84"/>
      <c r="DR72" s="84"/>
      <c r="DS72" s="84"/>
    </row>
    <row r="73" spans="1:123" ht="23.2" customHeight="1" thickBot="1" x14ac:dyDescent="0.3">
      <c r="A73" s="13"/>
      <c r="B73" s="2394"/>
      <c r="C73" s="1381"/>
      <c r="D73" s="569"/>
      <c r="E73" s="1209" t="str">
        <f>IF(ISBLANK(Import!N301),, Import!N301)</f>
        <v>[Select]</v>
      </c>
      <c r="F73" s="1210">
        <f>IF(ISBLANK(Import!O301),, Import!O301)</f>
        <v>0</v>
      </c>
      <c r="G73" s="1210">
        <f>IF(ISBLANK(Import!P301),, Import!P301)</f>
        <v>0</v>
      </c>
      <c r="H73" s="172"/>
      <c r="I73" s="340"/>
      <c r="J73" s="59">
        <v>8</v>
      </c>
      <c r="K73" s="1203" t="str">
        <f>IF(ISBLANK(Import!E339),, Import!E339)</f>
        <v>Select</v>
      </c>
      <c r="L73" s="1211">
        <f>IF(ISBLANK(Import!G339),, Import!G339)</f>
        <v>0</v>
      </c>
      <c r="M73" s="58" t="s">
        <v>1440</v>
      </c>
      <c r="N73" s="363"/>
      <c r="O73" s="150"/>
      <c r="P73" s="150"/>
      <c r="Q73" s="150"/>
      <c r="R73" s="357"/>
      <c r="S73" s="149"/>
      <c r="T73" s="149"/>
      <c r="U73" s="149"/>
      <c r="V73" s="149"/>
      <c r="W73" s="13"/>
      <c r="X73" s="25"/>
      <c r="Y73" s="121"/>
      <c r="Z73" s="25"/>
      <c r="AA73" s="149"/>
      <c r="AB73" s="2163"/>
      <c r="AC73" s="350"/>
      <c r="AD73" s="351"/>
      <c r="AE73" s="351"/>
      <c r="AF73" s="351"/>
      <c r="AG73" s="1635"/>
      <c r="AH73" s="1635"/>
      <c r="AI73" s="351"/>
      <c r="AJ73" s="351"/>
      <c r="AK73" s="1635"/>
      <c r="AL73" s="1635"/>
      <c r="AM73" s="351"/>
      <c r="AN73" s="351"/>
      <c r="AO73" s="351"/>
      <c r="AP73" s="351"/>
      <c r="AQ73" s="351"/>
      <c r="AR73" s="352"/>
      <c r="AS73" s="351"/>
      <c r="AT73" s="351"/>
      <c r="AU73" s="1635"/>
      <c r="AV73" s="1637"/>
      <c r="AW73" s="2187">
        <f>IF(E73="",0,F73/100)</f>
        <v>0</v>
      </c>
      <c r="AX73" s="2188">
        <f ca="1">OFFSET('A2. Livestockdata'!$D$28,$AD$131-10+1,SUMIF($AO$185:$AO$201,$E73,$AQ$185:$AQ$201))</f>
        <v>10</v>
      </c>
      <c r="AY73" s="2190">
        <f ca="1">G73*BE$62*(BE$61*0.67*AX$73/100)*AW$73</f>
        <v>0</v>
      </c>
      <c r="AZ73" s="2064">
        <f ca="1">AE$65*IF(ISERROR(AY73),0,AY73)</f>
        <v>0</v>
      </c>
      <c r="BA73" s="2061">
        <f ca="1">OFFSET(AB$157,SUMIF(AB$158:AB$172,AE59,AA$158:AA$172),SUMIF($AC$157:$AT$157,E73,$AC$156:$AT$156))</f>
        <v>0</v>
      </c>
      <c r="BB73" s="2061">
        <f>IF(G73&gt;0,F73*G73/365,0)/100</f>
        <v>0</v>
      </c>
      <c r="BC73" s="131" t="e">
        <f ca="1">BE$63*365*AE$65*BE$60/1000</f>
        <v>#VALUE!</v>
      </c>
      <c r="BD73" s="2061">
        <f>SUMIF($AO$185:$AO$201,E73,$AP$185:$AP$201)</f>
        <v>0</v>
      </c>
      <c r="BE73" s="2159">
        <f ca="1">IF(AW73&lt;&gt;"",SUMIF($AB$205:$AB$224,BA73,$AC$205:$AC$224)/100*0.01,"")</f>
        <v>0</v>
      </c>
      <c r="BF73" s="2160">
        <f ca="1">IF(ISERROR(BC73),0,BB73*BD73*BC73*'A1. Submodels &amp; data'!B380*AW73)</f>
        <v>0</v>
      </c>
      <c r="BG73" s="2161">
        <f ca="1">IF(ISERROR(BC73),0,'A1. Submodels &amp; data'!B380*BB73*BE73*BC73*AW73)</f>
        <v>0</v>
      </c>
      <c r="BH73" s="3"/>
      <c r="BI73" s="3"/>
      <c r="BJ73" s="1638"/>
      <c r="BK73" s="25"/>
      <c r="BL73" s="3"/>
      <c r="BM73" s="3"/>
      <c r="BN73" s="25"/>
      <c r="BO73" s="3"/>
      <c r="BP73" s="3"/>
      <c r="BQ73" s="3"/>
      <c r="BR73" s="3"/>
      <c r="BS73" s="25"/>
      <c r="BT73" s="2"/>
      <c r="BU73" s="2"/>
      <c r="BV73" s="2"/>
      <c r="BW73" s="428"/>
      <c r="BX73" s="428"/>
      <c r="BY73" s="13"/>
      <c r="BZ73" s="13"/>
      <c r="CV73" s="13"/>
      <c r="CW73" s="13"/>
      <c r="CX73" s="13"/>
      <c r="CY73" s="84"/>
      <c r="CZ73" s="84"/>
      <c r="DA73" s="84"/>
      <c r="DB73" s="84"/>
      <c r="DC73" s="84"/>
      <c r="DD73" s="84"/>
      <c r="DE73" s="84"/>
      <c r="DF73" s="84"/>
      <c r="DG73" s="84"/>
      <c r="DH73" s="84"/>
      <c r="DI73" s="84"/>
      <c r="DJ73" s="84"/>
      <c r="DK73" s="84"/>
      <c r="DL73" s="84"/>
      <c r="DM73" s="84"/>
      <c r="DN73" s="84"/>
      <c r="DO73" s="84"/>
      <c r="DP73" s="84"/>
      <c r="DQ73" s="84"/>
      <c r="DR73" s="84"/>
      <c r="DS73" s="84"/>
    </row>
    <row r="74" spans="1:123" ht="24.05" customHeight="1" x14ac:dyDescent="0.25">
      <c r="A74" s="13"/>
      <c r="B74" s="2394"/>
      <c r="C74" s="1381"/>
      <c r="D74" s="2395" t="s">
        <v>238</v>
      </c>
      <c r="E74" s="2390" t="str">
        <f>IF(ISBLANK(Import!C368),"(Type over this cell to enter any comments about your manure management strategy .)",Import!C368)</f>
        <v>(Type over this cell to enter any comments about your manure management strategy .)</v>
      </c>
      <c r="F74" s="2391"/>
      <c r="G74" s="1143">
        <f>SUM(F71*G71+F72*G72+F73*G73)/100</f>
        <v>0</v>
      </c>
      <c r="H74" s="378"/>
      <c r="I74" s="340"/>
      <c r="J74" s="59">
        <v>9</v>
      </c>
      <c r="K74" s="1203" t="str">
        <f>IF(ISBLANK(Import!E340),, Import!E340)</f>
        <v>Select</v>
      </c>
      <c r="L74" s="1211">
        <f>IF(ISBLANK(Import!G340),, Import!G340)</f>
        <v>0</v>
      </c>
      <c r="M74" s="58" t="s">
        <v>1440</v>
      </c>
      <c r="N74" s="363"/>
      <c r="O74" s="150"/>
      <c r="P74" s="150"/>
      <c r="Q74" s="150"/>
      <c r="R74" s="357"/>
      <c r="S74" s="149"/>
      <c r="T74" s="149"/>
      <c r="U74" s="149"/>
      <c r="V74" s="149"/>
      <c r="W74" s="13"/>
      <c r="X74" s="25"/>
      <c r="Y74" s="121"/>
      <c r="Z74" s="259" t="s">
        <v>1906</v>
      </c>
      <c r="AA74" s="180">
        <f ca="1">IF(CV62=0,$AC$341*AE67,AA70)</f>
        <v>0</v>
      </c>
      <c r="AB74" s="2163"/>
      <c r="AC74" s="121"/>
      <c r="AD74" s="25"/>
      <c r="AE74" s="25"/>
      <c r="AF74" s="25"/>
      <c r="AG74" s="3"/>
      <c r="AH74" s="3"/>
      <c r="AI74" s="25"/>
      <c r="AJ74" s="25"/>
      <c r="AK74" s="25"/>
      <c r="AL74" s="25"/>
      <c r="AM74" s="25"/>
      <c r="AN74" s="25"/>
      <c r="AO74" s="25"/>
      <c r="AP74" s="25"/>
      <c r="AQ74" s="25"/>
      <c r="AR74" s="149"/>
      <c r="AS74" s="25"/>
      <c r="AT74" s="25"/>
      <c r="AU74" s="3"/>
      <c r="AV74" s="1637"/>
      <c r="AW74" s="25"/>
      <c r="AX74" s="25"/>
      <c r="AY74" s="25"/>
      <c r="AZ74" s="25"/>
      <c r="BA74" s="25"/>
      <c r="BB74" s="25"/>
      <c r="BC74" s="25"/>
      <c r="BD74" s="25"/>
      <c r="BE74" s="25"/>
      <c r="BF74" s="25"/>
      <c r="BG74" s="25"/>
      <c r="BH74" s="149"/>
      <c r="BI74" s="149"/>
      <c r="BJ74" s="343"/>
      <c r="BK74" s="25"/>
      <c r="BL74" s="25"/>
      <c r="BM74" s="25"/>
      <c r="BN74" s="25"/>
      <c r="BO74" s="25"/>
      <c r="BP74" s="425"/>
      <c r="BQ74" s="420"/>
      <c r="BR74" s="25"/>
      <c r="BS74" s="25"/>
      <c r="BT74" s="2"/>
      <c r="BU74" s="2"/>
      <c r="BV74" s="2"/>
      <c r="BW74" s="428"/>
      <c r="BX74" s="428"/>
      <c r="BY74" s="13"/>
      <c r="BZ74" s="13"/>
      <c r="CV74" s="13"/>
      <c r="CW74" s="13"/>
      <c r="CX74" s="13"/>
      <c r="CY74" s="84"/>
      <c r="CZ74" s="84"/>
      <c r="DA74" s="84"/>
      <c r="DB74" s="84"/>
      <c r="DC74" s="84"/>
      <c r="DD74" s="84"/>
      <c r="DE74" s="84"/>
      <c r="DF74" s="84"/>
      <c r="DG74" s="84"/>
      <c r="DH74" s="84"/>
      <c r="DI74" s="84"/>
      <c r="DJ74" s="84"/>
      <c r="DK74" s="84"/>
      <c r="DL74" s="84"/>
      <c r="DM74" s="84"/>
      <c r="DN74" s="84"/>
      <c r="DO74" s="84"/>
      <c r="DP74" s="84"/>
      <c r="DQ74" s="84"/>
      <c r="DR74" s="84"/>
      <c r="DS74" s="84"/>
    </row>
    <row r="75" spans="1:123" ht="29.25" customHeight="1" x14ac:dyDescent="0.35">
      <c r="A75" s="13"/>
      <c r="B75" s="2394"/>
      <c r="C75" s="1381"/>
      <c r="D75" s="2395"/>
      <c r="E75" s="2392"/>
      <c r="F75" s="2393"/>
      <c r="G75" s="339"/>
      <c r="H75" s="378"/>
      <c r="I75" s="340"/>
      <c r="J75" s="59">
        <v>10</v>
      </c>
      <c r="K75" s="1203" t="str">
        <f>IF(ISBLANK(Import!E341),, Import!E341)</f>
        <v>Select</v>
      </c>
      <c r="L75" s="1211">
        <f>IF(ISBLANK(Import!G341),, Import!G341)</f>
        <v>0</v>
      </c>
      <c r="M75" s="58" t="s">
        <v>1440</v>
      </c>
      <c r="N75" s="363"/>
      <c r="O75" s="150"/>
      <c r="P75" s="150"/>
      <c r="Q75" s="150"/>
      <c r="R75" s="357"/>
      <c r="S75" s="149"/>
      <c r="T75" s="149"/>
      <c r="U75" s="149"/>
      <c r="V75" s="149"/>
      <c r="W75" s="13"/>
      <c r="X75" s="25"/>
      <c r="Y75" s="121"/>
      <c r="Z75" s="25"/>
      <c r="AA75" s="4"/>
      <c r="AB75" s="356"/>
      <c r="AC75" s="2477" t="s">
        <v>1258</v>
      </c>
      <c r="AD75" s="2379"/>
      <c r="AE75" s="25"/>
      <c r="AF75" s="25"/>
      <c r="AG75" s="3"/>
      <c r="AH75" s="3"/>
      <c r="AI75" s="25"/>
      <c r="AJ75" s="25"/>
      <c r="AK75" s="25"/>
      <c r="AL75" s="25"/>
      <c r="AM75" s="25"/>
      <c r="AN75" s="25"/>
      <c r="AO75" s="25"/>
      <c r="AP75" s="25"/>
      <c r="AQ75" s="25"/>
      <c r="AR75" s="25"/>
      <c r="AS75" s="83" t="s">
        <v>192</v>
      </c>
      <c r="AT75" s="87">
        <f ca="1">IF(AT71&gt;0,AT71,AT59)</f>
        <v>0</v>
      </c>
      <c r="AU75" s="149"/>
      <c r="AV75" s="1639"/>
      <c r="AW75" s="25"/>
      <c r="AX75" s="25"/>
      <c r="AY75" s="25"/>
      <c r="AZ75" s="25"/>
      <c r="BA75" s="25"/>
      <c r="BB75" s="25"/>
      <c r="BC75" s="25"/>
      <c r="BD75" s="25"/>
      <c r="BE75" s="25"/>
      <c r="BF75" s="25"/>
      <c r="BG75" s="25"/>
      <c r="BH75" s="149"/>
      <c r="BI75" s="149"/>
      <c r="BJ75" s="343"/>
      <c r="BK75" s="25"/>
      <c r="BL75" s="25"/>
      <c r="BM75" s="25"/>
      <c r="BN75" s="25"/>
      <c r="BO75" s="25"/>
      <c r="BP75" s="425"/>
      <c r="BQ75" s="420"/>
      <c r="BR75" s="25"/>
      <c r="BS75" s="25"/>
      <c r="BT75" s="2"/>
      <c r="BU75" s="2"/>
      <c r="BV75" s="2"/>
      <c r="BW75" s="428"/>
      <c r="BX75" s="428"/>
      <c r="BY75" s="13"/>
      <c r="BZ75" s="13"/>
      <c r="CV75" s="13"/>
      <c r="CW75" s="13"/>
      <c r="CX75" s="13"/>
      <c r="CY75" s="84"/>
      <c r="CZ75" s="84"/>
      <c r="DA75" s="84"/>
      <c r="DB75" s="84"/>
      <c r="DC75" s="84"/>
      <c r="DD75" s="84"/>
      <c r="DE75" s="84"/>
      <c r="DF75" s="84"/>
      <c r="DG75" s="84"/>
      <c r="DH75" s="84"/>
      <c r="DI75" s="84"/>
      <c r="DJ75" s="84"/>
      <c r="DK75" s="84"/>
      <c r="DL75" s="84"/>
      <c r="DM75" s="84"/>
      <c r="DN75" s="84"/>
      <c r="DO75" s="84"/>
      <c r="DP75" s="84"/>
      <c r="DQ75" s="84"/>
      <c r="DR75" s="84"/>
      <c r="DS75" s="84"/>
    </row>
    <row r="76" spans="1:123" ht="12.85" customHeight="1" x14ac:dyDescent="0.25">
      <c r="A76" s="13"/>
      <c r="B76" s="2394"/>
      <c r="C76" s="1381"/>
      <c r="D76" s="105"/>
      <c r="E76" s="112"/>
      <c r="F76" s="340"/>
      <c r="G76" s="339"/>
      <c r="H76" s="340"/>
      <c r="I76" s="80"/>
      <c r="J76" s="379"/>
      <c r="K76" s="58" t="s">
        <v>312</v>
      </c>
      <c r="L76" s="58">
        <f>SUM(L66:L75)</f>
        <v>0</v>
      </c>
      <c r="M76" s="80"/>
      <c r="N76" s="363"/>
      <c r="O76" s="150"/>
      <c r="P76" s="150"/>
      <c r="Q76" s="150"/>
      <c r="R76" s="357"/>
      <c r="S76" s="149"/>
      <c r="T76" s="149"/>
      <c r="U76" s="149"/>
      <c r="V76" s="149"/>
      <c r="W76" s="13"/>
      <c r="X76" s="25"/>
      <c r="Y76" s="121"/>
      <c r="Z76" s="25"/>
      <c r="AA76" s="52"/>
      <c r="AB76" s="2164"/>
      <c r="AC76" s="121"/>
      <c r="AD76" s="25"/>
      <c r="AE76" s="25"/>
      <c r="AF76" s="25"/>
      <c r="AG76" s="25"/>
      <c r="AH76" s="25"/>
      <c r="AI76" s="25"/>
      <c r="AJ76" s="25"/>
      <c r="AK76" s="25"/>
      <c r="AL76" s="25"/>
      <c r="AM76" s="25"/>
      <c r="AN76" s="25"/>
      <c r="AO76" s="25"/>
      <c r="AP76" s="25"/>
      <c r="AQ76" s="25"/>
      <c r="AR76" s="25"/>
      <c r="AS76" s="149"/>
      <c r="AT76" s="149"/>
      <c r="AU76" s="149"/>
      <c r="AV76" s="1639"/>
      <c r="AW76" s="25"/>
      <c r="AX76" s="25"/>
      <c r="AY76" s="25"/>
      <c r="AZ76" s="25"/>
      <c r="BA76" s="25"/>
      <c r="BB76" s="4"/>
      <c r="BC76" s="149"/>
      <c r="BD76" s="149"/>
      <c r="BE76" s="149"/>
      <c r="BF76" s="149"/>
      <c r="BG76" s="149"/>
      <c r="BH76" s="149"/>
      <c r="BI76" s="149"/>
      <c r="BJ76" s="343"/>
      <c r="BK76" s="25"/>
      <c r="BL76" s="25"/>
      <c r="BM76" s="25"/>
      <c r="BN76" s="25"/>
      <c r="BO76" s="25"/>
      <c r="BP76" s="425"/>
      <c r="BQ76" s="420"/>
      <c r="BR76" s="25"/>
      <c r="BS76" s="25"/>
      <c r="BT76" s="2"/>
      <c r="BU76" s="2"/>
      <c r="BV76" s="2"/>
      <c r="BW76" s="25"/>
      <c r="BX76" s="25"/>
      <c r="BY76" s="13"/>
      <c r="BZ76" s="13"/>
      <c r="CV76" s="13"/>
      <c r="CW76" s="13"/>
      <c r="CX76" s="13"/>
      <c r="CY76" s="84"/>
      <c r="CZ76" s="84"/>
      <c r="DA76" s="84"/>
      <c r="DB76" s="84"/>
      <c r="DC76" s="84"/>
      <c r="DD76" s="84"/>
      <c r="DE76" s="84"/>
      <c r="DF76" s="84"/>
      <c r="DG76" s="84"/>
      <c r="DH76" s="84"/>
      <c r="DI76" s="84"/>
      <c r="DJ76" s="84"/>
      <c r="DK76" s="84"/>
      <c r="DL76" s="84"/>
      <c r="DM76" s="84"/>
      <c r="DN76" s="84"/>
      <c r="DO76" s="84"/>
      <c r="DP76" s="84"/>
      <c r="DQ76" s="84"/>
      <c r="DR76" s="84"/>
      <c r="DS76" s="84"/>
    </row>
    <row r="77" spans="1:123" ht="9.8000000000000007" customHeight="1" thickBot="1" x14ac:dyDescent="0.3">
      <c r="A77" s="13"/>
      <c r="B77" s="1382"/>
      <c r="C77" s="1381"/>
      <c r="D77" s="105"/>
      <c r="E77" s="112"/>
      <c r="F77" s="340"/>
      <c r="G77" s="339"/>
      <c r="H77" s="340"/>
      <c r="I77" s="80"/>
      <c r="J77" s="371"/>
      <c r="K77" s="117"/>
      <c r="L77" s="117"/>
      <c r="M77" s="117"/>
      <c r="N77" s="372"/>
      <c r="O77" s="373"/>
      <c r="P77" s="373"/>
      <c r="Q77" s="373"/>
      <c r="R77" s="374"/>
      <c r="S77" s="149"/>
      <c r="T77" s="149"/>
      <c r="U77" s="149"/>
      <c r="V77" s="149"/>
      <c r="W77" s="13"/>
      <c r="X77" s="25"/>
      <c r="Y77" s="383"/>
      <c r="Z77" s="125"/>
      <c r="AA77" s="130"/>
      <c r="AB77" s="2166"/>
      <c r="AC77" s="383"/>
      <c r="AD77" s="125"/>
      <c r="AE77" s="125"/>
      <c r="AF77" s="125"/>
      <c r="AG77" s="125"/>
      <c r="AH77" s="125"/>
      <c r="AI77" s="125"/>
      <c r="AJ77" s="125"/>
      <c r="AK77" s="125"/>
      <c r="AL77" s="125"/>
      <c r="AM77" s="125"/>
      <c r="AN77" s="125"/>
      <c r="AO77" s="125"/>
      <c r="AP77" s="125"/>
      <c r="AQ77" s="125"/>
      <c r="AR77" s="125"/>
      <c r="AS77" s="385"/>
      <c r="AT77" s="385"/>
      <c r="AU77" s="385"/>
      <c r="AV77" s="2063"/>
      <c r="AW77" s="125"/>
      <c r="AX77" s="125"/>
      <c r="AY77" s="125"/>
      <c r="AZ77" s="125"/>
      <c r="BA77" s="125"/>
      <c r="BB77" s="120"/>
      <c r="BC77" s="385"/>
      <c r="BD77" s="385"/>
      <c r="BE77" s="385"/>
      <c r="BF77" s="385"/>
      <c r="BG77" s="385"/>
      <c r="BH77" s="385"/>
      <c r="BI77" s="385"/>
      <c r="BJ77" s="384"/>
      <c r="BK77" s="25"/>
      <c r="BL77" s="25"/>
      <c r="BM77" s="25"/>
      <c r="BN77" s="25"/>
      <c r="BO77" s="25"/>
      <c r="BP77" s="425"/>
      <c r="BQ77" s="420"/>
      <c r="BR77" s="25"/>
      <c r="BS77" s="25"/>
      <c r="BT77" s="2"/>
      <c r="BU77" s="2"/>
      <c r="BV77" s="2"/>
      <c r="BW77" s="13"/>
      <c r="BX77" s="13"/>
      <c r="BY77" s="13"/>
      <c r="BZ77" s="13"/>
      <c r="CV77" s="13"/>
      <c r="CW77" s="13"/>
      <c r="CX77" s="13"/>
      <c r="CY77" s="84"/>
      <c r="CZ77" s="84"/>
      <c r="DA77" s="84"/>
      <c r="DB77" s="84"/>
      <c r="DC77" s="84"/>
      <c r="DD77" s="84"/>
      <c r="DE77" s="84"/>
      <c r="DF77" s="84"/>
      <c r="DG77" s="84"/>
      <c r="DH77" s="84"/>
      <c r="DI77" s="84"/>
      <c r="DJ77" s="84"/>
      <c r="DK77" s="84"/>
      <c r="DL77" s="84"/>
      <c r="DM77" s="84"/>
      <c r="DN77" s="84"/>
      <c r="DO77" s="84"/>
      <c r="DP77" s="84"/>
      <c r="DQ77" s="84"/>
      <c r="DR77" s="84"/>
      <c r="DS77" s="84"/>
    </row>
    <row r="78" spans="1:123" ht="57.75" hidden="1" customHeight="1" x14ac:dyDescent="0.25">
      <c r="A78" s="13"/>
      <c r="B78" s="2380"/>
      <c r="C78" s="2381"/>
      <c r="D78" s="987"/>
      <c r="E78" s="375"/>
      <c r="F78" s="2408"/>
      <c r="G78" s="375"/>
      <c r="H78" s="377"/>
      <c r="I78" s="377"/>
      <c r="J78" s="375"/>
      <c r="K78" s="375"/>
      <c r="L78" s="375"/>
      <c r="M78" s="375"/>
      <c r="N78" s="80"/>
      <c r="O78" s="80"/>
      <c r="P78" s="80"/>
      <c r="Q78" s="80"/>
      <c r="R78" s="342"/>
      <c r="S78" s="149"/>
      <c r="T78" s="149"/>
      <c r="U78" s="149"/>
      <c r="V78" s="149"/>
      <c r="W78" s="13"/>
      <c r="X78" s="13"/>
      <c r="Y78" s="84"/>
      <c r="Z78" s="84"/>
      <c r="AA78" s="123"/>
      <c r="AB78" s="58"/>
      <c r="AC78" s="80"/>
      <c r="AD78" s="80"/>
      <c r="AE78" s="80"/>
      <c r="AF78" s="80"/>
      <c r="AG78" s="80"/>
      <c r="AH78" s="80"/>
      <c r="AI78" s="80"/>
      <c r="AJ78" s="80"/>
      <c r="AK78" s="80"/>
      <c r="AL78" s="80"/>
      <c r="AM78" s="80"/>
      <c r="AN78" s="80"/>
      <c r="AO78" s="80"/>
      <c r="AP78" s="80"/>
      <c r="AQ78" s="80"/>
      <c r="AR78" s="80"/>
      <c r="AS78" s="186"/>
      <c r="AT78" s="186"/>
      <c r="AU78" s="149"/>
      <c r="AV78" s="149"/>
      <c r="AW78" s="80"/>
      <c r="AX78" s="80"/>
      <c r="AY78" s="80"/>
      <c r="AZ78" s="80"/>
      <c r="BA78" s="80"/>
      <c r="BB78" s="100"/>
      <c r="BC78" s="186"/>
      <c r="BD78" s="186"/>
      <c r="BE78" s="186"/>
      <c r="BF78" s="186"/>
      <c r="BG78" s="186"/>
      <c r="BH78" s="186"/>
      <c r="BI78" s="186"/>
      <c r="BJ78" s="80"/>
      <c r="BK78" s="186"/>
      <c r="BL78" s="186"/>
      <c r="BM78" s="186"/>
      <c r="BN78" s="80"/>
      <c r="BO78" s="80"/>
      <c r="BP78" s="80"/>
      <c r="BQ78" s="80"/>
      <c r="BR78" s="80"/>
      <c r="BS78" s="401"/>
      <c r="BT78" s="420"/>
      <c r="BU78" s="25"/>
      <c r="BV78" s="25"/>
      <c r="BW78" s="13"/>
      <c r="BX78" s="13"/>
      <c r="BY78" s="13"/>
      <c r="BZ78" s="13"/>
      <c r="CV78" s="13"/>
      <c r="CW78" s="13"/>
      <c r="CX78" s="13"/>
      <c r="CY78" s="84"/>
      <c r="CZ78" s="84"/>
      <c r="DA78" s="84"/>
      <c r="DB78" s="84"/>
      <c r="DC78" s="84"/>
      <c r="DD78" s="84"/>
      <c r="DE78" s="84"/>
      <c r="DF78" s="84"/>
      <c r="DG78" s="84"/>
      <c r="DH78" s="84"/>
      <c r="DI78" s="84"/>
      <c r="DJ78" s="84"/>
      <c r="DK78" s="84"/>
      <c r="DL78" s="84"/>
      <c r="DM78" s="84"/>
      <c r="DN78" s="84"/>
      <c r="DO78" s="84"/>
      <c r="DP78" s="84"/>
      <c r="DQ78" s="84"/>
      <c r="DR78" s="84"/>
      <c r="DS78" s="84"/>
    </row>
    <row r="79" spans="1:123" ht="57.75" hidden="1" customHeight="1" x14ac:dyDescent="0.25">
      <c r="A79" s="13"/>
      <c r="B79" s="2382"/>
      <c r="C79" s="2383"/>
      <c r="D79" s="988"/>
      <c r="E79" s="56"/>
      <c r="F79" s="2372"/>
      <c r="G79" s="80"/>
      <c r="H79" s="378"/>
      <c r="I79" s="378"/>
      <c r="J79" s="80"/>
      <c r="K79" s="80"/>
      <c r="L79" s="80"/>
      <c r="M79" s="80"/>
      <c r="N79" s="80"/>
      <c r="O79" s="80"/>
      <c r="P79" s="80"/>
      <c r="Q79" s="80"/>
      <c r="R79" s="342"/>
      <c r="S79" s="149"/>
      <c r="T79" s="149"/>
      <c r="U79" s="149"/>
      <c r="V79" s="149"/>
      <c r="W79" s="13"/>
      <c r="X79" s="13"/>
      <c r="Y79" s="84"/>
      <c r="Z79" s="84"/>
      <c r="AA79" s="123"/>
      <c r="AB79" s="58"/>
      <c r="AC79" s="80"/>
      <c r="AD79" s="80"/>
      <c r="AE79" s="80"/>
      <c r="AF79" s="80"/>
      <c r="AG79" s="80"/>
      <c r="AH79" s="80"/>
      <c r="AI79" s="80"/>
      <c r="AJ79" s="80"/>
      <c r="AK79" s="80"/>
      <c r="AL79" s="80"/>
      <c r="AM79" s="80"/>
      <c r="AN79" s="80"/>
      <c r="AO79" s="80"/>
      <c r="AP79" s="80"/>
      <c r="AQ79" s="80"/>
      <c r="AR79" s="80"/>
      <c r="AS79" s="186"/>
      <c r="AT79" s="186"/>
      <c r="AU79" s="149"/>
      <c r="AV79" s="149"/>
      <c r="AW79" s="80"/>
      <c r="AX79" s="80"/>
      <c r="AY79" s="80"/>
      <c r="AZ79" s="80"/>
      <c r="BA79" s="80"/>
      <c r="BB79" s="80"/>
      <c r="BC79" s="80"/>
      <c r="BD79" s="80"/>
      <c r="BE79" s="80"/>
      <c r="BF79" s="80"/>
      <c r="BG79" s="80"/>
      <c r="BH79" s="80"/>
      <c r="BI79" s="80"/>
      <c r="BJ79" s="80"/>
      <c r="BK79" s="186"/>
      <c r="BL79" s="186"/>
      <c r="BM79" s="186"/>
      <c r="BN79" s="80"/>
      <c r="BO79" s="80"/>
      <c r="BP79" s="80"/>
      <c r="BQ79" s="80"/>
      <c r="BR79" s="80"/>
      <c r="BS79" s="401"/>
      <c r="BT79" s="420"/>
      <c r="BU79" s="25"/>
      <c r="BV79" s="25"/>
      <c r="BW79" s="13"/>
      <c r="BX79" s="13"/>
      <c r="BY79" s="13"/>
      <c r="BZ79" s="13"/>
      <c r="CV79" s="13"/>
      <c r="CW79" s="13"/>
      <c r="CX79" s="13"/>
      <c r="CY79" s="84"/>
      <c r="CZ79" s="84"/>
      <c r="DA79" s="84"/>
      <c r="DB79" s="84"/>
      <c r="DC79" s="84"/>
      <c r="DD79" s="84"/>
      <c r="DE79" s="84"/>
      <c r="DF79" s="84"/>
      <c r="DG79" s="84"/>
      <c r="DH79" s="84"/>
      <c r="DI79" s="84"/>
      <c r="DJ79" s="84"/>
      <c r="DK79" s="84"/>
      <c r="DL79" s="84"/>
      <c r="DM79" s="84"/>
      <c r="DN79" s="84"/>
      <c r="DO79" s="84"/>
      <c r="DP79" s="84"/>
      <c r="DQ79" s="84"/>
      <c r="DR79" s="84"/>
      <c r="DS79" s="84"/>
    </row>
    <row r="80" spans="1:123" ht="57.75" hidden="1" customHeight="1" x14ac:dyDescent="0.25">
      <c r="A80" s="13"/>
      <c r="B80" s="2382"/>
      <c r="C80" s="2383"/>
      <c r="D80" s="988"/>
      <c r="E80" s="1019"/>
      <c r="F80" s="1019"/>
      <c r="G80" s="80"/>
      <c r="H80" s="378"/>
      <c r="I80" s="378"/>
      <c r="J80" s="80"/>
      <c r="K80" s="80"/>
      <c r="L80" s="80"/>
      <c r="M80" s="80"/>
      <c r="N80" s="80"/>
      <c r="O80" s="80"/>
      <c r="P80" s="80"/>
      <c r="Q80" s="80"/>
      <c r="R80" s="342"/>
      <c r="S80" s="149"/>
      <c r="T80" s="149"/>
      <c r="U80" s="149"/>
      <c r="V80" s="149"/>
      <c r="W80" s="13"/>
      <c r="X80" s="13"/>
      <c r="Y80" s="84"/>
      <c r="Z80" s="84"/>
      <c r="AA80" s="123"/>
      <c r="AB80" s="58"/>
      <c r="AC80" s="80"/>
      <c r="AD80" s="80"/>
      <c r="AE80" s="80"/>
      <c r="AF80" s="80"/>
      <c r="AG80" s="80"/>
      <c r="AH80" s="80"/>
      <c r="AI80" s="80"/>
      <c r="AJ80" s="80"/>
      <c r="AK80" s="80"/>
      <c r="AL80" s="80"/>
      <c r="AM80" s="80"/>
      <c r="AN80" s="80"/>
      <c r="AO80" s="80"/>
      <c r="AP80" s="80"/>
      <c r="AQ80" s="80"/>
      <c r="AR80" s="80"/>
      <c r="AS80" s="186"/>
      <c r="AT80" s="186"/>
      <c r="AU80" s="149"/>
      <c r="AV80" s="149"/>
      <c r="AW80" s="80"/>
      <c r="AX80" s="80"/>
      <c r="AY80" s="80"/>
      <c r="AZ80" s="80"/>
      <c r="BA80" s="80"/>
      <c r="BB80" s="80"/>
      <c r="BC80" s="80"/>
      <c r="BD80" s="80"/>
      <c r="BE80" s="80"/>
      <c r="BF80" s="80"/>
      <c r="BG80" s="80"/>
      <c r="BH80" s="80"/>
      <c r="BI80" s="80"/>
      <c r="BJ80" s="80"/>
      <c r="BK80" s="186"/>
      <c r="BL80" s="186"/>
      <c r="BM80" s="186"/>
      <c r="BN80" s="80"/>
      <c r="BO80" s="80"/>
      <c r="BP80" s="80"/>
      <c r="BQ80" s="80"/>
      <c r="BR80" s="80"/>
      <c r="BS80" s="401"/>
      <c r="BT80" s="420"/>
      <c r="BU80" s="25"/>
      <c r="BV80" s="25"/>
      <c r="BW80" s="13"/>
      <c r="BX80" s="13"/>
      <c r="BY80" s="13"/>
      <c r="BZ80" s="13"/>
      <c r="CV80" s="13"/>
      <c r="CW80" s="13"/>
      <c r="CX80" s="13"/>
      <c r="CY80" s="84"/>
      <c r="CZ80" s="84"/>
      <c r="DA80" s="84"/>
      <c r="DB80" s="84"/>
      <c r="DC80" s="84"/>
      <c r="DD80" s="84"/>
      <c r="DE80" s="84"/>
      <c r="DF80" s="84"/>
      <c r="DG80" s="84"/>
      <c r="DH80" s="84"/>
      <c r="DI80" s="84"/>
      <c r="DJ80" s="84"/>
      <c r="DK80" s="84"/>
      <c r="DL80" s="84"/>
      <c r="DM80" s="84"/>
      <c r="DN80" s="84"/>
      <c r="DO80" s="84"/>
      <c r="DP80" s="84"/>
      <c r="DQ80" s="84"/>
      <c r="DR80" s="84"/>
      <c r="DS80" s="84"/>
    </row>
    <row r="81" spans="1:123" ht="57.75" hidden="1" customHeight="1" x14ac:dyDescent="0.25">
      <c r="A81" s="13"/>
      <c r="B81" s="2382"/>
      <c r="C81" s="2383"/>
      <c r="D81" s="988"/>
      <c r="E81" s="1019"/>
      <c r="F81" s="1019"/>
      <c r="G81" s="80"/>
      <c r="H81" s="378"/>
      <c r="I81" s="378"/>
      <c r="J81" s="80"/>
      <c r="K81" s="80"/>
      <c r="L81" s="80"/>
      <c r="M81" s="80"/>
      <c r="N81" s="80"/>
      <c r="O81" s="80"/>
      <c r="P81" s="80"/>
      <c r="Q81" s="80"/>
      <c r="R81" s="342"/>
      <c r="S81" s="149"/>
      <c r="T81" s="149"/>
      <c r="U81" s="149"/>
      <c r="V81" s="149"/>
      <c r="W81" s="13"/>
      <c r="X81" s="13"/>
      <c r="Y81" s="84"/>
      <c r="Z81" s="84"/>
      <c r="AA81" s="123"/>
      <c r="AB81" s="58"/>
      <c r="AC81" s="80"/>
      <c r="AD81" s="80"/>
      <c r="AE81" s="80"/>
      <c r="AF81" s="80"/>
      <c r="AG81" s="80"/>
      <c r="AH81" s="80"/>
      <c r="AI81" s="80"/>
      <c r="AJ81" s="80"/>
      <c r="AK81" s="80"/>
      <c r="AL81" s="80"/>
      <c r="AM81" s="80"/>
      <c r="AN81" s="80"/>
      <c r="AO81" s="80"/>
      <c r="AP81" s="80"/>
      <c r="AQ81" s="80"/>
      <c r="AR81" s="80"/>
      <c r="AS81" s="186"/>
      <c r="AT81" s="186"/>
      <c r="AU81" s="149"/>
      <c r="AV81" s="149"/>
      <c r="AW81" s="80"/>
      <c r="AX81" s="80"/>
      <c r="AY81" s="80"/>
      <c r="AZ81" s="80"/>
      <c r="BA81" s="80"/>
      <c r="BB81" s="80"/>
      <c r="BC81" s="80"/>
      <c r="BD81" s="80"/>
      <c r="BE81" s="80"/>
      <c r="BF81" s="80"/>
      <c r="BG81" s="80"/>
      <c r="BH81" s="80"/>
      <c r="BI81" s="80"/>
      <c r="BJ81" s="80"/>
      <c r="BK81" s="186"/>
      <c r="BL81" s="186"/>
      <c r="BM81" s="186"/>
      <c r="BN81" s="80"/>
      <c r="BO81" s="80"/>
      <c r="BP81" s="80"/>
      <c r="BQ81" s="80"/>
      <c r="BR81" s="80"/>
      <c r="BS81" s="401"/>
      <c r="BT81" s="420"/>
      <c r="BU81" s="25"/>
      <c r="BV81" s="25"/>
      <c r="BW81" s="13"/>
      <c r="BX81" s="13"/>
      <c r="BY81" s="13"/>
      <c r="BZ81" s="13"/>
      <c r="CV81" s="13"/>
      <c r="CW81" s="13"/>
      <c r="CX81" s="13"/>
      <c r="CY81" s="84"/>
      <c r="CZ81" s="84"/>
      <c r="DA81" s="84"/>
      <c r="DB81" s="84"/>
      <c r="DC81" s="84"/>
      <c r="DD81" s="84"/>
      <c r="DE81" s="84"/>
      <c r="DF81" s="84"/>
      <c r="DG81" s="84"/>
      <c r="DH81" s="84"/>
      <c r="DI81" s="84"/>
      <c r="DJ81" s="84"/>
      <c r="DK81" s="84"/>
      <c r="DL81" s="84"/>
      <c r="DM81" s="84"/>
      <c r="DN81" s="84"/>
      <c r="DO81" s="84"/>
      <c r="DP81" s="84"/>
      <c r="DQ81" s="84"/>
      <c r="DR81" s="84"/>
      <c r="DS81" s="84"/>
    </row>
    <row r="82" spans="1:123" ht="57.75" hidden="1" customHeight="1" x14ac:dyDescent="0.25">
      <c r="A82" s="13"/>
      <c r="B82" s="2382"/>
      <c r="C82" s="2383"/>
      <c r="D82" s="988"/>
      <c r="E82" s="1019"/>
      <c r="F82" s="1019"/>
      <c r="G82" s="80"/>
      <c r="H82" s="378"/>
      <c r="I82" s="378"/>
      <c r="J82" s="80"/>
      <c r="K82" s="80"/>
      <c r="L82" s="80"/>
      <c r="M82" s="80"/>
      <c r="N82" s="80"/>
      <c r="O82" s="80"/>
      <c r="P82" s="80"/>
      <c r="Q82" s="80"/>
      <c r="R82" s="342"/>
      <c r="S82" s="149"/>
      <c r="T82" s="149"/>
      <c r="U82" s="149"/>
      <c r="V82" s="149"/>
      <c r="W82" s="13"/>
      <c r="X82" s="13"/>
      <c r="Y82" s="84"/>
      <c r="Z82" s="84"/>
      <c r="AA82" s="80"/>
      <c r="AB82" s="186"/>
      <c r="AC82" s="186"/>
      <c r="AD82" s="186"/>
      <c r="AE82" s="186"/>
      <c r="AF82" s="186"/>
      <c r="AG82" s="186"/>
      <c r="AH82" s="186"/>
      <c r="AI82" s="186"/>
      <c r="AJ82" s="80"/>
      <c r="AK82" s="80"/>
      <c r="AL82" s="80"/>
      <c r="AM82" s="80"/>
      <c r="AN82" s="80"/>
      <c r="AO82" s="80"/>
      <c r="AP82" s="80"/>
      <c r="AQ82" s="80"/>
      <c r="AR82" s="80"/>
      <c r="AS82" s="186"/>
      <c r="AT82" s="186"/>
      <c r="AU82" s="149"/>
      <c r="AV82" s="149"/>
      <c r="AW82" s="80"/>
      <c r="AX82" s="80"/>
      <c r="AY82" s="80"/>
      <c r="AZ82" s="80"/>
      <c r="BA82" s="80"/>
      <c r="BB82" s="80"/>
      <c r="BC82" s="80"/>
      <c r="BD82" s="80"/>
      <c r="BE82" s="80"/>
      <c r="BF82" s="80"/>
      <c r="BG82" s="80"/>
      <c r="BH82" s="80"/>
      <c r="BI82" s="80"/>
      <c r="BJ82" s="80"/>
      <c r="BK82" s="186"/>
      <c r="BL82" s="186"/>
      <c r="BM82" s="186"/>
      <c r="BN82" s="80"/>
      <c r="BO82" s="80"/>
      <c r="BP82" s="80"/>
      <c r="BQ82" s="80"/>
      <c r="BR82" s="80"/>
      <c r="BS82" s="124"/>
      <c r="BT82" s="25"/>
      <c r="BU82" s="25"/>
      <c r="BV82" s="25"/>
      <c r="BW82" s="13"/>
      <c r="BX82" s="13"/>
      <c r="BY82" s="13"/>
      <c r="BZ82" s="13"/>
      <c r="CV82" s="13"/>
      <c r="CW82" s="13"/>
      <c r="CX82" s="13"/>
      <c r="CY82" s="84"/>
      <c r="CZ82" s="84"/>
      <c r="DA82" s="84"/>
      <c r="DB82" s="84"/>
      <c r="DC82" s="84"/>
      <c r="DD82" s="84"/>
      <c r="DE82" s="84"/>
      <c r="DF82" s="84"/>
      <c r="DG82" s="84"/>
      <c r="DH82" s="84"/>
      <c r="DI82" s="84"/>
      <c r="DJ82" s="84"/>
      <c r="DK82" s="84"/>
      <c r="DL82" s="84"/>
      <c r="DM82" s="84"/>
      <c r="DN82" s="84"/>
      <c r="DO82" s="84"/>
      <c r="DP82" s="84"/>
      <c r="DQ82" s="84"/>
      <c r="DR82" s="84"/>
      <c r="DS82" s="84"/>
    </row>
    <row r="83" spans="1:123" ht="57.75" hidden="1" customHeight="1" thickBot="1" x14ac:dyDescent="0.3">
      <c r="A83" s="13"/>
      <c r="B83" s="2384"/>
      <c r="C83" s="2385"/>
      <c r="D83" s="989"/>
      <c r="E83" s="369"/>
      <c r="F83" s="370"/>
      <c r="G83" s="117"/>
      <c r="H83" s="370"/>
      <c r="I83" s="370"/>
      <c r="J83" s="117"/>
      <c r="K83" s="117"/>
      <c r="L83" s="117"/>
      <c r="M83" s="117"/>
      <c r="N83" s="117"/>
      <c r="O83" s="117"/>
      <c r="P83" s="117"/>
      <c r="Q83" s="117"/>
      <c r="R83" s="392"/>
      <c r="S83" s="149"/>
      <c r="T83" s="149"/>
      <c r="U83" s="149"/>
      <c r="V83" s="149"/>
      <c r="W83" s="13"/>
      <c r="X83" s="13"/>
      <c r="Y83" s="84"/>
      <c r="Z83" s="84"/>
      <c r="AA83" s="80"/>
      <c r="AB83" s="80"/>
      <c r="AC83" s="186"/>
      <c r="AD83" s="186"/>
      <c r="AE83" s="186"/>
      <c r="AF83" s="186"/>
      <c r="AG83" s="186"/>
      <c r="AH83" s="186"/>
      <c r="AI83" s="186"/>
      <c r="AJ83" s="80"/>
      <c r="AK83" s="80"/>
      <c r="AL83" s="80"/>
      <c r="AM83" s="80"/>
      <c r="AN83" s="80"/>
      <c r="AO83" s="80"/>
      <c r="AP83" s="80"/>
      <c r="AQ83" s="80"/>
      <c r="AR83" s="80"/>
      <c r="AS83" s="186"/>
      <c r="AT83" s="186"/>
      <c r="AU83" s="149"/>
      <c r="AV83" s="149"/>
      <c r="AW83" s="80"/>
      <c r="AX83" s="80"/>
      <c r="AY83" s="80"/>
      <c r="AZ83" s="80"/>
      <c r="BA83" s="186"/>
      <c r="BB83" s="80"/>
      <c r="BC83" s="80"/>
      <c r="BD83" s="80"/>
      <c r="BE83" s="80"/>
      <c r="BF83" s="80"/>
      <c r="BG83" s="80"/>
      <c r="BH83" s="186"/>
      <c r="BI83" s="186"/>
      <c r="BJ83" s="80"/>
      <c r="BK83" s="80"/>
      <c r="BL83" s="80"/>
      <c r="BM83" s="80"/>
      <c r="BN83" s="80"/>
      <c r="BO83" s="80"/>
      <c r="BP83" s="80"/>
      <c r="BQ83" s="80"/>
      <c r="BR83" s="80"/>
      <c r="BS83" s="80"/>
      <c r="BT83" s="25"/>
      <c r="BU83" s="25"/>
      <c r="BV83" s="25"/>
      <c r="BW83" s="13"/>
      <c r="BX83" s="13"/>
      <c r="BY83" s="13"/>
      <c r="BZ83" s="13"/>
      <c r="CV83" s="13"/>
      <c r="CW83" s="13"/>
      <c r="CX83" s="13"/>
      <c r="CY83" s="84"/>
      <c r="CZ83" s="84"/>
      <c r="DA83" s="84"/>
      <c r="DB83" s="84"/>
      <c r="DC83" s="84"/>
      <c r="DD83" s="84"/>
      <c r="DE83" s="84"/>
      <c r="DF83" s="84"/>
      <c r="DG83" s="84"/>
      <c r="DH83" s="84"/>
      <c r="DI83" s="84"/>
      <c r="DJ83" s="84"/>
      <c r="DK83" s="84"/>
      <c r="DL83" s="84"/>
      <c r="DM83" s="84"/>
      <c r="DN83" s="84"/>
      <c r="DO83" s="84"/>
      <c r="DP83" s="84"/>
      <c r="DQ83" s="84"/>
      <c r="DR83" s="84"/>
      <c r="DS83" s="84"/>
    </row>
    <row r="84" spans="1:123" ht="2.2999999999999998" customHeight="1" x14ac:dyDescent="0.25">
      <c r="A84" s="13"/>
      <c r="B84" s="344"/>
      <c r="C84" s="344"/>
      <c r="D84" s="344"/>
      <c r="E84" s="13"/>
      <c r="F84" s="13"/>
      <c r="G84" s="13"/>
      <c r="H84" s="13"/>
      <c r="I84" s="13"/>
      <c r="J84" s="13"/>
      <c r="K84" s="13"/>
      <c r="L84" s="13"/>
      <c r="M84" s="13"/>
      <c r="N84" s="13"/>
      <c r="O84" s="13"/>
      <c r="P84" s="13"/>
      <c r="Q84" s="13"/>
      <c r="R84" s="13"/>
      <c r="S84" s="149"/>
      <c r="T84" s="149"/>
      <c r="U84" s="149"/>
      <c r="V84" s="149"/>
      <c r="W84" s="13"/>
      <c r="X84" s="13"/>
      <c r="Y84" s="13"/>
      <c r="Z84" s="13"/>
      <c r="AA84" s="25"/>
      <c r="AB84" s="25"/>
      <c r="AC84" s="149"/>
      <c r="AD84" s="149"/>
      <c r="AE84" s="149"/>
      <c r="AF84" s="149"/>
      <c r="AG84" s="149"/>
      <c r="AH84" s="149"/>
      <c r="AI84" s="149"/>
      <c r="AJ84" s="25"/>
      <c r="AK84" s="25"/>
      <c r="AL84" s="25"/>
      <c r="AM84" s="25"/>
      <c r="AN84" s="25"/>
      <c r="AO84" s="25"/>
      <c r="AP84" s="25"/>
      <c r="AQ84" s="25"/>
      <c r="AR84" s="25"/>
      <c r="AS84" s="149"/>
      <c r="AT84" s="149"/>
      <c r="AU84" s="149"/>
      <c r="AV84" s="149"/>
      <c r="AW84" s="25"/>
      <c r="AX84" s="25"/>
      <c r="AY84" s="25"/>
      <c r="AZ84" s="25"/>
      <c r="BA84" s="149"/>
      <c r="BB84" s="25"/>
      <c r="BC84" s="25"/>
      <c r="BD84" s="25"/>
      <c r="BE84" s="25"/>
      <c r="BF84" s="25"/>
      <c r="BG84" s="25"/>
      <c r="BH84" s="25"/>
      <c r="BI84" s="25"/>
      <c r="BJ84" s="25"/>
      <c r="BK84" s="25"/>
      <c r="BL84" s="25"/>
      <c r="BM84" s="25"/>
      <c r="BN84" s="25"/>
      <c r="BO84" s="25"/>
      <c r="BP84" s="25"/>
      <c r="BQ84" s="25"/>
      <c r="BR84" s="25"/>
      <c r="BS84" s="25"/>
      <c r="BT84" s="25"/>
      <c r="BU84" s="25"/>
      <c r="BV84" s="25"/>
      <c r="BW84" s="13"/>
      <c r="BX84" s="13"/>
      <c r="BY84" s="13"/>
      <c r="BZ84" s="13"/>
      <c r="CV84" s="13"/>
      <c r="CW84" s="13"/>
      <c r="CX84" s="13"/>
      <c r="CY84" s="84"/>
      <c r="CZ84" s="84"/>
      <c r="DA84" s="84"/>
      <c r="DB84" s="84"/>
      <c r="DC84" s="84"/>
      <c r="DD84" s="84"/>
      <c r="DE84" s="84"/>
      <c r="DF84" s="84"/>
      <c r="DG84" s="84"/>
      <c r="DH84" s="84"/>
      <c r="DI84" s="84"/>
      <c r="DJ84" s="84"/>
      <c r="DK84" s="84"/>
      <c r="DL84" s="84"/>
      <c r="DM84" s="84"/>
      <c r="DN84" s="84"/>
      <c r="DO84" s="84"/>
      <c r="DP84" s="84"/>
      <c r="DQ84" s="84"/>
      <c r="DR84" s="84"/>
      <c r="DS84" s="84"/>
    </row>
    <row r="85" spans="1:123" ht="2.2999999999999998" customHeight="1" x14ac:dyDescent="0.25">
      <c r="A85" s="13"/>
      <c r="B85" s="344"/>
      <c r="C85" s="344"/>
      <c r="D85" s="344"/>
      <c r="E85" s="13"/>
      <c r="F85" s="13"/>
      <c r="G85" s="13"/>
      <c r="H85" s="13"/>
      <c r="I85" s="13"/>
      <c r="J85" s="13"/>
      <c r="K85" s="13"/>
      <c r="L85" s="13"/>
      <c r="M85" s="13"/>
      <c r="N85" s="13"/>
      <c r="O85" s="13"/>
      <c r="P85" s="13"/>
      <c r="Q85" s="13"/>
      <c r="R85" s="13"/>
      <c r="S85" s="149"/>
      <c r="T85" s="149"/>
      <c r="U85" s="149"/>
      <c r="V85" s="149"/>
      <c r="W85" s="13"/>
      <c r="X85" s="13"/>
      <c r="Y85" s="13"/>
      <c r="Z85" s="13"/>
      <c r="AA85" s="25"/>
      <c r="AB85" s="25"/>
      <c r="AC85" s="149"/>
      <c r="AD85" s="149"/>
      <c r="AE85" s="149"/>
      <c r="AF85" s="149"/>
      <c r="AG85" s="149"/>
      <c r="AH85" s="149"/>
      <c r="AI85" s="149"/>
      <c r="AJ85" s="25"/>
      <c r="AK85" s="25"/>
      <c r="AL85" s="25"/>
      <c r="AM85" s="25"/>
      <c r="AN85" s="25"/>
      <c r="AO85" s="25"/>
      <c r="AP85" s="25"/>
      <c r="AQ85" s="25"/>
      <c r="AR85" s="25"/>
      <c r="AS85" s="149"/>
      <c r="AT85" s="149"/>
      <c r="AU85" s="149"/>
      <c r="AV85" s="149"/>
      <c r="AW85" s="25"/>
      <c r="AX85" s="25"/>
      <c r="AY85" s="25"/>
      <c r="AZ85" s="25"/>
      <c r="BA85" s="149"/>
      <c r="BB85" s="25"/>
      <c r="BC85" s="25"/>
      <c r="BD85" s="25"/>
      <c r="BE85" s="25"/>
      <c r="BF85" s="25"/>
      <c r="BG85" s="25"/>
      <c r="BH85" s="25"/>
      <c r="BI85" s="25"/>
      <c r="BJ85" s="25"/>
      <c r="BK85" s="25"/>
      <c r="BL85" s="25"/>
      <c r="BM85" s="25"/>
      <c r="BN85" s="25"/>
      <c r="BO85" s="25"/>
      <c r="BP85" s="25"/>
      <c r="BQ85" s="25"/>
      <c r="BR85" s="25"/>
      <c r="BS85" s="25"/>
      <c r="BT85" s="25"/>
      <c r="BU85" s="25"/>
      <c r="BV85" s="25"/>
      <c r="BW85" s="13"/>
      <c r="BX85" s="13"/>
      <c r="BY85" s="13"/>
      <c r="BZ85" s="13"/>
      <c r="CV85" s="13"/>
      <c r="CW85" s="13"/>
      <c r="CX85" s="13"/>
      <c r="CY85" s="84"/>
      <c r="CZ85" s="84"/>
      <c r="DA85" s="84"/>
      <c r="DB85" s="84"/>
      <c r="DC85" s="84"/>
      <c r="DD85" s="84"/>
      <c r="DE85" s="84"/>
      <c r="DF85" s="84"/>
      <c r="DG85" s="84"/>
      <c r="DH85" s="84"/>
      <c r="DI85" s="84"/>
      <c r="DJ85" s="84"/>
      <c r="DK85" s="84"/>
      <c r="DL85" s="84"/>
      <c r="DM85" s="84"/>
      <c r="DN85" s="84"/>
      <c r="DO85" s="84"/>
      <c r="DP85" s="84"/>
      <c r="DQ85" s="84"/>
      <c r="DR85" s="84"/>
      <c r="DS85" s="84"/>
    </row>
    <row r="86" spans="1:123" ht="2.2999999999999998" customHeight="1" x14ac:dyDescent="0.25">
      <c r="A86" s="13"/>
      <c r="B86" s="75"/>
      <c r="C86" s="75"/>
      <c r="D86" s="259"/>
      <c r="E86" s="149"/>
      <c r="F86" s="149"/>
      <c r="G86" s="83"/>
      <c r="H86" s="83"/>
      <c r="I86" s="83"/>
      <c r="J86" s="149"/>
      <c r="K86" s="149"/>
      <c r="L86" s="149"/>
      <c r="M86" s="149"/>
      <c r="N86" s="149"/>
      <c r="O86" s="149"/>
      <c r="P86" s="149"/>
      <c r="Q86" s="149"/>
      <c r="R86" s="149"/>
      <c r="S86" s="149"/>
      <c r="T86" s="149"/>
      <c r="U86" s="149"/>
      <c r="V86" s="149"/>
      <c r="W86" s="13"/>
      <c r="X86" s="13"/>
      <c r="Y86" s="13"/>
      <c r="Z86" s="13"/>
      <c r="AA86" s="149"/>
      <c r="AB86" s="149"/>
      <c r="AC86" s="149"/>
      <c r="AD86" s="149"/>
      <c r="AE86" s="149"/>
      <c r="AF86" s="149"/>
      <c r="AG86" s="149"/>
      <c r="AH86" s="149"/>
      <c r="AI86" s="149"/>
      <c r="AJ86" s="25"/>
      <c r="AK86" s="149"/>
      <c r="AL86" s="149"/>
      <c r="AM86" s="25"/>
      <c r="AN86" s="149"/>
      <c r="AO86" s="149"/>
      <c r="AP86" s="149"/>
      <c r="AQ86" s="149"/>
      <c r="AR86" s="149"/>
      <c r="AS86" s="149"/>
      <c r="AT86" s="149"/>
      <c r="AU86" s="149"/>
      <c r="AV86" s="149"/>
      <c r="AW86" s="25"/>
      <c r="AX86" s="25"/>
      <c r="AY86" s="25"/>
      <c r="AZ86" s="25"/>
      <c r="BA86" s="149"/>
      <c r="BB86" s="25"/>
      <c r="BC86" s="25"/>
      <c r="BD86" s="25"/>
      <c r="BE86" s="25"/>
      <c r="BF86" s="25"/>
      <c r="BG86" s="25"/>
      <c r="BH86" s="149"/>
      <c r="BI86" s="149"/>
      <c r="BJ86" s="25"/>
      <c r="BK86" s="25"/>
      <c r="BL86" s="25"/>
      <c r="BM86" s="25"/>
      <c r="BN86" s="25"/>
      <c r="BO86" s="25"/>
      <c r="BP86" s="25"/>
      <c r="BQ86" s="25"/>
      <c r="BR86" s="25"/>
      <c r="BS86" s="25"/>
      <c r="BT86" s="25"/>
      <c r="BU86" s="25"/>
      <c r="BV86" s="25"/>
      <c r="BW86" s="13"/>
      <c r="BX86" s="13"/>
      <c r="BY86" s="13"/>
      <c r="BZ86" s="13"/>
      <c r="CV86" s="13"/>
      <c r="CW86" s="13"/>
      <c r="CX86" s="13"/>
      <c r="CY86" s="84"/>
      <c r="CZ86" s="84"/>
      <c r="DA86" s="84"/>
      <c r="DB86" s="84"/>
      <c r="DC86" s="84"/>
      <c r="DD86" s="84"/>
      <c r="DE86" s="84"/>
      <c r="DF86" s="84"/>
      <c r="DG86" s="84"/>
      <c r="DH86" s="84"/>
      <c r="DI86" s="84"/>
      <c r="DJ86" s="84"/>
      <c r="DK86" s="84"/>
      <c r="DL86" s="84"/>
      <c r="DM86" s="84"/>
      <c r="DN86" s="84"/>
      <c r="DO86" s="84"/>
      <c r="DP86" s="84"/>
      <c r="DQ86" s="84"/>
      <c r="DR86" s="84"/>
      <c r="DS86" s="84"/>
    </row>
    <row r="87" spans="1:123" ht="2.2999999999999998" customHeight="1" x14ac:dyDescent="0.25">
      <c r="A87" s="13"/>
      <c r="B87" s="75"/>
      <c r="C87" s="75"/>
      <c r="D87" s="259"/>
      <c r="E87" s="149"/>
      <c r="F87" s="149"/>
      <c r="G87" s="83"/>
      <c r="H87" s="83"/>
      <c r="I87" s="83"/>
      <c r="J87" s="149"/>
      <c r="K87" s="136"/>
      <c r="L87" s="137"/>
      <c r="M87" s="106"/>
      <c r="N87" s="149"/>
      <c r="O87" s="149"/>
      <c r="P87" s="149"/>
      <c r="Q87" s="149"/>
      <c r="R87" s="149"/>
      <c r="S87" s="149"/>
      <c r="T87" s="149"/>
      <c r="U87" s="149"/>
      <c r="V87" s="149"/>
      <c r="W87" s="13"/>
      <c r="X87" s="13"/>
      <c r="Y87" s="13"/>
      <c r="Z87" s="13"/>
      <c r="AA87" s="149"/>
      <c r="AB87" s="149"/>
      <c r="AC87" s="149"/>
      <c r="AD87" s="149"/>
      <c r="AE87" s="149"/>
      <c r="AF87" s="149"/>
      <c r="AG87" s="149"/>
      <c r="AH87" s="149"/>
      <c r="AI87" s="149"/>
      <c r="AJ87" s="25"/>
      <c r="AK87" s="149"/>
      <c r="AL87" s="149"/>
      <c r="AM87" s="25"/>
      <c r="AN87" s="149"/>
      <c r="AO87" s="149"/>
      <c r="AP87" s="149"/>
      <c r="AQ87" s="149"/>
      <c r="AR87" s="149"/>
      <c r="AS87" s="149"/>
      <c r="AT87" s="149"/>
      <c r="AU87" s="149"/>
      <c r="AV87" s="149"/>
      <c r="AW87" s="25"/>
      <c r="AX87" s="25"/>
      <c r="AY87" s="25"/>
      <c r="AZ87" s="25"/>
      <c r="BA87" s="149"/>
      <c r="BB87" s="25"/>
      <c r="BC87" s="25"/>
      <c r="BD87" s="25"/>
      <c r="BE87" s="25"/>
      <c r="BF87" s="25"/>
      <c r="BG87" s="25"/>
      <c r="BH87" s="149"/>
      <c r="BI87" s="149"/>
      <c r="BJ87" s="25"/>
      <c r="BK87" s="25"/>
      <c r="BL87" s="25"/>
      <c r="BM87" s="25"/>
      <c r="BN87" s="79"/>
      <c r="BO87" s="25"/>
      <c r="BP87" s="25"/>
      <c r="BQ87" s="25"/>
      <c r="BR87" s="25"/>
      <c r="BS87" s="25"/>
      <c r="BT87" s="25"/>
      <c r="BU87" s="25"/>
      <c r="BV87" s="360"/>
      <c r="BW87" s="13"/>
      <c r="BX87" s="13"/>
      <c r="BY87" s="13"/>
      <c r="BZ87" s="13"/>
      <c r="CV87" s="13"/>
      <c r="CW87" s="13"/>
      <c r="CX87" s="13"/>
      <c r="CY87" s="84"/>
      <c r="CZ87" s="84"/>
      <c r="DA87" s="84"/>
      <c r="DB87" s="84"/>
      <c r="DC87" s="84"/>
      <c r="DD87" s="84"/>
      <c r="DE87" s="84"/>
      <c r="DF87" s="84"/>
      <c r="DG87" s="84"/>
      <c r="DH87" s="84"/>
      <c r="DI87" s="84"/>
      <c r="DJ87" s="84"/>
      <c r="DK87" s="84"/>
      <c r="DL87" s="84"/>
      <c r="DM87" s="84"/>
      <c r="DN87" s="84"/>
      <c r="DO87" s="84"/>
      <c r="DP87" s="84"/>
      <c r="DQ87" s="84"/>
      <c r="DR87" s="84"/>
      <c r="DS87" s="84"/>
    </row>
    <row r="88" spans="1:123" ht="2.2999999999999998" customHeight="1" x14ac:dyDescent="0.25">
      <c r="A88" s="13"/>
      <c r="B88" s="344"/>
      <c r="C88" s="344"/>
      <c r="D88" s="344"/>
      <c r="E88" s="393"/>
      <c r="F88" s="394"/>
      <c r="G88" s="13"/>
      <c r="H88" s="394"/>
      <c r="I88" s="394"/>
      <c r="J88" s="13"/>
      <c r="K88" s="13"/>
      <c r="L88" s="13"/>
      <c r="M88" s="13"/>
      <c r="N88" s="13"/>
      <c r="O88" s="13"/>
      <c r="P88" s="13"/>
      <c r="Q88" s="13"/>
      <c r="R88" s="13"/>
      <c r="S88" s="149"/>
      <c r="T88" s="149"/>
      <c r="U88" s="149"/>
      <c r="V88" s="149"/>
      <c r="W88" s="13"/>
      <c r="X88" s="13"/>
      <c r="Y88" s="13"/>
      <c r="Z88" s="13"/>
      <c r="AA88" s="149"/>
      <c r="AB88" s="149"/>
      <c r="AC88" s="149"/>
      <c r="AD88" s="149"/>
      <c r="AE88" s="149"/>
      <c r="AF88" s="149"/>
      <c r="AG88" s="149"/>
      <c r="AH88" s="149"/>
      <c r="AI88" s="149"/>
      <c r="AJ88" s="25"/>
      <c r="AK88" s="149"/>
      <c r="AL88" s="149"/>
      <c r="AM88" s="25"/>
      <c r="AN88" s="149"/>
      <c r="AO88" s="149"/>
      <c r="AP88" s="149"/>
      <c r="AQ88" s="149"/>
      <c r="AR88" s="149"/>
      <c r="AS88" s="149"/>
      <c r="AT88" s="149"/>
      <c r="AU88" s="149"/>
      <c r="AV88" s="149"/>
      <c r="AW88" s="25"/>
      <c r="AX88" s="25"/>
      <c r="AY88" s="25"/>
      <c r="AZ88" s="25"/>
      <c r="BA88" s="149"/>
      <c r="BB88" s="149"/>
      <c r="BC88" s="149"/>
      <c r="BD88" s="149"/>
      <c r="BE88" s="149"/>
      <c r="BF88" s="149"/>
      <c r="BG88" s="149"/>
      <c r="BH88" s="149"/>
      <c r="BI88" s="149"/>
      <c r="BJ88" s="25"/>
      <c r="BK88" s="149"/>
      <c r="BL88" s="149"/>
      <c r="BM88" s="149"/>
      <c r="BN88" s="25"/>
      <c r="BO88" s="25"/>
      <c r="BP88" s="25"/>
      <c r="BQ88" s="420"/>
      <c r="BR88" s="25"/>
      <c r="BS88" s="420"/>
      <c r="BT88" s="25"/>
      <c r="BU88" s="25"/>
      <c r="BV88" s="25"/>
      <c r="BW88" s="13"/>
      <c r="BX88" s="13"/>
      <c r="BY88" s="13"/>
      <c r="BZ88" s="13"/>
      <c r="CV88" s="13"/>
      <c r="CW88" s="13"/>
      <c r="CX88" s="13"/>
      <c r="CY88" s="84"/>
      <c r="CZ88" s="84"/>
      <c r="DA88" s="84"/>
      <c r="DB88" s="84"/>
      <c r="DC88" s="84"/>
      <c r="DD88" s="84"/>
      <c r="DE88" s="84"/>
      <c r="DF88" s="84"/>
      <c r="DG88" s="84"/>
      <c r="DH88" s="84"/>
      <c r="DI88" s="84"/>
      <c r="DJ88" s="84"/>
      <c r="DK88" s="84"/>
      <c r="DL88" s="84"/>
      <c r="DM88" s="84"/>
      <c r="DN88" s="84"/>
      <c r="DO88" s="84"/>
      <c r="DP88" s="84"/>
      <c r="DQ88" s="84"/>
      <c r="DR88" s="84"/>
      <c r="DS88" s="84"/>
    </row>
    <row r="89" spans="1:123" ht="2.2999999999999998" customHeight="1" x14ac:dyDescent="0.25">
      <c r="A89" s="13"/>
      <c r="B89" s="344"/>
      <c r="C89" s="430"/>
      <c r="D89" s="360"/>
      <c r="E89" s="337"/>
      <c r="F89" s="395"/>
      <c r="G89" s="395"/>
      <c r="H89" s="395"/>
      <c r="I89" s="395"/>
      <c r="J89" s="395"/>
      <c r="K89" s="396"/>
      <c r="L89" s="396"/>
      <c r="M89" s="396"/>
      <c r="N89" s="25"/>
      <c r="O89" s="25"/>
      <c r="P89" s="25"/>
      <c r="Q89" s="25"/>
      <c r="R89" s="25"/>
      <c r="S89" s="149"/>
      <c r="T89" s="149"/>
      <c r="U89" s="149"/>
      <c r="V89" s="149"/>
      <c r="W89" s="13"/>
      <c r="X89" s="13"/>
      <c r="Y89" s="13"/>
      <c r="Z89" s="13"/>
      <c r="AA89" s="25"/>
      <c r="AB89" s="25"/>
      <c r="AC89" s="149"/>
      <c r="AD89" s="149"/>
      <c r="AE89" s="149"/>
      <c r="AF89" s="149"/>
      <c r="AG89" s="149"/>
      <c r="AH89" s="149"/>
      <c r="AI89" s="149"/>
      <c r="AJ89" s="25"/>
      <c r="AK89" s="149"/>
      <c r="AL89" s="149"/>
      <c r="AM89" s="25"/>
      <c r="AN89" s="4"/>
      <c r="AO89" s="4"/>
      <c r="AP89" s="149"/>
      <c r="AQ89" s="149"/>
      <c r="AR89" s="149"/>
      <c r="AS89" s="149"/>
      <c r="AT89" s="149"/>
      <c r="AU89" s="149"/>
      <c r="AV89" s="149"/>
      <c r="AW89" s="25"/>
      <c r="AX89" s="25"/>
      <c r="AY89" s="25"/>
      <c r="AZ89" s="106"/>
      <c r="BA89" s="106"/>
      <c r="BB89" s="106"/>
      <c r="BC89" s="106"/>
      <c r="BD89" s="106"/>
      <c r="BE89" s="106"/>
      <c r="BF89" s="106"/>
      <c r="BG89" s="106"/>
      <c r="BH89" s="79"/>
      <c r="BI89" s="106"/>
      <c r="BJ89" s="79"/>
      <c r="BK89" s="149"/>
      <c r="BL89" s="25"/>
      <c r="BM89" s="25"/>
      <c r="BN89" s="25"/>
      <c r="BO89" s="25"/>
      <c r="BP89" s="25"/>
      <c r="BQ89" s="52"/>
      <c r="BR89" s="421"/>
      <c r="BS89" s="25"/>
      <c r="BT89" s="25"/>
      <c r="BU89" s="25"/>
      <c r="BV89" s="25"/>
      <c r="BW89" s="13"/>
      <c r="BX89" s="13"/>
      <c r="BY89" s="13"/>
      <c r="BZ89" s="13"/>
      <c r="CV89" s="13"/>
      <c r="CW89" s="13"/>
      <c r="CX89" s="13"/>
      <c r="CY89" s="84"/>
      <c r="CZ89" s="84"/>
      <c r="DA89" s="84"/>
      <c r="DB89" s="84"/>
      <c r="DC89" s="84"/>
      <c r="DD89" s="84"/>
      <c r="DE89" s="84"/>
      <c r="DF89" s="84"/>
      <c r="DG89" s="84"/>
      <c r="DH89" s="84"/>
      <c r="DI89" s="84"/>
      <c r="DJ89" s="84"/>
      <c r="DK89" s="84"/>
      <c r="DL89" s="84"/>
      <c r="DM89" s="84"/>
      <c r="DN89" s="84"/>
      <c r="DO89" s="84"/>
      <c r="DP89" s="84"/>
      <c r="DQ89" s="84"/>
      <c r="DR89" s="84"/>
      <c r="DS89" s="84"/>
    </row>
    <row r="90" spans="1:123" ht="2.2999999999999998" customHeight="1" x14ac:dyDescent="0.25">
      <c r="A90" s="13"/>
      <c r="B90" s="344"/>
      <c r="C90" s="430"/>
      <c r="D90" s="337"/>
      <c r="E90" s="338"/>
      <c r="F90" s="431"/>
      <c r="G90" s="431"/>
      <c r="H90" s="431"/>
      <c r="I90" s="431"/>
      <c r="J90" s="400"/>
      <c r="K90" s="272"/>
      <c r="L90" s="272"/>
      <c r="M90" s="272"/>
      <c r="N90" s="25"/>
      <c r="O90" s="25"/>
      <c r="P90" s="25"/>
      <c r="Q90" s="25"/>
      <c r="R90" s="25"/>
      <c r="S90" s="149"/>
      <c r="T90" s="149"/>
      <c r="U90" s="149"/>
      <c r="V90" s="149"/>
      <c r="W90" s="13"/>
      <c r="X90" s="13"/>
      <c r="Y90" s="13"/>
      <c r="Z90" s="13"/>
      <c r="AA90" s="25"/>
      <c r="AB90" s="25"/>
      <c r="AC90" s="25"/>
      <c r="AD90" s="25"/>
      <c r="AE90" s="25"/>
      <c r="AF90" s="25"/>
      <c r="AG90" s="25"/>
      <c r="AH90" s="25"/>
      <c r="AI90" s="25"/>
      <c r="AJ90" s="25"/>
      <c r="AK90" s="149"/>
      <c r="AL90" s="149"/>
      <c r="AM90" s="149"/>
      <c r="AN90" s="149"/>
      <c r="AO90" s="149"/>
      <c r="AP90" s="149"/>
      <c r="AQ90" s="149"/>
      <c r="AR90" s="149"/>
      <c r="AS90" s="149"/>
      <c r="AT90" s="149"/>
      <c r="AU90" s="149"/>
      <c r="AV90" s="149"/>
      <c r="AW90" s="25"/>
      <c r="AX90" s="25"/>
      <c r="AY90" s="25"/>
      <c r="AZ90" s="25"/>
      <c r="BA90" s="25"/>
      <c r="BB90" s="25"/>
      <c r="BC90" s="25"/>
      <c r="BD90" s="25"/>
      <c r="BE90" s="25"/>
      <c r="BF90" s="25"/>
      <c r="BG90" s="25"/>
      <c r="BH90" s="25"/>
      <c r="BI90" s="25"/>
      <c r="BJ90" s="25"/>
      <c r="BK90" s="149"/>
      <c r="BL90" s="25"/>
      <c r="BM90" s="25"/>
      <c r="BN90" s="25"/>
      <c r="BO90" s="25"/>
      <c r="BP90" s="25"/>
      <c r="BQ90" s="52"/>
      <c r="BR90" s="421"/>
      <c r="BS90" s="360"/>
      <c r="BT90" s="360"/>
      <c r="BU90" s="360"/>
      <c r="BV90" s="360"/>
      <c r="BW90" s="13"/>
      <c r="BX90" s="13"/>
      <c r="BY90" s="13"/>
      <c r="BZ90" s="13"/>
      <c r="CV90" s="13"/>
      <c r="CW90" s="13"/>
      <c r="CX90" s="13"/>
      <c r="CY90" s="84"/>
      <c r="CZ90" s="84"/>
      <c r="DA90" s="84"/>
      <c r="DB90" s="84"/>
      <c r="DC90" s="84"/>
      <c r="DD90" s="84"/>
      <c r="DE90" s="84"/>
      <c r="DF90" s="84"/>
      <c r="DG90" s="84"/>
      <c r="DH90" s="84"/>
      <c r="DI90" s="84"/>
      <c r="DJ90" s="84"/>
      <c r="DK90" s="84"/>
      <c r="DL90" s="84"/>
      <c r="DM90" s="84"/>
      <c r="DN90" s="84"/>
      <c r="DO90" s="84"/>
      <c r="DP90" s="84"/>
      <c r="DQ90" s="84"/>
      <c r="DR90" s="84"/>
      <c r="DS90" s="84"/>
    </row>
    <row r="91" spans="1:123" ht="2.2999999999999998" customHeight="1" x14ac:dyDescent="0.25">
      <c r="A91" s="13"/>
      <c r="B91" s="344"/>
      <c r="C91" s="430"/>
      <c r="D91" s="337"/>
      <c r="E91" s="338"/>
      <c r="F91" s="431"/>
      <c r="G91" s="431"/>
      <c r="H91" s="431"/>
      <c r="I91" s="431"/>
      <c r="J91" s="400"/>
      <c r="K91" s="272"/>
      <c r="L91" s="272"/>
      <c r="M91" s="272"/>
      <c r="N91" s="25"/>
      <c r="O91" s="25"/>
      <c r="P91" s="25"/>
      <c r="Q91" s="25"/>
      <c r="R91" s="25"/>
      <c r="S91" s="149"/>
      <c r="T91" s="149"/>
      <c r="U91" s="149"/>
      <c r="V91" s="149"/>
      <c r="W91" s="13"/>
      <c r="X91" s="13"/>
      <c r="Y91" s="13"/>
      <c r="Z91" s="13"/>
      <c r="AA91" s="25"/>
      <c r="AB91" s="25"/>
      <c r="AC91" s="25"/>
      <c r="AD91" s="25"/>
      <c r="AE91" s="25"/>
      <c r="AF91" s="25"/>
      <c r="AG91" s="25"/>
      <c r="AH91" s="25"/>
      <c r="AI91" s="25"/>
      <c r="AJ91" s="25"/>
      <c r="AK91" s="149"/>
      <c r="AL91" s="149"/>
      <c r="AM91" s="149"/>
      <c r="AN91" s="149"/>
      <c r="AO91" s="149"/>
      <c r="AP91" s="149"/>
      <c r="AQ91" s="149"/>
      <c r="AR91" s="149"/>
      <c r="AS91" s="25"/>
      <c r="AT91" s="149"/>
      <c r="AU91" s="149"/>
      <c r="AV91" s="149"/>
      <c r="AW91" s="25"/>
      <c r="AX91" s="25"/>
      <c r="AY91" s="25"/>
      <c r="AZ91" s="25"/>
      <c r="BA91" s="25"/>
      <c r="BB91" s="25"/>
      <c r="BC91" s="25"/>
      <c r="BD91" s="360"/>
      <c r="BE91" s="25"/>
      <c r="BF91" s="25"/>
      <c r="BG91" s="25"/>
      <c r="BH91" s="25"/>
      <c r="BI91" s="25"/>
      <c r="BJ91" s="25"/>
      <c r="BK91" s="149"/>
      <c r="BL91" s="25"/>
      <c r="BM91" s="25"/>
      <c r="BN91" s="25"/>
      <c r="BO91" s="25"/>
      <c r="BP91" s="25"/>
      <c r="BQ91" s="52"/>
      <c r="BR91" s="2122"/>
      <c r="BS91" s="25"/>
      <c r="BT91" s="25"/>
      <c r="BU91" s="25"/>
      <c r="BV91" s="25"/>
      <c r="BW91" s="13"/>
      <c r="BX91" s="13"/>
      <c r="BY91" s="13"/>
      <c r="BZ91" s="13"/>
      <c r="CV91" s="13"/>
      <c r="CW91" s="13"/>
      <c r="CX91" s="13"/>
      <c r="CY91" s="84"/>
      <c r="CZ91" s="84"/>
      <c r="DA91" s="84"/>
      <c r="DB91" s="84"/>
      <c r="DC91" s="84"/>
      <c r="DD91" s="84"/>
      <c r="DE91" s="84"/>
      <c r="DF91" s="84"/>
      <c r="DG91" s="84"/>
      <c r="DH91" s="84"/>
      <c r="DI91" s="84"/>
      <c r="DJ91" s="84"/>
      <c r="DK91" s="84"/>
      <c r="DL91" s="84"/>
      <c r="DM91" s="84"/>
      <c r="DN91" s="84"/>
      <c r="DO91" s="84"/>
      <c r="DP91" s="84"/>
      <c r="DQ91" s="84"/>
      <c r="DR91" s="84"/>
      <c r="DS91" s="84"/>
    </row>
    <row r="92" spans="1:123" ht="42.05" customHeight="1" x14ac:dyDescent="0.25">
      <c r="A92" s="13"/>
      <c r="B92" s="980" t="s">
        <v>1815</v>
      </c>
      <c r="C92" s="430"/>
      <c r="D92" s="360"/>
      <c r="E92" s="338"/>
      <c r="F92" s="395"/>
      <c r="G92" s="395"/>
      <c r="H92" s="395"/>
      <c r="I92" s="395"/>
      <c r="J92" s="396"/>
      <c r="K92" s="272"/>
      <c r="L92" s="272"/>
      <c r="M92" s="272"/>
      <c r="N92" s="25"/>
      <c r="O92" s="25"/>
      <c r="P92" s="25"/>
      <c r="Q92" s="25"/>
      <c r="R92" s="25"/>
      <c r="S92" s="149"/>
      <c r="T92" s="149"/>
      <c r="U92" s="149"/>
      <c r="V92" s="149"/>
      <c r="W92" s="13"/>
      <c r="X92" s="13"/>
      <c r="Y92" s="13"/>
      <c r="Z92" s="13"/>
      <c r="AA92" s="25"/>
      <c r="AB92" s="25"/>
      <c r="AC92" s="25"/>
      <c r="AD92" s="25"/>
      <c r="AE92" s="25"/>
      <c r="AF92" s="25"/>
      <c r="AG92" s="25"/>
      <c r="AH92" s="25"/>
      <c r="AI92" s="25"/>
      <c r="AJ92" s="25"/>
      <c r="AK92" s="149"/>
      <c r="AL92" s="149"/>
      <c r="AM92" s="25"/>
      <c r="AN92" s="149"/>
      <c r="AO92" s="149"/>
      <c r="AP92" s="149"/>
      <c r="AQ92" s="149"/>
      <c r="AR92" s="149"/>
      <c r="AS92" s="25"/>
      <c r="AT92" s="149"/>
      <c r="AU92" s="359"/>
      <c r="AV92" s="149"/>
      <c r="AW92" s="25"/>
      <c r="AX92" s="25"/>
      <c r="AY92" s="25"/>
      <c r="AZ92" s="25"/>
      <c r="BA92" s="25"/>
      <c r="BB92" s="25"/>
      <c r="BC92" s="25"/>
      <c r="BD92" s="25"/>
      <c r="BE92" s="25"/>
      <c r="BF92" s="25"/>
      <c r="BG92" s="25"/>
      <c r="BH92" s="25"/>
      <c r="BI92" s="25"/>
      <c r="BJ92" s="25"/>
      <c r="BK92" s="149"/>
      <c r="BL92" s="25"/>
      <c r="BM92" s="25"/>
      <c r="BN92" s="25"/>
      <c r="BO92" s="25"/>
      <c r="BP92" s="25"/>
      <c r="BQ92" s="25"/>
      <c r="BR92" s="25"/>
      <c r="BS92" s="25"/>
      <c r="BT92" s="25"/>
      <c r="BU92" s="25"/>
      <c r="BV92" s="25"/>
      <c r="BW92" s="13"/>
      <c r="BX92" s="13"/>
      <c r="BY92" s="13"/>
      <c r="BZ92" s="13"/>
      <c r="CV92" s="13"/>
      <c r="CW92" s="13"/>
      <c r="CX92" s="13"/>
      <c r="CY92" s="15"/>
      <c r="CZ92" s="15"/>
      <c r="DA92" s="15"/>
      <c r="DB92" s="15"/>
      <c r="DC92" s="15"/>
      <c r="DD92" s="15"/>
      <c r="DE92" s="15"/>
      <c r="DF92" s="15"/>
      <c r="DG92" s="15"/>
      <c r="DH92" s="15"/>
      <c r="DI92" s="15"/>
      <c r="DJ92" s="15"/>
      <c r="DK92" s="15"/>
      <c r="DL92" s="15"/>
      <c r="DM92" s="15"/>
      <c r="DN92" s="15"/>
      <c r="DO92" s="15"/>
      <c r="DP92" s="15"/>
      <c r="DQ92" s="15"/>
      <c r="DR92" s="15"/>
      <c r="DS92" s="15"/>
    </row>
    <row r="93" spans="1:123" ht="12.85" customHeight="1" thickBot="1" x14ac:dyDescent="0.3">
      <c r="A93" s="13"/>
      <c r="B93" s="253"/>
      <c r="C93" s="253"/>
      <c r="D93" s="253"/>
      <c r="E93" s="166"/>
      <c r="F93" s="166"/>
      <c r="G93" s="166"/>
      <c r="H93" s="166"/>
      <c r="I93" s="166"/>
      <c r="J93" s="166"/>
      <c r="K93" s="166"/>
      <c r="L93" s="166"/>
      <c r="M93" s="166"/>
      <c r="N93" s="166"/>
      <c r="O93" s="166"/>
      <c r="P93" s="166"/>
      <c r="Q93" s="166"/>
      <c r="R93" s="166"/>
      <c r="S93" s="149"/>
      <c r="T93" s="149"/>
      <c r="U93" s="149"/>
      <c r="V93" s="149"/>
      <c r="W93" s="13"/>
      <c r="X93" s="13"/>
      <c r="Y93" s="13"/>
      <c r="Z93" s="13"/>
      <c r="AA93" s="25"/>
      <c r="AB93" s="25" t="s">
        <v>193</v>
      </c>
      <c r="AC93" s="149"/>
      <c r="AD93" s="25"/>
      <c r="AE93" s="25"/>
      <c r="AF93" s="25"/>
      <c r="AG93" s="25"/>
      <c r="AH93" s="25"/>
      <c r="AI93" s="25"/>
      <c r="AJ93" s="25"/>
      <c r="AK93" s="149"/>
      <c r="AL93" s="149"/>
      <c r="AM93" s="25"/>
      <c r="AN93" s="149"/>
      <c r="AO93" s="149"/>
      <c r="AP93" s="149"/>
      <c r="AQ93" s="149"/>
      <c r="AR93" s="149"/>
      <c r="AS93" s="149"/>
      <c r="AT93" s="149"/>
      <c r="AU93" s="149"/>
      <c r="AV93" s="149"/>
      <c r="AW93" s="25"/>
      <c r="AX93" s="25"/>
      <c r="AY93" s="25"/>
      <c r="AZ93" s="25"/>
      <c r="BA93" s="25"/>
      <c r="BB93" s="25"/>
      <c r="BC93" s="25"/>
      <c r="BD93" s="25"/>
      <c r="BE93" s="25"/>
      <c r="BF93" s="25"/>
      <c r="BG93" s="25"/>
      <c r="BH93" s="25"/>
      <c r="BI93" s="25"/>
      <c r="BJ93" s="25"/>
      <c r="BK93" s="149"/>
      <c r="BL93" s="25"/>
      <c r="BM93" s="25"/>
      <c r="BN93" s="25"/>
      <c r="BO93" s="25"/>
      <c r="BP93" s="25"/>
      <c r="BQ93" s="25"/>
      <c r="BR93" s="25"/>
      <c r="BS93" s="25"/>
      <c r="BT93" s="25"/>
      <c r="BU93" s="25"/>
      <c r="BV93" s="25"/>
      <c r="BW93" s="13"/>
      <c r="BX93" s="13"/>
      <c r="BY93" s="13"/>
      <c r="BZ93" s="13"/>
      <c r="CV93" s="13"/>
      <c r="CW93" s="13"/>
      <c r="CX93" s="13"/>
      <c r="CY93" s="15"/>
      <c r="CZ93" s="15"/>
      <c r="DA93" s="15"/>
      <c r="DB93" s="15"/>
      <c r="DC93" s="15"/>
      <c r="DD93" s="15"/>
      <c r="DE93" s="15"/>
      <c r="DF93" s="15"/>
      <c r="DG93" s="15"/>
      <c r="DH93" s="15"/>
      <c r="DI93" s="15"/>
      <c r="DJ93" s="15"/>
      <c r="DK93" s="15"/>
      <c r="DL93" s="15"/>
      <c r="DM93" s="15"/>
      <c r="DN93" s="15"/>
      <c r="DO93" s="15"/>
      <c r="DP93" s="15"/>
      <c r="DQ93" s="15"/>
      <c r="DR93" s="15"/>
      <c r="DS93" s="15"/>
    </row>
    <row r="94" spans="1:123" ht="28.55" customHeight="1" thickBot="1" x14ac:dyDescent="0.3">
      <c r="A94" s="13"/>
      <c r="B94" s="981"/>
      <c r="C94" s="982"/>
      <c r="D94" s="1454" t="s">
        <v>1621</v>
      </c>
      <c r="E94" s="1455" t="s">
        <v>1622</v>
      </c>
      <c r="F94" s="1455" t="s">
        <v>1623</v>
      </c>
      <c r="G94" s="1455" t="s">
        <v>1624</v>
      </c>
      <c r="H94" s="1456" t="s">
        <v>1625</v>
      </c>
      <c r="I94" s="1457" t="str">
        <f>'2.CropManagement'!$G$35</f>
        <v>kg CO2 eq</v>
      </c>
      <c r="J94" s="13"/>
      <c r="K94" s="13"/>
      <c r="L94" s="75"/>
      <c r="M94" s="75"/>
      <c r="N94" s="166"/>
      <c r="O94" s="166"/>
      <c r="P94" s="166"/>
      <c r="Q94" s="166"/>
      <c r="R94" s="166"/>
      <c r="S94" s="149"/>
      <c r="T94" s="149"/>
      <c r="U94" s="2"/>
      <c r="V94" s="2"/>
      <c r="W94" s="2"/>
      <c r="X94" s="13"/>
      <c r="Y94" s="13"/>
      <c r="Z94" s="2"/>
      <c r="AA94" s="2124" t="s">
        <v>1315</v>
      </c>
      <c r="AB94" s="2125" t="s">
        <v>1213</v>
      </c>
      <c r="AC94" s="2126" t="s">
        <v>1622</v>
      </c>
      <c r="AD94" s="2126" t="s">
        <v>1623</v>
      </c>
      <c r="AE94" s="2126" t="s">
        <v>1624</v>
      </c>
      <c r="AF94" s="2127" t="s">
        <v>1625</v>
      </c>
      <c r="AG94" s="25"/>
      <c r="AH94" s="1420" t="s">
        <v>1482</v>
      </c>
      <c r="AI94" s="25"/>
      <c r="AJ94" s="25"/>
      <c r="AK94" s="149"/>
      <c r="AL94" s="149"/>
      <c r="AM94" s="25"/>
      <c r="AN94" s="149"/>
      <c r="AO94" s="149"/>
      <c r="AP94" s="149"/>
      <c r="AQ94" s="149"/>
      <c r="AR94" s="149"/>
      <c r="AS94" s="149"/>
      <c r="AT94" s="149"/>
      <c r="AU94" s="149"/>
      <c r="AV94" s="149"/>
      <c r="AW94" s="25"/>
      <c r="AX94" s="25"/>
      <c r="AY94" s="25"/>
      <c r="AZ94" s="25"/>
      <c r="BA94" s="25"/>
      <c r="BB94" s="25"/>
      <c r="BC94" s="25"/>
      <c r="BD94" s="25"/>
      <c r="BE94" s="360"/>
      <c r="BF94" s="360"/>
      <c r="BG94" s="360"/>
      <c r="BH94" s="360"/>
      <c r="BI94" s="360"/>
      <c r="BJ94" s="360"/>
      <c r="BK94" s="149"/>
      <c r="BL94" s="25"/>
      <c r="BM94" s="25"/>
      <c r="BN94" s="75"/>
      <c r="BO94" s="75"/>
      <c r="BP94" s="25"/>
      <c r="BQ94" s="25"/>
      <c r="BR94" s="360"/>
      <c r="BS94" s="25"/>
      <c r="BT94" s="25"/>
      <c r="BU94" s="25"/>
      <c r="BV94" s="25"/>
      <c r="BW94" s="13"/>
      <c r="BX94" s="13"/>
      <c r="BY94" s="13"/>
      <c r="BZ94" s="13"/>
      <c r="CV94" s="13"/>
      <c r="CW94" s="13"/>
      <c r="CX94" s="13"/>
      <c r="CY94" s="15"/>
      <c r="CZ94" s="15"/>
      <c r="DA94" s="15"/>
      <c r="DB94" s="15"/>
      <c r="DC94" s="15"/>
      <c r="DD94" s="15"/>
      <c r="DE94" s="15"/>
      <c r="DF94" s="15"/>
      <c r="DG94" s="15"/>
      <c r="DH94" s="15"/>
      <c r="DI94" s="15"/>
      <c r="DJ94" s="15"/>
      <c r="DK94" s="15"/>
      <c r="DL94" s="15"/>
      <c r="DM94" s="15"/>
      <c r="DN94" s="15"/>
      <c r="DO94" s="15"/>
      <c r="DP94" s="15"/>
      <c r="DQ94" s="15"/>
      <c r="DR94" s="15"/>
      <c r="DS94" s="15"/>
    </row>
    <row r="95" spans="1:123" ht="24.8" customHeight="1" x14ac:dyDescent="0.25">
      <c r="A95" s="13"/>
      <c r="B95" s="2396" t="s">
        <v>226</v>
      </c>
      <c r="C95" s="2397"/>
      <c r="D95" s="1482">
        <f t="shared" ref="D95:H97" si="18">IF($AE106&lt;&gt;0,D106/$AE106,0)</f>
        <v>0</v>
      </c>
      <c r="E95" s="1467">
        <f t="shared" si="18"/>
        <v>0</v>
      </c>
      <c r="F95" s="1467">
        <f t="shared" si="18"/>
        <v>0</v>
      </c>
      <c r="G95" s="1467">
        <f t="shared" si="18"/>
        <v>0</v>
      </c>
      <c r="H95" s="1468">
        <f t="shared" si="18"/>
        <v>0</v>
      </c>
      <c r="I95" s="1483">
        <f>SUMIF(AE$241:AE$244,I$94,AF$241:AF$244)*AH95</f>
        <v>0</v>
      </c>
      <c r="J95" s="13"/>
      <c r="K95" s="13"/>
      <c r="L95" s="149"/>
      <c r="M95" s="149"/>
      <c r="N95" s="166"/>
      <c r="O95" s="166"/>
      <c r="P95" s="166"/>
      <c r="Q95" s="166"/>
      <c r="R95" s="166"/>
      <c r="S95" s="25"/>
      <c r="T95" s="25"/>
      <c r="U95" s="2"/>
      <c r="V95" s="2"/>
      <c r="W95" s="2"/>
      <c r="X95" s="13"/>
      <c r="Y95" s="13"/>
      <c r="Z95" s="2"/>
      <c r="AA95" s="2128" t="s">
        <v>226</v>
      </c>
      <c r="AB95" s="2129">
        <f ca="1">IF(ISERROR(AA32),0,AA32)</f>
        <v>0</v>
      </c>
      <c r="AC95" s="2130">
        <f ca="1">IF(ISERROR(AT34*AE26*AE25/365),0,AT34*AE26*AE25/365)</f>
        <v>0</v>
      </c>
      <c r="AD95" s="2130">
        <f ca="1">IF(ISERROR(SUM(AZ31:AZ33)*AE25/365),0,SUM(AZ31:AZ33)*AE25/365)</f>
        <v>0</v>
      </c>
      <c r="AE95" s="2130">
        <f ca="1">IF(ISERROR(SUM(BF31:BF33)*AE25/365),0,SUM(BF31:BF33)*AE25/365)</f>
        <v>0</v>
      </c>
      <c r="AF95" s="2131">
        <f ca="1">IF(ISERROR(SUM(BG31:BG33)*AE25/365),0,SUM(BG31:BG33)*AE25/365)</f>
        <v>0</v>
      </c>
      <c r="AG95" s="25"/>
      <c r="AH95" s="1421">
        <f>D95+(E95+F95)*'A1. Submodels &amp; data'!B$378+'A1. Submodels &amp; data'!B$379*(G95+H95)</f>
        <v>0</v>
      </c>
      <c r="AI95" s="25"/>
      <c r="AJ95" s="25"/>
      <c r="AK95" s="149"/>
      <c r="AL95" s="149"/>
      <c r="AM95" s="25"/>
      <c r="AN95" s="149"/>
      <c r="AO95" s="149"/>
      <c r="AP95" s="149"/>
      <c r="AQ95" s="149"/>
      <c r="AR95" s="149"/>
      <c r="AS95" s="149"/>
      <c r="AT95" s="149"/>
      <c r="AU95" s="149"/>
      <c r="AV95" s="149"/>
      <c r="AW95" s="25"/>
      <c r="AX95" s="25"/>
      <c r="AY95" s="25"/>
      <c r="AZ95" s="25"/>
      <c r="BA95" s="25"/>
      <c r="BB95" s="25"/>
      <c r="BC95" s="25"/>
      <c r="BD95" s="25"/>
      <c r="BE95" s="25"/>
      <c r="BF95" s="25"/>
      <c r="BG95" s="25"/>
      <c r="BH95" s="25"/>
      <c r="BI95" s="25"/>
      <c r="BJ95" s="25"/>
      <c r="BK95" s="149"/>
      <c r="BL95" s="25"/>
      <c r="BM95" s="25"/>
      <c r="BN95" s="360"/>
      <c r="BO95" s="360"/>
      <c r="BP95" s="25"/>
      <c r="BQ95" s="25"/>
      <c r="BR95" s="25"/>
      <c r="BS95" s="25"/>
      <c r="BT95" s="25"/>
      <c r="BU95" s="25"/>
      <c r="BV95" s="25"/>
      <c r="BW95" s="13"/>
      <c r="BX95" s="13"/>
      <c r="BY95" s="13"/>
      <c r="BZ95" s="13"/>
      <c r="CV95" s="13"/>
      <c r="CW95" s="13"/>
      <c r="CX95" s="13"/>
      <c r="CY95" s="15"/>
      <c r="CZ95" s="15"/>
      <c r="DA95" s="15"/>
      <c r="DB95" s="15"/>
      <c r="DC95" s="15"/>
      <c r="DD95" s="15"/>
      <c r="DE95" s="15"/>
      <c r="DF95" s="15"/>
      <c r="DG95" s="15"/>
      <c r="DH95" s="15"/>
      <c r="DI95" s="15"/>
      <c r="DJ95" s="15"/>
      <c r="DK95" s="15"/>
      <c r="DL95" s="15"/>
      <c r="DM95" s="15"/>
      <c r="DN95" s="15"/>
      <c r="DO95" s="15"/>
      <c r="DP95" s="15"/>
      <c r="DQ95" s="15"/>
      <c r="DR95" s="15"/>
      <c r="DS95" s="15"/>
    </row>
    <row r="96" spans="1:123" ht="30.85" customHeight="1" x14ac:dyDescent="0.25">
      <c r="A96" s="13"/>
      <c r="B96" s="2396" t="s">
        <v>648</v>
      </c>
      <c r="C96" s="2397"/>
      <c r="D96" s="1484">
        <f t="shared" si="18"/>
        <v>0</v>
      </c>
      <c r="E96" s="1485">
        <f t="shared" si="18"/>
        <v>0</v>
      </c>
      <c r="F96" s="1485">
        <f t="shared" si="18"/>
        <v>0</v>
      </c>
      <c r="G96" s="1485">
        <f t="shared" si="18"/>
        <v>0</v>
      </c>
      <c r="H96" s="1486">
        <f t="shared" si="18"/>
        <v>0</v>
      </c>
      <c r="I96" s="1487">
        <f>SUMIF(AE$241:AE$244,I$94,AF$241:AF$244)*AH96</f>
        <v>0</v>
      </c>
      <c r="J96" s="13"/>
      <c r="K96" s="13"/>
      <c r="L96" s="149"/>
      <c r="M96" s="149"/>
      <c r="N96" s="166"/>
      <c r="O96" s="166"/>
      <c r="P96" s="166"/>
      <c r="Q96" s="166"/>
      <c r="R96" s="166"/>
      <c r="S96" s="25"/>
      <c r="T96" s="25"/>
      <c r="U96" s="2"/>
      <c r="V96" s="2"/>
      <c r="W96" s="2"/>
      <c r="X96" s="13"/>
      <c r="Y96" s="13"/>
      <c r="Z96" s="2"/>
      <c r="AA96" s="2132" t="s">
        <v>1013</v>
      </c>
      <c r="AB96" s="2133">
        <f ca="1">IF(ISERROR(AA53),0,AA53)</f>
        <v>0</v>
      </c>
      <c r="AC96" s="2134">
        <f ca="1">IF(ISERROR(AT54*AE47*AE46/365),0,AT54*AE47*AA8*AE46/365)</f>
        <v>0</v>
      </c>
      <c r="AD96" s="2134">
        <f ca="1">IF(ISERROR(SUM(AZ50:AZ52)*AE46/365),0,SUM(AZ50:AZ52)*AE46/365)</f>
        <v>0</v>
      </c>
      <c r="AE96" s="2134">
        <f ca="1">IF(ISERROR(SUM(BF50:BF52)*AE46/365),0,SUM(BF50:BF52)*AE46/365)</f>
        <v>0</v>
      </c>
      <c r="AF96" s="2135">
        <f ca="1">IF(ISERROR(SUM(BG50:BG52)*AE46/365),0,SUM(BG50:BG52)*AE46/365)</f>
        <v>0</v>
      </c>
      <c r="AG96" s="25"/>
      <c r="AH96" s="1421">
        <f>D96+(E96+F96)*'A1. Submodels &amp; data'!B$378+'A1. Submodels &amp; data'!B$379*(G96+H96)</f>
        <v>0</v>
      </c>
      <c r="AI96" s="25"/>
      <c r="AJ96" s="25"/>
      <c r="AK96" s="149"/>
      <c r="AL96" s="149"/>
      <c r="AM96" s="25"/>
      <c r="AN96" s="149"/>
      <c r="AO96" s="149"/>
      <c r="AP96" s="149"/>
      <c r="AQ96" s="149"/>
      <c r="AR96" s="149"/>
      <c r="AS96" s="149"/>
      <c r="AT96" s="149"/>
      <c r="AU96" s="149"/>
      <c r="AV96" s="149"/>
      <c r="AW96" s="25"/>
      <c r="AX96" s="25"/>
      <c r="AY96" s="25"/>
      <c r="AZ96" s="25"/>
      <c r="BA96" s="25"/>
      <c r="BB96" s="25"/>
      <c r="BC96" s="25"/>
      <c r="BD96" s="25"/>
      <c r="BE96" s="25"/>
      <c r="BF96" s="25"/>
      <c r="BG96" s="25"/>
      <c r="BH96" s="25"/>
      <c r="BI96" s="25"/>
      <c r="BJ96" s="25"/>
      <c r="BK96" s="149"/>
      <c r="BL96" s="25"/>
      <c r="BM96" s="25"/>
      <c r="BN96" s="25"/>
      <c r="BO96" s="25"/>
      <c r="BP96" s="25"/>
      <c r="BQ96" s="25"/>
      <c r="BR96" s="25"/>
      <c r="BS96" s="25"/>
      <c r="BT96" s="25"/>
      <c r="BU96" s="25"/>
      <c r="BV96" s="25"/>
      <c r="BW96" s="13"/>
      <c r="BX96" s="13"/>
      <c r="BY96" s="13"/>
      <c r="BZ96" s="13"/>
      <c r="CV96" s="13"/>
      <c r="CW96" s="13"/>
      <c r="CX96" s="13"/>
      <c r="CY96" s="15"/>
      <c r="CZ96" s="15"/>
      <c r="DA96" s="15"/>
      <c r="DB96" s="15"/>
      <c r="DC96" s="15"/>
      <c r="DD96" s="15"/>
      <c r="DE96" s="15"/>
      <c r="DF96" s="15"/>
      <c r="DG96" s="15"/>
      <c r="DH96" s="15"/>
      <c r="DI96" s="15"/>
      <c r="DJ96" s="15"/>
      <c r="DK96" s="15"/>
      <c r="DL96" s="15"/>
      <c r="DM96" s="15"/>
      <c r="DN96" s="15"/>
      <c r="DO96" s="15"/>
      <c r="DP96" s="15"/>
      <c r="DQ96" s="15"/>
      <c r="DR96" s="15"/>
      <c r="DS96" s="15"/>
    </row>
    <row r="97" spans="1:123" ht="37.450000000000003" customHeight="1" x14ac:dyDescent="0.25">
      <c r="A97" s="13"/>
      <c r="B97" s="2396" t="s">
        <v>504</v>
      </c>
      <c r="C97" s="2397"/>
      <c r="D97" s="1484">
        <f t="shared" si="18"/>
        <v>0</v>
      </c>
      <c r="E97" s="1485">
        <f t="shared" si="18"/>
        <v>0</v>
      </c>
      <c r="F97" s="1485">
        <f t="shared" si="18"/>
        <v>0</v>
      </c>
      <c r="G97" s="1485">
        <f t="shared" si="18"/>
        <v>0</v>
      </c>
      <c r="H97" s="1486">
        <f t="shared" si="18"/>
        <v>0</v>
      </c>
      <c r="I97" s="1487">
        <f>SUMIF(AE$241:AE$244,I$94,AF$241:AF$244)*AH97</f>
        <v>0</v>
      </c>
      <c r="J97" s="13"/>
      <c r="K97" s="13"/>
      <c r="L97" s="149"/>
      <c r="M97" s="149"/>
      <c r="N97" s="166"/>
      <c r="O97" s="166"/>
      <c r="P97" s="166"/>
      <c r="Q97" s="166"/>
      <c r="R97" s="166"/>
      <c r="S97" s="25"/>
      <c r="T97" s="25"/>
      <c r="U97" s="2"/>
      <c r="V97" s="2"/>
      <c r="W97" s="2"/>
      <c r="X97" s="13"/>
      <c r="Y97" s="13"/>
      <c r="Z97" s="2"/>
      <c r="AA97" s="2132" t="s">
        <v>500</v>
      </c>
      <c r="AB97" s="2133">
        <f ca="1">IF(ISERROR(AA74),0,AA74)</f>
        <v>0</v>
      </c>
      <c r="AC97" s="2136">
        <f ca="1">IF(ISERROR(AT75*AE65*AE64/365),0,AT75*AE65*AE64/365)</f>
        <v>0</v>
      </c>
      <c r="AD97" s="2136">
        <f ca="1">IF(ISERROR(SUM(AZ71:AZ73)*AE64/365),0,SUM(AZ71:AZ73)*AE64/365)</f>
        <v>0</v>
      </c>
      <c r="AE97" s="2136">
        <f ca="1">IF(ISERROR(SUM(BF71:BF73)*AE64/365),0,SUM(BF71:BF73)*AE64/365)</f>
        <v>0</v>
      </c>
      <c r="AF97" s="2137">
        <f ca="1">IF(ISERROR(SUM(BG71:BG73)*AE64/365),0,SUM(BG71:BG73)*AE64/365)</f>
        <v>0</v>
      </c>
      <c r="AG97" s="25"/>
      <c r="AH97" s="1421">
        <f>D97+(E97+F97)*'A1. Submodels &amp; data'!B$378+'A1. Submodels &amp; data'!B$379*(G97+H97)</f>
        <v>0</v>
      </c>
      <c r="AI97" s="25"/>
      <c r="AJ97" s="25"/>
      <c r="AK97" s="149"/>
      <c r="AL97" s="149"/>
      <c r="AM97" s="25"/>
      <c r="AN97" s="149"/>
      <c r="AO97" s="149"/>
      <c r="AP97" s="149"/>
      <c r="AQ97" s="149"/>
      <c r="AR97" s="149"/>
      <c r="AS97" s="149"/>
      <c r="AT97" s="149"/>
      <c r="AU97" s="149"/>
      <c r="AV97" s="149"/>
      <c r="AW97" s="25"/>
      <c r="AX97" s="25"/>
      <c r="AY97" s="25"/>
      <c r="AZ97" s="25"/>
      <c r="BA97" s="25"/>
      <c r="BB97" s="25"/>
      <c r="BC97" s="25"/>
      <c r="BD97" s="25"/>
      <c r="BE97" s="25"/>
      <c r="BF97" s="25"/>
      <c r="BG97" s="25"/>
      <c r="BH97" s="25"/>
      <c r="BI97" s="25"/>
      <c r="BJ97" s="25"/>
      <c r="BK97" s="149"/>
      <c r="BL97" s="25"/>
      <c r="BM97" s="25"/>
      <c r="BN97" s="25"/>
      <c r="BO97" s="25"/>
      <c r="BP97" s="75"/>
      <c r="BQ97" s="25"/>
      <c r="BR97" s="25"/>
      <c r="BS97" s="25"/>
      <c r="BT97" s="25"/>
      <c r="BU97" s="25"/>
      <c r="BV97" s="25"/>
      <c r="BW97" s="13"/>
      <c r="BX97" s="13"/>
      <c r="BY97" s="13"/>
      <c r="BZ97" s="13"/>
      <c r="CV97" s="13"/>
      <c r="CW97" s="13"/>
      <c r="CX97" s="13"/>
      <c r="CY97" s="15"/>
      <c r="CZ97" s="15"/>
      <c r="DA97" s="15"/>
      <c r="DB97" s="15"/>
      <c r="DC97" s="15"/>
      <c r="DD97" s="15"/>
      <c r="DE97" s="15"/>
      <c r="DF97" s="15"/>
      <c r="DG97" s="15"/>
      <c r="DH97" s="15"/>
      <c r="DI97" s="15"/>
      <c r="DJ97" s="15"/>
      <c r="DK97" s="15"/>
      <c r="DL97" s="15"/>
      <c r="DM97" s="15"/>
      <c r="DN97" s="15"/>
      <c r="DO97" s="15"/>
      <c r="DP97" s="15"/>
      <c r="DQ97" s="15"/>
      <c r="DR97" s="15"/>
      <c r="DS97" s="15"/>
    </row>
    <row r="98" spans="1:123" ht="16.600000000000001" customHeight="1" thickBot="1" x14ac:dyDescent="0.3">
      <c r="A98" s="13"/>
      <c r="B98" s="2421"/>
      <c r="C98" s="2422"/>
      <c r="D98" s="1488"/>
      <c r="E98" s="1489"/>
      <c r="F98" s="1489"/>
      <c r="G98" s="1489"/>
      <c r="H98" s="1490"/>
      <c r="I98" s="1491"/>
      <c r="J98" s="13"/>
      <c r="K98" s="13"/>
      <c r="L98" s="149"/>
      <c r="M98" s="149"/>
      <c r="N98" s="166"/>
      <c r="O98" s="166"/>
      <c r="P98" s="166"/>
      <c r="Q98" s="166"/>
      <c r="R98" s="166"/>
      <c r="S98" s="25"/>
      <c r="T98" s="25"/>
      <c r="U98" s="2"/>
      <c r="V98" s="25"/>
      <c r="W98" s="13"/>
      <c r="X98" s="13"/>
      <c r="Y98" s="13"/>
      <c r="Z98" s="13"/>
      <c r="AA98" s="2138"/>
      <c r="AB98" s="2139"/>
      <c r="AC98" s="2140"/>
      <c r="AD98" s="2140"/>
      <c r="AE98" s="2140"/>
      <c r="AF98" s="2141"/>
      <c r="AG98" s="25"/>
      <c r="AH98" s="1422"/>
      <c r="AI98" s="25"/>
      <c r="AJ98" s="25"/>
      <c r="AK98" s="149"/>
      <c r="AL98" s="149"/>
      <c r="AM98" s="25"/>
      <c r="AN98" s="149"/>
      <c r="AO98" s="149"/>
      <c r="AP98" s="149"/>
      <c r="AQ98" s="149"/>
      <c r="AR98" s="149"/>
      <c r="AS98" s="149"/>
      <c r="AT98" s="149"/>
      <c r="AU98" s="149"/>
      <c r="AV98" s="149"/>
      <c r="AW98" s="25"/>
      <c r="AX98" s="25"/>
      <c r="AY98" s="25"/>
      <c r="AZ98" s="25"/>
      <c r="BA98" s="25"/>
      <c r="BB98" s="25"/>
      <c r="BC98" s="25"/>
      <c r="BD98" s="25"/>
      <c r="BE98" s="25"/>
      <c r="BF98" s="25"/>
      <c r="BG98" s="25"/>
      <c r="BH98" s="25"/>
      <c r="BI98" s="25"/>
      <c r="BJ98" s="25"/>
      <c r="BK98" s="149"/>
      <c r="BL98" s="25"/>
      <c r="BM98" s="25"/>
      <c r="BN98" s="25"/>
      <c r="BO98" s="25"/>
      <c r="BP98" s="360"/>
      <c r="BQ98" s="25"/>
      <c r="BR98" s="25"/>
      <c r="BS98" s="25"/>
      <c r="BT98" s="25"/>
      <c r="BU98" s="25"/>
      <c r="BV98" s="25"/>
      <c r="BW98" s="13"/>
      <c r="BX98" s="13"/>
      <c r="BY98" s="13"/>
      <c r="BZ98" s="13"/>
      <c r="CV98" s="13"/>
      <c r="CW98" s="13"/>
      <c r="CX98" s="13"/>
      <c r="CY98" s="15"/>
      <c r="CZ98" s="15"/>
      <c r="DA98" s="15"/>
      <c r="DB98" s="15"/>
      <c r="DC98" s="15"/>
      <c r="DD98" s="15"/>
      <c r="DE98" s="15"/>
      <c r="DF98" s="15"/>
      <c r="DG98" s="15"/>
      <c r="DH98" s="15"/>
      <c r="DI98" s="15"/>
      <c r="DJ98" s="15"/>
      <c r="DK98" s="15"/>
      <c r="DL98" s="15"/>
      <c r="DM98" s="15"/>
      <c r="DN98" s="15"/>
      <c r="DO98" s="15"/>
      <c r="DP98" s="15"/>
      <c r="DQ98" s="15"/>
      <c r="DR98" s="15"/>
      <c r="DS98" s="15"/>
    </row>
    <row r="99" spans="1:123" ht="63.1" customHeight="1" thickBot="1" x14ac:dyDescent="0.3">
      <c r="A99" s="13"/>
      <c r="B99" s="2423" t="s">
        <v>1914</v>
      </c>
      <c r="C99" s="2424"/>
      <c r="D99" s="1492">
        <f>SUM(D95:D97)</f>
        <v>0</v>
      </c>
      <c r="E99" s="1492">
        <f>SUM(E95:E97)</f>
        <v>0</v>
      </c>
      <c r="F99" s="1492">
        <f>SUM(F95:F97)</f>
        <v>0</v>
      </c>
      <c r="G99" s="1492">
        <f>SUM(G95:G97)</f>
        <v>0</v>
      </c>
      <c r="H99" s="1492">
        <f>SUM(H95:H97)</f>
        <v>0</v>
      </c>
      <c r="I99" s="1493">
        <f>SUMIF(AE$241:AE$244,I$94,AF$241:AF$244)*AH99</f>
        <v>0</v>
      </c>
      <c r="J99" s="2398" t="str">
        <f>IF(ISERROR(AH99),"Remember that you have to complete the General Info page to obtain emissions here","")</f>
        <v/>
      </c>
      <c r="K99" s="2398"/>
      <c r="L99" s="399"/>
      <c r="M99" s="399"/>
      <c r="N99" s="166"/>
      <c r="O99" s="166"/>
      <c r="P99" s="166"/>
      <c r="Q99" s="166"/>
      <c r="R99" s="166"/>
      <c r="S99" s="25"/>
      <c r="T99" s="25"/>
      <c r="U99" s="2"/>
      <c r="V99" s="25"/>
      <c r="W99" s="13"/>
      <c r="X99" s="13"/>
      <c r="Y99" s="13"/>
      <c r="Z99" s="13"/>
      <c r="AA99" s="399" t="s">
        <v>1914</v>
      </c>
      <c r="AB99" s="399">
        <f ca="1">SUM(AB95:AB97)</f>
        <v>0</v>
      </c>
      <c r="AC99" s="149"/>
      <c r="AD99" s="149"/>
      <c r="AE99" s="149"/>
      <c r="AF99" s="149"/>
      <c r="AG99" s="25"/>
      <c r="AH99" s="2151">
        <f>SUM(AH95:AH97)</f>
        <v>0</v>
      </c>
      <c r="AI99" s="25"/>
      <c r="AJ99" s="25"/>
      <c r="AK99" s="149"/>
      <c r="AL99" s="149"/>
      <c r="AM99" s="25"/>
      <c r="AN99" s="149"/>
      <c r="AO99" s="149"/>
      <c r="AP99" s="149"/>
      <c r="AQ99" s="149"/>
      <c r="AR99" s="149"/>
      <c r="AS99" s="149"/>
      <c r="AT99" s="149"/>
      <c r="AU99" s="149"/>
      <c r="AV99" s="149"/>
      <c r="AW99" s="25"/>
      <c r="AX99" s="25"/>
      <c r="AY99" s="25"/>
      <c r="AZ99" s="25"/>
      <c r="BA99" s="25"/>
      <c r="BB99" s="25"/>
      <c r="BC99" s="25"/>
      <c r="BD99" s="25"/>
      <c r="BE99" s="25"/>
      <c r="BF99" s="25"/>
      <c r="BG99" s="25"/>
      <c r="BH99" s="25"/>
      <c r="BI99" s="25"/>
      <c r="BJ99" s="25"/>
      <c r="BK99" s="149"/>
      <c r="BL99" s="25"/>
      <c r="BM99" s="25"/>
      <c r="BN99" s="25"/>
      <c r="BO99" s="25"/>
      <c r="BP99" s="25"/>
      <c r="BQ99" s="25"/>
      <c r="BR99" s="25"/>
      <c r="BS99" s="25"/>
      <c r="BT99" s="25"/>
      <c r="BU99" s="25"/>
      <c r="BV99" s="25"/>
      <c r="BW99" s="13"/>
      <c r="BX99" s="13"/>
      <c r="BY99" s="13"/>
      <c r="BZ99" s="13"/>
      <c r="CV99" s="13"/>
      <c r="CW99" s="13"/>
      <c r="CX99" s="13"/>
      <c r="CY99" s="15"/>
      <c r="CZ99" s="15"/>
      <c r="DA99" s="15"/>
      <c r="DB99" s="15"/>
      <c r="DC99" s="15"/>
      <c r="DD99" s="15"/>
      <c r="DE99" s="15"/>
      <c r="DF99" s="15"/>
      <c r="DG99" s="15"/>
      <c r="DH99" s="15"/>
      <c r="DI99" s="15"/>
      <c r="DJ99" s="15"/>
      <c r="DK99" s="15"/>
      <c r="DL99" s="15"/>
      <c r="DM99" s="15"/>
      <c r="DN99" s="15"/>
      <c r="DO99" s="15"/>
      <c r="DP99" s="15"/>
      <c r="DQ99" s="15"/>
      <c r="DR99" s="15"/>
      <c r="DS99" s="15"/>
    </row>
    <row r="100" spans="1:123" ht="3.05" customHeight="1" x14ac:dyDescent="0.25">
      <c r="A100" s="13"/>
      <c r="B100" s="518"/>
      <c r="C100" s="518"/>
      <c r="D100" s="259"/>
      <c r="E100" s="149"/>
      <c r="F100" s="149"/>
      <c r="G100" s="25"/>
      <c r="H100" s="25"/>
      <c r="I100" s="25"/>
      <c r="J100" s="25"/>
      <c r="K100" s="25"/>
      <c r="L100" s="25"/>
      <c r="M100" s="149"/>
      <c r="N100" s="149"/>
      <c r="O100" s="149"/>
      <c r="P100" s="149"/>
      <c r="Q100" s="149"/>
      <c r="R100" s="149"/>
      <c r="S100" s="25"/>
      <c r="T100" s="25"/>
      <c r="U100" s="2"/>
      <c r="V100" s="25"/>
      <c r="W100" s="13"/>
      <c r="X100" s="13"/>
      <c r="Y100" s="13"/>
      <c r="Z100" s="13"/>
      <c r="AA100" s="149"/>
      <c r="AB100" s="149"/>
      <c r="AC100" s="149"/>
      <c r="AD100" s="149"/>
      <c r="AE100" s="149"/>
      <c r="AF100" s="149"/>
      <c r="AG100" s="25"/>
      <c r="AH100" s="25"/>
      <c r="AI100" s="25"/>
      <c r="AJ100" s="25"/>
      <c r="AK100" s="149"/>
      <c r="AL100" s="149"/>
      <c r="AM100" s="25"/>
      <c r="AN100" s="149"/>
      <c r="AO100" s="149"/>
      <c r="AP100" s="149"/>
      <c r="AQ100" s="149"/>
      <c r="AR100" s="149"/>
      <c r="AS100" s="149"/>
      <c r="AT100" s="149"/>
      <c r="AU100" s="149"/>
      <c r="AV100" s="149"/>
      <c r="AW100" s="25"/>
      <c r="AX100" s="25"/>
      <c r="AY100" s="25"/>
      <c r="AZ100" s="25"/>
      <c r="BA100" s="25"/>
      <c r="BB100" s="25"/>
      <c r="BC100" s="25"/>
      <c r="BD100" s="25"/>
      <c r="BE100" s="25"/>
      <c r="BF100" s="25"/>
      <c r="BG100" s="25"/>
      <c r="BH100" s="25"/>
      <c r="BI100" s="25"/>
      <c r="BJ100" s="25"/>
      <c r="BK100" s="149"/>
      <c r="BL100" s="25"/>
      <c r="BM100" s="25"/>
      <c r="BN100" s="25"/>
      <c r="BO100" s="25"/>
      <c r="BP100" s="25"/>
      <c r="BQ100" s="25"/>
      <c r="BR100" s="25"/>
      <c r="BS100" s="25"/>
      <c r="BT100" s="25"/>
      <c r="BU100" s="25"/>
      <c r="BV100" s="25"/>
      <c r="BW100" s="13"/>
      <c r="BX100" s="13"/>
      <c r="BY100" s="13"/>
      <c r="BZ100" s="13"/>
      <c r="CV100" s="13"/>
      <c r="CW100" s="13"/>
      <c r="CX100" s="13"/>
      <c r="CY100" s="15"/>
      <c r="CZ100" s="15"/>
      <c r="DA100" s="15"/>
      <c r="DB100" s="15"/>
      <c r="DC100" s="15"/>
      <c r="DD100" s="15"/>
      <c r="DE100" s="15"/>
      <c r="DF100" s="15"/>
      <c r="DG100" s="15"/>
      <c r="DH100" s="15"/>
      <c r="DI100" s="15"/>
      <c r="DJ100" s="15"/>
      <c r="DK100" s="15"/>
      <c r="DL100" s="15"/>
      <c r="DM100" s="15"/>
      <c r="DN100" s="15"/>
      <c r="DO100" s="15"/>
      <c r="DP100" s="15"/>
      <c r="DQ100" s="15"/>
      <c r="DR100" s="15"/>
      <c r="DS100" s="15"/>
    </row>
    <row r="101" spans="1:123" ht="3.05" customHeight="1" x14ac:dyDescent="0.25">
      <c r="A101" s="13"/>
      <c r="B101" s="518"/>
      <c r="C101" s="518"/>
      <c r="D101" s="259"/>
      <c r="E101" s="149"/>
      <c r="F101" s="149"/>
      <c r="G101" s="25"/>
      <c r="H101" s="25"/>
      <c r="I101" s="25"/>
      <c r="J101" s="25"/>
      <c r="K101" s="25"/>
      <c r="L101" s="25"/>
      <c r="M101" s="149"/>
      <c r="N101" s="149"/>
      <c r="O101" s="149"/>
      <c r="P101" s="149"/>
      <c r="Q101" s="149"/>
      <c r="R101" s="149"/>
      <c r="S101" s="13"/>
      <c r="T101" s="13"/>
      <c r="U101" s="2"/>
      <c r="V101" s="13"/>
      <c r="W101" s="13"/>
      <c r="X101" s="13"/>
      <c r="Y101" s="13"/>
      <c r="Z101" s="13"/>
      <c r="AA101" s="149"/>
      <c r="AB101" s="149"/>
      <c r="AC101" s="149"/>
      <c r="AD101" s="149"/>
      <c r="AE101" s="149"/>
      <c r="AF101" s="149"/>
      <c r="AG101" s="25"/>
      <c r="AH101" s="13"/>
      <c r="AI101" s="25"/>
      <c r="AJ101" s="25"/>
      <c r="AK101" s="149"/>
      <c r="AL101" s="149"/>
      <c r="AM101" s="25"/>
      <c r="AN101" s="149"/>
      <c r="AO101" s="149"/>
      <c r="AP101" s="149"/>
      <c r="AQ101" s="149"/>
      <c r="AR101" s="149"/>
      <c r="AS101" s="149"/>
      <c r="AT101" s="149"/>
      <c r="AU101" s="149"/>
      <c r="AV101" s="149"/>
      <c r="AW101" s="25"/>
      <c r="AX101" s="25"/>
      <c r="AY101" s="25"/>
      <c r="AZ101" s="25"/>
      <c r="BA101" s="25"/>
      <c r="BB101" s="4"/>
      <c r="BC101" s="149"/>
      <c r="BD101" s="149"/>
      <c r="BE101" s="149"/>
      <c r="BF101" s="149"/>
      <c r="BG101" s="149"/>
      <c r="BH101" s="149"/>
      <c r="BI101" s="149"/>
      <c r="BJ101" s="25"/>
      <c r="BK101" s="149"/>
      <c r="BL101" s="149"/>
      <c r="BM101" s="149"/>
      <c r="BN101" s="25"/>
      <c r="BO101" s="25"/>
      <c r="BP101" s="25"/>
      <c r="BQ101" s="25"/>
      <c r="BR101" s="25"/>
      <c r="BS101" s="25"/>
      <c r="BT101" s="25"/>
      <c r="BU101" s="25"/>
      <c r="BV101" s="25"/>
      <c r="BW101" s="13"/>
      <c r="BX101" s="13"/>
      <c r="BY101" s="13"/>
      <c r="BZ101" s="13"/>
      <c r="CV101" s="13"/>
      <c r="CW101" s="13"/>
      <c r="CX101" s="13"/>
      <c r="CY101" s="15"/>
      <c r="CZ101" s="15"/>
      <c r="DA101" s="15"/>
      <c r="DB101" s="15"/>
      <c r="DC101" s="15"/>
      <c r="DD101" s="15"/>
      <c r="DE101" s="15"/>
      <c r="DF101" s="15"/>
      <c r="DG101" s="15"/>
      <c r="DH101" s="15"/>
      <c r="DI101" s="15"/>
      <c r="DJ101" s="15"/>
      <c r="DK101" s="15"/>
      <c r="DL101" s="15"/>
      <c r="DM101" s="15"/>
      <c r="DN101" s="15"/>
      <c r="DO101" s="15"/>
      <c r="DP101" s="15"/>
      <c r="DQ101" s="15"/>
      <c r="DR101" s="15"/>
      <c r="DS101" s="15"/>
    </row>
    <row r="102" spans="1:123" ht="3.05" customHeight="1" x14ac:dyDescent="0.25">
      <c r="A102" s="13"/>
      <c r="B102" s="518"/>
      <c r="C102" s="518"/>
      <c r="D102" s="259"/>
      <c r="E102" s="149"/>
      <c r="F102" s="149"/>
      <c r="G102" s="25"/>
      <c r="H102" s="25"/>
      <c r="I102" s="25"/>
      <c r="J102" s="25"/>
      <c r="K102" s="25"/>
      <c r="L102" s="25"/>
      <c r="M102" s="149"/>
      <c r="N102" s="149"/>
      <c r="O102" s="149"/>
      <c r="P102" s="149"/>
      <c r="Q102" s="149"/>
      <c r="R102" s="149"/>
      <c r="S102" s="13"/>
      <c r="T102" s="13"/>
      <c r="U102" s="2"/>
      <c r="V102" s="13"/>
      <c r="W102" s="13"/>
      <c r="X102" s="13"/>
      <c r="Y102" s="13"/>
      <c r="Z102" s="13"/>
      <c r="AA102" s="149"/>
      <c r="AB102" s="149"/>
      <c r="AC102" s="149"/>
      <c r="AD102" s="149"/>
      <c r="AE102" s="149"/>
      <c r="AF102" s="149"/>
      <c r="AG102" s="25"/>
      <c r="AH102" s="13"/>
      <c r="AI102" s="25"/>
      <c r="AJ102" s="25"/>
      <c r="AK102" s="149"/>
      <c r="AL102" s="149"/>
      <c r="AM102" s="25"/>
      <c r="AN102" s="149"/>
      <c r="AO102" s="149"/>
      <c r="AP102" s="149"/>
      <c r="AQ102" s="149"/>
      <c r="AR102" s="149"/>
      <c r="AS102" s="149"/>
      <c r="AT102" s="149"/>
      <c r="AU102" s="149"/>
      <c r="AV102" s="149"/>
      <c r="AW102" s="25"/>
      <c r="AX102" s="25"/>
      <c r="AY102" s="25"/>
      <c r="AZ102" s="25"/>
      <c r="BA102" s="25"/>
      <c r="BB102" s="4"/>
      <c r="BC102" s="149"/>
      <c r="BD102" s="149"/>
      <c r="BE102" s="149"/>
      <c r="BF102" s="149"/>
      <c r="BG102" s="149"/>
      <c r="BH102" s="149"/>
      <c r="BI102" s="149"/>
      <c r="BJ102" s="25"/>
      <c r="BK102" s="149"/>
      <c r="BL102" s="149"/>
      <c r="BM102" s="149"/>
      <c r="BN102" s="25"/>
      <c r="BO102" s="25"/>
      <c r="BP102" s="25"/>
      <c r="BQ102" s="25"/>
      <c r="BR102" s="25"/>
      <c r="BS102" s="25"/>
      <c r="BT102" s="25"/>
      <c r="BU102" s="25"/>
      <c r="BV102" s="25"/>
      <c r="BW102" s="13"/>
      <c r="BX102" s="13"/>
      <c r="BY102" s="13"/>
      <c r="BZ102" s="13"/>
      <c r="CV102" s="13"/>
      <c r="CW102" s="13"/>
      <c r="CX102" s="13"/>
      <c r="CY102" s="15"/>
      <c r="CZ102" s="15"/>
      <c r="DA102" s="15"/>
      <c r="DB102" s="15"/>
      <c r="DC102" s="15"/>
      <c r="DD102" s="15"/>
      <c r="DE102" s="15"/>
      <c r="DF102" s="15"/>
      <c r="DG102" s="15"/>
      <c r="DH102" s="15"/>
      <c r="DI102" s="15"/>
      <c r="DJ102" s="15"/>
      <c r="DK102" s="15"/>
      <c r="DL102" s="15"/>
      <c r="DM102" s="15"/>
      <c r="DN102" s="15"/>
      <c r="DO102" s="15"/>
      <c r="DP102" s="15"/>
      <c r="DQ102" s="15"/>
      <c r="DR102" s="15"/>
      <c r="DS102" s="15"/>
    </row>
    <row r="103" spans="1:123" ht="3.05" customHeight="1" x14ac:dyDescent="0.25">
      <c r="A103" s="13"/>
      <c r="B103" s="518"/>
      <c r="C103" s="518"/>
      <c r="D103" s="259"/>
      <c r="E103" s="149"/>
      <c r="F103" s="149"/>
      <c r="G103" s="25"/>
      <c r="H103" s="25"/>
      <c r="I103" s="25"/>
      <c r="J103" s="25"/>
      <c r="K103" s="25"/>
      <c r="L103" s="25"/>
      <c r="M103" s="149"/>
      <c r="N103" s="149"/>
      <c r="O103" s="149"/>
      <c r="P103" s="149"/>
      <c r="Q103" s="149"/>
      <c r="R103" s="149"/>
      <c r="S103" s="149"/>
      <c r="T103" s="149"/>
      <c r="U103" s="2"/>
      <c r="V103" s="149"/>
      <c r="W103" s="25"/>
      <c r="X103" s="25"/>
      <c r="Y103" s="25"/>
      <c r="Z103" s="25"/>
      <c r="AA103" s="149"/>
      <c r="AB103" s="149"/>
      <c r="AC103" s="149"/>
      <c r="AD103" s="149"/>
      <c r="AE103" s="149"/>
      <c r="AF103" s="149"/>
      <c r="AG103" s="25"/>
      <c r="AH103" s="149"/>
      <c r="AI103" s="25"/>
      <c r="AJ103" s="25"/>
      <c r="AK103" s="149"/>
      <c r="AL103" s="149"/>
      <c r="AM103" s="25"/>
      <c r="AN103" s="149"/>
      <c r="AO103" s="149"/>
      <c r="AP103" s="149"/>
      <c r="AQ103" s="149"/>
      <c r="AR103" s="149"/>
      <c r="AS103" s="149"/>
      <c r="AT103" s="149"/>
      <c r="AU103" s="149"/>
      <c r="AV103" s="149"/>
      <c r="AW103" s="25"/>
      <c r="AX103" s="25"/>
      <c r="AY103" s="25"/>
      <c r="AZ103" s="25"/>
      <c r="BA103" s="25"/>
      <c r="BB103" s="4"/>
      <c r="BC103" s="149"/>
      <c r="BD103" s="149"/>
      <c r="BE103" s="149"/>
      <c r="BF103" s="149"/>
      <c r="BG103" s="149"/>
      <c r="BH103" s="149"/>
      <c r="BI103" s="149"/>
      <c r="BJ103" s="25"/>
      <c r="BK103" s="149"/>
      <c r="BL103" s="149"/>
      <c r="BM103" s="149"/>
      <c r="BN103" s="25"/>
      <c r="BO103" s="25"/>
      <c r="BP103" s="25"/>
      <c r="BQ103" s="25"/>
      <c r="BR103" s="25"/>
      <c r="BS103" s="25"/>
      <c r="BT103" s="25"/>
      <c r="BU103" s="25"/>
      <c r="BV103" s="25"/>
      <c r="BW103" s="13"/>
      <c r="BX103" s="13"/>
      <c r="BY103" s="13"/>
      <c r="BZ103" s="13"/>
      <c r="CV103" s="13"/>
      <c r="CW103" s="13"/>
      <c r="CX103" s="13"/>
      <c r="CY103" s="15"/>
      <c r="CZ103" s="15"/>
      <c r="DA103" s="15"/>
      <c r="DB103" s="15"/>
      <c r="DC103" s="15"/>
      <c r="DD103" s="15"/>
      <c r="DE103" s="15"/>
      <c r="DF103" s="15"/>
      <c r="DG103" s="15"/>
      <c r="DH103" s="15"/>
      <c r="DI103" s="15"/>
      <c r="DJ103" s="15"/>
      <c r="DK103" s="15"/>
      <c r="DL103" s="15"/>
      <c r="DM103" s="15"/>
      <c r="DN103" s="15"/>
      <c r="DO103" s="15"/>
      <c r="DP103" s="15"/>
      <c r="DQ103" s="15"/>
      <c r="DR103" s="15"/>
      <c r="DS103" s="15"/>
    </row>
    <row r="104" spans="1:123" ht="12.85" customHeight="1" thickBot="1" x14ac:dyDescent="0.3">
      <c r="A104" s="13"/>
      <c r="B104" s="518" t="s">
        <v>1314</v>
      </c>
      <c r="C104" s="518"/>
      <c r="D104" s="259"/>
      <c r="E104" s="149"/>
      <c r="F104" s="149"/>
      <c r="G104" s="25"/>
      <c r="H104" s="25"/>
      <c r="I104" s="25"/>
      <c r="J104" s="25"/>
      <c r="K104" s="25"/>
      <c r="L104" s="25"/>
      <c r="M104" s="149"/>
      <c r="N104" s="149"/>
      <c r="O104" s="149"/>
      <c r="P104" s="149"/>
      <c r="Q104" s="149"/>
      <c r="R104" s="149"/>
      <c r="S104" s="149"/>
      <c r="T104" s="149"/>
      <c r="U104" s="2"/>
      <c r="V104" s="149"/>
      <c r="W104" s="25"/>
      <c r="X104" s="25"/>
      <c r="Y104" s="25"/>
      <c r="Z104" s="25"/>
      <c r="AA104" s="166"/>
      <c r="AB104" s="166"/>
      <c r="AC104" s="166"/>
      <c r="AD104" s="166"/>
      <c r="AE104" s="166"/>
      <c r="AF104" s="166"/>
      <c r="AG104" s="25"/>
      <c r="AH104" s="149"/>
      <c r="AI104" s="25"/>
      <c r="AJ104" s="25"/>
      <c r="AK104" s="149"/>
      <c r="AL104" s="149"/>
      <c r="AM104" s="25"/>
      <c r="AN104" s="149"/>
      <c r="AO104" s="149"/>
      <c r="AP104" s="149"/>
      <c r="AQ104" s="149"/>
      <c r="AR104" s="149"/>
      <c r="AS104" s="149"/>
      <c r="AT104" s="149"/>
      <c r="AU104" s="149"/>
      <c r="AV104" s="149"/>
      <c r="AW104" s="25"/>
      <c r="AX104" s="25"/>
      <c r="AY104" s="25"/>
      <c r="AZ104" s="25"/>
      <c r="BA104" s="25"/>
      <c r="BB104" s="4"/>
      <c r="BC104" s="149"/>
      <c r="BD104" s="149"/>
      <c r="BE104" s="149"/>
      <c r="BF104" s="149"/>
      <c r="BG104" s="149"/>
      <c r="BH104" s="149"/>
      <c r="BI104" s="149"/>
      <c r="BJ104" s="25"/>
      <c r="BK104" s="149"/>
      <c r="BL104" s="149"/>
      <c r="BM104" s="149"/>
      <c r="BN104" s="25"/>
      <c r="BO104" s="25"/>
      <c r="BP104" s="25"/>
      <c r="BQ104" s="25"/>
      <c r="BR104" s="25"/>
      <c r="BS104" s="25"/>
      <c r="BT104" s="25"/>
      <c r="BU104" s="25"/>
      <c r="BV104" s="25"/>
      <c r="BW104" s="13"/>
      <c r="BX104" s="13"/>
      <c r="BY104" s="13"/>
      <c r="BZ104" s="13"/>
      <c r="CV104" s="13"/>
      <c r="CW104" s="13"/>
      <c r="CX104" s="13"/>
      <c r="CY104" s="15"/>
      <c r="CZ104" s="15"/>
      <c r="DA104" s="15"/>
      <c r="DB104" s="15"/>
      <c r="DC104" s="15"/>
      <c r="DD104" s="15"/>
      <c r="DE104" s="15"/>
      <c r="DF104" s="15"/>
      <c r="DG104" s="15"/>
      <c r="DH104" s="15"/>
      <c r="DI104" s="15"/>
      <c r="DJ104" s="15"/>
      <c r="DK104" s="15"/>
      <c r="DL104" s="15"/>
      <c r="DM104" s="15"/>
      <c r="DN104" s="15"/>
      <c r="DO104" s="15"/>
      <c r="DP104" s="15"/>
      <c r="DQ104" s="15"/>
      <c r="DR104" s="15"/>
      <c r="DS104" s="15"/>
    </row>
    <row r="105" spans="1:123" ht="33" customHeight="1" thickBot="1" x14ac:dyDescent="0.3">
      <c r="A105" s="13"/>
      <c r="B105" s="983"/>
      <c r="C105" s="462"/>
      <c r="D105" s="1458" t="str">
        <f>IF($E$5=$AB$139,D94,"")</f>
        <v/>
      </c>
      <c r="E105" s="1459" t="str">
        <f>IF($E$5=$AB$139,E94,"")</f>
        <v/>
      </c>
      <c r="F105" s="1459" t="str">
        <f>IF($E$5=$AB$139,F94,"")</f>
        <v/>
      </c>
      <c r="G105" s="1459" t="str">
        <f>IF($E$5=$AB$139,G94,"")</f>
        <v/>
      </c>
      <c r="H105" s="1459" t="str">
        <f>IF($E$5=$AB$139,H94,"")</f>
        <v/>
      </c>
      <c r="I105" s="1460" t="str">
        <f>I94</f>
        <v>kg CO2 eq</v>
      </c>
      <c r="J105" s="13"/>
      <c r="K105" s="25"/>
      <c r="L105" s="25"/>
      <c r="M105" s="149"/>
      <c r="N105" s="149"/>
      <c r="O105" s="149"/>
      <c r="P105" s="149"/>
      <c r="Q105" s="149"/>
      <c r="R105" s="149"/>
      <c r="S105" s="13"/>
      <c r="T105" s="13"/>
      <c r="U105" s="2"/>
      <c r="V105" s="13"/>
      <c r="W105" s="13"/>
      <c r="X105" s="13"/>
      <c r="Y105" s="13"/>
      <c r="Z105" s="13"/>
      <c r="AA105" s="2142"/>
      <c r="AB105" s="2143" t="s">
        <v>191</v>
      </c>
      <c r="AC105" s="2143" t="s">
        <v>1468</v>
      </c>
      <c r="AD105" s="2143" t="s">
        <v>1469</v>
      </c>
      <c r="AE105" s="2144" t="s">
        <v>1470</v>
      </c>
      <c r="AF105" s="166"/>
      <c r="AG105" s="149"/>
      <c r="AH105" s="1420" t="str">
        <f>IF($E$5=$AB$139,AH94,"")</f>
        <v/>
      </c>
      <c r="AI105" s="149"/>
      <c r="AJ105" s="25"/>
      <c r="AK105" s="149"/>
      <c r="AL105" s="149"/>
      <c r="AM105" s="25"/>
      <c r="AN105" s="149"/>
      <c r="AO105" s="149"/>
      <c r="AP105" s="149"/>
      <c r="AQ105" s="149"/>
      <c r="AR105" s="149"/>
      <c r="AS105" s="149"/>
      <c r="AT105" s="149"/>
      <c r="AU105" s="149"/>
      <c r="AV105" s="149"/>
      <c r="AW105" s="25"/>
      <c r="AX105" s="25"/>
      <c r="AY105" s="25"/>
      <c r="AZ105" s="25"/>
      <c r="BA105" s="149"/>
      <c r="BB105" s="149"/>
      <c r="BC105" s="149"/>
      <c r="BD105" s="149"/>
      <c r="BE105" s="149"/>
      <c r="BF105" s="149"/>
      <c r="BG105" s="149"/>
      <c r="BH105" s="149"/>
      <c r="BI105" s="149"/>
      <c r="BJ105" s="25"/>
      <c r="BK105" s="149"/>
      <c r="BL105" s="149"/>
      <c r="BM105" s="149"/>
      <c r="BN105" s="25"/>
      <c r="BO105" s="25"/>
      <c r="BP105" s="25"/>
      <c r="BQ105" s="25"/>
      <c r="BR105" s="25"/>
      <c r="BS105" s="25"/>
      <c r="BT105" s="25"/>
      <c r="BU105" s="25"/>
      <c r="BV105" s="25"/>
      <c r="BW105" s="13"/>
      <c r="BX105" s="13"/>
      <c r="BY105" s="13"/>
      <c r="BZ105" s="13"/>
      <c r="CV105" s="13"/>
      <c r="CW105" s="13"/>
      <c r="CX105" s="13"/>
      <c r="CY105" s="15"/>
      <c r="CZ105" s="15"/>
      <c r="DA105" s="15"/>
      <c r="DB105" s="15"/>
      <c r="DC105" s="15"/>
      <c r="DD105" s="15"/>
      <c r="DE105" s="15"/>
      <c r="DF105" s="15"/>
      <c r="DG105" s="15"/>
      <c r="DH105" s="15"/>
      <c r="DI105" s="15"/>
      <c r="DJ105" s="15"/>
      <c r="DK105" s="15"/>
      <c r="DL105" s="15"/>
      <c r="DM105" s="15"/>
      <c r="DN105" s="15"/>
      <c r="DO105" s="15"/>
      <c r="DP105" s="15"/>
      <c r="DQ105" s="15"/>
      <c r="DR105" s="15"/>
      <c r="DS105" s="15"/>
    </row>
    <row r="106" spans="1:123" ht="33" customHeight="1" x14ac:dyDescent="0.25">
      <c r="A106" s="13"/>
      <c r="B106" s="2419" t="str">
        <f>IF($E$5=$AB$139,B95,"")</f>
        <v/>
      </c>
      <c r="C106" s="2420"/>
      <c r="D106" s="1482">
        <f t="shared" ref="D106:H108" ca="1" si="19">AB95</f>
        <v>0</v>
      </c>
      <c r="E106" s="1467">
        <f t="shared" ca="1" si="19"/>
        <v>0</v>
      </c>
      <c r="F106" s="1467">
        <f t="shared" ca="1" si="19"/>
        <v>0</v>
      </c>
      <c r="G106" s="1467">
        <f t="shared" ca="1" si="19"/>
        <v>0</v>
      </c>
      <c r="H106" s="1468">
        <f t="shared" ca="1" si="19"/>
        <v>0</v>
      </c>
      <c r="I106" s="1471">
        <f ca="1">IF(AH106="","",SUMIF(AE$241:AE$244,I$105,AF$241:AF$244)*AH106)</f>
        <v>0</v>
      </c>
      <c r="J106" s="13"/>
      <c r="K106" s="25"/>
      <c r="L106" s="25"/>
      <c r="M106" s="149"/>
      <c r="N106" s="149"/>
      <c r="O106" s="149"/>
      <c r="P106" s="149"/>
      <c r="Q106" s="149"/>
      <c r="R106" s="149"/>
      <c r="S106" s="25"/>
      <c r="T106" s="25"/>
      <c r="U106" s="2"/>
      <c r="V106" s="25"/>
      <c r="W106" s="13"/>
      <c r="X106" s="13"/>
      <c r="Y106" s="13"/>
      <c r="Z106" s="13"/>
      <c r="AA106" s="2145" t="s">
        <v>190</v>
      </c>
      <c r="AB106" s="405">
        <f>AE25 + AE46 + AE64</f>
        <v>0</v>
      </c>
      <c r="AC106" s="405">
        <f>AB106/365</f>
        <v>0</v>
      </c>
      <c r="AD106" s="405">
        <f>Z7</f>
        <v>0</v>
      </c>
      <c r="AE106" s="2146">
        <f>IF($E$5=$AB$139,MAX(1,AC106),AD106)</f>
        <v>0</v>
      </c>
      <c r="AF106" s="166"/>
      <c r="AG106" s="149"/>
      <c r="AH106" s="1421">
        <f ca="1">D106+(E106+F106)*'A1. Submodels &amp; data'!B$378+'A1. Submodels &amp; data'!B$379*(G106+H106)</f>
        <v>0</v>
      </c>
      <c r="AI106" s="149"/>
      <c r="AJ106" s="25"/>
      <c r="AK106" s="149"/>
      <c r="AL106" s="149"/>
      <c r="AM106" s="25"/>
      <c r="AN106" s="149"/>
      <c r="AO106" s="149"/>
      <c r="AP106" s="149"/>
      <c r="AQ106" s="149"/>
      <c r="AR106" s="149"/>
      <c r="AS106" s="149"/>
      <c r="AT106" s="149"/>
      <c r="AU106" s="149"/>
      <c r="AV106" s="149"/>
      <c r="AW106" s="25"/>
      <c r="AX106" s="25"/>
      <c r="AY106" s="25"/>
      <c r="AZ106" s="25"/>
      <c r="BA106" s="149"/>
      <c r="BB106" s="25"/>
      <c r="BC106" s="25"/>
      <c r="BD106" s="25"/>
      <c r="BE106" s="25"/>
      <c r="BF106" s="25"/>
      <c r="BG106" s="25"/>
      <c r="BH106" s="149"/>
      <c r="BI106" s="149"/>
      <c r="BJ106" s="25"/>
      <c r="BK106" s="149"/>
      <c r="BL106" s="149"/>
      <c r="BM106" s="149"/>
      <c r="BN106" s="25"/>
      <c r="BO106" s="25"/>
      <c r="BP106" s="25"/>
      <c r="BQ106" s="25"/>
      <c r="BR106" s="25"/>
      <c r="BS106" s="25"/>
      <c r="BT106" s="25"/>
      <c r="BU106" s="25"/>
      <c r="BV106" s="25"/>
      <c r="BW106" s="13"/>
      <c r="BX106" s="13"/>
      <c r="BY106" s="13"/>
      <c r="BZ106" s="13"/>
      <c r="CV106" s="13"/>
      <c r="CW106" s="13"/>
      <c r="CX106" s="13"/>
      <c r="CY106" s="15"/>
      <c r="CZ106" s="15"/>
      <c r="DA106" s="15"/>
      <c r="DB106" s="15"/>
      <c r="DC106" s="15"/>
      <c r="DD106" s="15"/>
      <c r="DE106" s="15"/>
      <c r="DF106" s="15"/>
      <c r="DG106" s="15"/>
      <c r="DH106" s="15"/>
      <c r="DI106" s="15"/>
      <c r="DJ106" s="15"/>
      <c r="DK106" s="15"/>
      <c r="DL106" s="15"/>
      <c r="DM106" s="15"/>
      <c r="DN106" s="15"/>
      <c r="DO106" s="15"/>
      <c r="DP106" s="15"/>
      <c r="DQ106" s="15"/>
      <c r="DR106" s="15"/>
      <c r="DS106" s="15"/>
    </row>
    <row r="107" spans="1:123" ht="33" customHeight="1" x14ac:dyDescent="0.25">
      <c r="A107" s="13"/>
      <c r="B107" s="2419" t="str">
        <f>IF($E$5=$AB$139,B96,"")</f>
        <v/>
      </c>
      <c r="C107" s="2420"/>
      <c r="D107" s="1484">
        <f t="shared" ca="1" si="19"/>
        <v>0</v>
      </c>
      <c r="E107" s="1485">
        <f t="shared" ca="1" si="19"/>
        <v>0</v>
      </c>
      <c r="F107" s="1485">
        <f t="shared" ca="1" si="19"/>
        <v>0</v>
      </c>
      <c r="G107" s="1485">
        <f t="shared" ca="1" si="19"/>
        <v>0</v>
      </c>
      <c r="H107" s="1486">
        <f t="shared" ca="1" si="19"/>
        <v>0</v>
      </c>
      <c r="I107" s="1471">
        <f ca="1">IF(AH107="","",SUMIF(AE$241:AE$244,I$105,AF$241:AF$244)*AH107)</f>
        <v>0</v>
      </c>
      <c r="J107" s="13"/>
      <c r="K107" s="25"/>
      <c r="L107" s="25"/>
      <c r="M107" s="149"/>
      <c r="N107" s="149"/>
      <c r="O107" s="149"/>
      <c r="P107" s="149"/>
      <c r="Q107" s="149"/>
      <c r="R107" s="149"/>
      <c r="S107" s="25"/>
      <c r="T107" s="25"/>
      <c r="U107" s="2"/>
      <c r="V107" s="25"/>
      <c r="W107" s="13"/>
      <c r="X107" s="13"/>
      <c r="Y107" s="13"/>
      <c r="Z107" s="13"/>
      <c r="AA107" s="2147"/>
      <c r="AB107" s="405"/>
      <c r="AC107" s="405">
        <f>AC106</f>
        <v>0</v>
      </c>
      <c r="AD107" s="405">
        <f>Z8</f>
        <v>0</v>
      </c>
      <c r="AE107" s="2146">
        <f>IF($E$5=$AB$139,MAX(1,AC107),AD107)</f>
        <v>0</v>
      </c>
      <c r="AF107" s="166"/>
      <c r="AG107" s="149"/>
      <c r="AH107" s="1421">
        <f ca="1">D107+(E107+F107)*'A1. Submodels &amp; data'!B$378+'A1. Submodels &amp; data'!B$379*(G107+H107)</f>
        <v>0</v>
      </c>
      <c r="AI107" s="149"/>
      <c r="AJ107" s="25"/>
      <c r="AK107" s="149"/>
      <c r="AL107" s="149"/>
      <c r="AM107" s="25"/>
      <c r="AN107" s="149"/>
      <c r="AO107" s="149"/>
      <c r="AP107" s="149"/>
      <c r="AQ107" s="149"/>
      <c r="AR107" s="149"/>
      <c r="AS107" s="149"/>
      <c r="AT107" s="149"/>
      <c r="AU107" s="149"/>
      <c r="AV107" s="149"/>
      <c r="AW107" s="25"/>
      <c r="AX107" s="25"/>
      <c r="AY107" s="25"/>
      <c r="AZ107" s="25"/>
      <c r="BA107" s="149"/>
      <c r="BB107" s="25"/>
      <c r="BC107" s="25"/>
      <c r="BD107" s="25"/>
      <c r="BE107" s="25"/>
      <c r="BF107" s="25"/>
      <c r="BG107" s="25"/>
      <c r="BH107" s="25"/>
      <c r="BI107" s="25"/>
      <c r="BJ107" s="25"/>
      <c r="BK107" s="149"/>
      <c r="BL107" s="149"/>
      <c r="BM107" s="149"/>
      <c r="BN107" s="25"/>
      <c r="BO107" s="25"/>
      <c r="BP107" s="25"/>
      <c r="BQ107" s="25"/>
      <c r="BR107" s="420"/>
      <c r="BS107" s="25"/>
      <c r="BT107" s="25"/>
      <c r="BU107" s="25"/>
      <c r="BV107" s="25"/>
      <c r="BW107" s="13"/>
      <c r="BX107" s="13"/>
      <c r="BY107" s="13"/>
      <c r="BZ107" s="13"/>
      <c r="CV107" s="13"/>
      <c r="CW107" s="13"/>
      <c r="CX107" s="13"/>
      <c r="CY107" s="15"/>
      <c r="CZ107" s="15"/>
      <c r="DA107" s="15"/>
      <c r="DB107" s="15"/>
      <c r="DC107" s="15"/>
      <c r="DD107" s="15"/>
      <c r="DE107" s="15"/>
      <c r="DF107" s="15"/>
      <c r="DG107" s="15"/>
      <c r="DH107" s="15"/>
      <c r="DI107" s="15"/>
      <c r="DJ107" s="15"/>
      <c r="DK107" s="15"/>
      <c r="DL107" s="15"/>
      <c r="DM107" s="15"/>
      <c r="DN107" s="15"/>
      <c r="DO107" s="15"/>
      <c r="DP107" s="15"/>
      <c r="DQ107" s="15"/>
      <c r="DR107" s="15"/>
      <c r="DS107" s="15"/>
    </row>
    <row r="108" spans="1:123" ht="33" customHeight="1" thickBot="1" x14ac:dyDescent="0.3">
      <c r="A108" s="13"/>
      <c r="B108" s="2419" t="str">
        <f>IF($E$5=$AB$139,B97,"")</f>
        <v/>
      </c>
      <c r="C108" s="2420"/>
      <c r="D108" s="1488">
        <f t="shared" ca="1" si="19"/>
        <v>0</v>
      </c>
      <c r="E108" s="1494">
        <f t="shared" ca="1" si="19"/>
        <v>0</v>
      </c>
      <c r="F108" s="1494">
        <f t="shared" ca="1" si="19"/>
        <v>0</v>
      </c>
      <c r="G108" s="1494">
        <f t="shared" ca="1" si="19"/>
        <v>0</v>
      </c>
      <c r="H108" s="1495">
        <f t="shared" ca="1" si="19"/>
        <v>0</v>
      </c>
      <c r="I108" s="1471">
        <f ca="1">IF(AH108="","",SUMIF(AE$241:AE$244,I$105,AF$241:AF$244)*AH108)</f>
        <v>0</v>
      </c>
      <c r="J108" s="13"/>
      <c r="K108" s="25"/>
      <c r="L108" s="25"/>
      <c r="M108" s="149"/>
      <c r="N108" s="149"/>
      <c r="O108" s="149"/>
      <c r="P108" s="149"/>
      <c r="Q108" s="149"/>
      <c r="R108" s="149"/>
      <c r="S108" s="25"/>
      <c r="T108" s="25"/>
      <c r="U108" s="2"/>
      <c r="V108" s="25"/>
      <c r="W108" s="13"/>
      <c r="X108" s="13"/>
      <c r="Y108" s="13"/>
      <c r="Z108" s="13"/>
      <c r="AA108" s="2148"/>
      <c r="AB108" s="2149"/>
      <c r="AC108" s="2149">
        <f>AC107</f>
        <v>0</v>
      </c>
      <c r="AD108" s="2149">
        <f>Z9</f>
        <v>0</v>
      </c>
      <c r="AE108" s="2150">
        <f>IF($E$5=$AB$139,MAX(1,AC108),AD108)</f>
        <v>0</v>
      </c>
      <c r="AF108" s="166"/>
      <c r="AG108" s="149"/>
      <c r="AH108" s="1421">
        <f ca="1">D108+(E108+F108)*'A1. Submodels &amp; data'!B$378+'A1. Submodels &amp; data'!B$379*(G108+H108)</f>
        <v>0</v>
      </c>
      <c r="AI108" s="149"/>
      <c r="AJ108" s="25"/>
      <c r="AK108" s="149"/>
      <c r="AL108" s="149"/>
      <c r="AM108" s="25"/>
      <c r="AN108" s="2"/>
      <c r="AO108" s="2"/>
      <c r="AP108" s="2"/>
      <c r="AQ108" s="2"/>
      <c r="AR108" s="2"/>
      <c r="AS108" s="2"/>
      <c r="AT108" s="2"/>
      <c r="AU108" s="2"/>
      <c r="AV108" s="2"/>
      <c r="AW108" s="2"/>
      <c r="AX108" s="2"/>
      <c r="AY108" s="2"/>
      <c r="AZ108" s="25"/>
      <c r="BA108" s="149"/>
      <c r="BB108" s="25"/>
      <c r="BC108" s="25"/>
      <c r="BD108" s="25"/>
      <c r="BE108" s="25"/>
      <c r="BF108" s="25"/>
      <c r="BG108" s="25"/>
      <c r="BH108" s="25"/>
      <c r="BI108" s="25"/>
      <c r="BJ108" s="25"/>
      <c r="BK108" s="2123"/>
      <c r="BL108" s="425"/>
      <c r="BM108" s="425"/>
      <c r="BN108" s="25"/>
      <c r="BO108" s="25"/>
      <c r="BP108" s="25"/>
      <c r="BQ108" s="25"/>
      <c r="BR108" s="25"/>
      <c r="BS108" s="422"/>
      <c r="BT108" s="25"/>
      <c r="BU108" s="25"/>
      <c r="BV108" s="25"/>
      <c r="BW108" s="13"/>
      <c r="BX108" s="13"/>
      <c r="BY108" s="13"/>
      <c r="BZ108" s="13"/>
      <c r="CV108" s="13"/>
      <c r="CW108" s="13"/>
      <c r="CX108" s="13"/>
      <c r="CY108" s="15"/>
      <c r="CZ108" s="15"/>
      <c r="DA108" s="15"/>
      <c r="DB108" s="15"/>
      <c r="DC108" s="15"/>
      <c r="DD108" s="15"/>
      <c r="DE108" s="15"/>
      <c r="DF108" s="15"/>
      <c r="DG108" s="15"/>
      <c r="DH108" s="15"/>
      <c r="DI108" s="15"/>
      <c r="DJ108" s="15"/>
      <c r="DK108" s="15"/>
      <c r="DL108" s="15"/>
      <c r="DM108" s="15"/>
      <c r="DN108" s="15"/>
      <c r="DO108" s="15"/>
      <c r="DP108" s="15"/>
      <c r="DQ108" s="15"/>
      <c r="DR108" s="15"/>
      <c r="DS108" s="15"/>
    </row>
    <row r="109" spans="1:123" ht="33" customHeight="1" thickBot="1" x14ac:dyDescent="0.3">
      <c r="A109" s="13"/>
      <c r="B109" s="2417" t="str">
        <f>IF($E$5=$AB$139,B99,"")</f>
        <v/>
      </c>
      <c r="C109" s="2418"/>
      <c r="D109" s="1496">
        <f ca="1">SUM(D106:D108)</f>
        <v>0</v>
      </c>
      <c r="E109" s="1496">
        <f ca="1">SUM(E106:E108)</f>
        <v>0</v>
      </c>
      <c r="F109" s="1496">
        <f ca="1">SUM(F106:F108)</f>
        <v>0</v>
      </c>
      <c r="G109" s="1496">
        <f ca="1">SUM(G106:G108)</f>
        <v>0</v>
      </c>
      <c r="H109" s="1496">
        <f ca="1">SUM(H106:H108)</f>
        <v>0</v>
      </c>
      <c r="I109" s="1497">
        <f ca="1">IF(AH109="","",SUMIF(AE$241:AE$244,I$105,AF$241:AF$244)*AH109)</f>
        <v>0</v>
      </c>
      <c r="J109" s="148" t="str">
        <f ca="1">IF(ISERROR(AH109),"Remember that you have to complete the General Info page to obtained emissions here","")</f>
        <v/>
      </c>
      <c r="K109" s="25"/>
      <c r="L109" s="25"/>
      <c r="M109" s="149"/>
      <c r="N109" s="149"/>
      <c r="O109" s="149"/>
      <c r="P109" s="149"/>
      <c r="Q109" s="149"/>
      <c r="R109" s="149"/>
      <c r="S109" s="25"/>
      <c r="T109" s="25"/>
      <c r="U109" s="2"/>
      <c r="V109" s="25"/>
      <c r="W109" s="13"/>
      <c r="X109" s="13"/>
      <c r="Y109" s="13"/>
      <c r="Z109" s="13"/>
      <c r="AA109" s="166"/>
      <c r="AB109" s="166"/>
      <c r="AC109" s="166"/>
      <c r="AD109" s="166"/>
      <c r="AE109" s="166"/>
      <c r="AF109" s="166"/>
      <c r="AG109" s="149"/>
      <c r="AH109" s="1422">
        <f ca="1">SUM(AH106:AH108)</f>
        <v>0</v>
      </c>
      <c r="AI109" s="149"/>
      <c r="AJ109" s="25"/>
      <c r="AK109" s="149"/>
      <c r="AL109" s="149"/>
      <c r="AM109" s="25"/>
      <c r="AN109" s="2"/>
      <c r="AO109" s="2"/>
      <c r="AP109" s="2"/>
      <c r="AQ109" s="2"/>
      <c r="AR109" s="2"/>
      <c r="AS109" s="2"/>
      <c r="AT109" s="2"/>
      <c r="AU109" s="2"/>
      <c r="AV109" s="2"/>
      <c r="AW109" s="2"/>
      <c r="AX109" s="2"/>
      <c r="AY109" s="2"/>
      <c r="AZ109" s="25"/>
      <c r="BA109" s="149"/>
      <c r="BB109" s="25"/>
      <c r="BC109" s="25"/>
      <c r="BD109" s="25"/>
      <c r="BE109" s="25"/>
      <c r="BF109" s="25"/>
      <c r="BG109" s="25"/>
      <c r="BH109" s="149"/>
      <c r="BI109" s="149"/>
      <c r="BJ109" s="25"/>
      <c r="BK109" s="2123"/>
      <c r="BL109" s="425"/>
      <c r="BM109" s="425"/>
      <c r="BN109" s="25"/>
      <c r="BO109" s="25"/>
      <c r="BP109" s="25"/>
      <c r="BQ109" s="421"/>
      <c r="BR109" s="25"/>
      <c r="BS109" s="422"/>
      <c r="BT109" s="25"/>
      <c r="BU109" s="25"/>
      <c r="BV109" s="25"/>
      <c r="BW109" s="13"/>
      <c r="BX109" s="13"/>
      <c r="BY109" s="13"/>
      <c r="BZ109" s="13"/>
      <c r="CV109" s="13"/>
      <c r="CW109" s="13"/>
      <c r="CX109" s="13"/>
      <c r="CY109" s="15"/>
      <c r="CZ109" s="15"/>
      <c r="DA109" s="15"/>
      <c r="DB109" s="15"/>
      <c r="DC109" s="15"/>
      <c r="DD109" s="15"/>
      <c r="DE109" s="15"/>
      <c r="DF109" s="15"/>
      <c r="DG109" s="15"/>
      <c r="DH109" s="15"/>
      <c r="DI109" s="15"/>
      <c r="DJ109" s="15"/>
      <c r="DK109" s="15"/>
      <c r="DL109" s="15"/>
      <c r="DM109" s="15"/>
      <c r="DN109" s="15"/>
      <c r="DO109" s="15"/>
      <c r="DP109" s="15"/>
      <c r="DQ109" s="15"/>
      <c r="DR109" s="15"/>
      <c r="DS109" s="15"/>
    </row>
    <row r="110" spans="1:123" ht="18.75" customHeight="1" x14ac:dyDescent="0.25">
      <c r="A110" s="13"/>
      <c r="B110" s="4"/>
      <c r="C110" s="13"/>
      <c r="D110" s="344"/>
      <c r="E110" s="393"/>
      <c r="F110" s="394"/>
      <c r="G110" s="13"/>
      <c r="H110" s="394"/>
      <c r="I110" s="394"/>
      <c r="J110" s="13"/>
      <c r="K110" s="25"/>
      <c r="L110" s="25"/>
      <c r="M110" s="149"/>
      <c r="N110" s="149"/>
      <c r="O110" s="149"/>
      <c r="P110" s="149"/>
      <c r="Q110" s="149"/>
      <c r="R110" s="149"/>
      <c r="S110" s="166"/>
      <c r="T110" s="166"/>
      <c r="U110" s="166"/>
      <c r="V110" s="166"/>
      <c r="W110" s="166"/>
      <c r="X110" s="13"/>
      <c r="Y110" s="13"/>
      <c r="Z110" s="13"/>
      <c r="AA110" s="2"/>
      <c r="AB110" s="2"/>
      <c r="AC110" s="2"/>
      <c r="AD110" s="2"/>
      <c r="AE110" s="2"/>
      <c r="AF110" s="2"/>
      <c r="AG110" s="149"/>
      <c r="AH110" s="149"/>
      <c r="AI110" s="149"/>
      <c r="AJ110" s="25"/>
      <c r="AK110" s="149"/>
      <c r="AL110" s="149"/>
      <c r="AM110" s="25"/>
      <c r="AN110" s="2"/>
      <c r="AO110" s="2"/>
      <c r="AP110" s="2"/>
      <c r="AQ110" s="2"/>
      <c r="AR110" s="2"/>
      <c r="AS110" s="2"/>
      <c r="AT110" s="2"/>
      <c r="AU110" s="2"/>
      <c r="AV110" s="2"/>
      <c r="AW110" s="2"/>
      <c r="AX110" s="2"/>
      <c r="AY110" s="2"/>
      <c r="AZ110" s="25"/>
      <c r="BA110" s="149"/>
      <c r="BB110" s="25"/>
      <c r="BC110" s="25"/>
      <c r="BD110" s="25"/>
      <c r="BE110" s="25"/>
      <c r="BF110" s="25"/>
      <c r="BG110" s="25"/>
      <c r="BH110" s="149"/>
      <c r="BI110" s="149"/>
      <c r="BJ110" s="25"/>
      <c r="BK110" s="2123"/>
      <c r="BL110" s="425"/>
      <c r="BM110" s="425"/>
      <c r="BN110" s="25"/>
      <c r="BO110" s="25"/>
      <c r="BP110" s="25"/>
      <c r="BQ110" s="25"/>
      <c r="BR110" s="25"/>
      <c r="BS110" s="422"/>
      <c r="BT110" s="25"/>
      <c r="BU110" s="25"/>
      <c r="BV110" s="25"/>
      <c r="BW110" s="13"/>
      <c r="BX110" s="13"/>
      <c r="BY110" s="13"/>
      <c r="BZ110" s="13"/>
      <c r="CV110" s="13"/>
      <c r="CW110" s="13"/>
      <c r="CX110" s="13"/>
      <c r="CY110" s="15"/>
      <c r="CZ110" s="15"/>
      <c r="DA110" s="15"/>
      <c r="DB110" s="15"/>
      <c r="DC110" s="15"/>
      <c r="DD110" s="15"/>
      <c r="DE110" s="15"/>
      <c r="DF110" s="15"/>
      <c r="DG110" s="15"/>
      <c r="DH110" s="15"/>
      <c r="DI110" s="15"/>
      <c r="DJ110" s="15"/>
      <c r="DK110" s="15"/>
      <c r="DL110" s="15"/>
      <c r="DM110" s="15"/>
      <c r="DN110" s="15"/>
      <c r="DO110" s="15"/>
      <c r="DP110" s="15"/>
      <c r="DQ110" s="15"/>
      <c r="DR110" s="15"/>
      <c r="DS110" s="15"/>
    </row>
    <row r="111" spans="1:123" ht="18.75" customHeight="1" x14ac:dyDescent="0.25">
      <c r="A111" s="13"/>
      <c r="B111" s="4"/>
      <c r="C111" s="4"/>
      <c r="D111" s="259"/>
      <c r="E111" s="149"/>
      <c r="F111" s="149"/>
      <c r="G111" s="25"/>
      <c r="H111" s="25"/>
      <c r="I111" s="25"/>
      <c r="J111" s="25"/>
      <c r="K111" s="25"/>
      <c r="L111" s="25"/>
      <c r="M111" s="149"/>
      <c r="N111" s="149"/>
      <c r="O111" s="149"/>
      <c r="P111" s="149"/>
      <c r="Q111" s="149"/>
      <c r="R111" s="149"/>
      <c r="S111" s="166"/>
      <c r="T111" s="166"/>
      <c r="U111" s="166"/>
      <c r="V111" s="166"/>
      <c r="W111" s="166"/>
      <c r="X111" s="13"/>
      <c r="Y111" s="13"/>
      <c r="Z111" s="13"/>
      <c r="AA111" s="2"/>
      <c r="AB111" s="2"/>
      <c r="AC111" s="2"/>
      <c r="AD111" s="2"/>
      <c r="AE111" s="2"/>
      <c r="AF111" s="2"/>
      <c r="AG111" s="149"/>
      <c r="AH111" s="149"/>
      <c r="AI111" s="149"/>
      <c r="AJ111" s="25"/>
      <c r="AK111" s="149"/>
      <c r="AL111" s="149"/>
      <c r="AM111" s="25"/>
      <c r="AN111" s="2"/>
      <c r="AO111" s="2"/>
      <c r="AP111" s="2"/>
      <c r="AQ111" s="2"/>
      <c r="AR111" s="2"/>
      <c r="AS111" s="2"/>
      <c r="AT111" s="2"/>
      <c r="AU111" s="2"/>
      <c r="AV111" s="2"/>
      <c r="AW111" s="2"/>
      <c r="AX111" s="2"/>
      <c r="AY111" s="2"/>
      <c r="AZ111" s="25"/>
      <c r="BA111" s="149"/>
      <c r="BB111" s="149"/>
      <c r="BC111" s="149"/>
      <c r="BD111" s="149"/>
      <c r="BE111" s="149"/>
      <c r="BF111" s="149"/>
      <c r="BG111" s="149"/>
      <c r="BH111" s="149"/>
      <c r="BI111" s="149"/>
      <c r="BJ111" s="25"/>
      <c r="BK111" s="149"/>
      <c r="BL111" s="149"/>
      <c r="BM111" s="149"/>
      <c r="BN111" s="25"/>
      <c r="BO111" s="25"/>
      <c r="BP111" s="25"/>
      <c r="BQ111" s="25"/>
      <c r="BR111" s="420"/>
      <c r="BS111" s="25"/>
      <c r="BT111" s="25"/>
      <c r="BU111" s="25"/>
      <c r="BV111" s="25"/>
      <c r="BW111" s="13"/>
      <c r="BX111" s="13"/>
      <c r="BY111" s="13"/>
      <c r="BZ111" s="13"/>
      <c r="CV111" s="13"/>
      <c r="CW111" s="13"/>
      <c r="CX111" s="13"/>
      <c r="CY111" s="15"/>
      <c r="CZ111" s="15"/>
      <c r="DA111" s="15"/>
      <c r="DB111" s="15"/>
      <c r="DC111" s="15"/>
      <c r="DD111" s="15"/>
      <c r="DE111" s="15"/>
      <c r="DF111" s="15"/>
      <c r="DG111" s="15"/>
      <c r="DH111" s="15"/>
      <c r="DI111" s="15"/>
      <c r="DJ111" s="15"/>
      <c r="DK111" s="15"/>
      <c r="DL111" s="15"/>
      <c r="DM111" s="15"/>
      <c r="DN111" s="15"/>
      <c r="DO111" s="15"/>
      <c r="DP111" s="15"/>
      <c r="DQ111" s="15"/>
      <c r="DR111" s="15"/>
      <c r="DS111" s="15"/>
    </row>
    <row r="112" spans="1:123" ht="18.75" customHeight="1" thickBot="1" x14ac:dyDescent="0.3">
      <c r="A112" s="13"/>
      <c r="B112" s="4"/>
      <c r="C112" s="4"/>
      <c r="D112" s="259"/>
      <c r="E112" s="149"/>
      <c r="F112" s="149"/>
      <c r="G112" s="25"/>
      <c r="H112" s="25"/>
      <c r="I112" s="25"/>
      <c r="J112" s="25"/>
      <c r="K112" s="25"/>
      <c r="L112" s="25"/>
      <c r="M112" s="149"/>
      <c r="N112" s="149"/>
      <c r="O112" s="149"/>
      <c r="P112" s="149"/>
      <c r="Q112" s="149"/>
      <c r="R112" s="149"/>
      <c r="S112" s="166"/>
      <c r="T112" s="166"/>
      <c r="U112" s="166"/>
      <c r="V112" s="166"/>
      <c r="W112" s="166"/>
      <c r="X112" s="13"/>
      <c r="Y112" s="13"/>
      <c r="Z112" s="13"/>
      <c r="AA112" s="2"/>
      <c r="AB112" s="2"/>
      <c r="AC112" s="2"/>
      <c r="AD112" s="2"/>
      <c r="AE112" s="2"/>
      <c r="AF112" s="2"/>
      <c r="AG112" s="149"/>
      <c r="AH112" s="149"/>
      <c r="AI112" s="149"/>
      <c r="AJ112" s="25"/>
      <c r="AK112" s="25"/>
      <c r="AL112" s="25"/>
      <c r="AM112" s="25"/>
      <c r="AN112" s="2"/>
      <c r="AO112" s="2"/>
      <c r="AP112" s="2"/>
      <c r="AQ112" s="2"/>
      <c r="AR112" s="2"/>
      <c r="AS112" s="2"/>
      <c r="AT112" s="2"/>
      <c r="AU112" s="2"/>
      <c r="AV112" s="2"/>
      <c r="AW112" s="2"/>
      <c r="AX112" s="2"/>
      <c r="AY112" s="2"/>
      <c r="AZ112" s="25"/>
      <c r="BA112" s="149"/>
      <c r="BB112" s="149"/>
      <c r="BC112" s="149"/>
      <c r="BD112" s="149"/>
      <c r="BE112" s="149"/>
      <c r="BF112" s="149"/>
      <c r="BG112" s="149"/>
      <c r="BH112" s="149"/>
      <c r="BI112" s="149"/>
      <c r="BJ112" s="25"/>
      <c r="BK112" s="149"/>
      <c r="BL112" s="149"/>
      <c r="BM112" s="149"/>
      <c r="BN112" s="25"/>
      <c r="BO112" s="25"/>
      <c r="BP112" s="25"/>
      <c r="BQ112" s="25"/>
      <c r="BR112" s="25"/>
      <c r="BS112" s="25"/>
      <c r="BT112" s="25"/>
      <c r="BU112" s="25"/>
      <c r="BV112" s="25"/>
      <c r="BW112" s="13"/>
      <c r="BX112" s="13"/>
      <c r="BY112" s="13"/>
      <c r="BZ112" s="13"/>
      <c r="CV112" s="13"/>
      <c r="CW112" s="13"/>
      <c r="CX112" s="13"/>
      <c r="CY112" s="15"/>
      <c r="CZ112" s="15"/>
      <c r="DA112" s="15"/>
      <c r="DB112" s="15"/>
      <c r="DC112" s="15"/>
      <c r="DD112" s="15"/>
      <c r="DE112" s="15"/>
      <c r="DF112" s="15"/>
      <c r="DG112" s="15"/>
      <c r="DH112" s="15"/>
      <c r="DI112" s="15"/>
      <c r="DJ112" s="15"/>
      <c r="DK112" s="15"/>
      <c r="DL112" s="15"/>
      <c r="DM112" s="15"/>
      <c r="DN112" s="15"/>
      <c r="DO112" s="15"/>
      <c r="DP112" s="15"/>
      <c r="DQ112" s="15"/>
      <c r="DR112" s="15"/>
      <c r="DS112" s="15"/>
    </row>
    <row r="113" spans="1:123" ht="18.75" customHeight="1" x14ac:dyDescent="0.25">
      <c r="A113" s="13"/>
      <c r="B113" s="166"/>
      <c r="C113" s="166"/>
      <c r="D113" s="253"/>
      <c r="E113" s="166"/>
      <c r="F113" s="166"/>
      <c r="G113" s="166"/>
      <c r="H113" s="166"/>
      <c r="I113" s="166"/>
      <c r="J113" s="166"/>
      <c r="K113" s="166"/>
      <c r="L113" s="166"/>
      <c r="M113" s="166"/>
      <c r="N113" s="166"/>
      <c r="O113" s="166"/>
      <c r="P113" s="166"/>
      <c r="Q113" s="166"/>
      <c r="R113" s="166"/>
      <c r="S113" s="166"/>
      <c r="T113" s="166"/>
      <c r="U113" s="166"/>
      <c r="V113" s="166"/>
      <c r="W113" s="166"/>
      <c r="X113" s="13"/>
      <c r="Y113" s="13"/>
      <c r="Z113" s="13"/>
      <c r="AA113" s="2450" t="s">
        <v>554</v>
      </c>
      <c r="AB113" s="2451"/>
      <c r="AC113" s="2451"/>
      <c r="AD113" s="2451"/>
      <c r="AE113" s="1635"/>
      <c r="AF113" s="1635"/>
      <c r="AG113" s="352"/>
      <c r="AH113" s="352"/>
      <c r="AI113" s="352"/>
      <c r="AJ113" s="351"/>
      <c r="AK113" s="351"/>
      <c r="AL113" s="351"/>
      <c r="AM113" s="351"/>
      <c r="AN113" s="1635"/>
      <c r="AO113" s="1635"/>
      <c r="AP113" s="1635"/>
      <c r="AQ113" s="1635"/>
      <c r="AR113" s="1635"/>
      <c r="AS113" s="1635"/>
      <c r="AT113" s="1635"/>
      <c r="AU113" s="1635"/>
      <c r="AV113" s="1635"/>
      <c r="AW113" s="1635"/>
      <c r="AX113" s="1635"/>
      <c r="AY113" s="1635"/>
      <c r="AZ113" s="153"/>
      <c r="BA113" s="149"/>
      <c r="BB113" s="149"/>
      <c r="BC113" s="149"/>
      <c r="BD113" s="149"/>
      <c r="BE113" s="149"/>
      <c r="BF113" s="149"/>
      <c r="BG113" s="149"/>
      <c r="BH113" s="149"/>
      <c r="BI113" s="149"/>
      <c r="BJ113" s="25"/>
      <c r="BK113" s="149"/>
      <c r="BL113" s="149"/>
      <c r="BM113" s="149"/>
      <c r="BN113" s="25"/>
      <c r="BO113" s="25"/>
      <c r="BP113" s="25"/>
      <c r="BQ113" s="25"/>
      <c r="BR113" s="25"/>
      <c r="BS113" s="25"/>
      <c r="BT113" s="25"/>
      <c r="BU113" s="25"/>
      <c r="BV113" s="25"/>
      <c r="BW113" s="13"/>
      <c r="BX113" s="13"/>
      <c r="BY113" s="13"/>
      <c r="BZ113" s="13"/>
      <c r="CV113" s="13"/>
      <c r="CW113" s="13"/>
      <c r="CX113" s="13"/>
      <c r="CY113" s="15"/>
      <c r="CZ113" s="15"/>
      <c r="DA113" s="15"/>
      <c r="DB113" s="15"/>
      <c r="DC113" s="15"/>
      <c r="DD113" s="15"/>
      <c r="DE113" s="15"/>
      <c r="DF113" s="15"/>
      <c r="DG113" s="15"/>
      <c r="DH113" s="15"/>
      <c r="DI113" s="15"/>
      <c r="DJ113" s="15"/>
      <c r="DK113" s="15"/>
      <c r="DL113" s="15"/>
      <c r="DM113" s="15"/>
      <c r="DN113" s="15"/>
      <c r="DO113" s="15"/>
      <c r="DP113" s="15"/>
      <c r="DQ113" s="15"/>
      <c r="DR113" s="15"/>
      <c r="DS113" s="15"/>
    </row>
    <row r="114" spans="1:123" ht="18.75" customHeight="1" x14ac:dyDescent="0.25">
      <c r="A114" s="13"/>
      <c r="B114" s="166"/>
      <c r="C114" s="166"/>
      <c r="D114" s="253"/>
      <c r="E114" s="166"/>
      <c r="F114" s="166"/>
      <c r="G114" s="166"/>
      <c r="H114" s="166"/>
      <c r="I114" s="166"/>
      <c r="J114" s="166"/>
      <c r="K114" s="166"/>
      <c r="L114" s="166"/>
      <c r="M114" s="166"/>
      <c r="N114" s="166"/>
      <c r="O114" s="166"/>
      <c r="P114" s="166"/>
      <c r="Q114" s="166"/>
      <c r="R114" s="166"/>
      <c r="S114" s="166"/>
      <c r="T114" s="166"/>
      <c r="U114" s="166"/>
      <c r="V114" s="166"/>
      <c r="W114" s="166"/>
      <c r="X114" s="13"/>
      <c r="Y114" s="13"/>
      <c r="Z114" s="13"/>
      <c r="AA114" s="2452"/>
      <c r="AB114" s="2453"/>
      <c r="AC114" s="2453"/>
      <c r="AD114" s="2453"/>
      <c r="AE114" s="3"/>
      <c r="AF114" s="3"/>
      <c r="AG114" s="149"/>
      <c r="AH114" s="149"/>
      <c r="AI114" s="149"/>
      <c r="AJ114" s="25"/>
      <c r="AK114" s="25"/>
      <c r="AL114" s="25"/>
      <c r="AM114" s="25"/>
      <c r="AN114" s="3"/>
      <c r="AO114" s="3"/>
      <c r="AP114" s="3"/>
      <c r="AQ114" s="3"/>
      <c r="AR114" s="3"/>
      <c r="AS114" s="3"/>
      <c r="AT114" s="3"/>
      <c r="AU114" s="3"/>
      <c r="AV114" s="3"/>
      <c r="AW114" s="3"/>
      <c r="AX114" s="3"/>
      <c r="AY114" s="3"/>
      <c r="AZ114" s="343"/>
      <c r="BA114" s="149"/>
      <c r="BB114" s="149"/>
      <c r="BC114" s="149"/>
      <c r="BD114" s="149"/>
      <c r="BE114" s="149"/>
      <c r="BF114" s="149"/>
      <c r="BG114" s="149"/>
      <c r="BH114" s="149"/>
      <c r="BI114" s="149"/>
      <c r="BJ114" s="25"/>
      <c r="BK114" s="149"/>
      <c r="BL114" s="149"/>
      <c r="BM114" s="149"/>
      <c r="BN114" s="25"/>
      <c r="BO114" s="25"/>
      <c r="BP114" s="25"/>
      <c r="BQ114" s="25"/>
      <c r="BR114" s="25"/>
      <c r="BS114" s="25"/>
      <c r="BT114" s="25"/>
      <c r="BU114" s="25"/>
      <c r="BV114" s="25"/>
      <c r="BW114" s="13"/>
      <c r="BX114" s="13"/>
      <c r="BY114" s="13"/>
      <c r="BZ114" s="13"/>
      <c r="CV114" s="13"/>
      <c r="CW114" s="13"/>
      <c r="CX114" s="13"/>
      <c r="CY114" s="15"/>
      <c r="CZ114" s="15"/>
      <c r="DA114" s="15"/>
      <c r="DB114" s="15"/>
      <c r="DC114" s="15"/>
      <c r="DD114" s="15"/>
      <c r="DE114" s="15"/>
      <c r="DF114" s="15"/>
      <c r="DG114" s="15"/>
      <c r="DH114" s="15"/>
      <c r="DI114" s="15"/>
      <c r="DJ114" s="15"/>
      <c r="DK114" s="15"/>
      <c r="DL114" s="15"/>
      <c r="DM114" s="15"/>
      <c r="DN114" s="15"/>
      <c r="DO114" s="15"/>
      <c r="DP114" s="15"/>
      <c r="DQ114" s="15"/>
      <c r="DR114" s="15"/>
      <c r="DS114" s="15"/>
    </row>
    <row r="115" spans="1:123" ht="18.75" customHeight="1" x14ac:dyDescent="0.25">
      <c r="A115" s="13"/>
      <c r="B115" s="13"/>
      <c r="C115" s="13"/>
      <c r="D115" s="344"/>
      <c r="E115" s="13"/>
      <c r="F115" s="13"/>
      <c r="G115" s="13"/>
      <c r="H115" s="13"/>
      <c r="I115" s="13"/>
      <c r="J115" s="13"/>
      <c r="K115" s="13"/>
      <c r="L115" s="13"/>
      <c r="M115" s="13"/>
      <c r="N115" s="13"/>
      <c r="O115" s="13"/>
      <c r="P115" s="13"/>
      <c r="Q115" s="13"/>
      <c r="R115" s="13"/>
      <c r="S115" s="166"/>
      <c r="T115" s="166"/>
      <c r="U115" s="166"/>
      <c r="V115" s="166"/>
      <c r="W115" s="166"/>
      <c r="X115" s="13"/>
      <c r="Y115" s="13"/>
      <c r="Z115" s="13"/>
      <c r="AA115" s="1637"/>
      <c r="AB115" s="3"/>
      <c r="AC115" s="3"/>
      <c r="AD115" s="3"/>
      <c r="AE115" s="3"/>
      <c r="AF115" s="3"/>
      <c r="AG115" s="149"/>
      <c r="AH115" s="149"/>
      <c r="AI115" s="149"/>
      <c r="AJ115" s="25"/>
      <c r="AK115" s="25"/>
      <c r="AL115" s="25"/>
      <c r="AM115" s="25"/>
      <c r="AN115" s="3"/>
      <c r="AO115" s="3"/>
      <c r="AP115" s="3"/>
      <c r="AQ115" s="3"/>
      <c r="AR115" s="3"/>
      <c r="AS115" s="3"/>
      <c r="AT115" s="3"/>
      <c r="AU115" s="3"/>
      <c r="AV115" s="3"/>
      <c r="AW115" s="3"/>
      <c r="AX115" s="3"/>
      <c r="AY115" s="3"/>
      <c r="AZ115" s="343"/>
      <c r="BA115" s="166"/>
      <c r="BB115" s="166"/>
      <c r="BC115" s="166"/>
      <c r="BD115" s="166"/>
      <c r="BE115" s="166"/>
      <c r="BF115" s="166"/>
      <c r="BG115" s="166"/>
      <c r="BH115" s="166"/>
      <c r="BI115" s="166"/>
      <c r="BJ115" s="13"/>
      <c r="BK115" s="166"/>
      <c r="BL115" s="166"/>
      <c r="BM115" s="166"/>
      <c r="BN115" s="25"/>
      <c r="BO115" s="25"/>
      <c r="BP115" s="25"/>
      <c r="BQ115" s="13"/>
      <c r="BR115" s="13"/>
      <c r="BS115" s="13"/>
      <c r="BT115" s="13"/>
      <c r="BU115" s="13"/>
      <c r="BV115" s="13"/>
      <c r="BW115" s="13"/>
      <c r="BX115" s="13"/>
      <c r="BY115" s="13"/>
      <c r="BZ115" s="13"/>
      <c r="CV115" s="13"/>
      <c r="CW115" s="13"/>
      <c r="CX115" s="13"/>
      <c r="CY115" s="15"/>
      <c r="CZ115" s="15"/>
      <c r="DA115" s="15"/>
      <c r="DB115" s="15"/>
      <c r="DC115" s="15"/>
      <c r="DD115" s="15"/>
      <c r="DE115" s="15"/>
      <c r="DF115" s="15"/>
      <c r="DG115" s="15"/>
      <c r="DH115" s="15"/>
      <c r="DI115" s="15"/>
      <c r="DJ115" s="15"/>
      <c r="DK115" s="15"/>
      <c r="DL115" s="15"/>
      <c r="DM115" s="15"/>
      <c r="DN115" s="15"/>
      <c r="DO115" s="15"/>
      <c r="DP115" s="15"/>
      <c r="DQ115" s="15"/>
      <c r="DR115" s="15"/>
      <c r="DS115" s="15"/>
    </row>
    <row r="116" spans="1:123" ht="18.75" customHeight="1" x14ac:dyDescent="0.25">
      <c r="A116" s="13"/>
      <c r="B116" s="13"/>
      <c r="C116" s="13"/>
      <c r="D116" s="344"/>
      <c r="E116" s="13"/>
      <c r="F116" s="13"/>
      <c r="G116" s="13"/>
      <c r="H116" s="13"/>
      <c r="I116" s="13"/>
      <c r="J116" s="13"/>
      <c r="K116" s="13"/>
      <c r="L116" s="13"/>
      <c r="M116" s="13"/>
      <c r="N116" s="13"/>
      <c r="O116" s="13"/>
      <c r="P116" s="13"/>
      <c r="Q116" s="13"/>
      <c r="R116" s="13"/>
      <c r="S116" s="166"/>
      <c r="T116" s="166"/>
      <c r="U116" s="166"/>
      <c r="V116" s="166"/>
      <c r="W116" s="166"/>
      <c r="X116" s="13"/>
      <c r="Y116" s="13"/>
      <c r="Z116" s="13"/>
      <c r="AA116" s="1637"/>
      <c r="AB116" s="3"/>
      <c r="AC116" s="3"/>
      <c r="AD116" s="3"/>
      <c r="AE116" s="3"/>
      <c r="AF116" s="3"/>
      <c r="AG116" s="149"/>
      <c r="AH116" s="149"/>
      <c r="AI116" s="149"/>
      <c r="AJ116" s="25"/>
      <c r="AK116" s="25"/>
      <c r="AL116" s="25"/>
      <c r="AM116" s="25"/>
      <c r="AN116" s="3"/>
      <c r="AO116" s="3"/>
      <c r="AP116" s="3"/>
      <c r="AQ116" s="3"/>
      <c r="AR116" s="3"/>
      <c r="AS116" s="3"/>
      <c r="AT116" s="3"/>
      <c r="AU116" s="3"/>
      <c r="AV116" s="3"/>
      <c r="AW116" s="3"/>
      <c r="AX116" s="3"/>
      <c r="AY116" s="3"/>
      <c r="AZ116" s="343"/>
      <c r="BA116" s="166"/>
      <c r="BB116" s="166"/>
      <c r="BC116" s="166"/>
      <c r="BD116" s="166"/>
      <c r="BE116" s="166"/>
      <c r="BF116" s="166"/>
      <c r="BG116" s="166"/>
      <c r="BH116" s="166"/>
      <c r="BI116" s="166"/>
      <c r="BJ116" s="13"/>
      <c r="BK116" s="166"/>
      <c r="BL116" s="166"/>
      <c r="BM116" s="166"/>
      <c r="BN116" s="25"/>
      <c r="BO116" s="25"/>
      <c r="BP116" s="25"/>
      <c r="BQ116" s="13"/>
      <c r="BR116" s="13"/>
      <c r="BS116" s="13"/>
      <c r="BT116" s="13"/>
      <c r="BU116" s="13"/>
      <c r="BV116" s="13"/>
      <c r="BW116" s="13"/>
      <c r="BX116" s="13"/>
      <c r="BY116" s="13"/>
      <c r="BZ116" s="13"/>
      <c r="CV116" s="13"/>
      <c r="CW116" s="13"/>
      <c r="CX116" s="13"/>
      <c r="CY116" s="15"/>
      <c r="CZ116" s="15"/>
      <c r="DA116" s="15"/>
      <c r="DB116" s="15"/>
      <c r="DC116" s="15"/>
      <c r="DD116" s="15"/>
      <c r="DE116" s="15"/>
      <c r="DF116" s="15"/>
      <c r="DG116" s="15"/>
      <c r="DH116" s="15"/>
      <c r="DI116" s="15"/>
      <c r="DJ116" s="15"/>
      <c r="DK116" s="15"/>
      <c r="DL116" s="15"/>
      <c r="DM116" s="15"/>
      <c r="DN116" s="15"/>
      <c r="DO116" s="15"/>
      <c r="DP116" s="15"/>
      <c r="DQ116" s="15"/>
      <c r="DR116" s="15"/>
      <c r="DS116" s="15"/>
    </row>
    <row r="117" spans="1:123" ht="18.75" customHeight="1" x14ac:dyDescent="0.25">
      <c r="A117" s="13"/>
      <c r="B117" s="13"/>
      <c r="C117" s="13"/>
      <c r="D117" s="344"/>
      <c r="E117" s="13"/>
      <c r="F117" s="13"/>
      <c r="G117" s="13"/>
      <c r="H117" s="13"/>
      <c r="I117" s="13"/>
      <c r="J117" s="13"/>
      <c r="K117" s="13"/>
      <c r="L117" s="13"/>
      <c r="M117" s="13"/>
      <c r="N117" s="13"/>
      <c r="O117" s="13"/>
      <c r="P117" s="13"/>
      <c r="Q117" s="13"/>
      <c r="R117" s="13"/>
      <c r="S117" s="149"/>
      <c r="T117" s="149"/>
      <c r="U117" s="149"/>
      <c r="V117" s="149"/>
      <c r="W117" s="25"/>
      <c r="X117" s="25"/>
      <c r="Y117" s="25"/>
      <c r="Z117" s="25"/>
      <c r="AA117" s="1637"/>
      <c r="AB117" s="3"/>
      <c r="AC117" s="3"/>
      <c r="AD117" s="3"/>
      <c r="AE117" s="3"/>
      <c r="AF117" s="3"/>
      <c r="AG117" s="149"/>
      <c r="AH117" s="149"/>
      <c r="AI117" s="149"/>
      <c r="AJ117" s="25"/>
      <c r="AK117" s="25"/>
      <c r="AL117" s="25"/>
      <c r="AM117" s="25"/>
      <c r="AN117" s="3"/>
      <c r="AO117" s="3"/>
      <c r="AP117" s="3"/>
      <c r="AQ117" s="3"/>
      <c r="AR117" s="3"/>
      <c r="AS117" s="3"/>
      <c r="AT117" s="3"/>
      <c r="AU117" s="3"/>
      <c r="AV117" s="3"/>
      <c r="AW117" s="3"/>
      <c r="AX117" s="3"/>
      <c r="AY117" s="3"/>
      <c r="AZ117" s="343"/>
      <c r="BA117" s="166"/>
      <c r="BB117" s="166"/>
      <c r="BC117" s="166"/>
      <c r="BD117" s="166"/>
      <c r="BE117" s="166"/>
      <c r="BF117" s="166"/>
      <c r="BG117" s="166"/>
      <c r="BH117" s="166"/>
      <c r="BI117" s="166"/>
      <c r="BJ117" s="13"/>
      <c r="BK117" s="166"/>
      <c r="BL117" s="166"/>
      <c r="BM117" s="166"/>
      <c r="BN117" s="25"/>
      <c r="BO117" s="25"/>
      <c r="BP117" s="25"/>
      <c r="BQ117" s="25"/>
      <c r="BR117" s="25"/>
      <c r="BS117" s="13"/>
      <c r="BT117" s="13"/>
      <c r="BU117" s="13"/>
      <c r="BV117" s="13"/>
      <c r="BW117" s="13"/>
      <c r="BX117" s="13"/>
      <c r="BY117" s="13"/>
      <c r="BZ117" s="13"/>
      <c r="CV117" s="13"/>
      <c r="CW117" s="13"/>
      <c r="CX117" s="13"/>
      <c r="CY117" s="15"/>
      <c r="CZ117" s="15"/>
      <c r="DA117" s="15"/>
      <c r="DB117" s="15"/>
      <c r="DC117" s="15"/>
      <c r="DD117" s="15"/>
      <c r="DE117" s="15"/>
      <c r="DF117" s="15"/>
      <c r="DG117" s="15"/>
      <c r="DH117" s="15"/>
      <c r="DI117" s="15"/>
      <c r="DJ117" s="15"/>
      <c r="DK117" s="15"/>
      <c r="DL117" s="15"/>
      <c r="DM117" s="15"/>
      <c r="DN117" s="15"/>
      <c r="DO117" s="15"/>
      <c r="DP117" s="15"/>
      <c r="DQ117" s="15"/>
      <c r="DR117" s="15"/>
      <c r="DS117" s="15"/>
    </row>
    <row r="118" spans="1:123" ht="18.75" customHeight="1" x14ac:dyDescent="0.25">
      <c r="A118" s="13"/>
      <c r="B118" s="13"/>
      <c r="C118" s="13"/>
      <c r="D118" s="344"/>
      <c r="E118" s="13"/>
      <c r="F118" s="13"/>
      <c r="G118" s="13"/>
      <c r="H118" s="13"/>
      <c r="I118" s="13"/>
      <c r="J118" s="13"/>
      <c r="K118" s="13"/>
      <c r="L118" s="13"/>
      <c r="M118" s="13"/>
      <c r="N118" s="13"/>
      <c r="O118" s="13"/>
      <c r="P118" s="13"/>
      <c r="Q118" s="13"/>
      <c r="R118" s="13"/>
      <c r="S118" s="166"/>
      <c r="T118" s="166"/>
      <c r="U118" s="166"/>
      <c r="V118" s="166"/>
      <c r="W118" s="166"/>
      <c r="X118" s="166"/>
      <c r="Y118" s="166"/>
      <c r="Z118" s="166"/>
      <c r="AA118" s="1637"/>
      <c r="AB118" s="3"/>
      <c r="AC118" s="3"/>
      <c r="AD118" s="3"/>
      <c r="AE118" s="3"/>
      <c r="AF118" s="3"/>
      <c r="AG118" s="149"/>
      <c r="AH118" s="149"/>
      <c r="AI118" s="149"/>
      <c r="AJ118" s="25"/>
      <c r="AK118" s="25"/>
      <c r="AL118" s="25"/>
      <c r="AM118" s="25"/>
      <c r="AN118" s="3"/>
      <c r="AO118" s="3"/>
      <c r="AP118" s="3"/>
      <c r="AQ118" s="3"/>
      <c r="AR118" s="3"/>
      <c r="AS118" s="3"/>
      <c r="AT118" s="3"/>
      <c r="AU118" s="3"/>
      <c r="AV118" s="3"/>
      <c r="AW118" s="3"/>
      <c r="AX118" s="3"/>
      <c r="AY118" s="3"/>
      <c r="AZ118" s="343"/>
      <c r="BA118" s="166"/>
      <c r="BB118" s="166"/>
      <c r="BC118" s="166"/>
      <c r="BD118" s="166"/>
      <c r="BE118" s="166"/>
      <c r="BF118" s="166"/>
      <c r="BG118" s="166"/>
      <c r="BH118" s="166"/>
      <c r="BI118" s="166"/>
      <c r="BJ118" s="13"/>
      <c r="BK118" s="166"/>
      <c r="BL118" s="166"/>
      <c r="BM118" s="166"/>
      <c r="BN118" s="25"/>
      <c r="BO118" s="25"/>
      <c r="BP118" s="25"/>
      <c r="BQ118" s="25"/>
      <c r="BR118" s="25"/>
      <c r="BS118" s="13"/>
      <c r="BT118" s="13"/>
      <c r="BU118" s="13"/>
      <c r="BV118" s="13"/>
      <c r="BW118" s="13"/>
      <c r="BX118" s="13"/>
      <c r="BY118" s="13"/>
      <c r="BZ118" s="13"/>
      <c r="CV118" s="13"/>
      <c r="CW118" s="13"/>
      <c r="CX118" s="13"/>
      <c r="CY118" s="15"/>
      <c r="CZ118" s="15"/>
      <c r="DA118" s="15"/>
      <c r="DB118" s="15"/>
      <c r="DC118" s="15"/>
      <c r="DD118" s="15"/>
      <c r="DE118" s="15"/>
      <c r="DF118" s="15"/>
      <c r="DG118" s="15"/>
      <c r="DH118" s="15"/>
      <c r="DI118" s="15"/>
      <c r="DJ118" s="15"/>
      <c r="DK118" s="15"/>
      <c r="DL118" s="15"/>
      <c r="DM118" s="15"/>
      <c r="DN118" s="15"/>
      <c r="DO118" s="15"/>
      <c r="DP118" s="15"/>
      <c r="DQ118" s="15"/>
      <c r="DR118" s="15"/>
      <c r="DS118" s="15"/>
    </row>
    <row r="119" spans="1:123" ht="18.75" customHeight="1" x14ac:dyDescent="0.25">
      <c r="A119" s="15"/>
      <c r="B119" s="84"/>
      <c r="C119" s="84"/>
      <c r="D119" s="89"/>
      <c r="E119" s="84"/>
      <c r="F119" s="84"/>
      <c r="G119" s="84"/>
      <c r="H119" s="84"/>
      <c r="I119" s="84"/>
      <c r="J119" s="84"/>
      <c r="K119" s="84"/>
      <c r="L119" s="84"/>
      <c r="M119" s="84"/>
      <c r="N119" s="84"/>
      <c r="O119" s="84"/>
      <c r="P119" s="84"/>
      <c r="Q119" s="84"/>
      <c r="R119" s="84"/>
      <c r="S119" s="146"/>
      <c r="T119" s="146"/>
      <c r="U119" s="146"/>
      <c r="V119" s="146"/>
      <c r="W119" s="146"/>
      <c r="X119" s="146"/>
      <c r="Y119" s="146"/>
      <c r="Z119" s="146"/>
      <c r="AA119" s="1637"/>
      <c r="AB119" s="3"/>
      <c r="AC119" s="3"/>
      <c r="AD119" s="3"/>
      <c r="AE119" s="3"/>
      <c r="AF119" s="3"/>
      <c r="AG119" s="149"/>
      <c r="AH119" s="149"/>
      <c r="AI119" s="149"/>
      <c r="AJ119" s="25"/>
      <c r="AK119" s="25"/>
      <c r="AL119" s="25"/>
      <c r="AM119" s="25"/>
      <c r="AN119" s="3"/>
      <c r="AO119" s="3"/>
      <c r="AP119" s="3"/>
      <c r="AQ119" s="3"/>
      <c r="AR119" s="3"/>
      <c r="AS119" s="3"/>
      <c r="AT119" s="3"/>
      <c r="AU119" s="3"/>
      <c r="AV119" s="3"/>
      <c r="AW119" s="3"/>
      <c r="AX119" s="3"/>
      <c r="AY119" s="3"/>
      <c r="AZ119" s="1638"/>
      <c r="BA119" s="2"/>
      <c r="BB119" s="2"/>
      <c r="BC119" s="25"/>
      <c r="BD119" s="25"/>
      <c r="BE119" s="25"/>
      <c r="BF119" s="13"/>
      <c r="BG119" s="13"/>
      <c r="BH119" s="13"/>
      <c r="BI119" s="166"/>
      <c r="BJ119" s="13"/>
      <c r="BK119" s="166"/>
      <c r="BL119" s="166"/>
      <c r="BM119" s="166"/>
      <c r="BN119" s="25"/>
      <c r="BO119" s="25"/>
      <c r="BP119" s="25"/>
      <c r="BQ119" s="25"/>
      <c r="BR119" s="25"/>
      <c r="BS119" s="13"/>
      <c r="BT119" s="25"/>
      <c r="BU119" s="25"/>
      <c r="BV119" s="337"/>
      <c r="BW119" s="13"/>
      <c r="BX119" s="13"/>
      <c r="BY119" s="13"/>
      <c r="BZ119" s="13"/>
      <c r="CV119" s="13"/>
      <c r="CW119" s="13"/>
      <c r="CX119" s="13"/>
      <c r="CY119" s="15"/>
      <c r="CZ119" s="15"/>
      <c r="DA119" s="15"/>
      <c r="DB119" s="15"/>
      <c r="DC119" s="15"/>
      <c r="DD119" s="15"/>
      <c r="DE119" s="15"/>
      <c r="DF119" s="15"/>
      <c r="DG119" s="15"/>
      <c r="DH119" s="15"/>
      <c r="DI119" s="15"/>
      <c r="DJ119" s="15"/>
      <c r="DK119" s="15"/>
      <c r="DL119" s="15"/>
      <c r="DM119" s="15"/>
      <c r="DN119" s="15"/>
      <c r="DO119" s="15"/>
      <c r="DP119" s="15"/>
      <c r="DQ119" s="15"/>
      <c r="DR119" s="15"/>
      <c r="DS119" s="15"/>
    </row>
    <row r="120" spans="1:123" ht="18.75" customHeight="1" x14ac:dyDescent="0.25">
      <c r="N120" s="15"/>
      <c r="O120" s="15"/>
      <c r="P120" s="15"/>
      <c r="Q120" s="15"/>
      <c r="R120" s="15"/>
      <c r="S120" s="84"/>
      <c r="T120" s="84"/>
      <c r="U120" s="84"/>
      <c r="V120" s="84"/>
      <c r="W120" s="84"/>
      <c r="X120" s="146"/>
      <c r="Y120" s="146"/>
      <c r="Z120" s="146"/>
      <c r="AA120" s="1637"/>
      <c r="AB120" s="25"/>
      <c r="AC120" s="25"/>
      <c r="AD120" s="25"/>
      <c r="AE120" s="25"/>
      <c r="AF120" s="25"/>
      <c r="AG120" s="25"/>
      <c r="AH120" s="25"/>
      <c r="AI120" s="149"/>
      <c r="AJ120" s="25"/>
      <c r="AK120" s="25"/>
      <c r="AL120" s="25"/>
      <c r="AM120" s="25"/>
      <c r="AN120" s="25"/>
      <c r="AO120" s="3"/>
      <c r="AP120" s="3"/>
      <c r="AQ120" s="3"/>
      <c r="AR120" s="3"/>
      <c r="AS120" s="3"/>
      <c r="AT120" s="3"/>
      <c r="AU120" s="3"/>
      <c r="AV120" s="3"/>
      <c r="AW120" s="3"/>
      <c r="AX120" s="3"/>
      <c r="AY120" s="3"/>
      <c r="AZ120" s="1638"/>
      <c r="BA120" s="2"/>
      <c r="BB120" s="2"/>
      <c r="BC120" s="25"/>
      <c r="BD120" s="2"/>
      <c r="BE120" s="2"/>
      <c r="BF120" s="2"/>
      <c r="BG120" s="2"/>
      <c r="BH120" s="13"/>
      <c r="BI120" s="166"/>
      <c r="BJ120" s="13"/>
      <c r="BK120" s="166"/>
      <c r="BL120" s="166"/>
      <c r="BM120" s="166"/>
      <c r="BN120" s="25"/>
      <c r="BO120" s="25"/>
      <c r="BP120" s="25"/>
      <c r="BQ120" s="25"/>
      <c r="BR120" s="25"/>
      <c r="BS120" s="13"/>
      <c r="BT120" s="13"/>
      <c r="BU120" s="393"/>
      <c r="BV120" s="394"/>
      <c r="BW120" s="13"/>
      <c r="BX120" s="13"/>
      <c r="BY120" s="13"/>
      <c r="BZ120" s="13"/>
      <c r="CV120" s="13"/>
      <c r="CW120" s="13"/>
      <c r="CX120" s="13"/>
      <c r="CY120" s="15"/>
      <c r="CZ120" s="15"/>
      <c r="DA120" s="15"/>
      <c r="DB120" s="15"/>
      <c r="DC120" s="15"/>
      <c r="DD120" s="15"/>
      <c r="DE120" s="15"/>
      <c r="DF120" s="15"/>
      <c r="DG120" s="15"/>
      <c r="DH120" s="15"/>
      <c r="DI120" s="15"/>
      <c r="DJ120" s="15"/>
      <c r="DK120" s="15"/>
      <c r="DL120" s="15"/>
      <c r="DM120" s="15"/>
      <c r="DN120" s="15"/>
      <c r="DO120" s="15"/>
      <c r="DP120" s="15"/>
      <c r="DQ120" s="15"/>
      <c r="DR120" s="15"/>
      <c r="DS120" s="15"/>
    </row>
    <row r="121" spans="1:123" ht="18.75" customHeight="1" x14ac:dyDescent="0.25">
      <c r="N121" s="15"/>
      <c r="O121" s="15"/>
      <c r="P121" s="15"/>
      <c r="Q121" s="15"/>
      <c r="R121" s="15"/>
      <c r="S121" s="84"/>
      <c r="T121" s="84"/>
      <c r="U121" s="84"/>
      <c r="V121" s="84"/>
      <c r="W121" s="84"/>
      <c r="X121" s="146"/>
      <c r="Y121" s="146"/>
      <c r="Z121" s="146"/>
      <c r="AA121" s="1637"/>
      <c r="AB121" s="128" t="s">
        <v>874</v>
      </c>
      <c r="AC121" s="77" t="str">
        <f ca="1">OFFSET('2.CropManagement'!$Q$152,'2.CropManagement'!$R$153,0)</f>
        <v>Western Europe</v>
      </c>
      <c r="AD121" s="25"/>
      <c r="AE121" s="77" t="s">
        <v>942</v>
      </c>
      <c r="AF121" s="77" t="s">
        <v>562</v>
      </c>
      <c r="AG121" s="3"/>
      <c r="AH121" s="77"/>
      <c r="AI121" s="2035" t="s">
        <v>1946</v>
      </c>
      <c r="AJ121" s="77" t="s">
        <v>109</v>
      </c>
      <c r="AK121" s="77" t="s">
        <v>111</v>
      </c>
      <c r="AL121" s="77" t="s">
        <v>110</v>
      </c>
      <c r="AM121" s="77" t="s">
        <v>778</v>
      </c>
      <c r="AN121" s="77" t="s">
        <v>112</v>
      </c>
      <c r="AO121" s="77" t="s">
        <v>1659</v>
      </c>
      <c r="AP121" s="77" t="s">
        <v>1012</v>
      </c>
      <c r="AQ121" s="77" t="s">
        <v>982</v>
      </c>
      <c r="AR121" s="3"/>
      <c r="AS121" s="3"/>
      <c r="AT121" s="77"/>
      <c r="AU121" s="77">
        <f>'A2. Livestockdata'!AB6</f>
        <v>0</v>
      </c>
      <c r="AV121" s="77" t="str">
        <f>'A2. Livestockdata'!AC6</f>
        <v>dairy cow</v>
      </c>
      <c r="AW121" s="77" t="str">
        <f>'A2. Livestockdata'!AD6</f>
        <v>other</v>
      </c>
      <c r="AX121" s="3"/>
      <c r="AY121" s="3"/>
      <c r="AZ121" s="1638"/>
      <c r="BA121" s="2"/>
      <c r="BB121" s="2"/>
      <c r="BC121" s="25"/>
      <c r="BD121" s="2"/>
      <c r="BE121" s="2"/>
      <c r="BF121" s="2"/>
      <c r="BG121" s="2"/>
      <c r="BH121" s="13"/>
      <c r="BI121" s="166"/>
      <c r="BJ121" s="13"/>
      <c r="BK121" s="166"/>
      <c r="BL121" s="166"/>
      <c r="BM121" s="166"/>
      <c r="BN121" s="25"/>
      <c r="BO121" s="25"/>
      <c r="BP121" s="25"/>
      <c r="BQ121" s="25"/>
      <c r="BR121" s="25"/>
      <c r="BS121" s="13"/>
      <c r="BT121" s="13"/>
      <c r="BU121" s="393"/>
      <c r="BV121" s="394"/>
      <c r="BW121" s="13"/>
      <c r="BX121" s="13"/>
      <c r="BY121" s="13"/>
      <c r="BZ121" s="13"/>
      <c r="CV121" s="13"/>
      <c r="CW121" s="13"/>
      <c r="CX121" s="13"/>
      <c r="CY121" s="15"/>
      <c r="CZ121" s="15"/>
      <c r="DA121" s="15"/>
      <c r="DB121" s="15"/>
      <c r="DC121" s="15"/>
      <c r="DD121" s="15"/>
      <c r="DE121" s="15"/>
      <c r="DF121" s="15"/>
      <c r="DG121" s="15"/>
      <c r="DH121" s="15"/>
      <c r="DI121" s="15"/>
      <c r="DJ121" s="15"/>
      <c r="DK121" s="15"/>
      <c r="DL121" s="15"/>
      <c r="DM121" s="15"/>
      <c r="DN121" s="15"/>
      <c r="DO121" s="15"/>
      <c r="DP121" s="15"/>
      <c r="DQ121" s="15"/>
      <c r="DR121" s="15"/>
      <c r="DS121" s="15"/>
    </row>
    <row r="122" spans="1:123" ht="18.75" customHeight="1" x14ac:dyDescent="0.25">
      <c r="N122" s="15"/>
      <c r="O122" s="15"/>
      <c r="P122" s="15"/>
      <c r="Q122" s="15"/>
      <c r="R122" s="15"/>
      <c r="S122" s="84"/>
      <c r="T122" s="84"/>
      <c r="U122" s="84"/>
      <c r="V122" s="84"/>
      <c r="W122" s="84"/>
      <c r="X122" s="146"/>
      <c r="Y122" s="146"/>
      <c r="Z122" s="146"/>
      <c r="AA122" s="1637"/>
      <c r="AB122" s="106"/>
      <c r="AC122" s="25"/>
      <c r="AD122" s="25"/>
      <c r="AE122" s="77">
        <f ca="1">SUMIF('2.CropManagement'!O152:O346,'1.GeneralInfo'!E7,'2.CropManagement'!S153:S346)</f>
        <v>1</v>
      </c>
      <c r="AF122" s="77">
        <f ca="1">ABS(1-AE122)</f>
        <v>0</v>
      </c>
      <c r="AG122" s="3"/>
      <c r="AH122" s="77">
        <v>1</v>
      </c>
      <c r="AI122" s="180" t="str">
        <f>'A2. Livestockdata'!A181</f>
        <v>cattle</v>
      </c>
      <c r="AJ122" s="180" t="str">
        <f>'A2. Livestockdata'!B181</f>
        <v>other cattle</v>
      </c>
      <c r="AK122" s="180" t="str">
        <f>'A2. Livestockdata'!C181</f>
        <v>dairy cows</v>
      </c>
      <c r="AL122" s="180" t="str">
        <f>'A2. Livestockdata'!D181</f>
        <v>other cattle</v>
      </c>
      <c r="AM122" s="180" t="str">
        <f>'A2. Livestockdata'!E181</f>
        <v>other cattle</v>
      </c>
      <c r="AN122" s="180" t="str">
        <f>'A2. Livestockdata'!F181</f>
        <v>other cattle</v>
      </c>
      <c r="AO122" s="180">
        <f>'A2. Livestockdata'!G181</f>
        <v>0.02</v>
      </c>
      <c r="AP122" s="77">
        <v>1</v>
      </c>
      <c r="AQ122" s="77">
        <v>0</v>
      </c>
      <c r="AR122" s="3"/>
      <c r="AS122" s="3"/>
      <c r="AT122" s="77" t="str">
        <f>'A2. Livestockdata'!AA7</f>
        <v>North America</v>
      </c>
      <c r="AU122" s="77">
        <f>'A2. Livestockdata'!AB7</f>
        <v>1</v>
      </c>
      <c r="AV122" s="77">
        <f>'A2. Livestockdata'!AC7</f>
        <v>128</v>
      </c>
      <c r="AW122" s="77">
        <f>'A2. Livestockdata'!AD7</f>
        <v>53</v>
      </c>
      <c r="AX122" s="3"/>
      <c r="AY122" s="3"/>
      <c r="AZ122" s="1638"/>
      <c r="BA122" s="2"/>
      <c r="BB122" s="2"/>
      <c r="BC122" s="25"/>
      <c r="BD122" s="2"/>
      <c r="BE122" s="2"/>
      <c r="BF122" s="2"/>
      <c r="BG122" s="2"/>
      <c r="BH122" s="13"/>
      <c r="BI122" s="166"/>
      <c r="BJ122" s="13"/>
      <c r="BK122" s="166"/>
      <c r="BL122" s="166"/>
      <c r="BM122" s="166"/>
      <c r="BN122" s="25"/>
      <c r="BO122" s="25"/>
      <c r="BP122" s="25"/>
      <c r="BQ122" s="25"/>
      <c r="BR122" s="25"/>
      <c r="BS122" s="13"/>
      <c r="BT122" s="13"/>
      <c r="BU122" s="393"/>
      <c r="BV122" s="394"/>
      <c r="BW122" s="13"/>
      <c r="BX122" s="13"/>
      <c r="BY122" s="13"/>
      <c r="BZ122" s="13"/>
      <c r="CV122" s="13"/>
      <c r="CW122" s="13"/>
      <c r="CX122" s="13"/>
      <c r="CY122" s="15"/>
      <c r="CZ122" s="15"/>
      <c r="DA122" s="15"/>
      <c r="DB122" s="15"/>
      <c r="DC122" s="15"/>
      <c r="DD122" s="15"/>
      <c r="DE122" s="15"/>
      <c r="DF122" s="15"/>
      <c r="DG122" s="15"/>
      <c r="DH122" s="15"/>
      <c r="DI122" s="15"/>
      <c r="DJ122" s="15"/>
      <c r="DK122" s="15"/>
      <c r="DL122" s="15"/>
      <c r="DM122" s="15"/>
      <c r="DN122" s="15"/>
      <c r="DO122" s="15"/>
      <c r="DP122" s="15"/>
      <c r="DQ122" s="15"/>
      <c r="DR122" s="15"/>
      <c r="DS122" s="15"/>
    </row>
    <row r="123" spans="1:123" ht="18.75" customHeight="1" x14ac:dyDescent="0.25">
      <c r="A123" s="15"/>
      <c r="B123" s="84"/>
      <c r="C123" s="80"/>
      <c r="D123" s="116"/>
      <c r="E123" s="378"/>
      <c r="F123" s="433"/>
      <c r="G123" s="433"/>
      <c r="H123" s="433"/>
      <c r="I123" s="433"/>
      <c r="J123" s="398"/>
      <c r="K123" s="242"/>
      <c r="L123" s="242"/>
      <c r="M123" s="242"/>
      <c r="N123" s="80"/>
      <c r="O123" s="80"/>
      <c r="P123" s="80"/>
      <c r="Q123" s="80"/>
      <c r="R123" s="80"/>
      <c r="S123" s="84"/>
      <c r="T123" s="84"/>
      <c r="U123" s="84"/>
      <c r="V123" s="84"/>
      <c r="W123" s="84"/>
      <c r="X123" s="146"/>
      <c r="Y123" s="146"/>
      <c r="Z123" s="146"/>
      <c r="AA123" s="1637"/>
      <c r="AB123" s="106"/>
      <c r="AC123" s="25"/>
      <c r="AD123" s="25"/>
      <c r="AE123" s="25"/>
      <c r="AF123" s="25"/>
      <c r="AG123" s="25"/>
      <c r="AH123" s="77">
        <v>2</v>
      </c>
      <c r="AI123" s="180" t="str">
        <f>'A2. Livestockdata'!A182</f>
        <v>buffalo</v>
      </c>
      <c r="AJ123" s="180" t="str">
        <f>'A2. Livestockdata'!B182</f>
        <v>buffalo, growing</v>
      </c>
      <c r="AK123" s="180" t="str">
        <f>'A2. Livestockdata'!C182</f>
        <v>buffalo, mature</v>
      </c>
      <c r="AL123" s="180" t="str">
        <f>'A2. Livestockdata'!D182</f>
        <v>buffalo, mature</v>
      </c>
      <c r="AM123" s="180" t="str">
        <f>'A2. Livestockdata'!E182</f>
        <v>buffalo, mature</v>
      </c>
      <c r="AN123" s="180" t="str">
        <f>'A2. Livestockdata'!F182</f>
        <v>buffalo, mature</v>
      </c>
      <c r="AO123" s="180">
        <f>'A2. Livestockdata'!G182</f>
        <v>0.02</v>
      </c>
      <c r="AP123" s="77">
        <v>1</v>
      </c>
      <c r="AQ123" s="77">
        <v>0</v>
      </c>
      <c r="AR123" s="3"/>
      <c r="AS123" s="3"/>
      <c r="AT123" s="77" t="str">
        <f>'A2. Livestockdata'!AA8</f>
        <v>Western Europe</v>
      </c>
      <c r="AU123" s="77">
        <f>'A2. Livestockdata'!AB8</f>
        <v>2</v>
      </c>
      <c r="AV123" s="77">
        <f>'A2. Livestockdata'!AC8</f>
        <v>117</v>
      </c>
      <c r="AW123" s="77">
        <f>'A2. Livestockdata'!AD8</f>
        <v>57</v>
      </c>
      <c r="AX123" s="3"/>
      <c r="AY123" s="3"/>
      <c r="AZ123" s="1638"/>
      <c r="BA123" s="2"/>
      <c r="BB123" s="2"/>
      <c r="BC123" s="25"/>
      <c r="BD123" s="2"/>
      <c r="BE123" s="2"/>
      <c r="BF123" s="2"/>
      <c r="BG123" s="2"/>
      <c r="BH123" s="13"/>
      <c r="BI123" s="166"/>
      <c r="BJ123" s="13"/>
      <c r="BK123" s="166"/>
      <c r="BL123" s="166"/>
      <c r="BM123" s="166"/>
      <c r="BN123" s="25"/>
      <c r="BO123" s="25"/>
      <c r="BP123" s="25"/>
      <c r="BQ123" s="25"/>
      <c r="BR123" s="25"/>
      <c r="BS123" s="13"/>
      <c r="BT123" s="13"/>
      <c r="BU123" s="393"/>
      <c r="BV123" s="394"/>
      <c r="BW123" s="13"/>
      <c r="BX123" s="13"/>
      <c r="BY123" s="13"/>
      <c r="BZ123" s="13"/>
      <c r="CV123" s="13"/>
      <c r="CW123" s="13"/>
      <c r="CX123" s="13"/>
      <c r="CY123" s="15"/>
      <c r="CZ123" s="15"/>
      <c r="DA123" s="15"/>
      <c r="DB123" s="15"/>
      <c r="DC123" s="15"/>
      <c r="DD123" s="15"/>
      <c r="DE123" s="15"/>
      <c r="DF123" s="15"/>
      <c r="DG123" s="15"/>
      <c r="DH123" s="15"/>
      <c r="DI123" s="15"/>
      <c r="DJ123" s="15"/>
      <c r="DK123" s="15"/>
      <c r="DL123" s="15"/>
      <c r="DM123" s="15"/>
      <c r="DN123" s="15"/>
      <c r="DO123" s="15"/>
      <c r="DP123" s="15"/>
      <c r="DQ123" s="15"/>
      <c r="DR123" s="15"/>
      <c r="DS123" s="15"/>
    </row>
    <row r="124" spans="1:123" ht="18.75" customHeight="1" x14ac:dyDescent="0.25">
      <c r="A124" s="15"/>
      <c r="B124" s="84"/>
      <c r="C124" s="84"/>
      <c r="D124" s="89"/>
      <c r="E124" s="84"/>
      <c r="F124" s="84"/>
      <c r="G124" s="84"/>
      <c r="H124" s="84"/>
      <c r="I124" s="84"/>
      <c r="J124" s="84"/>
      <c r="K124" s="84"/>
      <c r="L124" s="84"/>
      <c r="M124" s="84"/>
      <c r="N124" s="84"/>
      <c r="O124" s="84"/>
      <c r="P124" s="84"/>
      <c r="Q124" s="84"/>
      <c r="R124" s="84"/>
      <c r="S124" s="84"/>
      <c r="T124" s="84"/>
      <c r="U124" s="84"/>
      <c r="V124" s="84"/>
      <c r="W124" s="84"/>
      <c r="X124" s="146"/>
      <c r="Y124" s="146"/>
      <c r="Z124" s="146"/>
      <c r="AA124" s="121"/>
      <c r="AB124" s="25"/>
      <c r="AC124" s="25"/>
      <c r="AD124" s="25"/>
      <c r="AE124" s="25"/>
      <c r="AF124" s="25"/>
      <c r="AG124" s="25"/>
      <c r="AH124" s="77">
        <v>3</v>
      </c>
      <c r="AI124" s="180" t="str">
        <f>'A2. Livestockdata'!A183</f>
        <v>sheep</v>
      </c>
      <c r="AJ124" s="180" t="str">
        <f>'A2. Livestockdata'!B183</f>
        <v>sheep</v>
      </c>
      <c r="AK124" s="180" t="str">
        <f>'A2. Livestockdata'!C183</f>
        <v>sheep</v>
      </c>
      <c r="AL124" s="180" t="str">
        <f>'A2. Livestockdata'!D183</f>
        <v>sheep</v>
      </c>
      <c r="AM124" s="180" t="str">
        <f>'A2. Livestockdata'!E183</f>
        <v>sheep</v>
      </c>
      <c r="AN124" s="180" t="str">
        <f>'A2. Livestockdata'!F183</f>
        <v>sheep</v>
      </c>
      <c r="AO124" s="180">
        <f>'A2. Livestockdata'!G$183</f>
        <v>0.01</v>
      </c>
      <c r="AP124" s="77">
        <v>0</v>
      </c>
      <c r="AQ124" s="77">
        <v>0</v>
      </c>
      <c r="AR124" s="3"/>
      <c r="AS124" s="3"/>
      <c r="AT124" s="77" t="str">
        <f>'A2. Livestockdata'!AA9</f>
        <v>Eastern Europe</v>
      </c>
      <c r="AU124" s="77">
        <f>'A2. Livestockdata'!AB9</f>
        <v>3</v>
      </c>
      <c r="AV124" s="77">
        <f>'A2. Livestockdata'!AC9</f>
        <v>99</v>
      </c>
      <c r="AW124" s="77">
        <f>'A2. Livestockdata'!AD9</f>
        <v>58</v>
      </c>
      <c r="AX124" s="3"/>
      <c r="AY124" s="3"/>
      <c r="AZ124" s="1638"/>
      <c r="BA124" s="2"/>
      <c r="BB124" s="2"/>
      <c r="BC124" s="25"/>
      <c r="BD124" s="2"/>
      <c r="BE124" s="2"/>
      <c r="BF124" s="2"/>
      <c r="BG124" s="2"/>
      <c r="BH124" s="13"/>
      <c r="BI124" s="166"/>
      <c r="BJ124" s="13"/>
      <c r="BK124" s="166"/>
      <c r="BL124" s="166"/>
      <c r="BM124" s="166"/>
      <c r="BN124" s="25"/>
      <c r="BO124" s="25"/>
      <c r="BP124" s="25"/>
      <c r="BQ124" s="25"/>
      <c r="BR124" s="25"/>
      <c r="BS124" s="13"/>
      <c r="BT124" s="13"/>
      <c r="BU124" s="393"/>
      <c r="BV124" s="394"/>
      <c r="BW124" s="13"/>
      <c r="BX124" s="13"/>
      <c r="BY124" s="13"/>
      <c r="BZ124" s="13"/>
      <c r="CV124" s="13"/>
      <c r="CW124" s="13"/>
      <c r="CX124" s="13"/>
      <c r="CY124" s="15"/>
      <c r="CZ124" s="15"/>
      <c r="DA124" s="15"/>
      <c r="DB124" s="15"/>
      <c r="DC124" s="15"/>
      <c r="DD124" s="15"/>
      <c r="DE124" s="15"/>
      <c r="DF124" s="15"/>
      <c r="DG124" s="15"/>
      <c r="DH124" s="15"/>
      <c r="DI124" s="15"/>
      <c r="DJ124" s="15"/>
      <c r="DK124" s="15"/>
      <c r="DL124" s="15"/>
      <c r="DM124" s="15"/>
      <c r="DN124" s="15"/>
      <c r="DO124" s="15"/>
      <c r="DP124" s="15"/>
      <c r="DQ124" s="15"/>
      <c r="DR124" s="15"/>
      <c r="DS124" s="15"/>
    </row>
    <row r="125" spans="1:123" x14ac:dyDescent="0.25">
      <c r="A125" s="15"/>
      <c r="B125" s="84"/>
      <c r="C125" s="84"/>
      <c r="D125" s="89"/>
      <c r="E125" s="84"/>
      <c r="F125" s="84"/>
      <c r="G125" s="84"/>
      <c r="H125" s="84"/>
      <c r="I125" s="84"/>
      <c r="J125" s="84"/>
      <c r="K125" s="84"/>
      <c r="L125" s="84"/>
      <c r="M125" s="84"/>
      <c r="N125" s="84"/>
      <c r="O125" s="84"/>
      <c r="P125" s="84"/>
      <c r="Q125" s="84"/>
      <c r="R125" s="84"/>
      <c r="S125" s="15"/>
      <c r="T125" s="15"/>
      <c r="U125" s="15"/>
      <c r="V125" s="15"/>
      <c r="W125" s="15"/>
      <c r="X125" s="146"/>
      <c r="Y125" s="146"/>
      <c r="Z125" s="146"/>
      <c r="AA125" s="121"/>
      <c r="AB125" s="25"/>
      <c r="AC125" s="25"/>
      <c r="AD125" s="25"/>
      <c r="AE125" s="25"/>
      <c r="AF125" s="25"/>
      <c r="AG125" s="25"/>
      <c r="AH125" s="77">
        <v>4</v>
      </c>
      <c r="AI125" s="77" t="s">
        <v>1174</v>
      </c>
      <c r="AJ125" s="77" t="s">
        <v>1441</v>
      </c>
      <c r="AK125" s="77" t="s">
        <v>1442</v>
      </c>
      <c r="AL125" s="77" t="s">
        <v>1442</v>
      </c>
      <c r="AM125" s="77" t="s">
        <v>1442</v>
      </c>
      <c r="AN125" s="77" t="s">
        <v>1442</v>
      </c>
      <c r="AO125" s="180">
        <f>'A2. Livestockdata'!G$183</f>
        <v>0.01</v>
      </c>
      <c r="AP125" s="77">
        <v>0</v>
      </c>
      <c r="AQ125" s="77">
        <v>0</v>
      </c>
      <c r="AR125" s="3"/>
      <c r="AS125" s="3"/>
      <c r="AT125" s="77" t="str">
        <f>'A2. Livestockdata'!AA10</f>
        <v>Oceania</v>
      </c>
      <c r="AU125" s="77">
        <f>'A2. Livestockdata'!AB10</f>
        <v>4</v>
      </c>
      <c r="AV125" s="77">
        <f>'A2. Livestockdata'!AC10</f>
        <v>90</v>
      </c>
      <c r="AW125" s="77">
        <f>'A2. Livestockdata'!AD10</f>
        <v>60</v>
      </c>
      <c r="AX125" s="3"/>
      <c r="AY125" s="3"/>
      <c r="AZ125" s="1638"/>
      <c r="BA125" s="2"/>
      <c r="BB125" s="2"/>
      <c r="BC125" s="25"/>
      <c r="BD125" s="2"/>
      <c r="BE125" s="2"/>
      <c r="BF125" s="2"/>
      <c r="BG125" s="2"/>
      <c r="BH125" s="13"/>
      <c r="BI125" s="25"/>
      <c r="BJ125" s="25"/>
      <c r="BK125" s="166"/>
      <c r="BL125" s="166"/>
      <c r="BM125" s="166"/>
      <c r="BN125" s="25"/>
      <c r="BO125" s="25"/>
      <c r="BP125" s="25"/>
      <c r="BQ125" s="25"/>
      <c r="BR125" s="25"/>
      <c r="BS125" s="13"/>
      <c r="BT125" s="13"/>
      <c r="BU125" s="393"/>
      <c r="BV125" s="394"/>
      <c r="BW125" s="13"/>
      <c r="BX125" s="13"/>
      <c r="BY125" s="13"/>
      <c r="BZ125" s="13"/>
      <c r="CV125" s="13"/>
      <c r="CW125" s="13"/>
      <c r="CX125" s="13"/>
      <c r="CY125" s="15"/>
      <c r="CZ125" s="15"/>
      <c r="DA125" s="15"/>
      <c r="DB125" s="15"/>
      <c r="DC125" s="15"/>
      <c r="DD125" s="15"/>
      <c r="DE125" s="15"/>
      <c r="DF125" s="15"/>
      <c r="DG125" s="15"/>
      <c r="DH125" s="15"/>
      <c r="DI125" s="15"/>
      <c r="DJ125" s="15"/>
      <c r="DK125" s="15"/>
      <c r="DL125" s="15"/>
      <c r="DM125" s="15"/>
      <c r="DN125" s="15"/>
      <c r="DO125" s="15"/>
      <c r="DP125" s="15"/>
      <c r="DQ125" s="15"/>
      <c r="DR125" s="15"/>
      <c r="DS125" s="15"/>
    </row>
    <row r="126" spans="1:123" x14ac:dyDescent="0.25">
      <c r="A126" s="15"/>
      <c r="B126" s="84"/>
      <c r="C126" s="84"/>
      <c r="D126" s="89"/>
      <c r="E126" s="84"/>
      <c r="F126" s="84"/>
      <c r="G126" s="84"/>
      <c r="H126" s="84"/>
      <c r="I126" s="84"/>
      <c r="J126" s="84"/>
      <c r="K126" s="84"/>
      <c r="L126" s="84"/>
      <c r="M126" s="84"/>
      <c r="N126" s="84"/>
      <c r="O126" s="84"/>
      <c r="P126" s="84"/>
      <c r="Q126" s="84"/>
      <c r="R126" s="84"/>
      <c r="S126" s="15"/>
      <c r="T126" s="15"/>
      <c r="U126" s="15"/>
      <c r="V126" s="15"/>
      <c r="W126" s="15"/>
      <c r="X126" s="84"/>
      <c r="Y126" s="146"/>
      <c r="Z126" s="146"/>
      <c r="AA126" s="121"/>
      <c r="AB126" s="25"/>
      <c r="AC126" s="25"/>
      <c r="AD126" s="25"/>
      <c r="AE126" s="25"/>
      <c r="AF126" s="25"/>
      <c r="AG126" s="25"/>
      <c r="AH126" s="77">
        <v>5</v>
      </c>
      <c r="AI126" s="77" t="s">
        <v>544</v>
      </c>
      <c r="AJ126" s="77" t="s">
        <v>544</v>
      </c>
      <c r="AK126" s="77" t="s">
        <v>544</v>
      </c>
      <c r="AL126" s="77" t="s">
        <v>544</v>
      </c>
      <c r="AM126" s="77" t="s">
        <v>544</v>
      </c>
      <c r="AN126" s="77" t="s">
        <v>544</v>
      </c>
      <c r="AO126" s="180">
        <f>'A2. Livestockdata'!G$183</f>
        <v>0.01</v>
      </c>
      <c r="AP126" s="77">
        <v>0</v>
      </c>
      <c r="AQ126" s="77">
        <v>0</v>
      </c>
      <c r="AR126" s="3"/>
      <c r="AS126" s="3"/>
      <c r="AT126" s="77" t="str">
        <f>'A2. Livestockdata'!AA11</f>
        <v>Latin America</v>
      </c>
      <c r="AU126" s="77">
        <f>'A2. Livestockdata'!AB11</f>
        <v>5</v>
      </c>
      <c r="AV126" s="77">
        <f>'A2. Livestockdata'!AC11</f>
        <v>72</v>
      </c>
      <c r="AW126" s="77">
        <f>'A2. Livestockdata'!AD11</f>
        <v>56</v>
      </c>
      <c r="AX126" s="3"/>
      <c r="AY126" s="3"/>
      <c r="AZ126" s="1638"/>
      <c r="BA126" s="2"/>
      <c r="BB126" s="2"/>
      <c r="BC126" s="25"/>
      <c r="BD126" s="2"/>
      <c r="BE126" s="2"/>
      <c r="BF126" s="2"/>
      <c r="BG126" s="2"/>
      <c r="BH126" s="13"/>
      <c r="BI126" s="13"/>
      <c r="BJ126" s="25" t="s">
        <v>1551</v>
      </c>
      <c r="BK126" s="166"/>
      <c r="BL126" s="166"/>
      <c r="BM126" s="166"/>
      <c r="BN126" s="25"/>
      <c r="BO126" s="25"/>
      <c r="BP126" s="25"/>
      <c r="BQ126" s="25"/>
      <c r="BR126" s="25"/>
      <c r="BS126" s="25"/>
      <c r="BT126" s="25"/>
      <c r="BU126" s="25"/>
      <c r="BV126" s="25"/>
      <c r="BW126" s="13"/>
      <c r="BX126" s="13"/>
      <c r="BY126" s="13"/>
      <c r="BZ126" s="13"/>
      <c r="CV126" s="13"/>
      <c r="CW126" s="13"/>
      <c r="CX126" s="13"/>
      <c r="CY126" s="15"/>
      <c r="CZ126" s="15"/>
      <c r="DA126" s="15"/>
      <c r="DB126" s="15"/>
      <c r="DC126" s="15"/>
      <c r="DD126" s="15"/>
      <c r="DE126" s="15"/>
      <c r="DF126" s="15"/>
      <c r="DG126" s="15"/>
      <c r="DH126" s="15"/>
      <c r="DI126" s="15"/>
      <c r="DJ126" s="15"/>
      <c r="DK126" s="15"/>
      <c r="DL126" s="15"/>
      <c r="DM126" s="15"/>
      <c r="DN126" s="15"/>
      <c r="DO126" s="15"/>
      <c r="DP126" s="15"/>
      <c r="DQ126" s="15"/>
      <c r="DR126" s="15"/>
      <c r="DS126" s="15"/>
    </row>
    <row r="127" spans="1:123" x14ac:dyDescent="0.25">
      <c r="A127" s="15"/>
      <c r="B127" s="84"/>
      <c r="C127" s="84"/>
      <c r="D127" s="89"/>
      <c r="E127" s="84"/>
      <c r="F127" s="84"/>
      <c r="G127" s="84"/>
      <c r="H127" s="84"/>
      <c r="I127" s="84"/>
      <c r="J127" s="84"/>
      <c r="K127" s="84"/>
      <c r="L127" s="84"/>
      <c r="M127" s="84"/>
      <c r="N127" s="84"/>
      <c r="O127" s="84"/>
      <c r="P127" s="84"/>
      <c r="Q127" s="84"/>
      <c r="R127" s="84"/>
      <c r="S127" s="15"/>
      <c r="T127" s="15"/>
      <c r="U127" s="15"/>
      <c r="V127" s="15"/>
      <c r="W127" s="15"/>
      <c r="X127" s="84"/>
      <c r="Y127" s="146"/>
      <c r="Z127" s="146"/>
      <c r="AA127" s="121"/>
      <c r="AB127" s="25"/>
      <c r="AC127" s="25"/>
      <c r="AD127" s="25"/>
      <c r="AE127" s="25"/>
      <c r="AF127" s="25"/>
      <c r="AG127" s="25"/>
      <c r="AH127" s="77">
        <v>6</v>
      </c>
      <c r="AI127" s="77" t="s">
        <v>550</v>
      </c>
      <c r="AJ127" s="77" t="s">
        <v>550</v>
      </c>
      <c r="AK127" s="77" t="s">
        <v>550</v>
      </c>
      <c r="AL127" s="77" t="s">
        <v>550</v>
      </c>
      <c r="AM127" s="77" t="s">
        <v>550</v>
      </c>
      <c r="AN127" s="77" t="s">
        <v>550</v>
      </c>
      <c r="AO127" s="180">
        <f>'A2. Livestockdata'!G$183</f>
        <v>0.01</v>
      </c>
      <c r="AP127" s="77">
        <v>0</v>
      </c>
      <c r="AQ127" s="77">
        <v>0</v>
      </c>
      <c r="AR127" s="3"/>
      <c r="AS127" s="3"/>
      <c r="AT127" s="77" t="str">
        <f>'A2. Livestockdata'!AA12</f>
        <v>Africa</v>
      </c>
      <c r="AU127" s="77">
        <f>'A2. Livestockdata'!AB12</f>
        <v>6</v>
      </c>
      <c r="AV127" s="77">
        <f>'A2. Livestockdata'!AC12</f>
        <v>46</v>
      </c>
      <c r="AW127" s="77">
        <f>'A2. Livestockdata'!AD12</f>
        <v>31</v>
      </c>
      <c r="AX127" s="3"/>
      <c r="AY127" s="3"/>
      <c r="AZ127" s="1638"/>
      <c r="BA127" s="2"/>
      <c r="BB127" s="2"/>
      <c r="BC127" s="25"/>
      <c r="BD127" s="2"/>
      <c r="BE127" s="2"/>
      <c r="BF127" s="2"/>
      <c r="BG127" s="2"/>
      <c r="BH127" s="13"/>
      <c r="BI127" s="13"/>
      <c r="BJ127" s="13" t="s">
        <v>1655</v>
      </c>
      <c r="BK127" s="13"/>
      <c r="BL127" s="13"/>
      <c r="BM127" s="13"/>
      <c r="BN127" s="13"/>
      <c r="BO127" s="13"/>
      <c r="BP127" s="25"/>
      <c r="BQ127" s="13"/>
      <c r="BR127" s="25"/>
      <c r="BS127" s="25"/>
      <c r="BT127" s="25"/>
      <c r="BU127" s="25"/>
      <c r="BV127" s="25"/>
      <c r="BW127" s="13"/>
      <c r="BX127" s="13"/>
      <c r="BY127" s="13"/>
      <c r="BZ127" s="13"/>
      <c r="CV127" s="13"/>
      <c r="CW127" s="13"/>
      <c r="CX127" s="13"/>
      <c r="CY127" s="15"/>
      <c r="CZ127" s="15"/>
      <c r="DA127" s="15"/>
      <c r="DB127" s="15"/>
      <c r="DC127" s="15"/>
      <c r="DD127" s="15"/>
      <c r="DE127" s="15"/>
      <c r="DF127" s="15"/>
      <c r="DG127" s="15"/>
      <c r="DH127" s="15"/>
      <c r="DI127" s="15"/>
      <c r="DJ127" s="15"/>
      <c r="DK127" s="15"/>
      <c r="DL127" s="15"/>
      <c r="DM127" s="15"/>
      <c r="DN127" s="15"/>
      <c r="DO127" s="15"/>
      <c r="DP127" s="15"/>
      <c r="DQ127" s="15"/>
      <c r="DR127" s="15"/>
      <c r="DS127" s="15"/>
    </row>
    <row r="128" spans="1:123" x14ac:dyDescent="0.25">
      <c r="A128" s="15"/>
      <c r="B128" s="84"/>
      <c r="C128" s="84"/>
      <c r="D128" s="89"/>
      <c r="E128" s="84"/>
      <c r="F128" s="84"/>
      <c r="G128" s="84"/>
      <c r="H128" s="84"/>
      <c r="I128" s="84"/>
      <c r="J128" s="84"/>
      <c r="K128" s="84"/>
      <c r="L128" s="84"/>
      <c r="M128" s="84"/>
      <c r="N128" s="84"/>
      <c r="O128" s="84"/>
      <c r="P128" s="84"/>
      <c r="Q128" s="84"/>
      <c r="R128" s="84"/>
      <c r="S128" s="80"/>
      <c r="T128" s="80"/>
      <c r="U128" s="80"/>
      <c r="V128" s="80"/>
      <c r="W128" s="84"/>
      <c r="X128" s="84"/>
      <c r="Y128" s="146"/>
      <c r="Z128" s="146"/>
      <c r="AA128" s="121"/>
      <c r="AB128" s="25"/>
      <c r="AC128" s="25"/>
      <c r="AD128" s="25"/>
      <c r="AE128" s="25"/>
      <c r="AF128" s="25"/>
      <c r="AG128" s="25"/>
      <c r="AH128" s="77">
        <v>7</v>
      </c>
      <c r="AI128" s="77" t="s">
        <v>557</v>
      </c>
      <c r="AJ128" s="77" t="s">
        <v>557</v>
      </c>
      <c r="AK128" s="77" t="s">
        <v>557</v>
      </c>
      <c r="AL128" s="77" t="s">
        <v>557</v>
      </c>
      <c r="AM128" s="77" t="s">
        <v>557</v>
      </c>
      <c r="AN128" s="77" t="s">
        <v>557</v>
      </c>
      <c r="AO128" s="180">
        <f>'A2. Livestockdata'!G$183</f>
        <v>0.01</v>
      </c>
      <c r="AP128" s="77">
        <v>0</v>
      </c>
      <c r="AQ128" s="77">
        <v>0</v>
      </c>
      <c r="AR128" s="3"/>
      <c r="AS128" s="3"/>
      <c r="AT128" s="77" t="str">
        <f>'A2. Livestockdata'!AA13</f>
        <v>Middle East</v>
      </c>
      <c r="AU128" s="77">
        <f>'A2. Livestockdata'!AB13</f>
        <v>7</v>
      </c>
      <c r="AV128" s="77">
        <f>'A2. Livestockdata'!AC13</f>
        <v>46</v>
      </c>
      <c r="AW128" s="77">
        <f>'A2. Livestockdata'!AD13</f>
        <v>31</v>
      </c>
      <c r="AX128" s="3"/>
      <c r="AY128" s="3"/>
      <c r="AZ128" s="1638"/>
      <c r="BA128" s="2"/>
      <c r="BB128" s="2"/>
      <c r="BC128" s="25"/>
      <c r="BD128" s="2"/>
      <c r="BE128" s="2"/>
      <c r="BF128" s="2"/>
      <c r="BG128" s="2"/>
      <c r="BH128" s="13"/>
      <c r="BI128" s="13"/>
      <c r="BJ128" s="13"/>
      <c r="BK128" s="13"/>
      <c r="BL128" s="13"/>
      <c r="BM128" s="13"/>
      <c r="BN128" s="13"/>
      <c r="BO128" s="13"/>
      <c r="BP128" s="25"/>
      <c r="BQ128" s="13"/>
      <c r="BR128" s="13"/>
      <c r="BS128" s="13"/>
      <c r="BT128" s="13"/>
      <c r="BU128" s="13"/>
      <c r="BV128" s="13"/>
      <c r="BW128" s="13"/>
      <c r="BX128" s="13"/>
      <c r="BY128" s="13"/>
      <c r="BZ128" s="13"/>
      <c r="CV128" s="13"/>
      <c r="CW128" s="13"/>
      <c r="CX128" s="13"/>
      <c r="CY128" s="15"/>
      <c r="CZ128" s="15"/>
      <c r="DA128" s="15"/>
      <c r="DB128" s="15"/>
      <c r="DC128" s="15"/>
      <c r="DD128" s="15"/>
      <c r="DE128" s="15"/>
      <c r="DF128" s="15"/>
      <c r="DG128" s="15"/>
      <c r="DH128" s="15"/>
      <c r="DI128" s="15"/>
      <c r="DJ128" s="15"/>
      <c r="DK128" s="15"/>
      <c r="DL128" s="15"/>
      <c r="DM128" s="15"/>
      <c r="DN128" s="15"/>
      <c r="DO128" s="15"/>
      <c r="DP128" s="15"/>
      <c r="DQ128" s="15"/>
      <c r="DR128" s="15"/>
      <c r="DS128" s="15"/>
    </row>
    <row r="129" spans="1:123" x14ac:dyDescent="0.25">
      <c r="A129" s="15"/>
      <c r="R129" s="84"/>
      <c r="S129" s="84"/>
      <c r="T129" s="84"/>
      <c r="U129" s="84"/>
      <c r="V129" s="84"/>
      <c r="W129" s="84"/>
      <c r="X129" s="146"/>
      <c r="Y129" s="146"/>
      <c r="Z129" s="146"/>
      <c r="AA129" s="121"/>
      <c r="AB129" s="25"/>
      <c r="AC129" s="360"/>
      <c r="AD129" s="25"/>
      <c r="AE129" s="25"/>
      <c r="AF129" s="25"/>
      <c r="AG129" s="25"/>
      <c r="AH129" s="77">
        <v>8</v>
      </c>
      <c r="AI129" s="77" t="s">
        <v>1034</v>
      </c>
      <c r="AJ129" s="77" t="s">
        <v>1034</v>
      </c>
      <c r="AK129" s="77" t="s">
        <v>1034</v>
      </c>
      <c r="AL129" s="77" t="s">
        <v>1034</v>
      </c>
      <c r="AM129" s="77" t="s">
        <v>1034</v>
      </c>
      <c r="AN129" s="77" t="s">
        <v>1034</v>
      </c>
      <c r="AO129" s="180">
        <f>'A2. Livestockdata'!G$183</f>
        <v>0.01</v>
      </c>
      <c r="AP129" s="77">
        <v>0</v>
      </c>
      <c r="AQ129" s="77">
        <v>0</v>
      </c>
      <c r="AR129" s="3"/>
      <c r="AS129" s="3"/>
      <c r="AT129" s="77" t="str">
        <f>'A2. Livestockdata'!AA14</f>
        <v>Asia</v>
      </c>
      <c r="AU129" s="77">
        <f>'A2. Livestockdata'!AB14</f>
        <v>8</v>
      </c>
      <c r="AV129" s="77">
        <f>'A2. Livestockdata'!AC14</f>
        <v>68</v>
      </c>
      <c r="AW129" s="77">
        <f>'A2. Livestockdata'!AD14</f>
        <v>47</v>
      </c>
      <c r="AX129" s="3"/>
      <c r="AY129" s="3"/>
      <c r="AZ129" s="1638"/>
      <c r="BA129" s="2"/>
      <c r="BB129" s="2"/>
      <c r="BC129" s="25"/>
      <c r="BD129" s="2"/>
      <c r="BE129" s="2"/>
      <c r="BF129" s="2"/>
      <c r="BG129" s="2"/>
      <c r="BH129" s="13"/>
      <c r="BI129" s="13"/>
      <c r="BJ129" s="13"/>
      <c r="BK129" s="13"/>
      <c r="BL129" s="13"/>
      <c r="BM129" s="13"/>
      <c r="BN129" s="13"/>
      <c r="BO129" s="13"/>
      <c r="BP129" s="25"/>
      <c r="BQ129" s="13"/>
      <c r="BR129" s="13"/>
      <c r="BS129" s="13"/>
      <c r="BT129" s="13"/>
      <c r="BU129" s="13"/>
      <c r="BV129" s="13"/>
      <c r="BW129" s="13"/>
      <c r="BX129" s="13"/>
      <c r="BY129" s="13"/>
      <c r="BZ129" s="13"/>
      <c r="CV129" s="13"/>
      <c r="CW129" s="13"/>
      <c r="CX129" s="13"/>
      <c r="CY129" s="15"/>
      <c r="CZ129" s="15"/>
      <c r="DA129" s="15"/>
      <c r="DB129" s="15"/>
      <c r="DC129" s="15"/>
      <c r="DD129" s="15"/>
      <c r="DE129" s="15"/>
      <c r="DF129" s="15"/>
      <c r="DG129" s="15"/>
      <c r="DH129" s="15"/>
      <c r="DI129" s="15"/>
      <c r="DJ129" s="15"/>
      <c r="DK129" s="15"/>
      <c r="DL129" s="15"/>
      <c r="DM129" s="15"/>
      <c r="DN129" s="15"/>
      <c r="DO129" s="15"/>
      <c r="DP129" s="15"/>
      <c r="DQ129" s="15"/>
      <c r="DR129" s="15"/>
      <c r="DS129" s="15"/>
    </row>
    <row r="130" spans="1:123" x14ac:dyDescent="0.25">
      <c r="A130" s="15"/>
      <c r="R130" s="84"/>
      <c r="S130" s="84"/>
      <c r="T130" s="84"/>
      <c r="U130" s="84"/>
      <c r="V130" s="84"/>
      <c r="W130" s="84"/>
      <c r="X130" s="146"/>
      <c r="Y130" s="146"/>
      <c r="Z130" s="146"/>
      <c r="AA130" s="1637"/>
      <c r="AB130" s="77" t="s">
        <v>1109</v>
      </c>
      <c r="AC130" s="77"/>
      <c r="AD130" s="77" t="s">
        <v>1653</v>
      </c>
      <c r="AE130" s="77" t="s">
        <v>1551</v>
      </c>
      <c r="AF130" s="25"/>
      <c r="AG130" s="25"/>
      <c r="AH130" s="77">
        <v>9</v>
      </c>
      <c r="AI130" s="77" t="s">
        <v>510</v>
      </c>
      <c r="AJ130" s="77" t="s">
        <v>510</v>
      </c>
      <c r="AK130" s="77" t="s">
        <v>510</v>
      </c>
      <c r="AL130" s="77" t="s">
        <v>510</v>
      </c>
      <c r="AM130" s="77" t="s">
        <v>510</v>
      </c>
      <c r="AN130" s="77" t="s">
        <v>510</v>
      </c>
      <c r="AO130" s="180">
        <f>'A2. Livestockdata'!G$183</f>
        <v>0.01</v>
      </c>
      <c r="AP130" s="77">
        <v>0</v>
      </c>
      <c r="AQ130" s="77">
        <v>1</v>
      </c>
      <c r="AR130" s="3"/>
      <c r="AS130" s="3"/>
      <c r="AT130" s="77" t="str">
        <f>'A2. Livestockdata'!AA15</f>
        <v>Indian Subcontinent</v>
      </c>
      <c r="AU130" s="77">
        <f>'A2. Livestockdata'!AB15</f>
        <v>9</v>
      </c>
      <c r="AV130" s="77">
        <f>'A2. Livestockdata'!AC15</f>
        <v>58</v>
      </c>
      <c r="AW130" s="77">
        <f>'A2. Livestockdata'!AD15</f>
        <v>27</v>
      </c>
      <c r="AX130" s="3"/>
      <c r="AY130" s="3"/>
      <c r="AZ130" s="1638"/>
      <c r="BA130" s="2"/>
      <c r="BB130" s="2"/>
      <c r="BC130" s="25"/>
      <c r="BD130" s="25"/>
      <c r="BE130" s="25"/>
      <c r="BF130" s="25"/>
      <c r="BG130" s="25"/>
      <c r="BH130" s="25"/>
      <c r="BI130" s="13"/>
      <c r="BJ130" s="13"/>
      <c r="BK130" s="13"/>
      <c r="BL130" s="13"/>
      <c r="BM130" s="13"/>
      <c r="BN130" s="13"/>
      <c r="BO130" s="13"/>
      <c r="BP130" s="25"/>
      <c r="BQ130" s="13"/>
      <c r="BR130" s="13"/>
      <c r="BS130" s="13"/>
      <c r="BT130" s="13"/>
      <c r="BU130" s="13"/>
      <c r="BV130" s="13"/>
      <c r="BW130" s="13"/>
      <c r="BX130" s="13"/>
      <c r="BY130" s="13"/>
      <c r="BZ130" s="13"/>
      <c r="CV130" s="13"/>
      <c r="CW130" s="13"/>
      <c r="CX130" s="13"/>
      <c r="CY130" s="15"/>
      <c r="CZ130" s="15"/>
      <c r="DA130" s="15"/>
      <c r="DB130" s="15"/>
      <c r="DC130" s="15"/>
      <c r="DD130" s="15"/>
      <c r="DE130" s="15"/>
      <c r="DF130" s="15"/>
      <c r="DG130" s="15"/>
      <c r="DH130" s="15"/>
      <c r="DI130" s="15"/>
      <c r="DJ130" s="15"/>
      <c r="DK130" s="15"/>
      <c r="DL130" s="15"/>
      <c r="DM130" s="15"/>
      <c r="DN130" s="15"/>
      <c r="DO130" s="15"/>
      <c r="DP130" s="15"/>
      <c r="DQ130" s="15"/>
      <c r="DR130" s="15"/>
      <c r="DS130" s="15"/>
    </row>
    <row r="131" spans="1:123" x14ac:dyDescent="0.25">
      <c r="A131" s="15"/>
      <c r="R131" s="15"/>
      <c r="S131" s="84"/>
      <c r="T131" s="84"/>
      <c r="U131" s="84"/>
      <c r="V131" s="84"/>
      <c r="W131" s="84"/>
      <c r="X131" s="146"/>
      <c r="Y131" s="146"/>
      <c r="Z131" s="146"/>
      <c r="AA131" s="1637"/>
      <c r="AB131" s="77">
        <f ca="1">'1.GeneralInfo'!Y17</f>
        <v>10</v>
      </c>
      <c r="AC131" s="77"/>
      <c r="AD131" s="151">
        <f ca="1">MIN(MAX(10,AB131),28)</f>
        <v>10</v>
      </c>
      <c r="AE131" s="77" t="s">
        <v>1655</v>
      </c>
      <c r="AF131" s="25"/>
      <c r="AG131" s="25"/>
      <c r="AH131" s="77">
        <v>10</v>
      </c>
      <c r="AI131" s="77" t="s">
        <v>511</v>
      </c>
      <c r="AJ131" s="77" t="s">
        <v>511</v>
      </c>
      <c r="AK131" s="77" t="s">
        <v>511</v>
      </c>
      <c r="AL131" s="77" t="s">
        <v>511</v>
      </c>
      <c r="AM131" s="77" t="s">
        <v>511</v>
      </c>
      <c r="AN131" s="77" t="s">
        <v>511</v>
      </c>
      <c r="AO131" s="180">
        <f>'A2. Livestockdata'!G$183</f>
        <v>0.01</v>
      </c>
      <c r="AP131" s="77">
        <v>0</v>
      </c>
      <c r="AQ131" s="77">
        <v>0</v>
      </c>
      <c r="AR131" s="3"/>
      <c r="AS131" s="3"/>
      <c r="AT131" s="3"/>
      <c r="AU131" s="3"/>
      <c r="AV131" s="3"/>
      <c r="AW131" s="3"/>
      <c r="AX131" s="3"/>
      <c r="AY131" s="3"/>
      <c r="AZ131" s="1638"/>
      <c r="BA131" s="2"/>
      <c r="BB131" s="2"/>
      <c r="BC131" s="25"/>
      <c r="BD131" s="25"/>
      <c r="BE131" s="25"/>
      <c r="BF131" s="25"/>
      <c r="BG131" s="25"/>
      <c r="BH131" s="25"/>
      <c r="BI131" s="13"/>
      <c r="BJ131" s="13"/>
      <c r="BK131" s="13"/>
      <c r="BL131" s="13"/>
      <c r="BM131" s="13"/>
      <c r="BN131" s="13"/>
      <c r="BO131" s="13"/>
      <c r="BP131" s="25"/>
      <c r="BQ131" s="13"/>
      <c r="BR131" s="13"/>
      <c r="BS131" s="13"/>
      <c r="BT131" s="13"/>
      <c r="BU131" s="13"/>
      <c r="BV131" s="13"/>
      <c r="BW131" s="13"/>
      <c r="BX131" s="13"/>
      <c r="BY131" s="13"/>
      <c r="BZ131" s="2"/>
      <c r="CV131" s="13"/>
      <c r="CW131" s="13"/>
      <c r="CX131" s="13"/>
      <c r="CY131" s="15"/>
      <c r="CZ131" s="15"/>
      <c r="DA131" s="15"/>
      <c r="DB131" s="15"/>
      <c r="DC131" s="15"/>
      <c r="DD131" s="15"/>
      <c r="DE131" s="15"/>
      <c r="DF131" s="15"/>
      <c r="DG131" s="15"/>
      <c r="DH131" s="15"/>
      <c r="DI131" s="15"/>
      <c r="DJ131" s="15"/>
      <c r="DK131" s="15"/>
      <c r="DL131" s="15"/>
      <c r="DM131" s="15"/>
      <c r="DN131" s="15"/>
      <c r="DO131" s="15"/>
      <c r="DP131" s="15"/>
      <c r="DQ131" s="15"/>
      <c r="DR131" s="15"/>
      <c r="DS131" s="15"/>
    </row>
    <row r="132" spans="1:123" x14ac:dyDescent="0.25">
      <c r="A132" s="15"/>
      <c r="R132" s="15"/>
      <c r="S132" s="84"/>
      <c r="T132" s="84"/>
      <c r="U132" s="84"/>
      <c r="V132" s="84"/>
      <c r="W132" s="84"/>
      <c r="X132" s="146"/>
      <c r="Y132" s="146"/>
      <c r="Z132" s="146"/>
      <c r="AA132" s="121"/>
      <c r="AB132" s="25"/>
      <c r="AC132" s="25"/>
      <c r="AD132" s="25"/>
      <c r="AE132" s="25"/>
      <c r="AF132" s="25"/>
      <c r="AG132" s="25"/>
      <c r="AH132" s="77">
        <v>11</v>
      </c>
      <c r="AI132" s="77" t="s">
        <v>514</v>
      </c>
      <c r="AJ132" s="77" t="s">
        <v>514</v>
      </c>
      <c r="AK132" s="77" t="s">
        <v>514</v>
      </c>
      <c r="AL132" s="77" t="s">
        <v>514</v>
      </c>
      <c r="AM132" s="77" t="s">
        <v>514</v>
      </c>
      <c r="AN132" s="77" t="s">
        <v>514</v>
      </c>
      <c r="AO132" s="180">
        <f>'A2. Livestockdata'!G$183</f>
        <v>0.01</v>
      </c>
      <c r="AP132" s="77">
        <v>0</v>
      </c>
      <c r="AQ132" s="77">
        <v>0</v>
      </c>
      <c r="AR132" s="3"/>
      <c r="AS132" s="3"/>
      <c r="AT132" s="3"/>
      <c r="AU132" s="3"/>
      <c r="AV132" s="3"/>
      <c r="AW132" s="3"/>
      <c r="AX132" s="3"/>
      <c r="AY132" s="3"/>
      <c r="AZ132" s="1638"/>
      <c r="BA132" s="2"/>
      <c r="BB132" s="2"/>
      <c r="BC132" s="25"/>
      <c r="BD132" s="25"/>
      <c r="BE132" s="25"/>
      <c r="BF132" s="25"/>
      <c r="BG132" s="25"/>
      <c r="BH132" s="13"/>
      <c r="BI132" s="13"/>
      <c r="BJ132" s="13"/>
      <c r="BK132" s="13"/>
      <c r="BL132" s="13"/>
      <c r="BM132" s="13"/>
      <c r="BN132" s="13"/>
      <c r="BO132" s="13"/>
      <c r="BP132" s="25"/>
      <c r="BQ132" s="13"/>
      <c r="BR132" s="13"/>
      <c r="BS132" s="13"/>
      <c r="BT132" s="13"/>
      <c r="BU132" s="13"/>
      <c r="BV132" s="13"/>
      <c r="BW132" s="13"/>
      <c r="BX132" s="13"/>
      <c r="BY132" s="13"/>
      <c r="BZ132" s="2"/>
      <c r="CV132" s="13"/>
      <c r="CW132" s="13"/>
      <c r="CX132" s="13"/>
      <c r="CY132" s="15"/>
      <c r="CZ132" s="15"/>
      <c r="DA132" s="15"/>
      <c r="DB132" s="15"/>
      <c r="DC132" s="15"/>
      <c r="DD132" s="15"/>
      <c r="DE132" s="15"/>
      <c r="DF132" s="15"/>
      <c r="DG132" s="15"/>
      <c r="DH132" s="15"/>
      <c r="DI132" s="15"/>
      <c r="DJ132" s="15"/>
      <c r="DK132" s="15"/>
      <c r="DL132" s="15"/>
      <c r="DM132" s="15"/>
      <c r="DN132" s="15"/>
      <c r="DO132" s="15"/>
      <c r="DP132" s="15"/>
      <c r="DQ132" s="15"/>
      <c r="DR132" s="15"/>
      <c r="DS132" s="15"/>
    </row>
    <row r="133" spans="1:123" x14ac:dyDescent="0.25">
      <c r="A133" s="15"/>
      <c r="R133" s="133"/>
      <c r="S133" s="84"/>
      <c r="T133" s="84"/>
      <c r="U133" s="84"/>
      <c r="V133" s="84"/>
      <c r="W133" s="84"/>
      <c r="X133" s="146"/>
      <c r="Y133" s="146"/>
      <c r="Z133" s="146"/>
      <c r="AA133" s="121"/>
      <c r="AB133" s="25"/>
      <c r="AC133" s="25"/>
      <c r="AD133" s="25"/>
      <c r="AE133" s="25"/>
      <c r="AF133" s="25"/>
      <c r="AG133" s="25"/>
      <c r="AH133" s="77">
        <v>12</v>
      </c>
      <c r="AI133" s="77" t="s">
        <v>515</v>
      </c>
      <c r="AJ133" s="77" t="s">
        <v>515</v>
      </c>
      <c r="AK133" s="77" t="s">
        <v>515</v>
      </c>
      <c r="AL133" s="77" t="s">
        <v>515</v>
      </c>
      <c r="AM133" s="77" t="s">
        <v>515</v>
      </c>
      <c r="AN133" s="77" t="s">
        <v>515</v>
      </c>
      <c r="AO133" s="180">
        <f>'A2. Livestockdata'!G$183</f>
        <v>0.01</v>
      </c>
      <c r="AP133" s="77">
        <v>0</v>
      </c>
      <c r="AQ133" s="77">
        <v>0</v>
      </c>
      <c r="AR133" s="3"/>
      <c r="AS133" s="3"/>
      <c r="AT133" s="3"/>
      <c r="AU133" s="3"/>
      <c r="AV133" s="3"/>
      <c r="AW133" s="3"/>
      <c r="AX133" s="3"/>
      <c r="AY133" s="3"/>
      <c r="AZ133" s="1638"/>
      <c r="BA133" s="2"/>
      <c r="BB133" s="2"/>
      <c r="BC133" s="25"/>
      <c r="BD133" s="25"/>
      <c r="BE133" s="25"/>
      <c r="BF133" s="25"/>
      <c r="BG133" s="25"/>
      <c r="BH133" s="13"/>
      <c r="BI133" s="13"/>
      <c r="BJ133" s="13"/>
      <c r="BK133" s="13"/>
      <c r="BL133" s="13"/>
      <c r="BM133" s="13"/>
      <c r="BN133" s="13"/>
      <c r="BO133" s="13"/>
      <c r="BP133" s="25"/>
      <c r="BQ133" s="13"/>
      <c r="BR133" s="13"/>
      <c r="BS133" s="13"/>
      <c r="BT133" s="13"/>
      <c r="BU133" s="13"/>
      <c r="BV133" s="13"/>
      <c r="BW133" s="13"/>
      <c r="BX133" s="13"/>
      <c r="BY133" s="13"/>
      <c r="BZ133" s="2"/>
      <c r="CV133" s="13"/>
      <c r="CW133" s="13"/>
      <c r="CX133" s="13"/>
      <c r="CY133" s="15"/>
      <c r="CZ133" s="15"/>
      <c r="DA133" s="15"/>
      <c r="DB133" s="15"/>
      <c r="DC133" s="15"/>
      <c r="DD133" s="15"/>
      <c r="DE133" s="15"/>
      <c r="DF133" s="15"/>
      <c r="DG133" s="15"/>
      <c r="DH133" s="15"/>
      <c r="DI133" s="15"/>
      <c r="DJ133" s="15"/>
      <c r="DK133" s="15"/>
      <c r="DL133" s="15"/>
      <c r="DM133" s="15"/>
      <c r="DN133" s="15"/>
      <c r="DO133" s="15"/>
      <c r="DP133" s="15"/>
      <c r="DQ133" s="15"/>
      <c r="DR133" s="15"/>
      <c r="DS133" s="15"/>
    </row>
    <row r="134" spans="1:123" x14ac:dyDescent="0.25">
      <c r="A134" s="15"/>
      <c r="R134" s="15"/>
      <c r="S134" s="84"/>
      <c r="T134" s="84"/>
      <c r="U134" s="84"/>
      <c r="V134" s="84"/>
      <c r="W134" s="84"/>
      <c r="X134" s="84"/>
      <c r="Y134" s="84"/>
      <c r="Z134" s="84"/>
      <c r="AA134" s="121"/>
      <c r="AB134" s="25"/>
      <c r="AC134" s="25"/>
      <c r="AD134" s="25"/>
      <c r="AE134" s="25"/>
      <c r="AF134" s="149"/>
      <c r="AG134" s="149"/>
      <c r="AH134" s="149"/>
      <c r="AI134" s="149"/>
      <c r="AJ134" s="25"/>
      <c r="AK134" s="25"/>
      <c r="AL134" s="25"/>
      <c r="AM134" s="25"/>
      <c r="AN134" s="25"/>
      <c r="AO134" s="3"/>
      <c r="AP134" s="3"/>
      <c r="AQ134" s="3"/>
      <c r="AR134" s="3"/>
      <c r="AS134" s="3"/>
      <c r="AT134" s="3"/>
      <c r="AU134" s="3"/>
      <c r="AV134" s="3"/>
      <c r="AW134" s="3"/>
      <c r="AX134" s="3"/>
      <c r="AY134" s="3"/>
      <c r="AZ134" s="1638"/>
      <c r="BA134" s="2"/>
      <c r="BB134" s="2"/>
      <c r="BC134" s="25"/>
      <c r="BD134" s="25"/>
      <c r="BE134" s="25"/>
      <c r="BF134" s="25"/>
      <c r="BG134" s="25"/>
      <c r="BH134" s="13"/>
      <c r="BI134" s="13"/>
      <c r="BJ134" s="13"/>
      <c r="BK134" s="13"/>
      <c r="BL134" s="13"/>
      <c r="BM134" s="13"/>
      <c r="BN134" s="13"/>
      <c r="BO134" s="13"/>
      <c r="BP134" s="25"/>
      <c r="BQ134" s="13"/>
      <c r="BR134" s="13"/>
      <c r="BS134" s="13"/>
      <c r="BT134" s="13"/>
      <c r="BU134" s="13"/>
      <c r="BV134" s="13"/>
      <c r="BW134" s="13"/>
      <c r="BX134" s="13"/>
      <c r="BY134" s="13"/>
      <c r="BZ134" s="2"/>
      <c r="CV134" s="13"/>
      <c r="CW134" s="13"/>
      <c r="CX134" s="13"/>
      <c r="CY134" s="15"/>
      <c r="CZ134" s="15"/>
      <c r="DA134" s="15"/>
      <c r="DB134" s="15"/>
      <c r="DC134" s="15"/>
      <c r="DD134" s="15"/>
      <c r="DE134" s="15"/>
      <c r="DF134" s="15"/>
      <c r="DG134" s="15"/>
      <c r="DH134" s="15"/>
      <c r="DI134" s="15"/>
      <c r="DJ134" s="15"/>
      <c r="DK134" s="15"/>
      <c r="DL134" s="15"/>
      <c r="DM134" s="15"/>
      <c r="DN134" s="15"/>
      <c r="DO134" s="15"/>
      <c r="DP134" s="15"/>
      <c r="DQ134" s="15"/>
      <c r="DR134" s="15"/>
      <c r="DS134" s="15"/>
    </row>
    <row r="135" spans="1:123" x14ac:dyDescent="0.25">
      <c r="A135" s="15"/>
      <c r="R135" s="15"/>
      <c r="S135" s="84"/>
      <c r="T135" s="84"/>
      <c r="U135" s="84"/>
      <c r="V135" s="84"/>
      <c r="W135" s="84"/>
      <c r="X135" s="84"/>
      <c r="Y135" s="84"/>
      <c r="Z135" s="84"/>
      <c r="AA135" s="121"/>
      <c r="AB135" s="25"/>
      <c r="AC135" s="25"/>
      <c r="AD135" s="25"/>
      <c r="AE135" s="25"/>
      <c r="AF135" s="149"/>
      <c r="AG135" s="149"/>
      <c r="AH135" s="149"/>
      <c r="AI135" s="149"/>
      <c r="AJ135" s="25"/>
      <c r="AK135" s="25"/>
      <c r="AL135" s="25"/>
      <c r="AM135" s="25"/>
      <c r="AN135" s="25"/>
      <c r="AO135" s="3"/>
      <c r="AP135" s="3"/>
      <c r="AQ135" s="3"/>
      <c r="AR135" s="3"/>
      <c r="AS135" s="3"/>
      <c r="AT135" s="3"/>
      <c r="AU135" s="3"/>
      <c r="AV135" s="3"/>
      <c r="AW135" s="3"/>
      <c r="AX135" s="3"/>
      <c r="AY135" s="3"/>
      <c r="AZ135" s="1638"/>
      <c r="BA135" s="2"/>
      <c r="BB135" s="2"/>
      <c r="BC135" s="13"/>
      <c r="BD135" s="13"/>
      <c r="BE135" s="2"/>
      <c r="BF135" s="2"/>
      <c r="BG135" s="2"/>
      <c r="BH135" s="2"/>
      <c r="BI135" s="13"/>
      <c r="BJ135" s="13"/>
      <c r="BK135" s="13"/>
      <c r="BL135" s="13"/>
      <c r="BM135" s="13"/>
      <c r="BN135" s="13"/>
      <c r="BO135" s="13"/>
      <c r="BP135" s="25"/>
      <c r="BQ135" s="13"/>
      <c r="BR135" s="13"/>
      <c r="BS135" s="13"/>
      <c r="BT135" s="13"/>
      <c r="BU135" s="13"/>
      <c r="BV135" s="13"/>
      <c r="BW135" s="13"/>
      <c r="BX135" s="13"/>
      <c r="BY135" s="13"/>
      <c r="BZ135" s="2"/>
      <c r="CV135" s="13"/>
      <c r="CW135" s="13"/>
      <c r="CX135" s="13"/>
      <c r="CY135" s="15"/>
      <c r="CZ135" s="15"/>
      <c r="DA135" s="15"/>
      <c r="DB135" s="15"/>
      <c r="DC135" s="15"/>
      <c r="DD135" s="15"/>
      <c r="DE135" s="15"/>
      <c r="DF135" s="15"/>
      <c r="DG135" s="15"/>
      <c r="DH135" s="15"/>
      <c r="DI135" s="15"/>
      <c r="DJ135" s="15"/>
      <c r="DK135" s="15"/>
      <c r="DL135" s="15"/>
      <c r="DM135" s="15"/>
      <c r="DN135" s="15"/>
      <c r="DO135" s="15"/>
      <c r="DP135" s="15"/>
      <c r="DQ135" s="15"/>
      <c r="DR135" s="15"/>
      <c r="DS135" s="15"/>
    </row>
    <row r="136" spans="1:123" x14ac:dyDescent="0.25">
      <c r="A136" s="15"/>
      <c r="R136" s="15"/>
      <c r="S136" s="15"/>
      <c r="T136" s="15"/>
      <c r="U136" s="15"/>
      <c r="V136" s="15"/>
      <c r="W136" s="15"/>
      <c r="X136" s="15"/>
      <c r="Y136" s="15"/>
      <c r="Z136" s="84"/>
      <c r="AA136" s="121"/>
      <c r="AB136" s="25"/>
      <c r="AC136" s="25"/>
      <c r="AD136" s="25"/>
      <c r="AE136" s="25"/>
      <c r="AF136" s="25"/>
      <c r="AG136" s="25"/>
      <c r="AH136" s="149"/>
      <c r="AI136" s="149"/>
      <c r="AJ136" s="25"/>
      <c r="AK136" s="25"/>
      <c r="AL136" s="25"/>
      <c r="AM136" s="25"/>
      <c r="AN136" s="25"/>
      <c r="AO136" s="25"/>
      <c r="AP136" s="25"/>
      <c r="AQ136" s="25"/>
      <c r="AR136" s="25"/>
      <c r="AS136" s="25"/>
      <c r="AT136" s="25"/>
      <c r="AU136" s="25"/>
      <c r="AV136" s="25"/>
      <c r="AW136" s="25"/>
      <c r="AX136" s="25"/>
      <c r="AY136" s="25"/>
      <c r="AZ136" s="343"/>
      <c r="BA136" s="166"/>
      <c r="BB136" s="166"/>
      <c r="BC136" s="166"/>
      <c r="BD136" s="166"/>
      <c r="BE136" s="166"/>
      <c r="BF136" s="166"/>
      <c r="BG136" s="13"/>
      <c r="BH136" s="13"/>
      <c r="BI136" s="13"/>
      <c r="BJ136" s="13"/>
      <c r="BK136" s="13"/>
      <c r="BL136" s="13"/>
      <c r="BM136" s="13"/>
      <c r="BN136" s="13"/>
      <c r="BO136" s="13"/>
      <c r="BP136" s="25"/>
      <c r="BQ136" s="13"/>
      <c r="BR136" s="13"/>
      <c r="BS136" s="13"/>
      <c r="BT136" s="13"/>
      <c r="BU136" s="13"/>
      <c r="BV136" s="13"/>
      <c r="BW136" s="13"/>
      <c r="BX136" s="13"/>
      <c r="BY136" s="13"/>
      <c r="BZ136" s="2"/>
      <c r="CV136" s="13"/>
      <c r="CW136" s="13"/>
      <c r="CX136" s="13"/>
      <c r="CY136" s="15"/>
      <c r="CZ136" s="15"/>
      <c r="DA136" s="15"/>
      <c r="DB136" s="15"/>
      <c r="DC136" s="15"/>
      <c r="DD136" s="15"/>
      <c r="DE136" s="15"/>
      <c r="DF136" s="15"/>
      <c r="DG136" s="15"/>
      <c r="DH136" s="15"/>
      <c r="DI136" s="15"/>
      <c r="DJ136" s="15"/>
      <c r="DK136" s="15"/>
      <c r="DL136" s="15"/>
      <c r="DM136" s="15"/>
      <c r="DN136" s="15"/>
      <c r="DO136" s="15"/>
      <c r="DP136" s="15"/>
      <c r="DQ136" s="15"/>
      <c r="DR136" s="15"/>
      <c r="DS136" s="15"/>
    </row>
    <row r="137" spans="1:123" x14ac:dyDescent="0.25">
      <c r="A137" s="15"/>
      <c r="R137" s="15"/>
      <c r="S137" s="15"/>
      <c r="T137" s="15"/>
      <c r="U137" s="15"/>
      <c r="V137" s="15"/>
      <c r="W137" s="15"/>
      <c r="X137" s="15"/>
      <c r="Y137" s="15"/>
      <c r="Z137" s="84"/>
      <c r="AA137" s="121"/>
      <c r="AB137" s="25"/>
      <c r="AC137" s="25"/>
      <c r="AD137" s="25"/>
      <c r="AE137" s="25"/>
      <c r="AF137" s="25"/>
      <c r="AG137" s="25"/>
      <c r="AH137" s="149"/>
      <c r="AI137" s="149"/>
      <c r="AJ137" s="25"/>
      <c r="AK137" s="25"/>
      <c r="AL137" s="25"/>
      <c r="AM137" s="25"/>
      <c r="AN137" s="25"/>
      <c r="AO137" s="25"/>
      <c r="AP137" s="25"/>
      <c r="AQ137" s="25"/>
      <c r="AR137" s="25"/>
      <c r="AS137" s="25"/>
      <c r="AT137" s="25"/>
      <c r="AU137" s="25"/>
      <c r="AV137" s="25"/>
      <c r="AW137" s="25"/>
      <c r="AX137" s="25"/>
      <c r="AY137" s="25"/>
      <c r="AZ137" s="343"/>
      <c r="BA137" s="166"/>
      <c r="BB137" s="166"/>
      <c r="BC137" s="166"/>
      <c r="BD137" s="166"/>
      <c r="BE137" s="166"/>
      <c r="BF137" s="166"/>
      <c r="BG137" s="13"/>
      <c r="BH137" s="13"/>
      <c r="BI137" s="13"/>
      <c r="BJ137" s="13"/>
      <c r="BK137" s="13"/>
      <c r="BL137" s="13"/>
      <c r="BM137" s="13"/>
      <c r="BN137" s="13"/>
      <c r="BO137" s="13"/>
      <c r="BP137" s="25"/>
      <c r="BQ137" s="13"/>
      <c r="BR137" s="13"/>
      <c r="BS137" s="13"/>
      <c r="BT137" s="13"/>
      <c r="BU137" s="13"/>
      <c r="BV137" s="13"/>
      <c r="BW137" s="13"/>
      <c r="BX137" s="13"/>
      <c r="BY137" s="13"/>
      <c r="BZ137" s="2"/>
      <c r="CV137" s="13"/>
      <c r="CW137" s="13"/>
      <c r="CX137" s="13"/>
      <c r="CY137" s="15"/>
      <c r="CZ137" s="15"/>
      <c r="DA137" s="15"/>
      <c r="DB137" s="15"/>
      <c r="DC137" s="15"/>
      <c r="DD137" s="15"/>
      <c r="DE137" s="15"/>
      <c r="DF137" s="15"/>
      <c r="DG137" s="15"/>
      <c r="DH137" s="15"/>
      <c r="DI137" s="15"/>
      <c r="DJ137" s="15"/>
      <c r="DK137" s="15"/>
      <c r="DL137" s="15"/>
      <c r="DM137" s="15"/>
      <c r="DN137" s="15"/>
      <c r="DO137" s="15"/>
      <c r="DP137" s="15"/>
      <c r="DQ137" s="15"/>
      <c r="DR137" s="15"/>
      <c r="DS137" s="15"/>
    </row>
    <row r="138" spans="1:123" x14ac:dyDescent="0.25">
      <c r="A138" s="15"/>
      <c r="R138" s="15"/>
      <c r="S138" s="133"/>
      <c r="T138" s="133"/>
      <c r="U138" s="133"/>
      <c r="V138" s="133"/>
      <c r="W138" s="15"/>
      <c r="X138" s="15"/>
      <c r="Y138" s="133"/>
      <c r="Z138" s="84"/>
      <c r="AA138" s="121"/>
      <c r="AB138" s="25"/>
      <c r="AC138" s="25"/>
      <c r="AD138" s="25"/>
      <c r="AE138" s="25"/>
      <c r="AF138" s="25"/>
      <c r="AG138" s="25"/>
      <c r="AH138" s="149"/>
      <c r="AI138" s="149"/>
      <c r="AJ138" s="25"/>
      <c r="AK138" s="25"/>
      <c r="AL138" s="25"/>
      <c r="AM138" s="25"/>
      <c r="AN138" s="25"/>
      <c r="AO138" s="25"/>
      <c r="AP138" s="25"/>
      <c r="AQ138" s="25"/>
      <c r="AR138" s="25"/>
      <c r="AS138" s="25"/>
      <c r="AT138" s="25"/>
      <c r="AU138" s="25"/>
      <c r="AV138" s="25"/>
      <c r="AW138" s="25"/>
      <c r="AX138" s="25"/>
      <c r="AY138" s="25"/>
      <c r="AZ138" s="343"/>
      <c r="BA138" s="166"/>
      <c r="BB138" s="166"/>
      <c r="BC138" s="166"/>
      <c r="BD138" s="166"/>
      <c r="BE138" s="166"/>
      <c r="BF138" s="166"/>
      <c r="BG138" s="13"/>
      <c r="BH138" s="13"/>
      <c r="BI138" s="13"/>
      <c r="BJ138" s="13"/>
      <c r="BK138" s="13"/>
      <c r="BL138" s="13"/>
      <c r="BM138" s="13"/>
      <c r="BN138" s="13"/>
      <c r="BO138" s="13"/>
      <c r="BP138" s="25"/>
      <c r="BQ138" s="13"/>
      <c r="BR138" s="13"/>
      <c r="BS138" s="13"/>
      <c r="BT138" s="13"/>
      <c r="BU138" s="13"/>
      <c r="BV138" s="13"/>
      <c r="BW138" s="13"/>
      <c r="BX138" s="13"/>
      <c r="BY138" s="13"/>
      <c r="BZ138" s="2"/>
      <c r="CV138" s="13"/>
      <c r="CW138" s="13"/>
      <c r="CX138" s="13"/>
      <c r="CY138" s="15"/>
      <c r="CZ138" s="15"/>
      <c r="DA138" s="15"/>
      <c r="DB138" s="15"/>
      <c r="DC138" s="15"/>
      <c r="DD138" s="15"/>
      <c r="DE138" s="15"/>
      <c r="DF138" s="15"/>
      <c r="DG138" s="15"/>
      <c r="DH138" s="15"/>
      <c r="DI138" s="15"/>
      <c r="DJ138" s="15"/>
      <c r="DK138" s="15"/>
      <c r="DL138" s="15"/>
      <c r="DM138" s="15"/>
      <c r="DN138" s="15"/>
      <c r="DO138" s="15"/>
      <c r="DP138" s="15"/>
      <c r="DQ138" s="15"/>
      <c r="DR138" s="15"/>
      <c r="DS138" s="15"/>
    </row>
    <row r="139" spans="1:123" x14ac:dyDescent="0.25">
      <c r="A139" s="15"/>
      <c r="R139" s="404"/>
      <c r="S139" s="15"/>
      <c r="T139" s="15"/>
      <c r="U139" s="15"/>
      <c r="V139" s="15"/>
      <c r="W139" s="15"/>
      <c r="X139" s="15"/>
      <c r="Y139" s="15"/>
      <c r="Z139" s="84"/>
      <c r="AA139" s="121"/>
      <c r="AB139" s="2051" t="s">
        <v>193</v>
      </c>
      <c r="AC139" s="25"/>
      <c r="AD139" s="25"/>
      <c r="AE139" s="25"/>
      <c r="AF139" s="25"/>
      <c r="AG139" s="25"/>
      <c r="AH139" s="149"/>
      <c r="AI139" s="149"/>
      <c r="AJ139" s="25"/>
      <c r="AK139" s="25"/>
      <c r="AL139" s="25"/>
      <c r="AM139" s="25"/>
      <c r="AN139" s="25"/>
      <c r="AO139" s="25"/>
      <c r="AP139" s="25"/>
      <c r="AQ139" s="25"/>
      <c r="AR139" s="25"/>
      <c r="AS139" s="25"/>
      <c r="AT139" s="25"/>
      <c r="AU139" s="25"/>
      <c r="AV139" s="25"/>
      <c r="AW139" s="25"/>
      <c r="AX139" s="25"/>
      <c r="AY139" s="25"/>
      <c r="AZ139" s="343"/>
      <c r="BA139" s="166"/>
      <c r="BB139" s="166"/>
      <c r="BC139" s="166"/>
      <c r="BD139" s="166"/>
      <c r="BE139" s="166"/>
      <c r="BF139" s="166"/>
      <c r="BG139" s="13"/>
      <c r="BH139" s="13"/>
      <c r="BI139" s="13"/>
      <c r="BJ139" s="13"/>
      <c r="BK139" s="13"/>
      <c r="BL139" s="13"/>
      <c r="BM139" s="13"/>
      <c r="BN139" s="13"/>
      <c r="BO139" s="13"/>
      <c r="BP139" s="25"/>
      <c r="BQ139" s="13"/>
      <c r="BR139" s="13"/>
      <c r="BS139" s="13"/>
      <c r="BT139" s="13"/>
      <c r="BU139" s="13"/>
      <c r="BV139" s="13"/>
      <c r="BW139" s="13"/>
      <c r="BX139" s="13"/>
      <c r="BY139" s="13"/>
      <c r="BZ139" s="2"/>
      <c r="CV139" s="13"/>
      <c r="CW139" s="13"/>
      <c r="CX139" s="13"/>
      <c r="CY139" s="15"/>
      <c r="CZ139" s="15"/>
      <c r="DA139" s="15"/>
      <c r="DB139" s="15"/>
      <c r="DC139" s="15"/>
      <c r="DD139" s="15"/>
      <c r="DE139" s="15"/>
      <c r="DF139" s="15"/>
      <c r="DG139" s="15"/>
      <c r="DH139" s="15"/>
      <c r="DI139" s="15"/>
      <c r="DJ139" s="15"/>
      <c r="DK139" s="15"/>
      <c r="DL139" s="15"/>
      <c r="DM139" s="15"/>
      <c r="DN139" s="15"/>
      <c r="DO139" s="15"/>
      <c r="DP139" s="15"/>
      <c r="DQ139" s="15"/>
      <c r="DR139" s="15"/>
      <c r="DS139" s="15"/>
    </row>
    <row r="140" spans="1:123" x14ac:dyDescent="0.25">
      <c r="A140" s="15"/>
      <c r="R140" s="404"/>
      <c r="S140" s="15"/>
      <c r="T140" s="15"/>
      <c r="U140" s="15"/>
      <c r="V140" s="15"/>
      <c r="W140" s="15"/>
      <c r="X140" s="15"/>
      <c r="Y140" s="15"/>
      <c r="Z140" s="84"/>
      <c r="AA140" s="121"/>
      <c r="AB140" s="151" t="s">
        <v>499</v>
      </c>
      <c r="AC140" s="149"/>
      <c r="AD140" s="77" t="s">
        <v>552</v>
      </c>
      <c r="AE140" s="77" t="s">
        <v>830</v>
      </c>
      <c r="AF140" s="149"/>
      <c r="AG140" s="149"/>
      <c r="AH140" s="149"/>
      <c r="AI140" s="149"/>
      <c r="AJ140" s="25"/>
      <c r="AK140" s="25"/>
      <c r="AL140" s="25"/>
      <c r="AM140" s="25"/>
      <c r="AN140" s="25"/>
      <c r="AO140" s="25"/>
      <c r="AP140" s="25"/>
      <c r="AQ140" s="25"/>
      <c r="AR140" s="25"/>
      <c r="AS140" s="25"/>
      <c r="AT140" s="25"/>
      <c r="AU140" s="25"/>
      <c r="AV140" s="25"/>
      <c r="AW140" s="25"/>
      <c r="AX140" s="25"/>
      <c r="AY140" s="25"/>
      <c r="AZ140" s="343"/>
      <c r="BA140" s="166"/>
      <c r="BB140" s="166"/>
      <c r="BC140" s="166"/>
      <c r="BD140" s="166"/>
      <c r="BE140" s="166"/>
      <c r="BF140" s="166"/>
      <c r="BG140" s="166"/>
      <c r="BH140" s="166"/>
      <c r="BI140" s="166"/>
      <c r="BJ140" s="13"/>
      <c r="BK140" s="166"/>
      <c r="BL140" s="166"/>
      <c r="BM140" s="166"/>
      <c r="BN140" s="13"/>
      <c r="BO140" s="13"/>
      <c r="BP140" s="25"/>
      <c r="BQ140" s="13"/>
      <c r="BR140" s="13"/>
      <c r="BS140" s="13"/>
      <c r="BT140" s="13"/>
      <c r="BU140" s="13"/>
      <c r="BV140" s="13"/>
      <c r="BW140" s="13"/>
      <c r="BX140" s="13"/>
      <c r="BY140" s="13"/>
      <c r="BZ140" s="2"/>
      <c r="CV140" s="13"/>
      <c r="CW140" s="13"/>
      <c r="CX140" s="13"/>
      <c r="CY140" s="15"/>
      <c r="CZ140" s="15"/>
      <c r="DA140" s="15"/>
      <c r="DB140" s="15"/>
      <c r="DC140" s="15"/>
      <c r="DD140" s="15"/>
      <c r="DE140" s="15"/>
      <c r="DF140" s="15"/>
      <c r="DG140" s="15"/>
      <c r="DH140" s="15"/>
      <c r="DI140" s="15"/>
      <c r="DJ140" s="15"/>
      <c r="DK140" s="15"/>
      <c r="DL140" s="15"/>
      <c r="DM140" s="15"/>
      <c r="DN140" s="15"/>
      <c r="DO140" s="15"/>
      <c r="DP140" s="15"/>
      <c r="DQ140" s="15"/>
      <c r="DR140" s="15"/>
      <c r="DS140" s="15"/>
    </row>
    <row r="141" spans="1:123" x14ac:dyDescent="0.25">
      <c r="A141" s="15"/>
      <c r="R141" s="146"/>
      <c r="S141" s="15"/>
      <c r="T141" s="15"/>
      <c r="U141" s="15"/>
      <c r="V141" s="15"/>
      <c r="W141" s="15"/>
      <c r="X141" s="15"/>
      <c r="Y141" s="15"/>
      <c r="Z141" s="84"/>
      <c r="AA141" s="121"/>
      <c r="AB141" s="151" t="str">
        <f>IF(AB139&lt;&gt;E5," only - please ignore","")</f>
        <v xml:space="preserve"> only - please ignore</v>
      </c>
      <c r="AC141" s="149"/>
      <c r="AD141" s="149"/>
      <c r="AE141" s="149"/>
      <c r="AF141" s="149"/>
      <c r="AG141" s="149"/>
      <c r="AH141" s="149"/>
      <c r="AI141" s="149"/>
      <c r="AJ141" s="25"/>
      <c r="AK141" s="25"/>
      <c r="AL141" s="25"/>
      <c r="AM141" s="25"/>
      <c r="AN141" s="25"/>
      <c r="AO141" s="25"/>
      <c r="AP141" s="25"/>
      <c r="AQ141" s="25"/>
      <c r="AR141" s="25"/>
      <c r="AS141" s="25"/>
      <c r="AT141" s="25"/>
      <c r="AU141" s="25"/>
      <c r="AV141" s="25"/>
      <c r="AW141" s="25"/>
      <c r="AX141" s="25"/>
      <c r="AY141" s="25"/>
      <c r="AZ141" s="343"/>
      <c r="BA141" s="166"/>
      <c r="BB141" s="166"/>
      <c r="BC141" s="166"/>
      <c r="BD141" s="166"/>
      <c r="BE141" s="166"/>
      <c r="BF141" s="166"/>
      <c r="BG141" s="166"/>
      <c r="BH141" s="166"/>
      <c r="BI141" s="166"/>
      <c r="BJ141" s="13"/>
      <c r="BK141" s="166"/>
      <c r="BL141" s="166"/>
      <c r="BM141" s="166"/>
      <c r="BN141" s="13"/>
      <c r="BO141" s="13"/>
      <c r="BP141" s="25"/>
      <c r="BQ141" s="13"/>
      <c r="BR141" s="13"/>
      <c r="BS141" s="13"/>
      <c r="BT141" s="13"/>
      <c r="BU141" s="13"/>
      <c r="BV141" s="13"/>
      <c r="BW141" s="13"/>
      <c r="BX141" s="13"/>
      <c r="BY141" s="13"/>
      <c r="BZ141" s="2"/>
      <c r="CV141" s="13"/>
      <c r="CW141" s="13"/>
      <c r="CX141" s="13"/>
      <c r="CY141" s="15"/>
      <c r="CZ141" s="15"/>
      <c r="DA141" s="15"/>
      <c r="DB141" s="15"/>
      <c r="DC141" s="15"/>
      <c r="DD141" s="15"/>
      <c r="DE141" s="15"/>
      <c r="DF141" s="15"/>
      <c r="DG141" s="15"/>
      <c r="DH141" s="15"/>
      <c r="DI141" s="15"/>
      <c r="DJ141" s="15"/>
      <c r="DK141" s="15"/>
      <c r="DL141" s="15"/>
      <c r="DM141" s="15"/>
      <c r="DN141" s="15"/>
      <c r="DO141" s="15"/>
      <c r="DP141" s="15"/>
      <c r="DQ141" s="15"/>
      <c r="DR141" s="15"/>
      <c r="DS141" s="15"/>
    </row>
    <row r="142" spans="1:123" x14ac:dyDescent="0.25">
      <c r="A142" s="15"/>
      <c r="R142" s="60"/>
      <c r="S142" s="15"/>
      <c r="T142" s="15"/>
      <c r="U142" s="15"/>
      <c r="V142" s="15"/>
      <c r="W142" s="15"/>
      <c r="X142" s="15"/>
      <c r="Y142" s="15"/>
      <c r="Z142" s="84"/>
      <c r="AA142" s="121"/>
      <c r="AB142" s="25"/>
      <c r="AC142" s="149"/>
      <c r="AD142" s="149"/>
      <c r="AE142" s="149"/>
      <c r="AF142" s="149"/>
      <c r="AG142" s="149"/>
      <c r="AH142" s="149"/>
      <c r="AI142" s="149"/>
      <c r="AJ142" s="25"/>
      <c r="AK142" s="25"/>
      <c r="AL142" s="25"/>
      <c r="AM142" s="25"/>
      <c r="AN142" s="25"/>
      <c r="AO142" s="25"/>
      <c r="AP142" s="25"/>
      <c r="AQ142" s="25"/>
      <c r="AR142" s="25"/>
      <c r="AS142" s="25"/>
      <c r="AT142" s="25"/>
      <c r="AU142" s="25"/>
      <c r="AV142" s="25"/>
      <c r="AW142" s="25"/>
      <c r="AX142" s="25"/>
      <c r="AY142" s="25"/>
      <c r="AZ142" s="343"/>
      <c r="BA142" s="166"/>
      <c r="BB142" s="166"/>
      <c r="BC142" s="166"/>
      <c r="BD142" s="166"/>
      <c r="BE142" s="166"/>
      <c r="BF142" s="166"/>
      <c r="BG142" s="166"/>
      <c r="BH142" s="166"/>
      <c r="BI142" s="166"/>
      <c r="BJ142" s="13"/>
      <c r="BK142" s="166"/>
      <c r="BL142" s="166"/>
      <c r="BM142" s="166"/>
      <c r="BN142" s="13"/>
      <c r="BO142" s="13"/>
      <c r="BP142" s="25"/>
      <c r="BQ142" s="13"/>
      <c r="BR142" s="13"/>
      <c r="BS142" s="13"/>
      <c r="BT142" s="13"/>
      <c r="BU142" s="13"/>
      <c r="BV142" s="13"/>
      <c r="BW142" s="13"/>
      <c r="BX142" s="13"/>
      <c r="BY142" s="13"/>
      <c r="BZ142" s="2"/>
      <c r="CV142" s="13"/>
      <c r="CW142" s="13"/>
      <c r="CX142" s="13"/>
      <c r="CY142" s="15"/>
      <c r="CZ142" s="15"/>
      <c r="DA142" s="15"/>
      <c r="DB142" s="15"/>
      <c r="DC142" s="15"/>
      <c r="DD142" s="15"/>
      <c r="DE142" s="15"/>
      <c r="DF142" s="15"/>
      <c r="DG142" s="15"/>
      <c r="DH142" s="15"/>
      <c r="DI142" s="15"/>
      <c r="DJ142" s="15"/>
      <c r="DK142" s="15"/>
      <c r="DL142" s="15"/>
      <c r="DM142" s="15"/>
      <c r="DN142" s="15"/>
      <c r="DO142" s="15"/>
      <c r="DP142" s="15"/>
      <c r="DQ142" s="15"/>
      <c r="DR142" s="15"/>
      <c r="DS142" s="15"/>
    </row>
    <row r="143" spans="1:123" x14ac:dyDescent="0.25">
      <c r="A143" s="15"/>
      <c r="R143" s="15"/>
      <c r="S143" s="15"/>
      <c r="T143" s="15"/>
      <c r="U143" s="15"/>
      <c r="V143" s="15"/>
      <c r="W143" s="15"/>
      <c r="X143" s="15"/>
      <c r="Y143" s="15"/>
      <c r="Z143" s="84"/>
      <c r="AA143" s="121"/>
      <c r="AB143" s="25"/>
      <c r="AC143" s="149"/>
      <c r="AD143" s="149"/>
      <c r="AE143" s="149"/>
      <c r="AF143" s="149"/>
      <c r="AG143" s="149"/>
      <c r="AH143" s="149"/>
      <c r="AI143" s="149"/>
      <c r="AJ143" s="25"/>
      <c r="AK143" s="25"/>
      <c r="AL143" s="25"/>
      <c r="AM143" s="25"/>
      <c r="AN143" s="25"/>
      <c r="AO143" s="25"/>
      <c r="AP143" s="25"/>
      <c r="AQ143" s="25"/>
      <c r="AR143" s="25"/>
      <c r="AS143" s="25"/>
      <c r="AT143" s="25"/>
      <c r="AU143" s="25"/>
      <c r="AV143" s="25"/>
      <c r="AW143" s="25"/>
      <c r="AX143" s="25"/>
      <c r="AY143" s="25"/>
      <c r="AZ143" s="343"/>
      <c r="BA143" s="166"/>
      <c r="BB143" s="166"/>
      <c r="BC143" s="166"/>
      <c r="BD143" s="166"/>
      <c r="BE143" s="166"/>
      <c r="BF143" s="166"/>
      <c r="BG143" s="166"/>
      <c r="BH143" s="166"/>
      <c r="BI143" s="166"/>
      <c r="BJ143" s="13"/>
      <c r="BK143" s="166"/>
      <c r="BL143" s="166"/>
      <c r="BM143" s="166"/>
      <c r="BN143" s="13"/>
      <c r="BO143" s="13"/>
      <c r="BP143" s="25"/>
      <c r="BQ143" s="13"/>
      <c r="BR143" s="13"/>
      <c r="BS143" s="13"/>
      <c r="BT143" s="13"/>
      <c r="BU143" s="13"/>
      <c r="BV143" s="13"/>
      <c r="BW143" s="13"/>
      <c r="BX143" s="13"/>
      <c r="BY143" s="13"/>
      <c r="BZ143" s="2"/>
      <c r="CV143" s="13"/>
      <c r="CW143" s="13"/>
      <c r="CX143" s="13"/>
      <c r="CY143" s="15"/>
      <c r="CZ143" s="15"/>
      <c r="DA143" s="15"/>
      <c r="DB143" s="15"/>
      <c r="DC143" s="15"/>
      <c r="DD143" s="15"/>
      <c r="DE143" s="15"/>
      <c r="DF143" s="15"/>
      <c r="DG143" s="15"/>
      <c r="DH143" s="15"/>
      <c r="DI143" s="15"/>
      <c r="DJ143" s="15"/>
      <c r="DK143" s="15"/>
      <c r="DL143" s="15"/>
      <c r="DM143" s="15"/>
      <c r="DN143" s="15"/>
      <c r="DO143" s="15"/>
      <c r="DP143" s="15"/>
      <c r="DQ143" s="15"/>
      <c r="DR143" s="15"/>
      <c r="DS143" s="15"/>
    </row>
    <row r="144" spans="1:123" x14ac:dyDescent="0.25">
      <c r="A144" s="15"/>
      <c r="R144" s="15"/>
      <c r="S144" s="404"/>
      <c r="T144" s="404"/>
      <c r="U144" s="404"/>
      <c r="V144" s="404"/>
      <c r="W144" s="15"/>
      <c r="X144" s="15"/>
      <c r="Y144" s="15"/>
      <c r="Z144" s="84"/>
      <c r="AA144" s="121"/>
      <c r="AB144" s="25"/>
      <c r="AC144" s="149"/>
      <c r="AD144" s="149"/>
      <c r="AE144" s="149"/>
      <c r="AF144" s="149"/>
      <c r="AG144" s="149"/>
      <c r="AH144" s="149"/>
      <c r="AI144" s="149"/>
      <c r="AJ144" s="25"/>
      <c r="AK144" s="25"/>
      <c r="AL144" s="25"/>
      <c r="AM144" s="25"/>
      <c r="AN144" s="25"/>
      <c r="AO144" s="25"/>
      <c r="AP144" s="25"/>
      <c r="AQ144" s="25"/>
      <c r="AR144" s="25"/>
      <c r="AS144" s="25"/>
      <c r="AT144" s="25"/>
      <c r="AU144" s="25"/>
      <c r="AV144" s="25"/>
      <c r="AW144" s="25"/>
      <c r="AX144" s="25"/>
      <c r="AY144" s="25"/>
      <c r="AZ144" s="343"/>
      <c r="BA144" s="166"/>
      <c r="BB144" s="166"/>
      <c r="BC144" s="166"/>
      <c r="BD144" s="166"/>
      <c r="BE144" s="166"/>
      <c r="BF144" s="166"/>
      <c r="BG144" s="166"/>
      <c r="BH144" s="166"/>
      <c r="BI144" s="166"/>
      <c r="BJ144" s="13"/>
      <c r="BK144" s="166"/>
      <c r="BL144" s="166"/>
      <c r="BM144" s="166"/>
      <c r="BN144" s="13"/>
      <c r="BO144" s="13"/>
      <c r="BP144" s="25"/>
      <c r="BQ144" s="13"/>
      <c r="BR144" s="13"/>
      <c r="BS144" s="13"/>
      <c r="BT144" s="13"/>
      <c r="BU144" s="13"/>
      <c r="BV144" s="13"/>
      <c r="BW144" s="13"/>
      <c r="BX144" s="13"/>
      <c r="BY144" s="13"/>
      <c r="BZ144" s="13"/>
      <c r="CV144" s="13"/>
      <c r="CW144" s="13"/>
      <c r="CX144" s="13"/>
      <c r="CY144" s="15"/>
      <c r="CZ144" s="15"/>
      <c r="DA144" s="15"/>
      <c r="DB144" s="15"/>
      <c r="DC144" s="15"/>
      <c r="DD144" s="15"/>
      <c r="DE144" s="15"/>
      <c r="DF144" s="15"/>
      <c r="DG144" s="15"/>
      <c r="DH144" s="15"/>
      <c r="DI144" s="15"/>
      <c r="DJ144" s="15"/>
      <c r="DK144" s="15"/>
      <c r="DL144" s="15"/>
      <c r="DM144" s="15"/>
      <c r="DN144" s="15"/>
      <c r="DO144" s="15"/>
      <c r="DP144" s="15"/>
      <c r="DQ144" s="15"/>
      <c r="DR144" s="15"/>
      <c r="DS144" s="15"/>
    </row>
    <row r="145" spans="1:123" x14ac:dyDescent="0.25">
      <c r="A145" s="15"/>
      <c r="R145" s="15"/>
      <c r="S145" s="404"/>
      <c r="T145" s="404"/>
      <c r="U145" s="404"/>
      <c r="V145" s="404"/>
      <c r="W145" s="15"/>
      <c r="X145" s="15"/>
      <c r="Y145" s="15"/>
      <c r="Z145" s="84"/>
      <c r="AA145" s="121"/>
      <c r="AB145" s="25"/>
      <c r="AC145" s="149"/>
      <c r="AD145" s="149"/>
      <c r="AE145" s="149"/>
      <c r="AF145" s="149"/>
      <c r="AG145" s="149"/>
      <c r="AH145" s="149"/>
      <c r="AI145" s="149"/>
      <c r="AJ145" s="25"/>
      <c r="AK145" s="25"/>
      <c r="AL145" s="25"/>
      <c r="AM145" s="25"/>
      <c r="AN145" s="25"/>
      <c r="AO145" s="25"/>
      <c r="AP145" s="25"/>
      <c r="AQ145" s="25"/>
      <c r="AR145" s="25"/>
      <c r="AS145" s="25"/>
      <c r="AT145" s="25"/>
      <c r="AU145" s="25"/>
      <c r="AV145" s="25"/>
      <c r="AW145" s="25"/>
      <c r="AX145" s="25"/>
      <c r="AY145" s="25"/>
      <c r="AZ145" s="343"/>
      <c r="BA145" s="166"/>
      <c r="BB145" s="166"/>
      <c r="BC145" s="166"/>
      <c r="BD145" s="166"/>
      <c r="BE145" s="166"/>
      <c r="BF145" s="166"/>
      <c r="BG145" s="166"/>
      <c r="BH145" s="166"/>
      <c r="BI145" s="166"/>
      <c r="BJ145" s="13"/>
      <c r="BK145" s="166"/>
      <c r="BL145" s="166"/>
      <c r="BM145" s="166"/>
      <c r="BN145" s="13"/>
      <c r="BO145" s="13"/>
      <c r="BP145" s="25"/>
      <c r="BQ145" s="13"/>
      <c r="BR145" s="13"/>
      <c r="BS145" s="13"/>
      <c r="BT145" s="13"/>
      <c r="BU145" s="13"/>
      <c r="BV145" s="13"/>
      <c r="BW145" s="13"/>
      <c r="BX145" s="13"/>
      <c r="BY145" s="13"/>
      <c r="BZ145" s="13"/>
      <c r="CV145" s="13"/>
      <c r="CW145" s="13"/>
      <c r="CX145" s="13"/>
      <c r="CY145" s="15"/>
      <c r="CZ145" s="15"/>
      <c r="DA145" s="15"/>
      <c r="DB145" s="15"/>
      <c r="DC145" s="15"/>
      <c r="DD145" s="15"/>
      <c r="DE145" s="15"/>
      <c r="DF145" s="15"/>
      <c r="DG145" s="15"/>
      <c r="DH145" s="15"/>
      <c r="DI145" s="15"/>
      <c r="DJ145" s="15"/>
      <c r="DK145" s="15"/>
      <c r="DL145" s="15"/>
      <c r="DM145" s="15"/>
      <c r="DN145" s="15"/>
      <c r="DO145" s="15"/>
      <c r="DP145" s="15"/>
      <c r="DQ145" s="15"/>
      <c r="DR145" s="15"/>
      <c r="DS145" s="15"/>
    </row>
    <row r="146" spans="1:123" x14ac:dyDescent="0.25">
      <c r="A146" s="15"/>
      <c r="R146" s="80"/>
      <c r="S146" s="146"/>
      <c r="T146" s="146"/>
      <c r="U146" s="146"/>
      <c r="V146" s="146"/>
      <c r="W146" s="146"/>
      <c r="X146" s="84"/>
      <c r="Y146" s="84"/>
      <c r="Z146" s="84"/>
      <c r="AA146" s="121"/>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343"/>
      <c r="BA146" s="166"/>
      <c r="BB146" s="166"/>
      <c r="BC146" s="166"/>
      <c r="BD146" s="166"/>
      <c r="BE146" s="166"/>
      <c r="BF146" s="166"/>
      <c r="BG146" s="166"/>
      <c r="BH146" s="166"/>
      <c r="BI146" s="166"/>
      <c r="BJ146" s="13"/>
      <c r="BK146" s="166"/>
      <c r="BL146" s="166"/>
      <c r="BM146" s="166"/>
      <c r="BN146" s="13"/>
      <c r="BO146" s="13"/>
      <c r="BP146" s="25"/>
      <c r="BQ146" s="13"/>
      <c r="BR146" s="13"/>
      <c r="BS146" s="13"/>
      <c r="BT146" s="13"/>
      <c r="BU146" s="13"/>
      <c r="BV146" s="13"/>
      <c r="BW146" s="13"/>
      <c r="BX146" s="13"/>
      <c r="BY146" s="13"/>
      <c r="BZ146" s="13"/>
      <c r="CV146" s="13"/>
      <c r="CW146" s="13"/>
      <c r="CX146" s="13"/>
      <c r="CY146" s="15"/>
      <c r="CZ146" s="15"/>
      <c r="DA146" s="15"/>
      <c r="DB146" s="15"/>
      <c r="DC146" s="15"/>
      <c r="DD146" s="15"/>
      <c r="DE146" s="15"/>
      <c r="DF146" s="15"/>
      <c r="DG146" s="15"/>
      <c r="DH146" s="15"/>
      <c r="DI146" s="15"/>
      <c r="DJ146" s="15"/>
      <c r="DK146" s="15"/>
      <c r="DL146" s="15"/>
      <c r="DM146" s="15"/>
      <c r="DN146" s="15"/>
      <c r="DO146" s="15"/>
      <c r="DP146" s="15"/>
      <c r="DQ146" s="15"/>
      <c r="DR146" s="15"/>
      <c r="DS146" s="15"/>
    </row>
    <row r="147" spans="1:123" x14ac:dyDescent="0.25">
      <c r="A147" s="15"/>
      <c r="R147" s="84"/>
      <c r="S147" s="60"/>
      <c r="T147" s="60"/>
      <c r="U147" s="60"/>
      <c r="V147" s="60"/>
      <c r="W147" s="146"/>
      <c r="X147" s="84"/>
      <c r="Y147" s="84"/>
      <c r="Z147" s="84"/>
      <c r="AA147" s="121"/>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343"/>
      <c r="BA147" s="166"/>
      <c r="BB147" s="166"/>
      <c r="BC147" s="166"/>
      <c r="BD147" s="166"/>
      <c r="BE147" s="166"/>
      <c r="BF147" s="166"/>
      <c r="BG147" s="166"/>
      <c r="BH147" s="166"/>
      <c r="BI147" s="166"/>
      <c r="BJ147" s="13"/>
      <c r="BK147" s="166"/>
      <c r="BL147" s="166"/>
      <c r="BM147" s="166"/>
      <c r="BN147" s="13"/>
      <c r="BO147" s="13"/>
      <c r="BP147" s="25"/>
      <c r="BQ147" s="13"/>
      <c r="BR147" s="13"/>
      <c r="BS147" s="13"/>
      <c r="BT147" s="13"/>
      <c r="BU147" s="13"/>
      <c r="BV147" s="13"/>
      <c r="BW147" s="13"/>
      <c r="BX147" s="13"/>
      <c r="BY147" s="13"/>
      <c r="BZ147" s="13"/>
      <c r="CV147" s="13"/>
      <c r="CW147" s="13"/>
      <c r="CX147" s="13"/>
      <c r="CY147" s="15"/>
      <c r="CZ147" s="15"/>
      <c r="DA147" s="15"/>
      <c r="DB147" s="15"/>
      <c r="DC147" s="15"/>
      <c r="DD147" s="15"/>
      <c r="DE147" s="15"/>
      <c r="DF147" s="15"/>
      <c r="DG147" s="15"/>
      <c r="DH147" s="15"/>
      <c r="DI147" s="15"/>
      <c r="DJ147" s="15"/>
      <c r="DK147" s="15"/>
      <c r="DL147" s="15"/>
      <c r="DM147" s="15"/>
      <c r="DN147" s="15"/>
      <c r="DO147" s="15"/>
      <c r="DP147" s="15"/>
      <c r="DQ147" s="15"/>
      <c r="DR147" s="15"/>
      <c r="DS147" s="15"/>
    </row>
    <row r="148" spans="1:123" x14ac:dyDescent="0.25">
      <c r="A148" s="15"/>
      <c r="R148" s="84"/>
      <c r="S148" s="15"/>
      <c r="T148" s="15"/>
      <c r="U148" s="15"/>
      <c r="V148" s="15"/>
      <c r="W148" s="15"/>
      <c r="X148" s="15"/>
      <c r="Y148" s="84"/>
      <c r="Z148" s="84"/>
      <c r="AA148" s="121"/>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343"/>
      <c r="BA148" s="166"/>
      <c r="BB148" s="166"/>
      <c r="BC148" s="166"/>
      <c r="BD148" s="166"/>
      <c r="BE148" s="166"/>
      <c r="BF148" s="166"/>
      <c r="BG148" s="166"/>
      <c r="BH148" s="166"/>
      <c r="BI148" s="166"/>
      <c r="BJ148" s="13"/>
      <c r="BK148" s="166"/>
      <c r="BL148" s="166"/>
      <c r="BM148" s="166"/>
      <c r="BN148" s="13"/>
      <c r="BO148" s="13"/>
      <c r="BP148" s="25"/>
      <c r="BQ148" s="13"/>
      <c r="BR148" s="13"/>
      <c r="BS148" s="13"/>
      <c r="BT148" s="13"/>
      <c r="BU148" s="13"/>
      <c r="BV148" s="13"/>
      <c r="BW148" s="13"/>
      <c r="BX148" s="13"/>
      <c r="BY148" s="13"/>
      <c r="BZ148" s="13"/>
      <c r="CV148" s="13"/>
      <c r="CW148" s="13"/>
      <c r="CX148" s="13"/>
      <c r="CY148" s="15"/>
      <c r="CZ148" s="15"/>
      <c r="DA148" s="15"/>
      <c r="DB148" s="15"/>
      <c r="DC148" s="15"/>
      <c r="DD148" s="15"/>
      <c r="DE148" s="15"/>
      <c r="DF148" s="15"/>
      <c r="DG148" s="15"/>
      <c r="DH148" s="15"/>
      <c r="DI148" s="15"/>
      <c r="DJ148" s="15"/>
      <c r="DK148" s="15"/>
      <c r="DL148" s="15"/>
      <c r="DM148" s="15"/>
      <c r="DN148" s="15"/>
      <c r="DO148" s="15"/>
      <c r="DP148" s="15"/>
      <c r="DQ148" s="15"/>
      <c r="DR148" s="15"/>
      <c r="DS148" s="15"/>
    </row>
    <row r="149" spans="1:123" x14ac:dyDescent="0.25">
      <c r="A149" s="15"/>
      <c r="R149" s="84"/>
      <c r="S149" s="15"/>
      <c r="T149" s="15"/>
      <c r="U149" s="15"/>
      <c r="V149" s="15"/>
      <c r="W149" s="15"/>
      <c r="X149" s="15"/>
      <c r="Y149" s="84"/>
      <c r="Z149" s="84"/>
      <c r="AA149" s="121"/>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343"/>
      <c r="BA149" s="13"/>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V149" s="13"/>
      <c r="CW149" s="13"/>
      <c r="CX149" s="13"/>
      <c r="CY149" s="15"/>
      <c r="CZ149" s="15"/>
      <c r="DA149" s="15"/>
      <c r="DB149" s="15"/>
      <c r="DC149" s="15"/>
      <c r="DD149" s="15"/>
      <c r="DE149" s="15"/>
      <c r="DF149" s="15"/>
      <c r="DG149" s="15"/>
      <c r="DH149" s="15"/>
      <c r="DI149" s="15"/>
      <c r="DJ149" s="15"/>
      <c r="DK149" s="15"/>
      <c r="DL149" s="15"/>
      <c r="DM149" s="15"/>
      <c r="DN149" s="15"/>
      <c r="DO149" s="15"/>
      <c r="DP149" s="15"/>
      <c r="DQ149" s="15"/>
      <c r="DR149" s="15"/>
      <c r="DS149" s="15"/>
    </row>
    <row r="150" spans="1:123" x14ac:dyDescent="0.25">
      <c r="A150" s="15"/>
      <c r="R150" s="84"/>
      <c r="S150" s="15"/>
      <c r="T150" s="15"/>
      <c r="U150" s="15"/>
      <c r="V150" s="15"/>
      <c r="W150" s="15"/>
      <c r="X150" s="15"/>
      <c r="Y150" s="84"/>
      <c r="Z150" s="84"/>
      <c r="AA150" s="121"/>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343"/>
      <c r="BA150" s="13"/>
      <c r="BB150" s="13"/>
      <c r="BC150" s="13"/>
      <c r="BD150" s="13"/>
      <c r="BE150" s="13"/>
      <c r="BF150" s="13"/>
      <c r="BG150" s="13"/>
      <c r="BH150" s="13"/>
      <c r="BI150" s="13"/>
      <c r="BJ150" s="13"/>
      <c r="BK150" s="13"/>
      <c r="BL150" s="13"/>
      <c r="BM150" s="13"/>
      <c r="BN150" s="13"/>
      <c r="BO150" s="13"/>
      <c r="BP150" s="13"/>
      <c r="BQ150" s="13"/>
      <c r="BR150" s="13"/>
      <c r="BS150" s="13"/>
      <c r="BT150" s="13"/>
      <c r="BU150" s="13"/>
      <c r="BV150" s="13"/>
      <c r="BW150" s="13"/>
      <c r="BX150" s="13"/>
      <c r="BY150" s="13"/>
      <c r="BZ150" s="13"/>
      <c r="CV150" s="13"/>
      <c r="CW150" s="13"/>
      <c r="CX150" s="13"/>
      <c r="CY150" s="15"/>
      <c r="CZ150" s="15"/>
      <c r="DA150" s="15"/>
      <c r="DB150" s="15"/>
      <c r="DC150" s="15"/>
      <c r="DD150" s="15"/>
      <c r="DE150" s="15"/>
      <c r="DF150" s="15"/>
      <c r="DG150" s="15"/>
      <c r="DH150" s="15"/>
      <c r="DI150" s="15"/>
      <c r="DJ150" s="15"/>
      <c r="DK150" s="15"/>
      <c r="DL150" s="15"/>
      <c r="DM150" s="15"/>
      <c r="DN150" s="15"/>
      <c r="DO150" s="15"/>
      <c r="DP150" s="15"/>
      <c r="DQ150" s="15"/>
      <c r="DR150" s="15"/>
      <c r="DS150" s="15"/>
    </row>
    <row r="151" spans="1:123" ht="13.25" thickBot="1" x14ac:dyDescent="0.3">
      <c r="A151" s="15"/>
      <c r="R151" s="84"/>
      <c r="S151" s="80"/>
      <c r="T151" s="80"/>
      <c r="U151" s="80"/>
      <c r="V151" s="80"/>
      <c r="W151" s="84"/>
      <c r="X151" s="84"/>
      <c r="Y151" s="84"/>
      <c r="Z151" s="84"/>
      <c r="AA151" s="383"/>
      <c r="AB151" s="2034"/>
      <c r="AC151" s="2034"/>
      <c r="AD151" s="2034"/>
      <c r="AE151" s="384"/>
      <c r="AF151" s="125"/>
      <c r="AG151" s="125"/>
      <c r="AH151" s="125"/>
      <c r="AI151" s="125"/>
      <c r="AJ151" s="125"/>
      <c r="AK151" s="125"/>
      <c r="AL151" s="2034"/>
      <c r="AM151" s="125"/>
      <c r="AN151" s="125"/>
      <c r="AO151" s="125"/>
      <c r="AP151" s="125"/>
      <c r="AQ151" s="125"/>
      <c r="AR151" s="125"/>
      <c r="AS151" s="125"/>
      <c r="AT151" s="125"/>
      <c r="AU151" s="125"/>
      <c r="AV151" s="125"/>
      <c r="AW151" s="125"/>
      <c r="AX151" s="125"/>
      <c r="AY151" s="125"/>
      <c r="AZ151" s="384"/>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V151" s="13"/>
      <c r="CW151" s="13"/>
      <c r="CX151" s="13"/>
      <c r="CY151" s="15"/>
      <c r="CZ151" s="15"/>
      <c r="DA151" s="15"/>
      <c r="DB151" s="15"/>
      <c r="DC151" s="15"/>
      <c r="DD151" s="15"/>
      <c r="DE151" s="15"/>
      <c r="DF151" s="15"/>
      <c r="DG151" s="15"/>
      <c r="DH151" s="15"/>
      <c r="DI151" s="15"/>
      <c r="DJ151" s="15"/>
      <c r="DK151" s="15"/>
      <c r="DL151" s="15"/>
      <c r="DM151" s="15"/>
      <c r="DN151" s="15"/>
      <c r="DO151" s="15"/>
      <c r="DP151" s="15"/>
      <c r="DQ151" s="15"/>
      <c r="DR151" s="15"/>
      <c r="DS151" s="15"/>
    </row>
    <row r="152" spans="1:123" ht="42.8" customHeight="1" x14ac:dyDescent="0.5">
      <c r="A152" s="15"/>
      <c r="R152" s="84"/>
      <c r="S152" s="84"/>
      <c r="T152" s="84"/>
      <c r="U152" s="84"/>
      <c r="V152" s="84"/>
      <c r="W152" s="84"/>
      <c r="X152" s="84"/>
      <c r="Y152" s="84"/>
      <c r="Z152" s="84"/>
      <c r="AA152" s="2056" t="s">
        <v>553</v>
      </c>
      <c r="AB152" s="25"/>
      <c r="AC152" s="25"/>
      <c r="AD152" s="25"/>
      <c r="AE152" s="25"/>
      <c r="AF152" s="25"/>
      <c r="AG152" s="25"/>
      <c r="AH152" s="25"/>
      <c r="AI152" s="25"/>
      <c r="AJ152" s="25"/>
      <c r="AK152" s="25"/>
      <c r="AL152" s="25"/>
      <c r="AM152" s="25"/>
      <c r="AN152" s="25"/>
      <c r="AO152" s="25"/>
      <c r="AP152" s="25"/>
      <c r="AQ152" s="25"/>
      <c r="AR152" s="25"/>
      <c r="AS152" s="25"/>
      <c r="AT152" s="34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c r="BV152" s="13"/>
      <c r="BW152" s="13"/>
      <c r="BX152" s="13"/>
      <c r="BY152" s="13"/>
      <c r="BZ152" s="13"/>
      <c r="CV152" s="13"/>
      <c r="CW152" s="13"/>
      <c r="CX152" s="13"/>
      <c r="CY152" s="15"/>
      <c r="CZ152" s="15"/>
      <c r="DA152" s="15"/>
      <c r="DB152" s="15"/>
      <c r="DC152" s="15"/>
      <c r="DD152" s="15"/>
      <c r="DE152" s="15"/>
      <c r="DF152" s="15"/>
      <c r="DG152" s="15"/>
      <c r="DH152" s="15"/>
      <c r="DI152" s="15"/>
      <c r="DJ152" s="15"/>
      <c r="DK152" s="15"/>
      <c r="DL152" s="15"/>
      <c r="DM152" s="15"/>
      <c r="DN152" s="15"/>
      <c r="DO152" s="15"/>
      <c r="DP152" s="15"/>
      <c r="DQ152" s="15"/>
      <c r="DR152" s="15"/>
      <c r="DS152" s="15"/>
    </row>
    <row r="153" spans="1:123" x14ac:dyDescent="0.25">
      <c r="A153" s="15"/>
      <c r="R153" s="84"/>
      <c r="S153" s="84"/>
      <c r="T153" s="84"/>
      <c r="U153" s="84"/>
      <c r="V153" s="84"/>
      <c r="W153" s="84"/>
      <c r="X153" s="84"/>
      <c r="Y153" s="84"/>
      <c r="Z153" s="84"/>
      <c r="AA153" s="121"/>
      <c r="AB153" s="25"/>
      <c r="AC153" s="25"/>
      <c r="AD153" s="25"/>
      <c r="AE153" s="25"/>
      <c r="AF153" s="25"/>
      <c r="AG153" s="25"/>
      <c r="AH153" s="25"/>
      <c r="AI153" s="25"/>
      <c r="AJ153" s="25"/>
      <c r="AK153" s="25"/>
      <c r="AL153" s="25"/>
      <c r="AM153" s="25"/>
      <c r="AN153" s="25"/>
      <c r="AO153" s="25"/>
      <c r="AP153" s="25"/>
      <c r="AQ153" s="25"/>
      <c r="AR153" s="25"/>
      <c r="AS153" s="25"/>
      <c r="AT153" s="34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V153" s="13"/>
      <c r="CW153" s="13"/>
      <c r="CX153" s="13"/>
      <c r="CY153" s="15"/>
      <c r="CZ153" s="15"/>
      <c r="DA153" s="15"/>
      <c r="DB153" s="15"/>
      <c r="DC153" s="15"/>
      <c r="DD153" s="15"/>
      <c r="DE153" s="15"/>
      <c r="DF153" s="15"/>
      <c r="DG153" s="15"/>
      <c r="DH153" s="15"/>
      <c r="DI153" s="15"/>
      <c r="DJ153" s="15"/>
      <c r="DK153" s="15"/>
      <c r="DL153" s="15"/>
      <c r="DM153" s="15"/>
      <c r="DN153" s="15"/>
      <c r="DO153" s="15"/>
      <c r="DP153" s="15"/>
      <c r="DQ153" s="15"/>
      <c r="DR153" s="15"/>
      <c r="DS153" s="15"/>
    </row>
    <row r="154" spans="1:123" x14ac:dyDescent="0.25">
      <c r="A154" s="15"/>
      <c r="B154" s="84"/>
      <c r="C154" s="84"/>
      <c r="D154" s="89"/>
      <c r="E154" s="402"/>
      <c r="F154" s="403"/>
      <c r="G154" s="84"/>
      <c r="H154" s="403"/>
      <c r="I154" s="403"/>
      <c r="J154" s="84"/>
      <c r="K154" s="84"/>
      <c r="L154" s="84"/>
      <c r="M154" s="84"/>
      <c r="N154" s="84"/>
      <c r="O154" s="84"/>
      <c r="P154" s="84"/>
      <c r="Q154" s="84"/>
      <c r="R154" s="84"/>
      <c r="S154" s="84"/>
      <c r="T154" s="84"/>
      <c r="U154" s="84"/>
      <c r="V154" s="84"/>
      <c r="W154" s="84"/>
      <c r="X154" s="84"/>
      <c r="Y154" s="84"/>
      <c r="Z154" s="84"/>
      <c r="AA154" s="121"/>
      <c r="AB154" s="25"/>
      <c r="AC154" s="25"/>
      <c r="AD154" s="25"/>
      <c r="AE154" s="25"/>
      <c r="AF154" s="25"/>
      <c r="AG154" s="25"/>
      <c r="AH154" s="25"/>
      <c r="AI154" s="25"/>
      <c r="AJ154" s="25"/>
      <c r="AK154" s="25"/>
      <c r="AL154" s="25"/>
      <c r="AM154" s="25"/>
      <c r="AN154" s="25"/>
      <c r="AO154" s="25"/>
      <c r="AP154" s="25"/>
      <c r="AQ154" s="25"/>
      <c r="AR154" s="25"/>
      <c r="AS154" s="25"/>
      <c r="AT154" s="34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c r="BR154" s="13"/>
      <c r="BS154" s="13"/>
      <c r="BT154" s="13"/>
      <c r="BU154" s="13"/>
      <c r="BV154" s="13"/>
      <c r="BW154" s="13"/>
      <c r="BX154" s="13"/>
      <c r="BY154" s="13"/>
      <c r="BZ154" s="13"/>
      <c r="CV154" s="15"/>
      <c r="CW154" s="15"/>
      <c r="CX154" s="15"/>
      <c r="CY154" s="15"/>
      <c r="CZ154" s="15"/>
      <c r="DA154" s="15"/>
      <c r="DB154" s="15"/>
      <c r="DC154" s="15"/>
      <c r="DD154" s="15"/>
      <c r="DE154" s="15"/>
      <c r="DF154" s="15"/>
      <c r="DG154" s="15"/>
      <c r="DH154" s="15"/>
      <c r="DI154" s="15"/>
      <c r="DJ154" s="15"/>
      <c r="DK154" s="15"/>
      <c r="DL154" s="15"/>
      <c r="DM154" s="15"/>
      <c r="DN154" s="15"/>
      <c r="DO154" s="15"/>
      <c r="DP154" s="15"/>
      <c r="DQ154" s="15"/>
      <c r="DR154" s="15"/>
      <c r="DS154" s="15"/>
    </row>
    <row r="155" spans="1:123" x14ac:dyDescent="0.25">
      <c r="A155" s="15"/>
      <c r="B155" s="84"/>
      <c r="C155" s="84"/>
      <c r="D155" s="89"/>
      <c r="E155" s="402"/>
      <c r="F155" s="403"/>
      <c r="G155" s="84"/>
      <c r="H155" s="403"/>
      <c r="I155" s="403"/>
      <c r="J155" s="84"/>
      <c r="K155" s="84"/>
      <c r="L155" s="84"/>
      <c r="M155" s="84"/>
      <c r="N155" s="84"/>
      <c r="O155" s="84"/>
      <c r="P155" s="84"/>
      <c r="Q155" s="84"/>
      <c r="R155" s="84"/>
      <c r="S155" s="84"/>
      <c r="T155" s="84"/>
      <c r="U155" s="84"/>
      <c r="V155" s="84"/>
      <c r="W155" s="84"/>
      <c r="X155" s="84"/>
      <c r="Y155" s="84"/>
      <c r="Z155" s="84"/>
      <c r="AA155" s="1659"/>
      <c r="AB155" s="77"/>
      <c r="AC155" s="77"/>
      <c r="AD155" s="77"/>
      <c r="AE155" s="77"/>
      <c r="AF155" s="77"/>
      <c r="AG155" s="77"/>
      <c r="AH155" s="77"/>
      <c r="AI155" s="77"/>
      <c r="AJ155" s="77"/>
      <c r="AK155" s="77"/>
      <c r="AL155" s="77"/>
      <c r="AM155" s="77"/>
      <c r="AN155" s="77"/>
      <c r="AO155" s="77"/>
      <c r="AP155" s="77"/>
      <c r="AQ155" s="77"/>
      <c r="AR155" s="77"/>
      <c r="AS155" s="77"/>
      <c r="AT155" s="131"/>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V155" s="15"/>
      <c r="CW155" s="15"/>
      <c r="CX155" s="15"/>
      <c r="CY155" s="15"/>
      <c r="CZ155" s="15"/>
      <c r="DA155" s="15"/>
      <c r="DB155" s="15"/>
      <c r="DC155" s="15"/>
      <c r="DD155" s="15"/>
      <c r="DE155" s="15"/>
      <c r="DF155" s="15"/>
      <c r="DG155" s="15"/>
      <c r="DH155" s="15"/>
      <c r="DI155" s="15"/>
      <c r="DJ155" s="15"/>
      <c r="DK155" s="15"/>
      <c r="DL155" s="15"/>
      <c r="DM155" s="15"/>
      <c r="DN155" s="15"/>
      <c r="DO155" s="15"/>
      <c r="DP155" s="15"/>
      <c r="DQ155" s="15"/>
      <c r="DR155" s="15"/>
      <c r="DS155" s="15"/>
    </row>
    <row r="156" spans="1:123" x14ac:dyDescent="0.25">
      <c r="A156" s="15"/>
      <c r="B156" s="84"/>
      <c r="C156" s="84"/>
      <c r="D156" s="89"/>
      <c r="E156" s="402"/>
      <c r="F156" s="403"/>
      <c r="G156" s="84"/>
      <c r="H156" s="403"/>
      <c r="I156" s="403"/>
      <c r="J156" s="84"/>
      <c r="K156" s="84"/>
      <c r="L156" s="84"/>
      <c r="M156" s="84"/>
      <c r="N156" s="84"/>
      <c r="O156" s="84"/>
      <c r="P156" s="84"/>
      <c r="Q156" s="84"/>
      <c r="R156" s="84"/>
      <c r="S156" s="84"/>
      <c r="T156" s="84"/>
      <c r="U156" s="84"/>
      <c r="V156" s="84"/>
      <c r="W156" s="84"/>
      <c r="X156" s="84"/>
      <c r="Y156" s="84"/>
      <c r="Z156" s="84"/>
      <c r="AA156" s="1659"/>
      <c r="AB156" s="77"/>
      <c r="AC156" s="128">
        <v>1</v>
      </c>
      <c r="AD156" s="128">
        <v>2</v>
      </c>
      <c r="AE156" s="128">
        <v>3</v>
      </c>
      <c r="AF156" s="128">
        <v>4</v>
      </c>
      <c r="AG156" s="128">
        <v>5</v>
      </c>
      <c r="AH156" s="128">
        <v>6</v>
      </c>
      <c r="AI156" s="128">
        <v>7</v>
      </c>
      <c r="AJ156" s="128">
        <v>8</v>
      </c>
      <c r="AK156" s="128">
        <v>9</v>
      </c>
      <c r="AL156" s="128">
        <v>10</v>
      </c>
      <c r="AM156" s="128">
        <v>11</v>
      </c>
      <c r="AN156" s="128">
        <v>12</v>
      </c>
      <c r="AO156" s="128">
        <v>13</v>
      </c>
      <c r="AP156" s="128">
        <v>14</v>
      </c>
      <c r="AQ156" s="128">
        <v>15</v>
      </c>
      <c r="AR156" s="128">
        <v>16</v>
      </c>
      <c r="AS156" s="128">
        <v>17</v>
      </c>
      <c r="AT156" s="2047">
        <v>18</v>
      </c>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c r="BR156" s="13"/>
      <c r="BS156" s="13"/>
      <c r="BT156" s="13"/>
      <c r="BU156" s="13"/>
      <c r="BV156" s="13"/>
      <c r="BW156" s="13"/>
      <c r="BX156" s="13"/>
      <c r="BY156" s="13"/>
      <c r="BZ156" s="13"/>
      <c r="CV156" s="15"/>
      <c r="CW156" s="15"/>
      <c r="CX156" s="15"/>
      <c r="CY156" s="15"/>
      <c r="CZ156" s="15"/>
      <c r="DA156" s="15"/>
      <c r="DB156" s="15"/>
      <c r="DC156" s="15"/>
      <c r="DD156" s="15"/>
      <c r="DE156" s="15"/>
      <c r="DF156" s="15"/>
      <c r="DG156" s="15"/>
      <c r="DH156" s="15"/>
      <c r="DI156" s="15"/>
      <c r="DJ156" s="15"/>
      <c r="DK156" s="15"/>
      <c r="DL156" s="15"/>
      <c r="DM156" s="15"/>
      <c r="DN156" s="15"/>
      <c r="DO156" s="15"/>
      <c r="DP156" s="15"/>
      <c r="DQ156" s="15"/>
      <c r="DR156" s="15"/>
      <c r="DS156" s="15"/>
    </row>
    <row r="157" spans="1:123" ht="51.3" thickBot="1" x14ac:dyDescent="0.3">
      <c r="A157" s="15"/>
      <c r="B157" s="84"/>
      <c r="C157" s="84"/>
      <c r="D157" s="89"/>
      <c r="E157" s="402"/>
      <c r="F157" s="403"/>
      <c r="G157" s="84"/>
      <c r="H157" s="403"/>
      <c r="I157" s="403"/>
      <c r="J157" s="84"/>
      <c r="K157" s="84"/>
      <c r="L157" s="84"/>
      <c r="M157" s="84"/>
      <c r="N157" s="84"/>
      <c r="O157" s="84"/>
      <c r="P157" s="84"/>
      <c r="Q157" s="84"/>
      <c r="R157" s="84"/>
      <c r="S157" s="84"/>
      <c r="T157" s="84"/>
      <c r="U157" s="84"/>
      <c r="V157" s="84"/>
      <c r="W157" s="84"/>
      <c r="X157" s="84"/>
      <c r="Y157" s="84"/>
      <c r="Z157" s="84"/>
      <c r="AA157" s="1659"/>
      <c r="AB157" s="270"/>
      <c r="AC157" s="2037" t="s">
        <v>539</v>
      </c>
      <c r="AD157" s="2037" t="s">
        <v>770</v>
      </c>
      <c r="AE157" s="2037" t="s">
        <v>772</v>
      </c>
      <c r="AF157" s="2037" t="s">
        <v>1105</v>
      </c>
      <c r="AG157" s="2037" t="s">
        <v>1106</v>
      </c>
      <c r="AH157" s="2037" t="s">
        <v>723</v>
      </c>
      <c r="AI157" s="2037" t="s">
        <v>724</v>
      </c>
      <c r="AJ157" s="2037" t="s">
        <v>726</v>
      </c>
      <c r="AK157" s="2037" t="s">
        <v>638</v>
      </c>
      <c r="AL157" s="2037" t="s">
        <v>639</v>
      </c>
      <c r="AM157" s="2037" t="s">
        <v>640</v>
      </c>
      <c r="AN157" s="2037" t="str">
        <f>'A2. Livestockdata'!A17</f>
        <v>Composting - forced aeration</v>
      </c>
      <c r="AO157" s="2037" t="str">
        <f>'A2. Livestockdata'!A18</f>
        <v>Composting - non-forced aeration</v>
      </c>
      <c r="AP157" s="2037" t="s">
        <v>835</v>
      </c>
      <c r="AQ157" s="2037" t="s">
        <v>836</v>
      </c>
      <c r="AR157" s="2037" t="s">
        <v>868</v>
      </c>
      <c r="AS157" s="2037" t="s">
        <v>936</v>
      </c>
      <c r="AT157" s="2048" t="str">
        <f>AO201</f>
        <v>Grazing</v>
      </c>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V157" s="15"/>
      <c r="CW157" s="15"/>
      <c r="CX157" s="15"/>
      <c r="CY157" s="15"/>
      <c r="CZ157" s="15"/>
      <c r="DA157" s="15"/>
      <c r="DB157" s="15"/>
      <c r="DC157" s="15"/>
      <c r="DD157" s="15"/>
      <c r="DE157" s="15"/>
      <c r="DF157" s="15"/>
      <c r="DG157" s="15"/>
      <c r="DH157" s="15"/>
      <c r="DI157" s="15"/>
      <c r="DJ157" s="15"/>
      <c r="DK157" s="15"/>
      <c r="DL157" s="15"/>
      <c r="DM157" s="15"/>
      <c r="DN157" s="15"/>
      <c r="DO157" s="15"/>
      <c r="DP157" s="15"/>
      <c r="DQ157" s="15"/>
      <c r="DR157" s="15"/>
      <c r="DS157" s="15"/>
    </row>
    <row r="158" spans="1:123" ht="50.7" x14ac:dyDescent="0.25">
      <c r="A158" s="15"/>
      <c r="B158" s="84"/>
      <c r="C158" s="84"/>
      <c r="D158" s="89"/>
      <c r="E158" s="402"/>
      <c r="F158" s="403"/>
      <c r="G158" s="84"/>
      <c r="H158" s="403"/>
      <c r="I158" s="403"/>
      <c r="J158" s="84"/>
      <c r="K158" s="84"/>
      <c r="L158" s="84"/>
      <c r="M158" s="84"/>
      <c r="N158" s="84"/>
      <c r="O158" s="84"/>
      <c r="P158" s="84"/>
      <c r="Q158" s="84"/>
      <c r="R158" s="84"/>
      <c r="S158" s="84"/>
      <c r="T158" s="84"/>
      <c r="U158" s="84"/>
      <c r="V158" s="84"/>
      <c r="W158" s="84"/>
      <c r="X158" s="84"/>
      <c r="Y158" s="84"/>
      <c r="Z158" s="84"/>
      <c r="AA158" s="2049">
        <v>1</v>
      </c>
      <c r="AB158" s="2036" t="str">
        <f>AB186</f>
        <v>dairy cows</v>
      </c>
      <c r="AC158" s="2038" t="s">
        <v>1039</v>
      </c>
      <c r="AD158" s="2039" t="s">
        <v>1033</v>
      </c>
      <c r="AE158" s="2039" t="s">
        <v>1186</v>
      </c>
      <c r="AF158" s="2039" t="s">
        <v>347</v>
      </c>
      <c r="AG158" s="2039" t="s">
        <v>347</v>
      </c>
      <c r="AH158" s="2039" t="s">
        <v>542</v>
      </c>
      <c r="AI158" s="2039" t="s">
        <v>346</v>
      </c>
      <c r="AJ158" s="2039" t="s">
        <v>740</v>
      </c>
      <c r="AK158" s="2039" t="s">
        <v>740</v>
      </c>
      <c r="AL158" s="2039" t="s">
        <v>108</v>
      </c>
      <c r="AM158" s="2039" t="s">
        <v>108</v>
      </c>
      <c r="AN158" s="2039" t="s">
        <v>108</v>
      </c>
      <c r="AO158" s="2039" t="s">
        <v>108</v>
      </c>
      <c r="AP158" s="2039" t="s">
        <v>429</v>
      </c>
      <c r="AQ158" s="2039" t="s">
        <v>1047</v>
      </c>
      <c r="AR158" s="2039" t="s">
        <v>108</v>
      </c>
      <c r="AS158" s="2039" t="s">
        <v>108</v>
      </c>
      <c r="AT158" s="2040" t="s">
        <v>1658</v>
      </c>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c r="BR158" s="13"/>
      <c r="BS158" s="13"/>
      <c r="BT158" s="13"/>
      <c r="BU158" s="13"/>
      <c r="BV158" s="13"/>
      <c r="BW158" s="13"/>
      <c r="BX158" s="13"/>
      <c r="BY158" s="13"/>
      <c r="BZ158" s="13"/>
      <c r="CV158" s="15"/>
      <c r="CW158" s="15"/>
      <c r="CX158" s="15"/>
      <c r="CY158" s="15"/>
      <c r="CZ158" s="15"/>
      <c r="DA158" s="15"/>
      <c r="DB158" s="15"/>
      <c r="DC158" s="15"/>
      <c r="DD158" s="15"/>
      <c r="DE158" s="15"/>
      <c r="DF158" s="15"/>
      <c r="DG158" s="15"/>
      <c r="DH158" s="15"/>
      <c r="DI158" s="15"/>
      <c r="DJ158" s="15"/>
      <c r="DK158" s="15"/>
      <c r="DL158" s="15"/>
      <c r="DM158" s="15"/>
      <c r="DN158" s="15"/>
      <c r="DO158" s="15"/>
      <c r="DP158" s="15"/>
      <c r="DQ158" s="15"/>
      <c r="DR158" s="15"/>
      <c r="DS158" s="15"/>
    </row>
    <row r="159" spans="1:123" ht="50.7" x14ac:dyDescent="0.25">
      <c r="A159" s="15"/>
      <c r="B159" s="84"/>
      <c r="C159" s="84"/>
      <c r="D159" s="89"/>
      <c r="E159" s="402"/>
      <c r="F159" s="403"/>
      <c r="G159" s="84"/>
      <c r="H159" s="403"/>
      <c r="I159" s="403"/>
      <c r="J159" s="84"/>
      <c r="K159" s="84"/>
      <c r="L159" s="84"/>
      <c r="M159" s="84"/>
      <c r="N159" s="84"/>
      <c r="O159" s="84"/>
      <c r="P159" s="84"/>
      <c r="Q159" s="84"/>
      <c r="R159" s="84"/>
      <c r="S159" s="84"/>
      <c r="T159" s="84"/>
      <c r="U159" s="84"/>
      <c r="V159" s="84"/>
      <c r="W159" s="84"/>
      <c r="X159" s="84"/>
      <c r="Y159" s="84"/>
      <c r="Z159" s="84"/>
      <c r="AA159" s="2050">
        <v>2</v>
      </c>
      <c r="AB159" s="2036" t="str">
        <f t="shared" ref="AB159:AB172" si="20">AB187</f>
        <v>other cattle</v>
      </c>
      <c r="AC159" s="2041" t="s">
        <v>1039</v>
      </c>
      <c r="AD159" s="2042" t="s">
        <v>738</v>
      </c>
      <c r="AE159" s="2042" t="s">
        <v>739</v>
      </c>
      <c r="AF159" s="2042" t="s">
        <v>347</v>
      </c>
      <c r="AG159" s="2042" t="s">
        <v>347</v>
      </c>
      <c r="AH159" s="2042" t="s">
        <v>542</v>
      </c>
      <c r="AI159" s="2042" t="s">
        <v>346</v>
      </c>
      <c r="AJ159" s="2042" t="s">
        <v>740</v>
      </c>
      <c r="AK159" s="2042" t="s">
        <v>740</v>
      </c>
      <c r="AL159" s="2042" t="s">
        <v>108</v>
      </c>
      <c r="AM159" s="2042" t="s">
        <v>108</v>
      </c>
      <c r="AN159" s="2042" t="s">
        <v>108</v>
      </c>
      <c r="AO159" s="2042" t="s">
        <v>108</v>
      </c>
      <c r="AP159" s="2042" t="s">
        <v>429</v>
      </c>
      <c r="AQ159" s="2042" t="s">
        <v>1047</v>
      </c>
      <c r="AR159" s="2042" t="s">
        <v>108</v>
      </c>
      <c r="AS159" s="2042" t="s">
        <v>108</v>
      </c>
      <c r="AT159" s="2043" t="s">
        <v>1658</v>
      </c>
      <c r="AU159" s="344"/>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V159" s="15"/>
      <c r="CW159" s="15"/>
      <c r="CX159" s="15"/>
      <c r="CY159" s="15"/>
      <c r="CZ159" s="15"/>
      <c r="DA159" s="15"/>
      <c r="DB159" s="15"/>
      <c r="DC159" s="15"/>
      <c r="DD159" s="15"/>
      <c r="DE159" s="15"/>
      <c r="DF159" s="15"/>
      <c r="DG159" s="15"/>
      <c r="DH159" s="15"/>
      <c r="DI159" s="15"/>
      <c r="DJ159" s="15"/>
      <c r="DK159" s="15"/>
      <c r="DL159" s="15"/>
      <c r="DM159" s="15"/>
      <c r="DN159" s="15"/>
      <c r="DO159" s="15"/>
      <c r="DP159" s="15"/>
      <c r="DQ159" s="15"/>
      <c r="DR159" s="15"/>
      <c r="DS159" s="15"/>
    </row>
    <row r="160" spans="1:123" ht="50.7" x14ac:dyDescent="0.25">
      <c r="A160" s="15"/>
      <c r="B160" s="84"/>
      <c r="C160" s="84"/>
      <c r="D160" s="89"/>
      <c r="E160" s="402"/>
      <c r="F160" s="403"/>
      <c r="G160" s="84"/>
      <c r="H160" s="403"/>
      <c r="I160" s="403"/>
      <c r="J160" s="84"/>
      <c r="K160" s="84"/>
      <c r="L160" s="84"/>
      <c r="M160" s="84"/>
      <c r="N160" s="84"/>
      <c r="O160" s="84"/>
      <c r="P160" s="84"/>
      <c r="Q160" s="84"/>
      <c r="R160" s="84"/>
      <c r="S160" s="84"/>
      <c r="T160" s="84"/>
      <c r="U160" s="84"/>
      <c r="V160" s="84"/>
      <c r="W160" s="84"/>
      <c r="X160" s="84"/>
      <c r="Y160" s="84"/>
      <c r="Z160" s="84"/>
      <c r="AA160" s="2049">
        <v>3</v>
      </c>
      <c r="AB160" s="2036" t="str">
        <f t="shared" si="20"/>
        <v>pigs, mature</v>
      </c>
      <c r="AC160" s="2041" t="s">
        <v>1039</v>
      </c>
      <c r="AD160" s="2042" t="s">
        <v>738</v>
      </c>
      <c r="AE160" s="2042" t="s">
        <v>739</v>
      </c>
      <c r="AF160" s="2042" t="s">
        <v>347</v>
      </c>
      <c r="AG160" s="2042" t="s">
        <v>347</v>
      </c>
      <c r="AH160" s="2042" t="s">
        <v>542</v>
      </c>
      <c r="AI160" s="2042" t="s">
        <v>346</v>
      </c>
      <c r="AJ160" s="2042" t="s">
        <v>740</v>
      </c>
      <c r="AK160" s="2042" t="s">
        <v>740</v>
      </c>
      <c r="AL160" s="2042" t="s">
        <v>108</v>
      </c>
      <c r="AM160" s="2042" t="s">
        <v>108</v>
      </c>
      <c r="AN160" s="2042" t="s">
        <v>108</v>
      </c>
      <c r="AO160" s="2042" t="s">
        <v>108</v>
      </c>
      <c r="AP160" s="2042" t="s">
        <v>429</v>
      </c>
      <c r="AQ160" s="2042" t="s">
        <v>1047</v>
      </c>
      <c r="AR160" s="2042" t="s">
        <v>108</v>
      </c>
      <c r="AS160" s="2042" t="s">
        <v>108</v>
      </c>
      <c r="AT160" s="2043" t="s">
        <v>1658</v>
      </c>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c r="BR160" s="13"/>
      <c r="BS160" s="13"/>
      <c r="BT160" s="13"/>
      <c r="BU160" s="13"/>
      <c r="BV160" s="13"/>
      <c r="BW160" s="13"/>
      <c r="BX160" s="13"/>
      <c r="BY160" s="13"/>
      <c r="BZ160" s="13"/>
      <c r="CV160" s="15"/>
      <c r="CW160" s="15"/>
      <c r="CX160" s="15"/>
      <c r="CY160" s="15"/>
      <c r="CZ160" s="15"/>
      <c r="DA160" s="15"/>
      <c r="DB160" s="15"/>
      <c r="DC160" s="15"/>
      <c r="DD160" s="15"/>
      <c r="DE160" s="15"/>
      <c r="DF160" s="15"/>
      <c r="DG160" s="15"/>
      <c r="DH160" s="15"/>
      <c r="DI160" s="15"/>
      <c r="DJ160" s="15"/>
      <c r="DK160" s="15"/>
      <c r="DL160" s="15"/>
      <c r="DM160" s="15"/>
      <c r="DN160" s="15"/>
      <c r="DO160" s="15"/>
      <c r="DP160" s="15"/>
      <c r="DQ160" s="15"/>
      <c r="DR160" s="15"/>
      <c r="DS160" s="15"/>
    </row>
    <row r="161" spans="1:123" ht="88.7" x14ac:dyDescent="0.25">
      <c r="A161" s="15"/>
      <c r="B161" s="84"/>
      <c r="C161" s="84"/>
      <c r="D161" s="89"/>
      <c r="E161" s="402"/>
      <c r="F161" s="403"/>
      <c r="G161" s="84"/>
      <c r="H161" s="403"/>
      <c r="I161" s="403"/>
      <c r="J161" s="84"/>
      <c r="K161" s="84"/>
      <c r="L161" s="84"/>
      <c r="M161" s="84"/>
      <c r="N161" s="84"/>
      <c r="O161" s="84"/>
      <c r="P161" s="84"/>
      <c r="Q161" s="84"/>
      <c r="R161" s="84"/>
      <c r="S161" s="84"/>
      <c r="T161" s="84"/>
      <c r="U161" s="84"/>
      <c r="V161" s="84"/>
      <c r="W161" s="84"/>
      <c r="X161" s="84"/>
      <c r="Y161" s="84"/>
      <c r="Z161" s="84"/>
      <c r="AA161" s="2049">
        <v>4</v>
      </c>
      <c r="AB161" s="2036" t="str">
        <f t="shared" si="20"/>
        <v>pigs, growing</v>
      </c>
      <c r="AC161" s="2041" t="s">
        <v>1039</v>
      </c>
      <c r="AD161" s="2042" t="s">
        <v>1364</v>
      </c>
      <c r="AE161" s="2042" t="s">
        <v>739</v>
      </c>
      <c r="AF161" s="2042" t="s">
        <v>347</v>
      </c>
      <c r="AG161" s="2042" t="s">
        <v>347</v>
      </c>
      <c r="AH161" s="2042" t="s">
        <v>542</v>
      </c>
      <c r="AI161" s="2042" t="s">
        <v>346</v>
      </c>
      <c r="AJ161" s="2042" t="s">
        <v>943</v>
      </c>
      <c r="AK161" s="2042" t="s">
        <v>943</v>
      </c>
      <c r="AL161" s="2042" t="s">
        <v>108</v>
      </c>
      <c r="AM161" s="2042" t="s">
        <v>108</v>
      </c>
      <c r="AN161" s="2042" t="s">
        <v>108</v>
      </c>
      <c r="AO161" s="2042" t="s">
        <v>108</v>
      </c>
      <c r="AP161" s="2042" t="s">
        <v>429</v>
      </c>
      <c r="AQ161" s="2042" t="s">
        <v>1047</v>
      </c>
      <c r="AR161" s="2042" t="s">
        <v>108</v>
      </c>
      <c r="AS161" s="2042" t="s">
        <v>108</v>
      </c>
      <c r="AT161" s="2043" t="s">
        <v>1658</v>
      </c>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V161" s="15"/>
      <c r="CW161" s="15"/>
      <c r="CX161" s="15"/>
      <c r="CY161" s="15"/>
      <c r="CZ161" s="15"/>
      <c r="DA161" s="15"/>
      <c r="DB161" s="15"/>
      <c r="DC161" s="15"/>
      <c r="DD161" s="15"/>
      <c r="DE161" s="15"/>
      <c r="DF161" s="15"/>
      <c r="DG161" s="15"/>
      <c r="DH161" s="15"/>
      <c r="DI161" s="15"/>
      <c r="DJ161" s="15"/>
      <c r="DK161" s="15"/>
      <c r="DL161" s="15"/>
      <c r="DM161" s="15"/>
      <c r="DN161" s="15"/>
      <c r="DO161" s="15"/>
      <c r="DP161" s="15"/>
      <c r="DQ161" s="15"/>
      <c r="DR161" s="15"/>
      <c r="DS161" s="15"/>
    </row>
    <row r="162" spans="1:123" ht="88.7" x14ac:dyDescent="0.25">
      <c r="A162" s="15"/>
      <c r="B162" s="84"/>
      <c r="C162" s="84"/>
      <c r="D162" s="89"/>
      <c r="E162" s="402"/>
      <c r="F162" s="403"/>
      <c r="G162" s="84"/>
      <c r="H162" s="403"/>
      <c r="I162" s="403"/>
      <c r="J162" s="84"/>
      <c r="K162" s="84"/>
      <c r="L162" s="84"/>
      <c r="M162" s="84"/>
      <c r="N162" s="84"/>
      <c r="O162" s="84"/>
      <c r="P162" s="84"/>
      <c r="Q162" s="84"/>
      <c r="R162" s="84"/>
      <c r="S162" s="84"/>
      <c r="T162" s="84"/>
      <c r="U162" s="84"/>
      <c r="V162" s="84"/>
      <c r="W162" s="84"/>
      <c r="X162" s="84"/>
      <c r="Y162" s="84"/>
      <c r="Z162" s="84"/>
      <c r="AA162" s="2049">
        <v>5</v>
      </c>
      <c r="AB162" s="2036" t="str">
        <f t="shared" si="20"/>
        <v>buffalo, mature</v>
      </c>
      <c r="AC162" s="2041" t="s">
        <v>1039</v>
      </c>
      <c r="AD162" s="2042" t="s">
        <v>1364</v>
      </c>
      <c r="AE162" s="2042" t="s">
        <v>739</v>
      </c>
      <c r="AF162" s="2042" t="s">
        <v>347</v>
      </c>
      <c r="AG162" s="2042" t="s">
        <v>347</v>
      </c>
      <c r="AH162" s="2042" t="s">
        <v>542</v>
      </c>
      <c r="AI162" s="2042" t="s">
        <v>346</v>
      </c>
      <c r="AJ162" s="2042" t="s">
        <v>943</v>
      </c>
      <c r="AK162" s="2042" t="s">
        <v>943</v>
      </c>
      <c r="AL162" s="2042" t="s">
        <v>108</v>
      </c>
      <c r="AM162" s="2042" t="s">
        <v>108</v>
      </c>
      <c r="AN162" s="2042" t="s">
        <v>108</v>
      </c>
      <c r="AO162" s="2042" t="s">
        <v>108</v>
      </c>
      <c r="AP162" s="2042" t="s">
        <v>429</v>
      </c>
      <c r="AQ162" s="2042" t="s">
        <v>1047</v>
      </c>
      <c r="AR162" s="2042" t="s">
        <v>108</v>
      </c>
      <c r="AS162" s="2042" t="s">
        <v>108</v>
      </c>
      <c r="AT162" s="2043" t="s">
        <v>1658</v>
      </c>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c r="BR162" s="13"/>
      <c r="BS162" s="13"/>
      <c r="BT162" s="13"/>
      <c r="BU162" s="13"/>
      <c r="BV162" s="13"/>
      <c r="BW162" s="13"/>
      <c r="BX162" s="13"/>
      <c r="BY162" s="13"/>
      <c r="BZ162" s="13"/>
      <c r="CV162" s="15"/>
      <c r="CW162" s="15"/>
      <c r="CX162" s="15"/>
      <c r="CY162" s="15"/>
      <c r="CZ162" s="15"/>
      <c r="DA162" s="15"/>
      <c r="DB162" s="15"/>
      <c r="DC162" s="15"/>
      <c r="DD162" s="15"/>
      <c r="DE162" s="15"/>
      <c r="DF162" s="15"/>
      <c r="DG162" s="15"/>
      <c r="DH162" s="15"/>
      <c r="DI162" s="15"/>
      <c r="DJ162" s="15"/>
      <c r="DK162" s="15"/>
      <c r="DL162" s="15"/>
      <c r="DM162" s="15"/>
      <c r="DN162" s="15"/>
      <c r="DO162" s="15"/>
      <c r="DP162" s="15"/>
      <c r="DQ162" s="15"/>
      <c r="DR162" s="15"/>
      <c r="DS162" s="15"/>
    </row>
    <row r="163" spans="1:123" ht="88.7" x14ac:dyDescent="0.25">
      <c r="A163" s="15"/>
      <c r="B163" s="84"/>
      <c r="C163" s="84"/>
      <c r="D163" s="89"/>
      <c r="E163" s="402"/>
      <c r="F163" s="403"/>
      <c r="G163" s="84"/>
      <c r="H163" s="403"/>
      <c r="I163" s="403"/>
      <c r="J163" s="84"/>
      <c r="K163" s="84"/>
      <c r="L163" s="84"/>
      <c r="M163" s="84"/>
      <c r="N163" s="84"/>
      <c r="O163" s="84"/>
      <c r="P163" s="84"/>
      <c r="Q163" s="84"/>
      <c r="R163" s="84"/>
      <c r="S163" s="84"/>
      <c r="T163" s="84"/>
      <c r="U163" s="84"/>
      <c r="V163" s="84"/>
      <c r="W163" s="84"/>
      <c r="X163" s="84"/>
      <c r="Y163" s="84"/>
      <c r="Z163" s="84"/>
      <c r="AA163" s="2049">
        <v>6</v>
      </c>
      <c r="AB163" s="2036" t="str">
        <f t="shared" si="20"/>
        <v>buffalo, growing</v>
      </c>
      <c r="AC163" s="2041" t="s">
        <v>1039</v>
      </c>
      <c r="AD163" s="2042" t="s">
        <v>1364</v>
      </c>
      <c r="AE163" s="2042" t="s">
        <v>739</v>
      </c>
      <c r="AF163" s="2042" t="s">
        <v>347</v>
      </c>
      <c r="AG163" s="2042" t="s">
        <v>347</v>
      </c>
      <c r="AH163" s="2042" t="s">
        <v>542</v>
      </c>
      <c r="AI163" s="2042" t="s">
        <v>346</v>
      </c>
      <c r="AJ163" s="2042" t="s">
        <v>943</v>
      </c>
      <c r="AK163" s="2042" t="s">
        <v>943</v>
      </c>
      <c r="AL163" s="2042" t="s">
        <v>108</v>
      </c>
      <c r="AM163" s="2042" t="s">
        <v>108</v>
      </c>
      <c r="AN163" s="2042" t="s">
        <v>108</v>
      </c>
      <c r="AO163" s="2042" t="s">
        <v>108</v>
      </c>
      <c r="AP163" s="2042" t="s">
        <v>429</v>
      </c>
      <c r="AQ163" s="2042" t="s">
        <v>1047</v>
      </c>
      <c r="AR163" s="2042" t="s">
        <v>108</v>
      </c>
      <c r="AS163" s="2042" t="s">
        <v>108</v>
      </c>
      <c r="AT163" s="2043" t="s">
        <v>1658</v>
      </c>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V163" s="15"/>
      <c r="CW163" s="15"/>
      <c r="CX163" s="15"/>
      <c r="CY163" s="15"/>
      <c r="CZ163" s="15"/>
      <c r="DA163" s="15"/>
      <c r="DB163" s="15"/>
      <c r="DC163" s="15"/>
      <c r="DD163" s="15"/>
      <c r="DE163" s="15"/>
      <c r="DF163" s="15"/>
      <c r="DG163" s="15"/>
      <c r="DH163" s="15"/>
      <c r="DI163" s="15"/>
      <c r="DJ163" s="15"/>
      <c r="DK163" s="15"/>
      <c r="DL163" s="15"/>
      <c r="DM163" s="15"/>
      <c r="DN163" s="15"/>
      <c r="DO163" s="15"/>
      <c r="DP163" s="15"/>
      <c r="DQ163" s="15"/>
      <c r="DR163" s="15"/>
      <c r="DS163" s="15"/>
    </row>
    <row r="164" spans="1:123" ht="88.7" x14ac:dyDescent="0.25">
      <c r="A164" s="15"/>
      <c r="B164" s="84"/>
      <c r="C164" s="84"/>
      <c r="D164" s="89"/>
      <c r="E164" s="402"/>
      <c r="F164" s="403"/>
      <c r="G164" s="84"/>
      <c r="H164" s="403"/>
      <c r="I164" s="403"/>
      <c r="J164" s="84"/>
      <c r="K164" s="84"/>
      <c r="L164" s="84"/>
      <c r="M164" s="84"/>
      <c r="N164" s="84"/>
      <c r="O164" s="84"/>
      <c r="P164" s="84"/>
      <c r="Q164" s="84"/>
      <c r="R164" s="84"/>
      <c r="S164" s="84"/>
      <c r="T164" s="84"/>
      <c r="U164" s="84"/>
      <c r="V164" s="84"/>
      <c r="W164" s="84"/>
      <c r="X164" s="84"/>
      <c r="Y164" s="84"/>
      <c r="Z164" s="84"/>
      <c r="AA164" s="2049">
        <v>7</v>
      </c>
      <c r="AB164" s="2036" t="str">
        <f t="shared" si="20"/>
        <v>sheep</v>
      </c>
      <c r="AC164" s="2041" t="s">
        <v>1039</v>
      </c>
      <c r="AD164" s="2042" t="s">
        <v>1364</v>
      </c>
      <c r="AE164" s="2042" t="s">
        <v>739</v>
      </c>
      <c r="AF164" s="2042" t="s">
        <v>347</v>
      </c>
      <c r="AG164" s="2042" t="s">
        <v>347</v>
      </c>
      <c r="AH164" s="2042" t="s">
        <v>542</v>
      </c>
      <c r="AI164" s="2042" t="s">
        <v>346</v>
      </c>
      <c r="AJ164" s="2042" t="s">
        <v>943</v>
      </c>
      <c r="AK164" s="2042" t="s">
        <v>943</v>
      </c>
      <c r="AL164" s="2042" t="s">
        <v>108</v>
      </c>
      <c r="AM164" s="2042" t="s">
        <v>108</v>
      </c>
      <c r="AN164" s="2042" t="s">
        <v>108</v>
      </c>
      <c r="AO164" s="2042" t="s">
        <v>108</v>
      </c>
      <c r="AP164" s="2042" t="s">
        <v>429</v>
      </c>
      <c r="AQ164" s="2042" t="s">
        <v>1047</v>
      </c>
      <c r="AR164" s="2042" t="s">
        <v>108</v>
      </c>
      <c r="AS164" s="2042" t="s">
        <v>108</v>
      </c>
      <c r="AT164" s="2043" t="s">
        <v>1658</v>
      </c>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c r="BR164" s="13"/>
      <c r="BS164" s="13"/>
      <c r="BT164" s="13"/>
      <c r="BU164" s="13"/>
      <c r="BV164" s="13"/>
      <c r="BW164" s="13"/>
      <c r="BX164" s="13"/>
      <c r="BY164" s="13"/>
      <c r="BZ164" s="13"/>
      <c r="CV164" s="15"/>
      <c r="CW164" s="15"/>
      <c r="CX164" s="15"/>
      <c r="CY164" s="15"/>
      <c r="CZ164" s="15"/>
      <c r="DA164" s="15"/>
      <c r="DB164" s="15"/>
      <c r="DC164" s="15"/>
      <c r="DD164" s="15"/>
      <c r="DE164" s="15"/>
      <c r="DF164" s="15"/>
      <c r="DG164" s="15"/>
      <c r="DH164" s="15"/>
      <c r="DI164" s="15"/>
      <c r="DJ164" s="15"/>
      <c r="DK164" s="15"/>
      <c r="DL164" s="15"/>
      <c r="DM164" s="15"/>
      <c r="DN164" s="15"/>
      <c r="DO164" s="15"/>
      <c r="DP164" s="15"/>
      <c r="DQ164" s="15"/>
      <c r="DR164" s="15"/>
      <c r="DS164" s="15"/>
    </row>
    <row r="165" spans="1:123" ht="88.7" x14ac:dyDescent="0.25">
      <c r="A165" s="15"/>
      <c r="B165" s="84"/>
      <c r="C165" s="84"/>
      <c r="D165" s="89"/>
      <c r="E165" s="402"/>
      <c r="F165" s="403"/>
      <c r="G165" s="84"/>
      <c r="H165" s="403"/>
      <c r="I165" s="403"/>
      <c r="J165" s="84"/>
      <c r="K165" s="84"/>
      <c r="L165" s="84"/>
      <c r="M165" s="84"/>
      <c r="N165" s="84"/>
      <c r="O165" s="84"/>
      <c r="P165" s="84"/>
      <c r="Q165" s="84"/>
      <c r="R165" s="84"/>
      <c r="S165" s="84"/>
      <c r="T165" s="84"/>
      <c r="U165" s="84"/>
      <c r="V165" s="84"/>
      <c r="W165" s="84"/>
      <c r="X165" s="84"/>
      <c r="Y165" s="84"/>
      <c r="Z165" s="84"/>
      <c r="AA165" s="2049">
        <v>8</v>
      </c>
      <c r="AB165" s="2036" t="str">
        <f t="shared" si="20"/>
        <v>goats</v>
      </c>
      <c r="AC165" s="2041" t="s">
        <v>1039</v>
      </c>
      <c r="AD165" s="2042" t="s">
        <v>1364</v>
      </c>
      <c r="AE165" s="2042" t="s">
        <v>739</v>
      </c>
      <c r="AF165" s="2042" t="s">
        <v>347</v>
      </c>
      <c r="AG165" s="2042" t="s">
        <v>347</v>
      </c>
      <c r="AH165" s="2042" t="s">
        <v>542</v>
      </c>
      <c r="AI165" s="2042" t="s">
        <v>346</v>
      </c>
      <c r="AJ165" s="2042" t="s">
        <v>943</v>
      </c>
      <c r="AK165" s="2042" t="s">
        <v>943</v>
      </c>
      <c r="AL165" s="2042" t="s">
        <v>108</v>
      </c>
      <c r="AM165" s="2042" t="s">
        <v>108</v>
      </c>
      <c r="AN165" s="2042" t="s">
        <v>108</v>
      </c>
      <c r="AO165" s="2042" t="s">
        <v>108</v>
      </c>
      <c r="AP165" s="2042" t="s">
        <v>429</v>
      </c>
      <c r="AQ165" s="2042" t="s">
        <v>1047</v>
      </c>
      <c r="AR165" s="2042" t="s">
        <v>108</v>
      </c>
      <c r="AS165" s="2042" t="s">
        <v>108</v>
      </c>
      <c r="AT165" s="2043" t="s">
        <v>1658</v>
      </c>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V165" s="15"/>
      <c r="CW165" s="15"/>
      <c r="CX165" s="15"/>
      <c r="CY165" s="15"/>
      <c r="CZ165" s="15"/>
      <c r="DA165" s="15"/>
      <c r="DB165" s="15"/>
      <c r="DC165" s="15"/>
      <c r="DD165" s="15"/>
      <c r="DE165" s="15"/>
      <c r="DF165" s="15"/>
      <c r="DG165" s="15"/>
      <c r="DH165" s="15"/>
      <c r="DI165" s="15"/>
      <c r="DJ165" s="15"/>
      <c r="DK165" s="15"/>
      <c r="DL165" s="15"/>
      <c r="DM165" s="15"/>
      <c r="DN165" s="15"/>
      <c r="DO165" s="15"/>
      <c r="DP165" s="15"/>
      <c r="DQ165" s="15"/>
      <c r="DR165" s="15"/>
      <c r="DS165" s="15"/>
    </row>
    <row r="166" spans="1:123" ht="50.7" x14ac:dyDescent="0.25">
      <c r="A166" s="15"/>
      <c r="B166" s="84"/>
      <c r="C166" s="84"/>
      <c r="D166" s="89"/>
      <c r="E166" s="402"/>
      <c r="F166" s="403"/>
      <c r="G166" s="84"/>
      <c r="H166" s="403"/>
      <c r="I166" s="403"/>
      <c r="J166" s="84"/>
      <c r="K166" s="84"/>
      <c r="L166" s="84"/>
      <c r="M166" s="84"/>
      <c r="N166" s="84"/>
      <c r="O166" s="84"/>
      <c r="P166" s="84"/>
      <c r="Q166" s="84"/>
      <c r="R166" s="84"/>
      <c r="S166" s="84"/>
      <c r="T166" s="84"/>
      <c r="U166" s="84"/>
      <c r="V166" s="84"/>
      <c r="W166" s="84"/>
      <c r="X166" s="84"/>
      <c r="Y166" s="84"/>
      <c r="Z166" s="84"/>
      <c r="AA166" s="2049">
        <v>9</v>
      </c>
      <c r="AB166" s="2036" t="str">
        <f t="shared" si="20"/>
        <v>camels</v>
      </c>
      <c r="AC166" s="2041" t="s">
        <v>1039</v>
      </c>
      <c r="AD166" s="2042" t="s">
        <v>738</v>
      </c>
      <c r="AE166" s="2042" t="s">
        <v>739</v>
      </c>
      <c r="AF166" s="2042" t="s">
        <v>347</v>
      </c>
      <c r="AG166" s="2042" t="s">
        <v>347</v>
      </c>
      <c r="AH166" s="2042" t="s">
        <v>542</v>
      </c>
      <c r="AI166" s="2042" t="s">
        <v>346</v>
      </c>
      <c r="AJ166" s="2042" t="s">
        <v>740</v>
      </c>
      <c r="AK166" s="2042" t="s">
        <v>740</v>
      </c>
      <c r="AL166" s="2042" t="s">
        <v>108</v>
      </c>
      <c r="AM166" s="2042" t="s">
        <v>108</v>
      </c>
      <c r="AN166" s="2042" t="s">
        <v>108</v>
      </c>
      <c r="AO166" s="2042" t="s">
        <v>108</v>
      </c>
      <c r="AP166" s="2042" t="s">
        <v>429</v>
      </c>
      <c r="AQ166" s="2042" t="s">
        <v>1047</v>
      </c>
      <c r="AR166" s="2042" t="s">
        <v>108</v>
      </c>
      <c r="AS166" s="2042" t="s">
        <v>108</v>
      </c>
      <c r="AT166" s="2043" t="s">
        <v>1658</v>
      </c>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c r="BR166" s="13"/>
      <c r="BS166" s="13"/>
      <c r="BT166" s="13"/>
      <c r="BU166" s="13"/>
      <c r="BV166" s="13"/>
      <c r="BW166" s="13"/>
      <c r="BX166" s="13"/>
      <c r="BY166" s="13"/>
      <c r="BZ166" s="13"/>
      <c r="CV166" s="15"/>
      <c r="CW166" s="15"/>
      <c r="CX166" s="15"/>
      <c r="CY166" s="15"/>
      <c r="CZ166" s="15"/>
      <c r="DA166" s="15"/>
      <c r="DB166" s="15"/>
      <c r="DC166" s="15"/>
      <c r="DD166" s="15"/>
      <c r="DE166" s="15"/>
      <c r="DF166" s="15"/>
      <c r="DG166" s="15"/>
      <c r="DH166" s="15"/>
      <c r="DI166" s="15"/>
      <c r="DJ166" s="15"/>
      <c r="DK166" s="15"/>
      <c r="DL166" s="15"/>
      <c r="DM166" s="15"/>
      <c r="DN166" s="15"/>
      <c r="DO166" s="15"/>
      <c r="DP166" s="15"/>
      <c r="DQ166" s="15"/>
      <c r="DR166" s="15"/>
      <c r="DS166" s="15"/>
    </row>
    <row r="167" spans="1:123" ht="38.049999999999997" x14ac:dyDescent="0.25">
      <c r="A167" s="15"/>
      <c r="B167" s="84"/>
      <c r="C167" s="84"/>
      <c r="D167" s="89"/>
      <c r="E167" s="402"/>
      <c r="F167" s="403"/>
      <c r="G167" s="84"/>
      <c r="H167" s="403"/>
      <c r="I167" s="403"/>
      <c r="J167" s="84"/>
      <c r="K167" s="84"/>
      <c r="L167" s="84"/>
      <c r="M167" s="84"/>
      <c r="N167" s="84"/>
      <c r="O167" s="84"/>
      <c r="P167" s="84"/>
      <c r="Q167" s="84"/>
      <c r="R167" s="84"/>
      <c r="S167" s="84"/>
      <c r="T167" s="84"/>
      <c r="U167" s="84"/>
      <c r="V167" s="84"/>
      <c r="W167" s="84"/>
      <c r="X167" s="84"/>
      <c r="Y167" s="84"/>
      <c r="Z167" s="84"/>
      <c r="AA167" s="2049">
        <v>10</v>
      </c>
      <c r="AB167" s="2036" t="str">
        <f t="shared" si="20"/>
        <v>horses</v>
      </c>
      <c r="AC167" s="2041" t="s">
        <v>1039</v>
      </c>
      <c r="AD167" s="2042" t="s">
        <v>744</v>
      </c>
      <c r="AE167" s="2042" t="s">
        <v>739</v>
      </c>
      <c r="AF167" s="2042" t="s">
        <v>741</v>
      </c>
      <c r="AG167" s="2042" t="s">
        <v>741</v>
      </c>
      <c r="AH167" s="2042" t="s">
        <v>1019</v>
      </c>
      <c r="AI167" s="2042" t="s">
        <v>346</v>
      </c>
      <c r="AJ167" s="2042" t="s">
        <v>737</v>
      </c>
      <c r="AK167" s="2042" t="s">
        <v>737</v>
      </c>
      <c r="AL167" s="2042" t="s">
        <v>108</v>
      </c>
      <c r="AM167" s="2042" t="s">
        <v>108</v>
      </c>
      <c r="AN167" s="2042" t="s">
        <v>108</v>
      </c>
      <c r="AO167" s="2042" t="s">
        <v>108</v>
      </c>
      <c r="AP167" s="2042" t="s">
        <v>429</v>
      </c>
      <c r="AQ167" s="2042" t="s">
        <v>1047</v>
      </c>
      <c r="AR167" s="2042" t="s">
        <v>108</v>
      </c>
      <c r="AS167" s="2042" t="s">
        <v>108</v>
      </c>
      <c r="AT167" s="2043" t="s">
        <v>1658</v>
      </c>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V167" s="15"/>
      <c r="CW167" s="15"/>
      <c r="CX167" s="15"/>
      <c r="CY167" s="15"/>
      <c r="CZ167" s="15"/>
      <c r="DA167" s="15"/>
      <c r="DB167" s="15"/>
      <c r="DC167" s="15"/>
      <c r="DD167" s="15"/>
      <c r="DE167" s="15"/>
      <c r="DF167" s="15"/>
      <c r="DG167" s="15"/>
      <c r="DH167" s="15"/>
      <c r="DI167" s="15"/>
      <c r="DJ167" s="15"/>
      <c r="DK167" s="15"/>
      <c r="DL167" s="15"/>
      <c r="DM167" s="15"/>
      <c r="DN167" s="15"/>
      <c r="DO167" s="15"/>
      <c r="DP167" s="15"/>
      <c r="DQ167" s="15"/>
      <c r="DR167" s="15"/>
      <c r="DS167" s="15"/>
    </row>
    <row r="168" spans="1:123" ht="38.049999999999997" x14ac:dyDescent="0.25">
      <c r="A168" s="15"/>
      <c r="B168" s="84"/>
      <c r="C168" s="84"/>
      <c r="D168" s="89"/>
      <c r="E168" s="402"/>
      <c r="F168" s="403"/>
      <c r="G168" s="84"/>
      <c r="H168" s="403"/>
      <c r="I168" s="403"/>
      <c r="J168" s="84"/>
      <c r="K168" s="84"/>
      <c r="L168" s="84"/>
      <c r="M168" s="84"/>
      <c r="N168" s="84"/>
      <c r="O168" s="84"/>
      <c r="P168" s="84"/>
      <c r="Q168" s="84"/>
      <c r="R168" s="84"/>
      <c r="S168" s="84"/>
      <c r="T168" s="84"/>
      <c r="U168" s="84"/>
      <c r="V168" s="84"/>
      <c r="W168" s="84"/>
      <c r="X168" s="84"/>
      <c r="Y168" s="84"/>
      <c r="Z168" s="84"/>
      <c r="AA168" s="2049">
        <v>11</v>
      </c>
      <c r="AB168" s="2036" t="str">
        <f t="shared" si="20"/>
        <v>rabbits</v>
      </c>
      <c r="AC168" s="2041" t="s">
        <v>1039</v>
      </c>
      <c r="AD168" s="2042" t="s">
        <v>744</v>
      </c>
      <c r="AE168" s="2042" t="s">
        <v>739</v>
      </c>
      <c r="AF168" s="2042" t="s">
        <v>741</v>
      </c>
      <c r="AG168" s="2042" t="s">
        <v>741</v>
      </c>
      <c r="AH168" s="2042" t="s">
        <v>1019</v>
      </c>
      <c r="AI168" s="2042" t="s">
        <v>346</v>
      </c>
      <c r="AJ168" s="2042" t="s">
        <v>737</v>
      </c>
      <c r="AK168" s="2042" t="s">
        <v>737</v>
      </c>
      <c r="AL168" s="2042" t="s">
        <v>108</v>
      </c>
      <c r="AM168" s="2042" t="s">
        <v>108</v>
      </c>
      <c r="AN168" s="2042" t="s">
        <v>108</v>
      </c>
      <c r="AO168" s="2042" t="s">
        <v>108</v>
      </c>
      <c r="AP168" s="2042" t="s">
        <v>429</v>
      </c>
      <c r="AQ168" s="2042" t="s">
        <v>1047</v>
      </c>
      <c r="AR168" s="2042" t="s">
        <v>108</v>
      </c>
      <c r="AS168" s="2042" t="s">
        <v>108</v>
      </c>
      <c r="AT168" s="2043" t="s">
        <v>1658</v>
      </c>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c r="BR168" s="13"/>
      <c r="BS168" s="13"/>
      <c r="BT168" s="13"/>
      <c r="BU168" s="13"/>
      <c r="BV168" s="13"/>
      <c r="BW168" s="15"/>
      <c r="BX168" s="15"/>
      <c r="BY168" s="13"/>
      <c r="BZ168" s="13"/>
      <c r="CV168" s="15"/>
      <c r="CW168" s="15"/>
      <c r="CX168" s="15"/>
      <c r="CY168" s="15"/>
      <c r="CZ168" s="15"/>
      <c r="DA168" s="15"/>
      <c r="DB168" s="15"/>
      <c r="DC168" s="15"/>
      <c r="DD168" s="15"/>
      <c r="DE168" s="15"/>
      <c r="DF168" s="15"/>
      <c r="DG168" s="15"/>
      <c r="DH168" s="15"/>
      <c r="DI168" s="15"/>
      <c r="DJ168" s="15"/>
      <c r="DK168" s="15"/>
      <c r="DL168" s="15"/>
      <c r="DM168" s="15"/>
      <c r="DN168" s="15"/>
      <c r="DO168" s="15"/>
      <c r="DP168" s="15"/>
      <c r="DQ168" s="15"/>
      <c r="DR168" s="15"/>
      <c r="DS168" s="15"/>
    </row>
    <row r="169" spans="1:123" ht="88.7" x14ac:dyDescent="0.25">
      <c r="A169" s="15"/>
      <c r="B169" s="84"/>
      <c r="C169" s="84"/>
      <c r="D169" s="89"/>
      <c r="E169" s="402"/>
      <c r="F169" s="403"/>
      <c r="G169" s="84"/>
      <c r="H169" s="403"/>
      <c r="I169" s="403"/>
      <c r="J169" s="84"/>
      <c r="K169" s="84"/>
      <c r="L169" s="84"/>
      <c r="M169" s="84"/>
      <c r="N169" s="84"/>
      <c r="O169" s="84"/>
      <c r="P169" s="84"/>
      <c r="Q169" s="84"/>
      <c r="R169" s="84"/>
      <c r="S169" s="84"/>
      <c r="T169" s="84"/>
      <c r="U169" s="84"/>
      <c r="V169" s="84"/>
      <c r="W169" s="84"/>
      <c r="X169" s="84"/>
      <c r="Y169" s="84"/>
      <c r="Z169" s="84"/>
      <c r="AA169" s="2049">
        <v>12</v>
      </c>
      <c r="AB169" s="2036" t="str">
        <f t="shared" si="20"/>
        <v>hens</v>
      </c>
      <c r="AC169" s="2041" t="s">
        <v>1039</v>
      </c>
      <c r="AD169" s="2042" t="s">
        <v>1364</v>
      </c>
      <c r="AE169" s="2042" t="s">
        <v>739</v>
      </c>
      <c r="AF169" s="2042" t="s">
        <v>741</v>
      </c>
      <c r="AG169" s="2042" t="s">
        <v>741</v>
      </c>
      <c r="AH169" s="2042" t="s">
        <v>858</v>
      </c>
      <c r="AI169" s="2042" t="s">
        <v>346</v>
      </c>
      <c r="AJ169" s="2042" t="s">
        <v>943</v>
      </c>
      <c r="AK169" s="2042" t="s">
        <v>943</v>
      </c>
      <c r="AL169" s="2042" t="s">
        <v>108</v>
      </c>
      <c r="AM169" s="2042" t="s">
        <v>108</v>
      </c>
      <c r="AN169" s="2042" t="s">
        <v>108</v>
      </c>
      <c r="AO169" s="2042" t="s">
        <v>108</v>
      </c>
      <c r="AP169" s="2042" t="s">
        <v>429</v>
      </c>
      <c r="AQ169" s="2042" t="s">
        <v>1047</v>
      </c>
      <c r="AR169" s="2042" t="s">
        <v>108</v>
      </c>
      <c r="AS169" s="2042" t="s">
        <v>108</v>
      </c>
      <c r="AT169" s="2043" t="s">
        <v>1658</v>
      </c>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c r="BR169" s="13"/>
      <c r="BS169" s="13"/>
      <c r="BT169" s="13"/>
      <c r="BU169" s="13"/>
      <c r="BV169" s="13"/>
      <c r="BW169" s="15"/>
      <c r="BX169" s="15"/>
      <c r="BY169" s="13"/>
      <c r="BZ169" s="13"/>
      <c r="CV169" s="15"/>
      <c r="CW169" s="15"/>
      <c r="CX169" s="15"/>
      <c r="CY169" s="15"/>
      <c r="CZ169" s="15"/>
      <c r="DA169" s="15"/>
      <c r="DB169" s="15"/>
      <c r="DC169" s="15"/>
      <c r="DD169" s="15"/>
      <c r="DE169" s="15"/>
      <c r="DF169" s="15"/>
      <c r="DG169" s="15"/>
      <c r="DH169" s="15"/>
      <c r="DI169" s="15"/>
      <c r="DJ169" s="15"/>
      <c r="DK169" s="15"/>
      <c r="DL169" s="15"/>
      <c r="DM169" s="15"/>
      <c r="DN169" s="15"/>
      <c r="DO169" s="15"/>
      <c r="DP169" s="15"/>
      <c r="DQ169" s="15"/>
      <c r="DR169" s="15"/>
      <c r="DS169" s="15"/>
    </row>
    <row r="170" spans="1:123" ht="88.7" x14ac:dyDescent="0.25">
      <c r="A170" s="15"/>
      <c r="B170" s="84"/>
      <c r="C170" s="84"/>
      <c r="D170" s="89"/>
      <c r="E170" s="402"/>
      <c r="F170" s="403"/>
      <c r="G170" s="84"/>
      <c r="H170" s="403"/>
      <c r="I170" s="403"/>
      <c r="J170" s="84"/>
      <c r="K170" s="84"/>
      <c r="L170" s="84"/>
      <c r="M170" s="84"/>
      <c r="N170" s="84"/>
      <c r="O170" s="84"/>
      <c r="P170" s="84"/>
      <c r="Q170" s="84"/>
      <c r="R170" s="84"/>
      <c r="S170" s="84"/>
      <c r="T170" s="84"/>
      <c r="U170" s="84"/>
      <c r="V170" s="84"/>
      <c r="W170" s="84"/>
      <c r="X170" s="84"/>
      <c r="Y170" s="84"/>
      <c r="Z170" s="84"/>
      <c r="AA170" s="2049">
        <v>13</v>
      </c>
      <c r="AB170" s="2036" t="str">
        <f t="shared" si="20"/>
        <v>pullets</v>
      </c>
      <c r="AC170" s="2041" t="s">
        <v>1039</v>
      </c>
      <c r="AD170" s="2042" t="s">
        <v>1364</v>
      </c>
      <c r="AE170" s="2042" t="s">
        <v>739</v>
      </c>
      <c r="AF170" s="2042" t="s">
        <v>741</v>
      </c>
      <c r="AG170" s="2042" t="s">
        <v>741</v>
      </c>
      <c r="AH170" s="2042" t="s">
        <v>858</v>
      </c>
      <c r="AI170" s="2042" t="s">
        <v>346</v>
      </c>
      <c r="AJ170" s="2042" t="s">
        <v>943</v>
      </c>
      <c r="AK170" s="2042" t="s">
        <v>943</v>
      </c>
      <c r="AL170" s="2042" t="s">
        <v>108</v>
      </c>
      <c r="AM170" s="2042" t="s">
        <v>108</v>
      </c>
      <c r="AN170" s="2042" t="s">
        <v>108</v>
      </c>
      <c r="AO170" s="2042" t="s">
        <v>108</v>
      </c>
      <c r="AP170" s="2042" t="s">
        <v>429</v>
      </c>
      <c r="AQ170" s="2042" t="s">
        <v>1047</v>
      </c>
      <c r="AR170" s="2042" t="s">
        <v>108</v>
      </c>
      <c r="AS170" s="2042" t="s">
        <v>108</v>
      </c>
      <c r="AT170" s="2043" t="s">
        <v>1658</v>
      </c>
      <c r="AU170" s="13"/>
      <c r="AV170" s="13"/>
      <c r="AW170" s="60"/>
      <c r="AX170" s="60"/>
      <c r="AY170" s="60"/>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c r="BV170" s="13"/>
      <c r="BW170" s="15"/>
      <c r="BX170" s="15"/>
      <c r="BY170" s="13"/>
      <c r="BZ170" s="13"/>
      <c r="CV170" s="15"/>
      <c r="CW170" s="15"/>
      <c r="CX170" s="15"/>
      <c r="CY170" s="15"/>
      <c r="CZ170" s="15"/>
      <c r="DA170" s="15"/>
      <c r="DB170" s="15"/>
      <c r="DC170" s="15"/>
      <c r="DD170" s="15"/>
      <c r="DE170" s="15"/>
      <c r="DF170" s="15"/>
      <c r="DG170" s="15"/>
      <c r="DH170" s="15"/>
      <c r="DI170" s="15"/>
      <c r="DJ170" s="15"/>
      <c r="DK170" s="15"/>
      <c r="DL170" s="15"/>
      <c r="DM170" s="15"/>
      <c r="DN170" s="15"/>
      <c r="DO170" s="15"/>
      <c r="DP170" s="15"/>
      <c r="DQ170" s="15"/>
      <c r="DR170" s="15"/>
      <c r="DS170" s="15"/>
    </row>
    <row r="171" spans="1:123" ht="88.7" x14ac:dyDescent="0.25">
      <c r="A171" s="15"/>
      <c r="B171" s="84"/>
      <c r="C171" s="84"/>
      <c r="D171" s="89"/>
      <c r="E171" s="402"/>
      <c r="F171" s="403"/>
      <c r="G171" s="84"/>
      <c r="H171" s="403"/>
      <c r="I171" s="403"/>
      <c r="J171" s="84"/>
      <c r="K171" s="84"/>
      <c r="L171" s="84"/>
      <c r="M171" s="84"/>
      <c r="N171" s="84"/>
      <c r="O171" s="84"/>
      <c r="P171" s="84"/>
      <c r="Q171" s="84"/>
      <c r="R171" s="84"/>
      <c r="S171" s="84"/>
      <c r="T171" s="84"/>
      <c r="U171" s="84"/>
      <c r="V171" s="84"/>
      <c r="W171" s="84"/>
      <c r="X171" s="84"/>
      <c r="Y171" s="84"/>
      <c r="Z171" s="84"/>
      <c r="AA171" s="2049">
        <v>14</v>
      </c>
      <c r="AB171" s="2036" t="str">
        <f t="shared" si="20"/>
        <v>turkeys</v>
      </c>
      <c r="AC171" s="2041" t="s">
        <v>1039</v>
      </c>
      <c r="AD171" s="2042" t="s">
        <v>1364</v>
      </c>
      <c r="AE171" s="2042" t="s">
        <v>739</v>
      </c>
      <c r="AF171" s="2042" t="s">
        <v>741</v>
      </c>
      <c r="AG171" s="2042" t="s">
        <v>741</v>
      </c>
      <c r="AH171" s="2042" t="s">
        <v>858</v>
      </c>
      <c r="AI171" s="2042" t="s">
        <v>346</v>
      </c>
      <c r="AJ171" s="2042" t="s">
        <v>943</v>
      </c>
      <c r="AK171" s="2042" t="s">
        <v>943</v>
      </c>
      <c r="AL171" s="2042" t="s">
        <v>108</v>
      </c>
      <c r="AM171" s="2042" t="s">
        <v>108</v>
      </c>
      <c r="AN171" s="2042" t="s">
        <v>108</v>
      </c>
      <c r="AO171" s="2042" t="s">
        <v>108</v>
      </c>
      <c r="AP171" s="2042" t="s">
        <v>429</v>
      </c>
      <c r="AQ171" s="2042" t="s">
        <v>1047</v>
      </c>
      <c r="AR171" s="2042" t="s">
        <v>108</v>
      </c>
      <c r="AS171" s="2042" t="s">
        <v>108</v>
      </c>
      <c r="AT171" s="2043" t="s">
        <v>1658</v>
      </c>
      <c r="AU171" s="13"/>
      <c r="AV171" s="13"/>
      <c r="AW171" s="60"/>
      <c r="AX171" s="60"/>
      <c r="AY171" s="60"/>
      <c r="AZ171" s="13"/>
      <c r="BA171" s="13"/>
      <c r="BB171" s="13"/>
      <c r="BC171" s="13"/>
      <c r="BD171" s="13"/>
      <c r="BE171" s="13"/>
      <c r="BF171" s="13"/>
      <c r="BG171" s="13"/>
      <c r="BH171" s="13"/>
      <c r="BI171" s="13"/>
      <c r="BJ171" s="13"/>
      <c r="BK171" s="13"/>
      <c r="BL171" s="13"/>
      <c r="BM171" s="13"/>
      <c r="BN171" s="13"/>
      <c r="BO171" s="13"/>
      <c r="BP171" s="13"/>
      <c r="BQ171" s="13"/>
      <c r="BR171" s="13"/>
      <c r="BS171" s="13"/>
      <c r="BT171" s="13"/>
      <c r="BU171" s="13"/>
      <c r="BV171" s="13"/>
      <c r="BW171" s="15"/>
      <c r="BX171" s="15"/>
      <c r="BY171" s="13"/>
      <c r="BZ171" s="13"/>
      <c r="CV171" s="15"/>
      <c r="CW171" s="15"/>
      <c r="CX171" s="15"/>
      <c r="CY171" s="15"/>
      <c r="CZ171" s="15"/>
      <c r="DA171" s="15"/>
      <c r="DB171" s="15"/>
      <c r="DC171" s="15"/>
      <c r="DD171" s="15"/>
      <c r="DE171" s="15"/>
      <c r="DF171" s="15"/>
      <c r="DG171" s="15"/>
      <c r="DH171" s="15"/>
      <c r="DI171" s="15"/>
      <c r="DJ171" s="15"/>
      <c r="DK171" s="15"/>
      <c r="DL171" s="15"/>
      <c r="DM171" s="15"/>
      <c r="DN171" s="15"/>
      <c r="DO171" s="15"/>
      <c r="DP171" s="15"/>
      <c r="DQ171" s="15"/>
      <c r="DR171" s="15"/>
      <c r="DS171" s="15"/>
    </row>
    <row r="172" spans="1:123" ht="89.3" thickBot="1" x14ac:dyDescent="0.3">
      <c r="A172" s="15"/>
      <c r="B172" s="84"/>
      <c r="C172" s="84"/>
      <c r="D172" s="89"/>
      <c r="E172" s="402"/>
      <c r="F172" s="403"/>
      <c r="G172" s="84"/>
      <c r="H172" s="403"/>
      <c r="I172" s="403"/>
      <c r="J172" s="84"/>
      <c r="K172" s="84"/>
      <c r="L172" s="84"/>
      <c r="M172" s="84"/>
      <c r="N172" s="84"/>
      <c r="O172" s="84"/>
      <c r="P172" s="84"/>
      <c r="Q172" s="84"/>
      <c r="R172" s="84"/>
      <c r="S172" s="84"/>
      <c r="T172" s="84"/>
      <c r="U172" s="84"/>
      <c r="V172" s="84"/>
      <c r="W172" s="84"/>
      <c r="X172" s="84"/>
      <c r="Y172" s="84"/>
      <c r="Z172" s="84"/>
      <c r="AA172" s="2049">
        <v>15</v>
      </c>
      <c r="AB172" s="2036" t="str">
        <f t="shared" si="20"/>
        <v>ducks</v>
      </c>
      <c r="AC172" s="2044" t="s">
        <v>1039</v>
      </c>
      <c r="AD172" s="2045" t="s">
        <v>1364</v>
      </c>
      <c r="AE172" s="2045" t="s">
        <v>739</v>
      </c>
      <c r="AF172" s="2045" t="s">
        <v>741</v>
      </c>
      <c r="AG172" s="2045" t="s">
        <v>741</v>
      </c>
      <c r="AH172" s="2045" t="s">
        <v>858</v>
      </c>
      <c r="AI172" s="2045" t="s">
        <v>346</v>
      </c>
      <c r="AJ172" s="2045" t="s">
        <v>943</v>
      </c>
      <c r="AK172" s="2045" t="s">
        <v>943</v>
      </c>
      <c r="AL172" s="2045" t="s">
        <v>108</v>
      </c>
      <c r="AM172" s="2045" t="s">
        <v>108</v>
      </c>
      <c r="AN172" s="2045" t="s">
        <v>108</v>
      </c>
      <c r="AO172" s="2045" t="s">
        <v>108</v>
      </c>
      <c r="AP172" s="2045" t="s">
        <v>429</v>
      </c>
      <c r="AQ172" s="2045" t="s">
        <v>1047</v>
      </c>
      <c r="AR172" s="2045" t="s">
        <v>108</v>
      </c>
      <c r="AS172" s="2045" t="s">
        <v>108</v>
      </c>
      <c r="AT172" s="2046" t="s">
        <v>1658</v>
      </c>
      <c r="AU172" s="13"/>
      <c r="AV172" s="13"/>
      <c r="AW172" s="60"/>
      <c r="AX172" s="60"/>
      <c r="AY172" s="60"/>
      <c r="AZ172" s="13"/>
      <c r="BA172" s="13"/>
      <c r="BB172" s="13"/>
      <c r="BC172" s="13"/>
      <c r="BD172" s="13"/>
      <c r="BE172" s="13"/>
      <c r="BF172" s="13"/>
      <c r="BG172" s="13"/>
      <c r="BH172" s="13"/>
      <c r="BI172" s="13"/>
      <c r="BJ172" s="13"/>
      <c r="BK172" s="13"/>
      <c r="BL172" s="13"/>
      <c r="BM172" s="13"/>
      <c r="BN172" s="13"/>
      <c r="BO172" s="13"/>
      <c r="BP172" s="13"/>
      <c r="BQ172" s="13"/>
      <c r="BR172" s="13"/>
      <c r="BS172" s="13"/>
      <c r="BT172" s="13"/>
      <c r="BU172" s="13"/>
      <c r="BV172" s="13"/>
      <c r="BW172" s="15"/>
      <c r="BX172" s="15"/>
      <c r="BY172" s="13"/>
      <c r="BZ172" s="13"/>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row>
    <row r="173" spans="1:123" x14ac:dyDescent="0.25">
      <c r="A173" s="15"/>
      <c r="B173" s="84"/>
      <c r="C173" s="84"/>
      <c r="D173" s="89"/>
      <c r="E173" s="402"/>
      <c r="F173" s="403"/>
      <c r="G173" s="84"/>
      <c r="H173" s="403"/>
      <c r="I173" s="403"/>
      <c r="J173" s="84"/>
      <c r="K173" s="84"/>
      <c r="L173" s="84"/>
      <c r="M173" s="84"/>
      <c r="N173" s="84"/>
      <c r="O173" s="84"/>
      <c r="P173" s="84"/>
      <c r="Q173" s="84"/>
      <c r="R173" s="84"/>
      <c r="S173" s="84"/>
      <c r="T173" s="84"/>
      <c r="U173" s="84"/>
      <c r="V173" s="84"/>
      <c r="W173" s="84"/>
      <c r="X173" s="84"/>
      <c r="Y173" s="84"/>
      <c r="Z173" s="84"/>
      <c r="AA173" s="121"/>
      <c r="AB173" s="25"/>
      <c r="AC173" s="25"/>
      <c r="AD173" s="25"/>
      <c r="AE173" s="25"/>
      <c r="AF173" s="25"/>
      <c r="AG173" s="25"/>
      <c r="AH173" s="25"/>
      <c r="AI173" s="25"/>
      <c r="AJ173" s="25"/>
      <c r="AK173" s="25"/>
      <c r="AL173" s="25"/>
      <c r="AM173" s="25"/>
      <c r="AN173" s="25"/>
      <c r="AO173" s="25"/>
      <c r="AP173" s="25"/>
      <c r="AQ173" s="25"/>
      <c r="AR173" s="25"/>
      <c r="AS173" s="25"/>
      <c r="AT173" s="343"/>
      <c r="AU173" s="13"/>
      <c r="AV173" s="13"/>
      <c r="AW173" s="60"/>
      <c r="AX173" s="60"/>
      <c r="AY173" s="60"/>
      <c r="AZ173" s="13"/>
      <c r="BA173" s="13"/>
      <c r="BB173" s="13"/>
      <c r="BC173" s="13"/>
      <c r="BD173" s="13"/>
      <c r="BE173" s="13"/>
      <c r="BF173" s="13"/>
      <c r="BG173" s="13"/>
      <c r="BH173" s="13"/>
      <c r="BI173" s="13"/>
      <c r="BJ173" s="13"/>
      <c r="BK173" s="13"/>
      <c r="BL173" s="13"/>
      <c r="BM173" s="13"/>
      <c r="BN173" s="13"/>
      <c r="BO173" s="13"/>
      <c r="BP173" s="13"/>
      <c r="BQ173" s="13"/>
      <c r="BR173" s="13"/>
      <c r="BS173" s="13"/>
      <c r="BT173" s="13"/>
      <c r="BU173" s="13"/>
      <c r="BV173" s="13"/>
      <c r="BW173" s="15"/>
      <c r="BX173" s="15"/>
      <c r="BY173" s="13"/>
      <c r="BZ173" s="13"/>
      <c r="CV173" s="15"/>
      <c r="CW173" s="15"/>
      <c r="CX173" s="15"/>
      <c r="CY173" s="15"/>
      <c r="CZ173" s="15"/>
      <c r="DA173" s="15"/>
      <c r="DB173" s="15"/>
      <c r="DC173" s="15"/>
      <c r="DD173" s="15"/>
      <c r="DE173" s="15"/>
      <c r="DF173" s="15"/>
      <c r="DG173" s="15"/>
      <c r="DH173" s="15"/>
      <c r="DI173" s="15"/>
      <c r="DJ173" s="15"/>
      <c r="DK173" s="15"/>
      <c r="DL173" s="15"/>
      <c r="DM173" s="15"/>
      <c r="DN173" s="15"/>
      <c r="DO173" s="15"/>
      <c r="DP173" s="15"/>
      <c r="DQ173" s="15"/>
      <c r="DR173" s="15"/>
      <c r="DS173" s="15"/>
    </row>
    <row r="174" spans="1:123" x14ac:dyDescent="0.25">
      <c r="A174" s="15"/>
      <c r="B174" s="84"/>
      <c r="C174" s="84"/>
      <c r="D174" s="89"/>
      <c r="E174" s="402"/>
      <c r="F174" s="403"/>
      <c r="G174" s="84"/>
      <c r="H174" s="403"/>
      <c r="I174" s="403"/>
      <c r="J174" s="84"/>
      <c r="K174" s="84"/>
      <c r="L174" s="84"/>
      <c r="M174" s="84"/>
      <c r="N174" s="84"/>
      <c r="O174" s="84"/>
      <c r="P174" s="84"/>
      <c r="Q174" s="84"/>
      <c r="R174" s="84"/>
      <c r="S174" s="84"/>
      <c r="T174" s="84"/>
      <c r="U174" s="84"/>
      <c r="V174" s="84"/>
      <c r="W174" s="84"/>
      <c r="X174" s="84"/>
      <c r="Y174" s="84"/>
      <c r="Z174" s="84"/>
      <c r="AA174" s="121"/>
      <c r="AB174" s="25"/>
      <c r="AC174" s="25"/>
      <c r="AD174" s="25"/>
      <c r="AE174" s="25"/>
      <c r="AF174" s="25"/>
      <c r="AG174" s="25"/>
      <c r="AH174" s="25"/>
      <c r="AI174" s="25"/>
      <c r="AJ174" s="25"/>
      <c r="AK174" s="25"/>
      <c r="AL174" s="25"/>
      <c r="AM174" s="25"/>
      <c r="AN174" s="25"/>
      <c r="AO174" s="25"/>
      <c r="AP174" s="25"/>
      <c r="AQ174" s="25"/>
      <c r="AR174" s="25"/>
      <c r="AS174" s="25"/>
      <c r="AT174" s="343"/>
      <c r="AU174" s="13"/>
      <c r="AV174" s="13"/>
      <c r="AW174" s="60"/>
      <c r="AX174" s="60"/>
      <c r="AY174" s="60"/>
      <c r="AZ174" s="13"/>
      <c r="BA174" s="13"/>
      <c r="BB174" s="13"/>
      <c r="BC174" s="13"/>
      <c r="BD174" s="13"/>
      <c r="BE174" s="13"/>
      <c r="BF174" s="13"/>
      <c r="BG174" s="13"/>
      <c r="BH174" s="13"/>
      <c r="BI174" s="13"/>
      <c r="BJ174" s="13"/>
      <c r="BK174" s="13"/>
      <c r="BL174" s="13"/>
      <c r="BM174" s="13"/>
      <c r="BN174" s="13"/>
      <c r="BO174" s="13"/>
      <c r="BP174" s="13"/>
      <c r="BQ174" s="13"/>
      <c r="BR174" s="13"/>
      <c r="BS174" s="13"/>
      <c r="BT174" s="13"/>
      <c r="BU174" s="13"/>
      <c r="BV174" s="13"/>
      <c r="BW174" s="15"/>
      <c r="BX174" s="15"/>
      <c r="BY174" s="13"/>
      <c r="BZ174" s="13"/>
      <c r="CV174" s="15"/>
      <c r="CW174" s="15"/>
      <c r="CX174" s="15"/>
      <c r="CY174" s="15"/>
      <c r="CZ174" s="15"/>
      <c r="DA174" s="15"/>
      <c r="DB174" s="15"/>
      <c r="DC174" s="15"/>
      <c r="DD174" s="15"/>
      <c r="DE174" s="15"/>
      <c r="DF174" s="15"/>
      <c r="DG174" s="15"/>
      <c r="DH174" s="15"/>
      <c r="DI174" s="15"/>
      <c r="DJ174" s="15"/>
      <c r="DK174" s="15"/>
      <c r="DL174" s="15"/>
      <c r="DM174" s="15"/>
      <c r="DN174" s="15"/>
      <c r="DO174" s="15"/>
      <c r="DP174" s="15"/>
      <c r="DQ174" s="15"/>
      <c r="DR174" s="15"/>
      <c r="DS174" s="15"/>
    </row>
    <row r="175" spans="1:123" x14ac:dyDescent="0.25">
      <c r="A175" s="15"/>
      <c r="B175" s="84"/>
      <c r="C175" s="84"/>
      <c r="D175" s="89"/>
      <c r="E175" s="402"/>
      <c r="F175" s="403"/>
      <c r="G175" s="84"/>
      <c r="H175" s="403"/>
      <c r="I175" s="403"/>
      <c r="J175" s="84"/>
      <c r="K175" s="84"/>
      <c r="L175" s="84"/>
      <c r="M175" s="84"/>
      <c r="N175" s="84"/>
      <c r="O175" s="84"/>
      <c r="P175" s="84"/>
      <c r="Q175" s="84"/>
      <c r="R175" s="84"/>
      <c r="S175" s="84"/>
      <c r="T175" s="84"/>
      <c r="U175" s="84"/>
      <c r="V175" s="84"/>
      <c r="W175" s="84"/>
      <c r="X175" s="84"/>
      <c r="Y175" s="84"/>
      <c r="Z175" s="84"/>
      <c r="AA175" s="121"/>
      <c r="AB175" s="25"/>
      <c r="AC175" s="25"/>
      <c r="AD175" s="25"/>
      <c r="AE175" s="25"/>
      <c r="AF175" s="25"/>
      <c r="AG175" s="25"/>
      <c r="AH175" s="25"/>
      <c r="AI175" s="25"/>
      <c r="AJ175" s="25"/>
      <c r="AK175" s="25"/>
      <c r="AL175" s="25"/>
      <c r="AM175" s="25"/>
      <c r="AN175" s="25"/>
      <c r="AO175" s="25"/>
      <c r="AP175" s="25"/>
      <c r="AQ175" s="25"/>
      <c r="AR175" s="25"/>
      <c r="AS175" s="25"/>
      <c r="AT175" s="343"/>
      <c r="AU175" s="13"/>
      <c r="AV175" s="13"/>
      <c r="AW175" s="60"/>
      <c r="AX175" s="60"/>
      <c r="AY175" s="60"/>
      <c r="AZ175" s="13"/>
      <c r="BA175" s="13"/>
      <c r="BB175" s="13"/>
      <c r="BC175" s="13"/>
      <c r="BD175" s="13"/>
      <c r="BE175" s="13"/>
      <c r="BF175" s="13"/>
      <c r="BG175" s="13"/>
      <c r="BH175" s="13"/>
      <c r="BI175" s="13"/>
      <c r="BJ175" s="13"/>
      <c r="BK175" s="13"/>
      <c r="BL175" s="13"/>
      <c r="BM175" s="13"/>
      <c r="BN175" s="13"/>
      <c r="BO175" s="13"/>
      <c r="BP175" s="13"/>
      <c r="BQ175" s="13"/>
      <c r="BR175" s="13"/>
      <c r="BS175" s="13"/>
      <c r="BT175" s="13"/>
      <c r="BU175" s="13"/>
      <c r="BV175" s="13"/>
      <c r="BW175" s="15"/>
      <c r="BX175" s="15"/>
      <c r="BY175" s="13"/>
      <c r="BZ175" s="13"/>
      <c r="CV175" s="15"/>
      <c r="CW175" s="15"/>
      <c r="CX175" s="15"/>
      <c r="CY175" s="15"/>
      <c r="CZ175" s="15"/>
      <c r="DA175" s="15"/>
      <c r="DB175" s="15"/>
      <c r="DC175" s="15"/>
      <c r="DD175" s="15"/>
      <c r="DE175" s="15"/>
      <c r="DF175" s="15"/>
      <c r="DG175" s="15"/>
      <c r="DH175" s="15"/>
      <c r="DI175" s="15"/>
      <c r="DJ175" s="15"/>
      <c r="DK175" s="15"/>
      <c r="DL175" s="15"/>
      <c r="DM175" s="15"/>
      <c r="DN175" s="15"/>
      <c r="DO175" s="15"/>
      <c r="DP175" s="15"/>
      <c r="DQ175" s="15"/>
      <c r="DR175" s="15"/>
      <c r="DS175" s="15"/>
    </row>
    <row r="176" spans="1:123" x14ac:dyDescent="0.25">
      <c r="A176" s="15"/>
      <c r="B176" s="84"/>
      <c r="C176" s="84"/>
      <c r="D176" s="89"/>
      <c r="E176" s="402"/>
      <c r="F176" s="403"/>
      <c r="G176" s="84"/>
      <c r="H176" s="403"/>
      <c r="I176" s="403"/>
      <c r="J176" s="84"/>
      <c r="K176" s="84"/>
      <c r="L176" s="84"/>
      <c r="M176" s="84"/>
      <c r="N176" s="84"/>
      <c r="O176" s="84"/>
      <c r="P176" s="84"/>
      <c r="Q176" s="84"/>
      <c r="R176" s="84"/>
      <c r="S176" s="84"/>
      <c r="T176" s="84"/>
      <c r="U176" s="84"/>
      <c r="V176" s="84"/>
      <c r="W176" s="84"/>
      <c r="X176" s="84"/>
      <c r="Y176" s="84"/>
      <c r="Z176" s="84"/>
      <c r="AA176" s="121"/>
      <c r="AB176" s="25"/>
      <c r="AC176" s="25"/>
      <c r="AD176" s="25"/>
      <c r="AE176" s="25"/>
      <c r="AF176" s="25"/>
      <c r="AG176" s="25"/>
      <c r="AH176" s="25"/>
      <c r="AI176" s="25"/>
      <c r="AJ176" s="25"/>
      <c r="AK176" s="25"/>
      <c r="AL176" s="25"/>
      <c r="AM176" s="25"/>
      <c r="AN176" s="25"/>
      <c r="AO176" s="25"/>
      <c r="AP176" s="25"/>
      <c r="AQ176" s="25"/>
      <c r="AR176" s="25"/>
      <c r="AS176" s="25"/>
      <c r="AT176" s="343"/>
      <c r="AU176" s="13"/>
      <c r="AV176" s="13"/>
      <c r="AW176" s="60"/>
      <c r="AX176" s="60"/>
      <c r="AY176" s="60"/>
      <c r="AZ176" s="13"/>
      <c r="BA176" s="13"/>
      <c r="BB176" s="13"/>
      <c r="BC176" s="13"/>
      <c r="BD176" s="13"/>
      <c r="BE176" s="13"/>
      <c r="BF176" s="13"/>
      <c r="BG176" s="13"/>
      <c r="BH176" s="13"/>
      <c r="BI176" s="13"/>
      <c r="BJ176" s="13"/>
      <c r="BK176" s="13"/>
      <c r="BL176" s="13"/>
      <c r="BM176" s="13"/>
      <c r="BN176" s="13"/>
      <c r="BO176" s="13"/>
      <c r="BP176" s="13"/>
      <c r="BQ176" s="13"/>
      <c r="BR176" s="13"/>
      <c r="BS176" s="13"/>
      <c r="BT176" s="13"/>
      <c r="BU176" s="13"/>
      <c r="BV176" s="13"/>
      <c r="BW176" s="15"/>
      <c r="BX176" s="15"/>
      <c r="BY176" s="13"/>
      <c r="BZ176" s="13"/>
      <c r="CV176" s="15"/>
      <c r="CW176" s="15"/>
      <c r="CX176" s="15"/>
      <c r="CY176" s="15"/>
      <c r="CZ176" s="15"/>
      <c r="DA176" s="15"/>
      <c r="DB176" s="15"/>
      <c r="DC176" s="15"/>
      <c r="DD176" s="15"/>
      <c r="DE176" s="15"/>
      <c r="DF176" s="15"/>
      <c r="DG176" s="15"/>
      <c r="DH176" s="15"/>
      <c r="DI176" s="15"/>
      <c r="DJ176" s="15"/>
      <c r="DK176" s="15"/>
      <c r="DL176" s="15"/>
      <c r="DM176" s="15"/>
      <c r="DN176" s="15"/>
      <c r="DO176" s="15"/>
      <c r="DP176" s="15"/>
      <c r="DQ176" s="15"/>
      <c r="DR176" s="15"/>
      <c r="DS176" s="15"/>
    </row>
    <row r="177" spans="1:123" x14ac:dyDescent="0.25">
      <c r="A177" s="15"/>
      <c r="B177" s="84"/>
      <c r="C177" s="84"/>
      <c r="D177" s="89"/>
      <c r="E177" s="402"/>
      <c r="F177" s="403"/>
      <c r="G177" s="84"/>
      <c r="H177" s="403"/>
      <c r="I177" s="403"/>
      <c r="J177" s="84"/>
      <c r="K177" s="84"/>
      <c r="L177" s="84"/>
      <c r="M177" s="84"/>
      <c r="N177" s="84"/>
      <c r="O177" s="84"/>
      <c r="P177" s="84"/>
      <c r="Q177" s="84"/>
      <c r="R177" s="84"/>
      <c r="S177" s="84"/>
      <c r="T177" s="84"/>
      <c r="U177" s="84"/>
      <c r="V177" s="84"/>
      <c r="W177" s="84"/>
      <c r="X177" s="84"/>
      <c r="Y177" s="84"/>
      <c r="Z177" s="84"/>
      <c r="AA177" s="121"/>
      <c r="AB177" s="25"/>
      <c r="AC177" s="25"/>
      <c r="AD177" s="25"/>
      <c r="AE177" s="25"/>
      <c r="AF177" s="25"/>
      <c r="AG177" s="25"/>
      <c r="AH177" s="25"/>
      <c r="AI177" s="25"/>
      <c r="AJ177" s="25"/>
      <c r="AK177" s="25"/>
      <c r="AL177" s="25"/>
      <c r="AM177" s="25"/>
      <c r="AN177" s="25"/>
      <c r="AO177" s="25"/>
      <c r="AP177" s="25"/>
      <c r="AQ177" s="25"/>
      <c r="AR177" s="25"/>
      <c r="AS177" s="25"/>
      <c r="AT177" s="343"/>
      <c r="AU177" s="13"/>
      <c r="AV177" s="13"/>
      <c r="AW177" s="60"/>
      <c r="AX177" s="60"/>
      <c r="AY177" s="60"/>
      <c r="AZ177" s="13"/>
      <c r="BA177" s="13"/>
      <c r="BB177" s="13"/>
      <c r="BC177" s="13"/>
      <c r="BD177" s="13"/>
      <c r="BE177" s="13"/>
      <c r="BF177" s="13"/>
      <c r="BG177" s="13"/>
      <c r="BH177" s="13"/>
      <c r="BI177" s="13"/>
      <c r="BJ177" s="13"/>
      <c r="BK177" s="13"/>
      <c r="BL177" s="13"/>
      <c r="BM177" s="13"/>
      <c r="BN177" s="13"/>
      <c r="BO177" s="13"/>
      <c r="BP177" s="13"/>
      <c r="BQ177" s="13"/>
      <c r="BR177" s="13"/>
      <c r="BS177" s="13"/>
      <c r="BT177" s="13"/>
      <c r="BU177" s="13"/>
      <c r="BV177" s="13"/>
      <c r="BW177" s="15"/>
      <c r="BX177" s="15"/>
      <c r="BY177" s="13"/>
      <c r="BZ177" s="13"/>
      <c r="CV177" s="15"/>
      <c r="CW177" s="15"/>
      <c r="CX177" s="15"/>
      <c r="CY177" s="15"/>
      <c r="CZ177" s="15"/>
      <c r="DA177" s="15"/>
      <c r="DB177" s="15"/>
      <c r="DC177" s="15"/>
      <c r="DD177" s="15"/>
      <c r="DE177" s="15"/>
      <c r="DF177" s="15"/>
      <c r="DG177" s="15"/>
      <c r="DH177" s="15"/>
      <c r="DI177" s="15"/>
      <c r="DJ177" s="15"/>
      <c r="DK177" s="15"/>
      <c r="DL177" s="15"/>
      <c r="DM177" s="15"/>
      <c r="DN177" s="15"/>
      <c r="DO177" s="15"/>
      <c r="DP177" s="15"/>
      <c r="DQ177" s="15"/>
      <c r="DR177" s="15"/>
      <c r="DS177" s="15"/>
    </row>
    <row r="178" spans="1:123" x14ac:dyDescent="0.25">
      <c r="A178" s="15"/>
      <c r="B178" s="84"/>
      <c r="C178" s="84"/>
      <c r="D178" s="89"/>
      <c r="E178" s="402"/>
      <c r="F178" s="403"/>
      <c r="G178" s="84"/>
      <c r="H178" s="403"/>
      <c r="I178" s="403"/>
      <c r="J178" s="84"/>
      <c r="K178" s="84"/>
      <c r="L178" s="84"/>
      <c r="M178" s="84"/>
      <c r="N178" s="84"/>
      <c r="O178" s="84"/>
      <c r="P178" s="84"/>
      <c r="Q178" s="84"/>
      <c r="R178" s="84"/>
      <c r="S178" s="84"/>
      <c r="T178" s="84"/>
      <c r="U178" s="84"/>
      <c r="V178" s="84"/>
      <c r="W178" s="84"/>
      <c r="X178" s="84"/>
      <c r="Y178" s="84"/>
      <c r="Z178" s="84"/>
      <c r="AA178" s="121"/>
      <c r="AB178" s="25"/>
      <c r="AC178" s="25"/>
      <c r="AD178" s="25"/>
      <c r="AE178" s="25"/>
      <c r="AF178" s="25"/>
      <c r="AG178" s="25"/>
      <c r="AH178" s="25"/>
      <c r="AI178" s="25"/>
      <c r="AJ178" s="25"/>
      <c r="AK178" s="25"/>
      <c r="AL178" s="25"/>
      <c r="AM178" s="25"/>
      <c r="AN178" s="25"/>
      <c r="AO178" s="25"/>
      <c r="AP178" s="25"/>
      <c r="AQ178" s="25"/>
      <c r="AR178" s="25"/>
      <c r="AS178" s="25"/>
      <c r="AT178" s="343"/>
      <c r="AU178" s="13"/>
      <c r="AV178" s="13"/>
      <c r="AW178" s="60"/>
      <c r="AX178" s="60"/>
      <c r="AY178" s="60"/>
      <c r="AZ178" s="13"/>
      <c r="BA178" s="13"/>
      <c r="BB178" s="13"/>
      <c r="BC178" s="13"/>
      <c r="BD178" s="13"/>
      <c r="BE178" s="13"/>
      <c r="BF178" s="13"/>
      <c r="BG178" s="13"/>
      <c r="BH178" s="13"/>
      <c r="BI178" s="13"/>
      <c r="BJ178" s="13"/>
      <c r="BK178" s="13"/>
      <c r="BL178" s="13"/>
      <c r="BM178" s="13"/>
      <c r="BN178" s="13"/>
      <c r="BO178" s="13"/>
      <c r="BP178" s="13"/>
      <c r="BQ178" s="13"/>
      <c r="BR178" s="13"/>
      <c r="BS178" s="13"/>
      <c r="BT178" s="13"/>
      <c r="BU178" s="13"/>
      <c r="BV178" s="13"/>
      <c r="BW178" s="15"/>
      <c r="BX178" s="15"/>
      <c r="BY178" s="13"/>
      <c r="BZ178" s="13"/>
      <c r="CV178" s="15"/>
      <c r="CW178" s="15"/>
      <c r="CX178" s="15"/>
      <c r="CY178" s="15"/>
      <c r="CZ178" s="15"/>
      <c r="DA178" s="15"/>
      <c r="DB178" s="15"/>
      <c r="DC178" s="15"/>
      <c r="DD178" s="15"/>
      <c r="DE178" s="15"/>
      <c r="DF178" s="15"/>
      <c r="DG178" s="15"/>
      <c r="DH178" s="15"/>
      <c r="DI178" s="15"/>
      <c r="DJ178" s="15"/>
      <c r="DK178" s="15"/>
      <c r="DL178" s="15"/>
      <c r="DM178" s="15"/>
      <c r="DN178" s="15"/>
      <c r="DO178" s="15"/>
      <c r="DP178" s="15"/>
      <c r="DQ178" s="15"/>
      <c r="DR178" s="15"/>
      <c r="DS178" s="15"/>
    </row>
    <row r="179" spans="1:123" x14ac:dyDescent="0.25">
      <c r="A179" s="15"/>
      <c r="B179" s="84"/>
      <c r="C179" s="84"/>
      <c r="D179" s="89"/>
      <c r="E179" s="402"/>
      <c r="F179" s="403"/>
      <c r="G179" s="84"/>
      <c r="H179" s="403"/>
      <c r="I179" s="403"/>
      <c r="J179" s="84"/>
      <c r="K179" s="84"/>
      <c r="L179" s="84"/>
      <c r="M179" s="84"/>
      <c r="N179" s="84"/>
      <c r="O179" s="84"/>
      <c r="P179" s="84"/>
      <c r="Q179" s="84"/>
      <c r="R179" s="84"/>
      <c r="S179" s="84"/>
      <c r="T179" s="84"/>
      <c r="U179" s="84"/>
      <c r="V179" s="84"/>
      <c r="W179" s="84"/>
      <c r="X179" s="84"/>
      <c r="Y179" s="84"/>
      <c r="Z179" s="84"/>
      <c r="AA179" s="121"/>
      <c r="AB179" s="25"/>
      <c r="AC179" s="25"/>
      <c r="AD179" s="25"/>
      <c r="AE179" s="25"/>
      <c r="AF179" s="25"/>
      <c r="AG179" s="25"/>
      <c r="AH179" s="25"/>
      <c r="AI179" s="25"/>
      <c r="AJ179" s="25"/>
      <c r="AK179" s="25"/>
      <c r="AL179" s="25"/>
      <c r="AM179" s="25"/>
      <c r="AN179" s="25"/>
      <c r="AO179" s="25"/>
      <c r="AP179" s="25"/>
      <c r="AQ179" s="25"/>
      <c r="AR179" s="25"/>
      <c r="AS179" s="25"/>
      <c r="AT179" s="343"/>
      <c r="AU179" s="13"/>
      <c r="AV179" s="13"/>
      <c r="AW179" s="60"/>
      <c r="AX179" s="60"/>
      <c r="AY179" s="60"/>
      <c r="AZ179" s="13"/>
      <c r="BA179" s="13"/>
      <c r="BB179" s="13"/>
      <c r="BC179" s="13"/>
      <c r="BD179" s="13"/>
      <c r="BE179" s="13"/>
      <c r="BF179" s="13"/>
      <c r="BG179" s="13"/>
      <c r="BH179" s="13"/>
      <c r="BI179" s="13"/>
      <c r="BJ179" s="13"/>
      <c r="BK179" s="13"/>
      <c r="BL179" s="13"/>
      <c r="BM179" s="13"/>
      <c r="BN179" s="13"/>
      <c r="BO179" s="13"/>
      <c r="BP179" s="13"/>
      <c r="BQ179" s="13"/>
      <c r="BR179" s="13"/>
      <c r="BS179" s="13"/>
      <c r="BT179" s="13"/>
      <c r="BU179" s="13"/>
      <c r="BV179" s="13"/>
      <c r="BW179" s="15"/>
      <c r="BX179" s="15"/>
      <c r="BY179" s="13"/>
      <c r="BZ179" s="13"/>
      <c r="CV179" s="15"/>
      <c r="CW179" s="15"/>
      <c r="CX179" s="15"/>
      <c r="CY179" s="15"/>
      <c r="CZ179" s="15"/>
      <c r="DA179" s="15"/>
      <c r="DB179" s="15"/>
      <c r="DC179" s="15"/>
      <c r="DD179" s="15"/>
      <c r="DE179" s="15"/>
      <c r="DF179" s="15"/>
      <c r="DG179" s="15"/>
      <c r="DH179" s="15"/>
      <c r="DI179" s="15"/>
      <c r="DJ179" s="15"/>
      <c r="DK179" s="15"/>
      <c r="DL179" s="15"/>
      <c r="DM179" s="15"/>
      <c r="DN179" s="15"/>
      <c r="DO179" s="15"/>
      <c r="DP179" s="15"/>
      <c r="DQ179" s="15"/>
      <c r="DR179" s="15"/>
      <c r="DS179" s="15"/>
    </row>
    <row r="180" spans="1:123" x14ac:dyDescent="0.25">
      <c r="A180" s="15"/>
      <c r="B180" s="84"/>
      <c r="C180" s="84"/>
      <c r="D180" s="89"/>
      <c r="E180" s="402"/>
      <c r="F180" s="403"/>
      <c r="G180" s="84"/>
      <c r="H180" s="403"/>
      <c r="I180" s="403"/>
      <c r="J180" s="84"/>
      <c r="K180" s="84"/>
      <c r="L180" s="84"/>
      <c r="M180" s="84"/>
      <c r="N180" s="84"/>
      <c r="O180" s="84"/>
      <c r="P180" s="84"/>
      <c r="Q180" s="84"/>
      <c r="R180" s="84"/>
      <c r="S180" s="84"/>
      <c r="T180" s="84"/>
      <c r="U180" s="84"/>
      <c r="V180" s="84"/>
      <c r="W180" s="84"/>
      <c r="X180" s="84"/>
      <c r="Y180" s="84"/>
      <c r="Z180" s="84"/>
      <c r="AA180" s="121"/>
      <c r="AB180" s="25"/>
      <c r="AC180" s="25"/>
      <c r="AD180" s="25"/>
      <c r="AE180" s="25"/>
      <c r="AF180" s="25"/>
      <c r="AG180" s="25"/>
      <c r="AH180" s="25"/>
      <c r="AI180" s="25"/>
      <c r="AJ180" s="25"/>
      <c r="AK180" s="25"/>
      <c r="AL180" s="25"/>
      <c r="AM180" s="25"/>
      <c r="AN180" s="25"/>
      <c r="AO180" s="25"/>
      <c r="AP180" s="25"/>
      <c r="AQ180" s="25"/>
      <c r="AR180" s="25"/>
      <c r="AS180" s="25"/>
      <c r="AT180" s="343"/>
      <c r="AU180" s="13"/>
      <c r="AV180" s="13"/>
      <c r="AW180" s="60"/>
      <c r="AX180" s="60"/>
      <c r="AY180" s="60"/>
      <c r="AZ180" s="13"/>
      <c r="BA180" s="13"/>
      <c r="BB180" s="13"/>
      <c r="BC180" s="13"/>
      <c r="BD180" s="13"/>
      <c r="BE180" s="13"/>
      <c r="BF180" s="13"/>
      <c r="BG180" s="13"/>
      <c r="BH180" s="13"/>
      <c r="BI180" s="13"/>
      <c r="BJ180" s="13"/>
      <c r="BK180" s="13"/>
      <c r="BL180" s="13"/>
      <c r="BM180" s="13"/>
      <c r="BN180" s="13"/>
      <c r="BO180" s="13"/>
      <c r="BP180" s="13"/>
      <c r="BQ180" s="13"/>
      <c r="BR180" s="13"/>
      <c r="BS180" s="13"/>
      <c r="BT180" s="13"/>
      <c r="BU180" s="13"/>
      <c r="BV180" s="13"/>
      <c r="BW180" s="15"/>
      <c r="BX180" s="15"/>
      <c r="BY180" s="13"/>
      <c r="BZ180" s="13"/>
      <c r="CV180" s="15"/>
      <c r="CW180" s="15"/>
      <c r="CX180" s="15"/>
      <c r="CY180" s="15"/>
      <c r="CZ180" s="15"/>
      <c r="DA180" s="15"/>
      <c r="DB180" s="15"/>
      <c r="DC180" s="15"/>
      <c r="DD180" s="15"/>
      <c r="DE180" s="15"/>
      <c r="DF180" s="15"/>
      <c r="DG180" s="15"/>
      <c r="DH180" s="15"/>
      <c r="DI180" s="15"/>
      <c r="DJ180" s="15"/>
      <c r="DK180" s="15"/>
      <c r="DL180" s="15"/>
      <c r="DM180" s="15"/>
      <c r="DN180" s="15"/>
      <c r="DO180" s="15"/>
      <c r="DP180" s="15"/>
      <c r="DQ180" s="15"/>
      <c r="DR180" s="15"/>
      <c r="DS180" s="15"/>
    </row>
    <row r="181" spans="1:123" x14ac:dyDescent="0.25">
      <c r="A181" s="15"/>
      <c r="B181" s="84"/>
      <c r="C181" s="84"/>
      <c r="D181" s="89"/>
      <c r="E181" s="402"/>
      <c r="F181" s="403"/>
      <c r="G181" s="84"/>
      <c r="H181" s="403"/>
      <c r="I181" s="403"/>
      <c r="J181" s="84"/>
      <c r="K181" s="84"/>
      <c r="L181" s="84"/>
      <c r="M181" s="84"/>
      <c r="N181" s="84"/>
      <c r="O181" s="84"/>
      <c r="P181" s="84"/>
      <c r="Q181" s="84"/>
      <c r="R181" s="84"/>
      <c r="S181" s="84"/>
      <c r="T181" s="84"/>
      <c r="U181" s="84"/>
      <c r="V181" s="84"/>
      <c r="W181" s="84"/>
      <c r="X181" s="84"/>
      <c r="Y181" s="84"/>
      <c r="Z181" s="84"/>
      <c r="AA181" s="121"/>
      <c r="AB181" s="25"/>
      <c r="AC181" s="25"/>
      <c r="AD181" s="25"/>
      <c r="AE181" s="25"/>
      <c r="AF181" s="25"/>
      <c r="AG181" s="25"/>
      <c r="AH181" s="25"/>
      <c r="AI181" s="25"/>
      <c r="AJ181" s="25"/>
      <c r="AK181" s="25"/>
      <c r="AL181" s="25"/>
      <c r="AM181" s="25"/>
      <c r="AN181" s="25"/>
      <c r="AO181" s="25"/>
      <c r="AP181" s="25"/>
      <c r="AQ181" s="25"/>
      <c r="AR181" s="25"/>
      <c r="AS181" s="25"/>
      <c r="AT181" s="343"/>
      <c r="AU181" s="13"/>
      <c r="AV181" s="13"/>
      <c r="AW181" s="60"/>
      <c r="AX181" s="60"/>
      <c r="AY181" s="60"/>
      <c r="AZ181" s="13"/>
      <c r="BA181" s="13"/>
      <c r="BB181" s="13"/>
      <c r="BC181" s="13"/>
      <c r="BD181" s="13"/>
      <c r="BE181" s="13"/>
      <c r="BF181" s="13"/>
      <c r="BG181" s="13"/>
      <c r="BH181" s="13"/>
      <c r="BI181" s="13"/>
      <c r="BJ181" s="13"/>
      <c r="BK181" s="13"/>
      <c r="BL181" s="13"/>
      <c r="BM181" s="13"/>
      <c r="BN181" s="13"/>
      <c r="BO181" s="13"/>
      <c r="BP181" s="13"/>
      <c r="BQ181" s="13"/>
      <c r="BR181" s="13"/>
      <c r="BS181" s="13"/>
      <c r="BT181" s="13"/>
      <c r="BU181" s="13"/>
      <c r="BV181" s="13"/>
      <c r="BW181" s="15"/>
      <c r="BX181" s="15"/>
      <c r="BY181" s="13"/>
      <c r="BZ181" s="13"/>
      <c r="CV181" s="15"/>
      <c r="CW181" s="15"/>
      <c r="CX181" s="15"/>
      <c r="CY181" s="15"/>
      <c r="CZ181" s="15"/>
      <c r="DA181" s="15"/>
      <c r="DB181" s="15"/>
      <c r="DC181" s="15"/>
      <c r="DD181" s="15"/>
      <c r="DE181" s="15"/>
      <c r="DF181" s="15"/>
      <c r="DG181" s="15"/>
      <c r="DH181" s="15"/>
      <c r="DI181" s="15"/>
      <c r="DJ181" s="15"/>
      <c r="DK181" s="15"/>
      <c r="DL181" s="15"/>
      <c r="DM181" s="15"/>
      <c r="DN181" s="15"/>
      <c r="DO181" s="15"/>
      <c r="DP181" s="15"/>
      <c r="DQ181" s="15"/>
      <c r="DR181" s="15"/>
      <c r="DS181" s="15"/>
    </row>
    <row r="182" spans="1:123" x14ac:dyDescent="0.25">
      <c r="A182" s="15"/>
      <c r="B182" s="84"/>
      <c r="C182" s="84"/>
      <c r="D182" s="89"/>
      <c r="E182" s="402"/>
      <c r="F182" s="403"/>
      <c r="G182" s="84"/>
      <c r="H182" s="403"/>
      <c r="I182" s="403"/>
      <c r="J182" s="84"/>
      <c r="K182" s="84"/>
      <c r="L182" s="84"/>
      <c r="M182" s="84"/>
      <c r="N182" s="84"/>
      <c r="O182" s="84"/>
      <c r="P182" s="84"/>
      <c r="Q182" s="84"/>
      <c r="R182" s="84"/>
      <c r="S182" s="84"/>
      <c r="T182" s="84"/>
      <c r="U182" s="84"/>
      <c r="V182" s="84"/>
      <c r="W182" s="84"/>
      <c r="X182" s="84"/>
      <c r="Y182" s="84"/>
      <c r="Z182" s="84"/>
      <c r="AA182" s="121"/>
      <c r="AB182" s="25"/>
      <c r="AC182" s="25"/>
      <c r="AD182" s="25"/>
      <c r="AE182" s="25"/>
      <c r="AF182" s="25"/>
      <c r="AG182" s="25"/>
      <c r="AH182" s="25"/>
      <c r="AI182" s="25"/>
      <c r="AJ182" s="25"/>
      <c r="AK182" s="25"/>
      <c r="AL182" s="25"/>
      <c r="AM182" s="25"/>
      <c r="AN182" s="25"/>
      <c r="AO182" s="25"/>
      <c r="AP182" s="25"/>
      <c r="AQ182" s="25"/>
      <c r="AR182" s="25"/>
      <c r="AS182" s="25"/>
      <c r="AT182" s="343"/>
      <c r="AU182" s="13"/>
      <c r="AV182" s="13"/>
      <c r="AW182" s="60"/>
      <c r="AX182" s="60"/>
      <c r="AY182" s="60"/>
      <c r="AZ182" s="13"/>
      <c r="BA182" s="13"/>
      <c r="BB182" s="13"/>
      <c r="BC182" s="13"/>
      <c r="BD182" s="13"/>
      <c r="BE182" s="13"/>
      <c r="BF182" s="13"/>
      <c r="BG182" s="13"/>
      <c r="BH182" s="13"/>
      <c r="BI182" s="13"/>
      <c r="BJ182" s="13"/>
      <c r="BK182" s="13"/>
      <c r="BL182" s="13"/>
      <c r="BM182" s="13"/>
      <c r="BN182" s="13"/>
      <c r="BO182" s="13"/>
      <c r="BP182" s="13"/>
      <c r="BQ182" s="13"/>
      <c r="BR182" s="13"/>
      <c r="BS182" s="13"/>
      <c r="BT182" s="13"/>
      <c r="BU182" s="13"/>
      <c r="BV182" s="13"/>
      <c r="BW182" s="15"/>
      <c r="BX182" s="15"/>
      <c r="BY182" s="13"/>
      <c r="BZ182" s="13"/>
      <c r="CV182" s="15"/>
      <c r="CW182" s="15"/>
      <c r="CX182" s="15"/>
      <c r="CY182" s="15"/>
      <c r="CZ182" s="15"/>
      <c r="DA182" s="15"/>
      <c r="DB182" s="15"/>
      <c r="DC182" s="15"/>
      <c r="DD182" s="15"/>
      <c r="DE182" s="15"/>
      <c r="DF182" s="15"/>
      <c r="DG182" s="15"/>
      <c r="DH182" s="15"/>
      <c r="DI182" s="15"/>
      <c r="DJ182" s="15"/>
      <c r="DK182" s="15"/>
      <c r="DL182" s="15"/>
      <c r="DM182" s="15"/>
      <c r="DN182" s="15"/>
      <c r="DO182" s="15"/>
      <c r="DP182" s="15"/>
      <c r="DQ182" s="15"/>
      <c r="DR182" s="15"/>
      <c r="DS182" s="15"/>
    </row>
    <row r="183" spans="1:123" x14ac:dyDescent="0.25">
      <c r="A183" s="15"/>
      <c r="B183" s="84"/>
      <c r="C183" s="84"/>
      <c r="D183" s="89"/>
      <c r="E183" s="402"/>
      <c r="F183" s="403"/>
      <c r="G183" s="84"/>
      <c r="H183" s="403"/>
      <c r="I183" s="403"/>
      <c r="J183" s="84"/>
      <c r="K183" s="84"/>
      <c r="L183" s="84"/>
      <c r="M183" s="84"/>
      <c r="N183" s="84"/>
      <c r="O183" s="84"/>
      <c r="P183" s="84"/>
      <c r="Q183" s="84"/>
      <c r="R183" s="84"/>
      <c r="S183" s="84"/>
      <c r="T183" s="84"/>
      <c r="U183" s="84"/>
      <c r="V183" s="84"/>
      <c r="W183" s="84"/>
      <c r="X183" s="84"/>
      <c r="Y183" s="84"/>
      <c r="Z183" s="84"/>
      <c r="AA183" s="121"/>
      <c r="AB183" s="25"/>
      <c r="AC183" s="25"/>
      <c r="AD183" s="25"/>
      <c r="AE183" s="25"/>
      <c r="AF183" s="25"/>
      <c r="AG183" s="25"/>
      <c r="AH183" s="25"/>
      <c r="AI183" s="25"/>
      <c r="AJ183" s="25"/>
      <c r="AK183" s="25"/>
      <c r="AL183" s="25"/>
      <c r="AM183" s="25"/>
      <c r="AN183" s="25"/>
      <c r="AO183" s="25"/>
      <c r="AP183" s="25"/>
      <c r="AQ183" s="25"/>
      <c r="AR183" s="25"/>
      <c r="AS183" s="25"/>
      <c r="AT183" s="343"/>
      <c r="AU183" s="25"/>
      <c r="AV183" s="13"/>
      <c r="AW183" s="60"/>
      <c r="AX183" s="60"/>
      <c r="AY183" s="60"/>
      <c r="AZ183" s="13"/>
      <c r="BA183" s="13"/>
      <c r="BB183" s="13"/>
      <c r="BC183" s="15"/>
      <c r="BD183" s="15"/>
      <c r="BE183" s="15"/>
      <c r="BF183" s="15"/>
      <c r="BG183" s="15"/>
      <c r="BH183" s="15"/>
      <c r="BI183" s="15"/>
      <c r="BJ183" s="15"/>
      <c r="BK183" s="15"/>
      <c r="BL183" s="15"/>
      <c r="BM183" s="15"/>
      <c r="BN183" s="15"/>
      <c r="BO183" s="15"/>
      <c r="BP183" s="15"/>
      <c r="BQ183" s="15"/>
      <c r="BR183" s="15"/>
      <c r="BS183" s="15"/>
      <c r="BT183" s="15"/>
      <c r="BU183" s="15"/>
      <c r="BV183" s="13"/>
      <c r="BW183" s="15"/>
      <c r="BX183" s="15"/>
      <c r="BY183" s="13"/>
      <c r="BZ183" s="13"/>
      <c r="CV183" s="15"/>
      <c r="CW183" s="15"/>
      <c r="CX183" s="15"/>
      <c r="CY183" s="15"/>
      <c r="CZ183" s="15"/>
      <c r="DA183" s="15"/>
      <c r="DB183" s="15"/>
      <c r="DC183" s="15"/>
      <c r="DD183" s="15"/>
      <c r="DE183" s="15"/>
      <c r="DF183" s="15"/>
      <c r="DG183" s="15"/>
      <c r="DH183" s="15"/>
      <c r="DI183" s="15"/>
      <c r="DJ183" s="15"/>
      <c r="DK183" s="15"/>
      <c r="DL183" s="15"/>
      <c r="DM183" s="15"/>
      <c r="DN183" s="15"/>
      <c r="DO183" s="15"/>
      <c r="DP183" s="15"/>
      <c r="DQ183" s="15"/>
      <c r="DR183" s="15"/>
      <c r="DS183" s="15"/>
    </row>
    <row r="184" spans="1:123" x14ac:dyDescent="0.25">
      <c r="A184" s="15"/>
      <c r="B184" s="84"/>
      <c r="C184" s="84"/>
      <c r="D184" s="89"/>
      <c r="E184" s="402"/>
      <c r="F184" s="403"/>
      <c r="G184" s="84"/>
      <c r="H184" s="403"/>
      <c r="I184" s="403"/>
      <c r="J184" s="84"/>
      <c r="K184" s="84"/>
      <c r="L184" s="84"/>
      <c r="M184" s="84"/>
      <c r="N184" s="84"/>
      <c r="O184" s="84"/>
      <c r="P184" s="84"/>
      <c r="Q184" s="84"/>
      <c r="R184" s="84"/>
      <c r="S184" s="84"/>
      <c r="T184" s="84"/>
      <c r="U184" s="84"/>
      <c r="V184" s="84"/>
      <c r="W184" s="84"/>
      <c r="X184" s="84"/>
      <c r="Y184" s="84"/>
      <c r="Z184" s="84"/>
      <c r="AA184" s="121"/>
      <c r="AB184" s="25"/>
      <c r="AC184" s="25"/>
      <c r="AD184" s="25"/>
      <c r="AE184" s="25"/>
      <c r="AF184" s="25"/>
      <c r="AG184" s="25"/>
      <c r="AH184" s="25"/>
      <c r="AI184" s="25"/>
      <c r="AJ184" s="25"/>
      <c r="AK184" s="25"/>
      <c r="AL184" s="25"/>
      <c r="AM184" s="25"/>
      <c r="AN184" s="25"/>
      <c r="AO184" s="77" t="s">
        <v>1946</v>
      </c>
      <c r="AP184" s="77" t="s">
        <v>1952</v>
      </c>
      <c r="AQ184" s="77" t="s">
        <v>432</v>
      </c>
      <c r="AR184" s="77"/>
      <c r="AS184" s="25"/>
      <c r="AT184" s="343"/>
      <c r="AU184" s="25"/>
      <c r="AV184" s="13"/>
      <c r="AW184" s="60"/>
      <c r="AX184" s="60"/>
      <c r="AY184" s="60"/>
      <c r="AZ184" s="13"/>
      <c r="BA184" s="13"/>
      <c r="BB184" s="13"/>
      <c r="BC184" s="15"/>
      <c r="BD184" s="15"/>
      <c r="BE184" s="15"/>
      <c r="BF184" s="15"/>
      <c r="BG184" s="15"/>
      <c r="BH184" s="15"/>
      <c r="BI184" s="15"/>
      <c r="BJ184" s="15"/>
      <c r="BK184" s="15"/>
      <c r="BL184" s="15"/>
      <c r="BM184" s="15"/>
      <c r="BN184" s="15"/>
      <c r="BO184" s="15"/>
      <c r="BP184" s="15"/>
      <c r="BQ184" s="15"/>
      <c r="BR184" s="15"/>
      <c r="BS184" s="15"/>
      <c r="BT184" s="15"/>
      <c r="BU184" s="15"/>
      <c r="BV184" s="13"/>
      <c r="BW184" s="15"/>
      <c r="BX184" s="15"/>
      <c r="BY184" s="13"/>
      <c r="BZ184" s="13"/>
      <c r="CV184" s="15"/>
      <c r="CW184" s="15"/>
      <c r="CX184" s="15"/>
      <c r="CY184" s="15"/>
      <c r="CZ184" s="15"/>
      <c r="DA184" s="15"/>
      <c r="DB184" s="15"/>
      <c r="DC184" s="15"/>
      <c r="DD184" s="15"/>
      <c r="DE184" s="15"/>
      <c r="DF184" s="15"/>
      <c r="DG184" s="15"/>
      <c r="DH184" s="15"/>
      <c r="DI184" s="15"/>
      <c r="DJ184" s="15"/>
      <c r="DK184" s="15"/>
      <c r="DL184" s="15"/>
      <c r="DM184" s="15"/>
      <c r="DN184" s="15"/>
      <c r="DO184" s="15"/>
      <c r="DP184" s="15"/>
      <c r="DQ184" s="15"/>
      <c r="DR184" s="15"/>
      <c r="DS184" s="15"/>
    </row>
    <row r="185" spans="1:123" x14ac:dyDescent="0.25">
      <c r="A185" s="15"/>
      <c r="B185" s="84"/>
      <c r="C185" s="84"/>
      <c r="D185" s="89"/>
      <c r="E185" s="402"/>
      <c r="F185" s="403"/>
      <c r="G185" s="84"/>
      <c r="H185" s="403"/>
      <c r="I185" s="403"/>
      <c r="J185" s="84"/>
      <c r="K185" s="84"/>
      <c r="L185" s="84"/>
      <c r="M185" s="84"/>
      <c r="N185" s="84"/>
      <c r="O185" s="84"/>
      <c r="P185" s="84"/>
      <c r="Q185" s="84"/>
      <c r="R185" s="84"/>
      <c r="S185" s="84"/>
      <c r="T185" s="84"/>
      <c r="U185" s="84"/>
      <c r="V185" s="84"/>
      <c r="W185" s="84"/>
      <c r="X185" s="84"/>
      <c r="Y185" s="84"/>
      <c r="Z185" s="84"/>
      <c r="AA185" s="121"/>
      <c r="AB185" s="77"/>
      <c r="AC185" s="77"/>
      <c r="AD185" s="77" t="s">
        <v>1926</v>
      </c>
      <c r="AE185" s="77" t="s">
        <v>1365</v>
      </c>
      <c r="AF185" s="77" t="s">
        <v>875</v>
      </c>
      <c r="AG185" s="77" t="s">
        <v>946</v>
      </c>
      <c r="AH185" s="77" t="s">
        <v>807</v>
      </c>
      <c r="AI185" s="25"/>
      <c r="AJ185" s="25"/>
      <c r="AK185" s="25"/>
      <c r="AL185" s="25"/>
      <c r="AM185" s="25"/>
      <c r="AN185" s="25"/>
      <c r="AO185" s="151" t="str">
        <f>'A2. Livestockdata'!A7</f>
        <v>Daily spread</v>
      </c>
      <c r="AP185" s="88">
        <f>SUMIF(AI122:AI133,E7,AO122:AO133)</f>
        <v>0</v>
      </c>
      <c r="AQ185" s="151">
        <f>'A2. Livestockdata'!C7</f>
        <v>7</v>
      </c>
      <c r="AR185" s="77">
        <v>1</v>
      </c>
      <c r="AS185" s="25"/>
      <c r="AT185" s="343"/>
      <c r="AU185" s="25"/>
      <c r="AV185" s="13"/>
      <c r="AW185" s="60"/>
      <c r="AX185" s="60"/>
      <c r="AY185" s="60"/>
      <c r="AZ185" s="13"/>
      <c r="BA185" s="13"/>
      <c r="BB185" s="13"/>
      <c r="BC185" s="15"/>
      <c r="BD185" s="15"/>
      <c r="BE185" s="15"/>
      <c r="BF185" s="15"/>
      <c r="BG185" s="15"/>
      <c r="BH185" s="15"/>
      <c r="BI185" s="15"/>
      <c r="BJ185" s="15"/>
      <c r="BK185" s="15"/>
      <c r="BL185" s="15"/>
      <c r="BM185" s="15"/>
      <c r="BN185" s="15"/>
      <c r="BO185" s="15"/>
      <c r="BP185" s="15"/>
      <c r="BQ185" s="15"/>
      <c r="BR185" s="15"/>
      <c r="BS185" s="15"/>
      <c r="BT185" s="15"/>
      <c r="BU185" s="15"/>
      <c r="BV185" s="13"/>
      <c r="BW185" s="15"/>
      <c r="BX185" s="15"/>
      <c r="BY185" s="13"/>
      <c r="BZ185" s="13"/>
      <c r="CV185" s="15"/>
      <c r="CW185" s="15"/>
      <c r="CX185" s="15"/>
      <c r="CY185" s="15"/>
      <c r="CZ185" s="15"/>
      <c r="DA185" s="15"/>
      <c r="DB185" s="15"/>
      <c r="DC185" s="15"/>
      <c r="DD185" s="15"/>
      <c r="DE185" s="15"/>
      <c r="DF185" s="15"/>
      <c r="DG185" s="15"/>
      <c r="DH185" s="15"/>
      <c r="DI185" s="15"/>
      <c r="DJ185" s="15"/>
      <c r="DK185" s="15"/>
      <c r="DL185" s="15"/>
      <c r="DM185" s="15"/>
      <c r="DN185" s="15"/>
      <c r="DO185" s="15"/>
      <c r="DP185" s="15"/>
      <c r="DQ185" s="15"/>
      <c r="DR185" s="15"/>
      <c r="DS185" s="15"/>
    </row>
    <row r="186" spans="1:123" x14ac:dyDescent="0.25">
      <c r="A186" s="15"/>
      <c r="B186" s="84"/>
      <c r="C186" s="84"/>
      <c r="D186" s="89"/>
      <c r="E186" s="402"/>
      <c r="F186" s="403"/>
      <c r="G186" s="84"/>
      <c r="H186" s="403"/>
      <c r="I186" s="403"/>
      <c r="J186" s="84"/>
      <c r="K186" s="84"/>
      <c r="L186" s="84"/>
      <c r="M186" s="84"/>
      <c r="N186" s="84"/>
      <c r="O186" s="84"/>
      <c r="P186" s="84"/>
      <c r="Q186" s="84"/>
      <c r="R186" s="84"/>
      <c r="S186" s="84"/>
      <c r="T186" s="84"/>
      <c r="U186" s="84"/>
      <c r="V186" s="84"/>
      <c r="W186" s="84"/>
      <c r="X186" s="84"/>
      <c r="Y186" s="84"/>
      <c r="Z186" s="84"/>
      <c r="AA186" s="121"/>
      <c r="AB186" s="151" t="s">
        <v>1016</v>
      </c>
      <c r="AC186" s="151">
        <f ca="1">SUMIF($AT$122:$AT$130,$AC$121,$AV$122:$AV$130)</f>
        <v>117</v>
      </c>
      <c r="AD186" s="151">
        <v>1</v>
      </c>
      <c r="AE186" s="151">
        <v>1</v>
      </c>
      <c r="AF186" s="151">
        <v>1</v>
      </c>
      <c r="AG186" s="151">
        <f>'A2. Livestockdata'!AA47</f>
        <v>104</v>
      </c>
      <c r="AH186" s="151"/>
      <c r="AI186" s="25"/>
      <c r="AJ186" s="25"/>
      <c r="AK186" s="25"/>
      <c r="AL186" s="25"/>
      <c r="AM186" s="25"/>
      <c r="AN186" s="25"/>
      <c r="AO186" s="151" t="str">
        <f>'A2. Livestockdata'!A8</f>
        <v>Solid storage</v>
      </c>
      <c r="AP186" s="151">
        <f>'A2. Livestockdata'!B8</f>
        <v>5.0000000000000001E-3</v>
      </c>
      <c r="AQ186" s="151">
        <f>'A2. Livestockdata'!C8</f>
        <v>3</v>
      </c>
      <c r="AR186" s="77">
        <v>2</v>
      </c>
      <c r="AS186" s="25"/>
      <c r="AT186" s="343"/>
      <c r="AU186" s="25"/>
      <c r="AV186" s="13"/>
      <c r="AW186" s="60"/>
      <c r="AX186" s="60"/>
      <c r="AY186" s="60"/>
      <c r="AZ186" s="13"/>
      <c r="BA186" s="13"/>
      <c r="BB186" s="13"/>
      <c r="BC186" s="15"/>
      <c r="BD186" s="15"/>
      <c r="BE186" s="15"/>
      <c r="BF186" s="15"/>
      <c r="BG186" s="15"/>
      <c r="BH186" s="15"/>
      <c r="BI186" s="15"/>
      <c r="BJ186" s="15"/>
      <c r="BK186" s="15"/>
      <c r="BL186" s="15"/>
      <c r="BM186" s="15"/>
      <c r="BN186" s="15"/>
      <c r="BO186" s="15"/>
      <c r="BP186" s="15"/>
      <c r="BQ186" s="15"/>
      <c r="BR186" s="15"/>
      <c r="BS186" s="15"/>
      <c r="BT186" s="15"/>
      <c r="BU186" s="15"/>
      <c r="BV186" s="13"/>
      <c r="BW186" s="15"/>
      <c r="BX186" s="15"/>
      <c r="BY186" s="13"/>
      <c r="BZ186" s="13"/>
      <c r="CV186" s="15"/>
      <c r="CW186" s="15"/>
      <c r="CX186" s="15"/>
      <c r="CY186" s="15"/>
      <c r="CZ186" s="15"/>
      <c r="DA186" s="15"/>
      <c r="DB186" s="15"/>
      <c r="DC186" s="15"/>
      <c r="DD186" s="15"/>
      <c r="DE186" s="15"/>
      <c r="DF186" s="15"/>
      <c r="DG186" s="15"/>
      <c r="DH186" s="15"/>
      <c r="DI186" s="15"/>
      <c r="DJ186" s="15"/>
      <c r="DK186" s="15"/>
      <c r="DL186" s="15"/>
      <c r="DM186" s="15"/>
      <c r="DN186" s="15"/>
      <c r="DO186" s="15"/>
      <c r="DP186" s="15"/>
      <c r="DQ186" s="15"/>
      <c r="DR186" s="15"/>
      <c r="DS186" s="15"/>
    </row>
    <row r="187" spans="1:123" x14ac:dyDescent="0.25">
      <c r="A187" s="15"/>
      <c r="B187" s="84"/>
      <c r="C187" s="84"/>
      <c r="D187" s="89"/>
      <c r="E187" s="402"/>
      <c r="F187" s="403"/>
      <c r="G187" s="84"/>
      <c r="H187" s="403"/>
      <c r="I187" s="403"/>
      <c r="J187" s="84"/>
      <c r="K187" s="84"/>
      <c r="L187" s="84"/>
      <c r="M187" s="84"/>
      <c r="N187" s="84"/>
      <c r="O187" s="84"/>
      <c r="P187" s="84"/>
      <c r="Q187" s="84"/>
      <c r="R187" s="84"/>
      <c r="S187" s="84"/>
      <c r="T187" s="84"/>
      <c r="U187" s="84"/>
      <c r="V187" s="84"/>
      <c r="W187" s="84"/>
      <c r="X187" s="84"/>
      <c r="Y187" s="84"/>
      <c r="Z187" s="84"/>
      <c r="AA187" s="121"/>
      <c r="AB187" s="77" t="s">
        <v>1020</v>
      </c>
      <c r="AC187" s="151">
        <f ca="1">SUMIF($AT$122:$AT$130,$AC$121,$AW$122:$AW$130)</f>
        <v>57</v>
      </c>
      <c r="AD187" s="77">
        <v>1</v>
      </c>
      <c r="AE187" s="77">
        <v>2</v>
      </c>
      <c r="AF187" s="77">
        <v>2</v>
      </c>
      <c r="AG187" s="151">
        <f>'A2. Livestockdata'!AA48</f>
        <v>91</v>
      </c>
      <c r="AH187" s="77"/>
      <c r="AI187" s="25"/>
      <c r="AJ187" s="25"/>
      <c r="AK187" s="25"/>
      <c r="AL187" s="25"/>
      <c r="AM187" s="25"/>
      <c r="AN187" s="25"/>
      <c r="AO187" s="151" t="str">
        <f>'A2. Livestockdata'!A9</f>
        <v>Dry lot</v>
      </c>
      <c r="AP187" s="151">
        <f>'A2. Livestockdata'!B9</f>
        <v>0.02</v>
      </c>
      <c r="AQ187" s="151">
        <f>'A2. Livestockdata'!C9</f>
        <v>4</v>
      </c>
      <c r="AR187" s="77">
        <v>3</v>
      </c>
      <c r="AS187" s="25"/>
      <c r="AT187" s="343"/>
      <c r="AU187" s="25"/>
      <c r="AV187" s="13"/>
      <c r="AW187" s="60"/>
      <c r="AX187" s="60"/>
      <c r="AY187" s="60"/>
      <c r="AZ187" s="13"/>
      <c r="BA187" s="13"/>
      <c r="BB187" s="13"/>
      <c r="BC187" s="15"/>
      <c r="BD187" s="15"/>
      <c r="BE187" s="15"/>
      <c r="BF187" s="15"/>
      <c r="BG187" s="15"/>
      <c r="BH187" s="15"/>
      <c r="BI187" s="15"/>
      <c r="BJ187" s="15"/>
      <c r="BK187" s="15"/>
      <c r="BL187" s="15"/>
      <c r="BM187" s="15"/>
      <c r="BN187" s="15"/>
      <c r="BO187" s="15"/>
      <c r="BP187" s="15"/>
      <c r="BQ187" s="15"/>
      <c r="BR187" s="15"/>
      <c r="BS187" s="15"/>
      <c r="BT187" s="15"/>
      <c r="BU187" s="15"/>
      <c r="BV187" s="13"/>
      <c r="BW187" s="15"/>
      <c r="BX187" s="15"/>
      <c r="BY187" s="13"/>
      <c r="BZ187" s="13"/>
      <c r="CV187" s="15"/>
      <c r="CW187" s="15"/>
      <c r="CX187" s="15"/>
      <c r="CY187" s="15"/>
      <c r="CZ187" s="15"/>
      <c r="DA187" s="15"/>
      <c r="DB187" s="15"/>
      <c r="DC187" s="15"/>
      <c r="DD187" s="15"/>
      <c r="DE187" s="15"/>
      <c r="DF187" s="15"/>
      <c r="DG187" s="15"/>
      <c r="DH187" s="15"/>
      <c r="DI187" s="15"/>
      <c r="DJ187" s="15"/>
      <c r="DK187" s="15"/>
      <c r="DL187" s="15"/>
      <c r="DM187" s="15"/>
      <c r="DN187" s="15"/>
      <c r="DO187" s="15"/>
      <c r="DP187" s="15"/>
      <c r="DQ187" s="15"/>
      <c r="DR187" s="15"/>
      <c r="DS187" s="15"/>
    </row>
    <row r="188" spans="1:123" ht="25.35" x14ac:dyDescent="0.25">
      <c r="A188" s="15"/>
      <c r="B188" s="84"/>
      <c r="C188" s="84"/>
      <c r="D188" s="89"/>
      <c r="E188" s="402"/>
      <c r="F188" s="403"/>
      <c r="G188" s="84"/>
      <c r="H188" s="403"/>
      <c r="I188" s="403"/>
      <c r="J188" s="84"/>
      <c r="K188" s="84"/>
      <c r="L188" s="84"/>
      <c r="M188" s="84"/>
      <c r="N188" s="84"/>
      <c r="O188" s="84"/>
      <c r="P188" s="84"/>
      <c r="Q188" s="84"/>
      <c r="R188" s="84"/>
      <c r="S188" s="84"/>
      <c r="T188" s="84"/>
      <c r="U188" s="84"/>
      <c r="V188" s="84"/>
      <c r="W188" s="84"/>
      <c r="X188" s="84"/>
      <c r="Y188" s="84"/>
      <c r="Z188" s="84"/>
      <c r="AA188" s="121"/>
      <c r="AB188" s="77" t="s">
        <v>1442</v>
      </c>
      <c r="AC188" s="77">
        <v>1.5</v>
      </c>
      <c r="AD188" s="77">
        <v>0</v>
      </c>
      <c r="AE188" s="77">
        <v>4</v>
      </c>
      <c r="AF188" s="151">
        <v>10</v>
      </c>
      <c r="AG188" s="151">
        <f>'A2. Livestockdata'!AA49</f>
        <v>52</v>
      </c>
      <c r="AH188" s="77"/>
      <c r="AI188" s="25"/>
      <c r="AJ188" s="25"/>
      <c r="AK188" s="25"/>
      <c r="AL188" s="25"/>
      <c r="AM188" s="25"/>
      <c r="AN188" s="25"/>
      <c r="AO188" s="151" t="str">
        <f>'A2. Livestockdata'!A10</f>
        <v>Liquid slurry with natural crust cover</v>
      </c>
      <c r="AP188" s="151">
        <f>'A2. Livestockdata'!B10</f>
        <v>5.0000000000000001E-3</v>
      </c>
      <c r="AQ188" s="151">
        <f>'A2. Livestockdata'!C10</f>
        <v>2</v>
      </c>
      <c r="AR188" s="77">
        <v>4</v>
      </c>
      <c r="AS188" s="25"/>
      <c r="AT188" s="343"/>
      <c r="AU188" s="25"/>
      <c r="AV188" s="13"/>
      <c r="AW188" s="60"/>
      <c r="AX188" s="60"/>
      <c r="AY188" s="60"/>
      <c r="AZ188" s="13"/>
      <c r="BA188" s="13"/>
      <c r="BB188" s="13"/>
      <c r="BC188" s="15"/>
      <c r="BD188" s="15"/>
      <c r="BE188" s="15"/>
      <c r="BF188" s="15"/>
      <c r="BG188" s="15"/>
      <c r="BH188" s="15"/>
      <c r="BI188" s="15"/>
      <c r="BJ188" s="15"/>
      <c r="BK188" s="15"/>
      <c r="BL188" s="15"/>
      <c r="BM188" s="15"/>
      <c r="BN188" s="15"/>
      <c r="BO188" s="15"/>
      <c r="BP188" s="15"/>
      <c r="BQ188" s="15"/>
      <c r="BR188" s="15"/>
      <c r="BS188" s="15"/>
      <c r="BT188" s="15"/>
      <c r="BU188" s="15"/>
      <c r="BV188" s="13"/>
      <c r="BW188" s="15"/>
      <c r="BX188" s="15"/>
      <c r="BY188" s="15"/>
      <c r="BZ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row>
    <row r="189" spans="1:123" ht="25.35" x14ac:dyDescent="0.25">
      <c r="A189" s="15"/>
      <c r="B189" s="84"/>
      <c r="C189" s="84"/>
      <c r="D189" s="89"/>
      <c r="E189" s="402"/>
      <c r="F189" s="403"/>
      <c r="G189" s="84"/>
      <c r="H189" s="403"/>
      <c r="I189" s="403"/>
      <c r="J189" s="84"/>
      <c r="K189" s="84"/>
      <c r="L189" s="84"/>
      <c r="M189" s="84"/>
      <c r="N189" s="84"/>
      <c r="O189" s="84"/>
      <c r="P189" s="84"/>
      <c r="Q189" s="84"/>
      <c r="R189" s="84"/>
      <c r="S189" s="84"/>
      <c r="T189" s="84"/>
      <c r="U189" s="84"/>
      <c r="V189" s="84"/>
      <c r="W189" s="84"/>
      <c r="X189" s="84"/>
      <c r="Y189" s="84"/>
      <c r="Z189" s="84"/>
      <c r="AA189" s="121"/>
      <c r="AB189" s="77" t="s">
        <v>1441</v>
      </c>
      <c r="AC189" s="77">
        <v>1.5</v>
      </c>
      <c r="AD189" s="77">
        <v>0</v>
      </c>
      <c r="AE189" s="77">
        <v>3</v>
      </c>
      <c r="AF189" s="77">
        <v>11</v>
      </c>
      <c r="AG189" s="151">
        <f>'A2. Livestockdata'!AA50</f>
        <v>65</v>
      </c>
      <c r="AH189" s="77"/>
      <c r="AI189" s="259"/>
      <c r="AJ189" s="259"/>
      <c r="AK189" s="259"/>
      <c r="AL189" s="25"/>
      <c r="AM189" s="25"/>
      <c r="AN189" s="25"/>
      <c r="AO189" s="151" t="str">
        <f>'A2. Livestockdata'!A11</f>
        <v>Liquid slurry without natural crust cover</v>
      </c>
      <c r="AP189" s="151">
        <f>'A2. Livestockdata'!B11</f>
        <v>0</v>
      </c>
      <c r="AQ189" s="151">
        <f>'A2. Livestockdata'!C11</f>
        <v>2</v>
      </c>
      <c r="AR189" s="77">
        <v>5</v>
      </c>
      <c r="AS189" s="259"/>
      <c r="AT189" s="784"/>
      <c r="AU189" s="259"/>
      <c r="AV189" s="13"/>
      <c r="AW189" s="60"/>
      <c r="AX189" s="60"/>
      <c r="AY189" s="60"/>
      <c r="AZ189" s="13"/>
      <c r="BA189" s="13"/>
      <c r="BB189" s="13"/>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row>
    <row r="190" spans="1:123" ht="25.35" x14ac:dyDescent="0.25">
      <c r="A190" s="15"/>
      <c r="B190" s="84"/>
      <c r="C190" s="84"/>
      <c r="D190" s="89"/>
      <c r="E190" s="402"/>
      <c r="F190" s="403"/>
      <c r="G190" s="84"/>
      <c r="H190" s="403"/>
      <c r="I190" s="403"/>
      <c r="J190" s="84"/>
      <c r="K190" s="84"/>
      <c r="L190" s="84"/>
      <c r="M190" s="84"/>
      <c r="N190" s="84"/>
      <c r="O190" s="84"/>
      <c r="P190" s="84"/>
      <c r="Q190" s="84"/>
      <c r="R190" s="84"/>
      <c r="S190" s="84"/>
      <c r="T190" s="84"/>
      <c r="U190" s="84"/>
      <c r="V190" s="84"/>
      <c r="W190" s="84"/>
      <c r="X190" s="84"/>
      <c r="Y190" s="84"/>
      <c r="Z190" s="84"/>
      <c r="AA190" s="121"/>
      <c r="AB190" s="77" t="s">
        <v>1444</v>
      </c>
      <c r="AC190" s="77">
        <v>55</v>
      </c>
      <c r="AD190" s="77">
        <v>1</v>
      </c>
      <c r="AE190" s="77">
        <v>15</v>
      </c>
      <c r="AF190" s="151">
        <v>3</v>
      </c>
      <c r="AG190" s="151">
        <f>'A2. Livestockdata'!AA51</f>
        <v>79</v>
      </c>
      <c r="AH190" s="77"/>
      <c r="AI190" s="259"/>
      <c r="AJ190" s="259"/>
      <c r="AK190" s="259"/>
      <c r="AL190" s="25"/>
      <c r="AM190" s="25"/>
      <c r="AN190" s="25"/>
      <c r="AO190" s="151" t="str">
        <f>'A2. Livestockdata'!A12</f>
        <v>Uncovered anaerobic lagoon</v>
      </c>
      <c r="AP190" s="151">
        <f>'A2. Livestockdata'!B12</f>
        <v>0</v>
      </c>
      <c r="AQ190" s="151">
        <f>'A2. Livestockdata'!C12</f>
        <v>1</v>
      </c>
      <c r="AR190" s="77">
        <v>6</v>
      </c>
      <c r="AS190" s="259"/>
      <c r="AT190" s="784"/>
      <c r="AU190" s="259"/>
      <c r="AV190" s="13"/>
      <c r="AW190" s="60"/>
      <c r="AX190" s="60"/>
      <c r="AY190" s="60"/>
      <c r="AZ190" s="13"/>
      <c r="BA190" s="13"/>
      <c r="BB190" s="13"/>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row>
    <row r="191" spans="1:123" ht="25.35" x14ac:dyDescent="0.25">
      <c r="A191" s="15"/>
      <c r="B191" s="84"/>
      <c r="C191" s="84"/>
      <c r="D191" s="89"/>
      <c r="E191" s="402"/>
      <c r="F191" s="403"/>
      <c r="G191" s="84"/>
      <c r="H191" s="403"/>
      <c r="I191" s="403"/>
      <c r="J191" s="84"/>
      <c r="K191" s="84"/>
      <c r="L191" s="84"/>
      <c r="M191" s="84"/>
      <c r="N191" s="84"/>
      <c r="O191" s="84"/>
      <c r="P191" s="84"/>
      <c r="Q191" s="84"/>
      <c r="R191" s="84"/>
      <c r="S191" s="84"/>
      <c r="T191" s="84"/>
      <c r="U191" s="84"/>
      <c r="V191" s="84"/>
      <c r="W191" s="84"/>
      <c r="X191" s="84"/>
      <c r="Y191" s="84"/>
      <c r="Z191" s="84"/>
      <c r="AA191" s="121"/>
      <c r="AB191" s="77" t="s">
        <v>1443</v>
      </c>
      <c r="AC191" s="77">
        <v>55</v>
      </c>
      <c r="AD191" s="77">
        <v>1</v>
      </c>
      <c r="AE191" s="77">
        <v>2</v>
      </c>
      <c r="AF191" s="77">
        <v>9</v>
      </c>
      <c r="AG191" s="151">
        <f>'A2. Livestockdata'!AA52</f>
        <v>79</v>
      </c>
      <c r="AH191" s="77"/>
      <c r="AI191" s="259"/>
      <c r="AJ191" s="259"/>
      <c r="AK191" s="259"/>
      <c r="AL191" s="25"/>
      <c r="AM191" s="25"/>
      <c r="AN191" s="25"/>
      <c r="AO191" s="151" t="str">
        <f>'A2. Livestockdata'!A13</f>
        <v>Pit storage below animal confinements</v>
      </c>
      <c r="AP191" s="151">
        <f>'A2. Livestockdata'!B13</f>
        <v>2E-3</v>
      </c>
      <c r="AQ191" s="151">
        <f>'A2. Livestockdata'!C13</f>
        <v>5</v>
      </c>
      <c r="AR191" s="77">
        <v>7</v>
      </c>
      <c r="AS191" s="259"/>
      <c r="AT191" s="784"/>
      <c r="AU191" s="259"/>
      <c r="AV191" s="13"/>
      <c r="AW191" s="60"/>
      <c r="AX191" s="60"/>
      <c r="AY191" s="60"/>
      <c r="AZ191" s="13"/>
      <c r="BA191" s="13"/>
      <c r="BB191" s="13"/>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row>
    <row r="192" spans="1:123" x14ac:dyDescent="0.25">
      <c r="A192" s="15"/>
      <c r="B192" s="84"/>
      <c r="C192" s="84"/>
      <c r="D192" s="89"/>
      <c r="E192" s="402"/>
      <c r="F192" s="403"/>
      <c r="G192" s="84"/>
      <c r="H192" s="403"/>
      <c r="I192" s="403"/>
      <c r="J192" s="84"/>
      <c r="K192" s="84"/>
      <c r="L192" s="84"/>
      <c r="M192" s="84"/>
      <c r="N192" s="84"/>
      <c r="O192" s="84"/>
      <c r="P192" s="84"/>
      <c r="Q192" s="84"/>
      <c r="R192" s="84"/>
      <c r="S192" s="84"/>
      <c r="T192" s="84"/>
      <c r="U192" s="84"/>
      <c r="V192" s="84"/>
      <c r="W192" s="84"/>
      <c r="X192" s="84"/>
      <c r="Y192" s="84"/>
      <c r="Z192" s="84"/>
      <c r="AA192" s="121"/>
      <c r="AB192" s="77" t="s">
        <v>516</v>
      </c>
      <c r="AC192" s="77">
        <v>8</v>
      </c>
      <c r="AD192" s="77">
        <v>0</v>
      </c>
      <c r="AE192" s="77">
        <v>11</v>
      </c>
      <c r="AF192" s="77">
        <v>4</v>
      </c>
      <c r="AG192" s="151">
        <f>'A2. Livestockdata'!AA53</f>
        <v>116</v>
      </c>
      <c r="AH192" s="77">
        <v>1</v>
      </c>
      <c r="AI192" s="259"/>
      <c r="AJ192" s="259"/>
      <c r="AK192" s="259"/>
      <c r="AL192" s="25"/>
      <c r="AM192" s="25"/>
      <c r="AN192" s="25"/>
      <c r="AO192" s="151" t="str">
        <f>'A2. Livestockdata'!A14</f>
        <v>Anaerobic digester</v>
      </c>
      <c r="AP192" s="151">
        <f>'A2. Livestockdata'!B14</f>
        <v>0</v>
      </c>
      <c r="AQ192" s="151">
        <f>'A2. Livestockdata'!C14</f>
        <v>8</v>
      </c>
      <c r="AR192" s="77">
        <v>8</v>
      </c>
      <c r="AS192" s="259"/>
      <c r="AT192" s="784"/>
      <c r="AU192" s="259"/>
      <c r="AV192" s="13"/>
      <c r="AW192" s="60"/>
      <c r="AX192" s="60"/>
      <c r="AY192" s="60"/>
      <c r="AZ192" s="13"/>
      <c r="BA192" s="13"/>
      <c r="BB192" s="13"/>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row>
    <row r="193" spans="1:123" ht="25.35" x14ac:dyDescent="0.25">
      <c r="A193" s="15"/>
      <c r="B193" s="84"/>
      <c r="C193" s="84"/>
      <c r="D193" s="89"/>
      <c r="E193" s="402"/>
      <c r="F193" s="403"/>
      <c r="G193" s="84"/>
      <c r="H193" s="403"/>
      <c r="I193" s="403"/>
      <c r="J193" s="84"/>
      <c r="K193" s="84"/>
      <c r="L193" s="84"/>
      <c r="M193" s="84"/>
      <c r="N193" s="84"/>
      <c r="O193" s="84"/>
      <c r="P193" s="84"/>
      <c r="Q193" s="84"/>
      <c r="R193" s="84"/>
      <c r="S193" s="84"/>
      <c r="T193" s="84"/>
      <c r="U193" s="84"/>
      <c r="V193" s="84"/>
      <c r="W193" s="84"/>
      <c r="X193" s="84"/>
      <c r="Y193" s="84"/>
      <c r="Z193" s="84"/>
      <c r="AA193" s="121"/>
      <c r="AB193" s="77" t="s">
        <v>544</v>
      </c>
      <c r="AC193" s="77">
        <v>5</v>
      </c>
      <c r="AD193" s="77">
        <v>0</v>
      </c>
      <c r="AE193" s="77">
        <v>12</v>
      </c>
      <c r="AF193" s="151">
        <v>5</v>
      </c>
      <c r="AG193" s="151">
        <f>'A2. Livestockdata'!AA54</f>
        <v>118</v>
      </c>
      <c r="AH193" s="77">
        <v>3</v>
      </c>
      <c r="AI193" s="259"/>
      <c r="AJ193" s="259"/>
      <c r="AK193" s="259"/>
      <c r="AL193" s="25"/>
      <c r="AM193" s="25"/>
      <c r="AN193" s="25"/>
      <c r="AO193" s="151" t="str">
        <f>'A2. Livestockdata'!A15</f>
        <v>Deep bedding - no mixing</v>
      </c>
      <c r="AP193" s="151">
        <f>'A2. Livestockdata'!B15</f>
        <v>0.01</v>
      </c>
      <c r="AQ193" s="151">
        <f>'A2. Livestockdata'!C15</f>
        <v>9</v>
      </c>
      <c r="AR193" s="77">
        <v>9</v>
      </c>
      <c r="AS193" s="259"/>
      <c r="AT193" s="784"/>
      <c r="AU193" s="259"/>
      <c r="AV193" s="13"/>
      <c r="AW193" s="60"/>
      <c r="AX193" s="60"/>
      <c r="AY193" s="60"/>
      <c r="AZ193" s="13"/>
      <c r="BA193" s="13"/>
      <c r="BB193" s="13"/>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V193" s="15"/>
      <c r="CW193" s="15"/>
      <c r="CX193" s="15"/>
      <c r="CY193" s="15"/>
      <c r="CZ193" s="15"/>
      <c r="DA193" s="15"/>
      <c r="DB193" s="15"/>
      <c r="DC193" s="15"/>
      <c r="DD193" s="15"/>
      <c r="DE193" s="15"/>
      <c r="DF193" s="15"/>
      <c r="DG193" s="15"/>
      <c r="DH193" s="15"/>
      <c r="DI193" s="15"/>
      <c r="DJ193" s="15"/>
      <c r="DK193" s="15"/>
      <c r="DL193" s="15"/>
      <c r="DM193" s="15"/>
      <c r="DN193" s="15"/>
      <c r="DO193" s="15"/>
      <c r="DP193" s="15"/>
      <c r="DQ193" s="15"/>
      <c r="DR193" s="15"/>
      <c r="DS193" s="15"/>
    </row>
    <row r="194" spans="1:123" ht="25.35" x14ac:dyDescent="0.25">
      <c r="A194" s="15"/>
      <c r="B194" s="84"/>
      <c r="C194" s="84"/>
      <c r="D194" s="89"/>
      <c r="E194" s="402"/>
      <c r="F194" s="403"/>
      <c r="G194" s="84"/>
      <c r="H194" s="403"/>
      <c r="I194" s="403"/>
      <c r="J194" s="84"/>
      <c r="K194" s="84"/>
      <c r="L194" s="84"/>
      <c r="M194" s="84"/>
      <c r="N194" s="84"/>
      <c r="O194" s="84"/>
      <c r="P194" s="84"/>
      <c r="Q194" s="84"/>
      <c r="R194" s="84"/>
      <c r="S194" s="84"/>
      <c r="T194" s="84"/>
      <c r="U194" s="84"/>
      <c r="V194" s="84"/>
      <c r="W194" s="84"/>
      <c r="X194" s="84"/>
      <c r="Y194" s="84"/>
      <c r="Z194" s="84"/>
      <c r="AA194" s="121"/>
      <c r="AB194" s="77" t="s">
        <v>550</v>
      </c>
      <c r="AC194" s="77">
        <v>46</v>
      </c>
      <c r="AD194" s="77">
        <v>0</v>
      </c>
      <c r="AE194" s="77">
        <v>14</v>
      </c>
      <c r="AF194" s="77">
        <v>6</v>
      </c>
      <c r="AG194" s="151">
        <f>'A2. Livestockdata'!AA55</f>
        <v>120</v>
      </c>
      <c r="AH194" s="77">
        <v>5</v>
      </c>
      <c r="AI194" s="259"/>
      <c r="AJ194" s="259"/>
      <c r="AK194" s="259"/>
      <c r="AL194" s="25"/>
      <c r="AM194" s="25"/>
      <c r="AN194" s="25"/>
      <c r="AO194" s="151" t="str">
        <f>'A2. Livestockdata'!A16</f>
        <v>Deep bedding - active mixing</v>
      </c>
      <c r="AP194" s="151">
        <f>'A2. Livestockdata'!B16</f>
        <v>7.0000000000000007E-2</v>
      </c>
      <c r="AQ194" s="151">
        <f>'A2. Livestockdata'!C16</f>
        <v>10</v>
      </c>
      <c r="AR194" s="77">
        <v>10</v>
      </c>
      <c r="AS194" s="259"/>
      <c r="AT194" s="784"/>
      <c r="AU194" s="259"/>
      <c r="AV194" s="13"/>
      <c r="AW194" s="60"/>
      <c r="AX194" s="60"/>
      <c r="AY194" s="60"/>
      <c r="AZ194" s="13"/>
      <c r="BA194" s="13"/>
      <c r="BB194" s="13"/>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V194" s="15"/>
      <c r="CW194" s="15"/>
      <c r="CX194" s="15"/>
      <c r="CY194" s="15"/>
      <c r="CZ194" s="15"/>
      <c r="DA194" s="15"/>
      <c r="DB194" s="15"/>
      <c r="DC194" s="15"/>
      <c r="DD194" s="15"/>
      <c r="DE194" s="15"/>
      <c r="DF194" s="15"/>
      <c r="DG194" s="15"/>
      <c r="DH194" s="15"/>
      <c r="DI194" s="15"/>
      <c r="DJ194" s="15"/>
      <c r="DK194" s="15"/>
      <c r="DL194" s="15"/>
      <c r="DM194" s="15"/>
      <c r="DN194" s="15"/>
      <c r="DO194" s="15"/>
      <c r="DP194" s="15"/>
      <c r="DQ194" s="15"/>
      <c r="DR194" s="15"/>
      <c r="DS194" s="15"/>
    </row>
    <row r="195" spans="1:123" ht="25.35" x14ac:dyDescent="0.25">
      <c r="A195" s="15"/>
      <c r="B195" s="84"/>
      <c r="C195" s="84"/>
      <c r="D195" s="89"/>
      <c r="E195" s="402"/>
      <c r="F195" s="403"/>
      <c r="G195" s="84"/>
      <c r="H195" s="403"/>
      <c r="I195" s="403"/>
      <c r="J195" s="84"/>
      <c r="K195" s="84"/>
      <c r="L195" s="84"/>
      <c r="M195" s="84"/>
      <c r="N195" s="84"/>
      <c r="O195" s="84"/>
      <c r="P195" s="84"/>
      <c r="Q195" s="84"/>
      <c r="R195" s="84"/>
      <c r="S195" s="84"/>
      <c r="T195" s="84"/>
      <c r="U195" s="84"/>
      <c r="V195" s="84"/>
      <c r="W195" s="84"/>
      <c r="X195" s="84"/>
      <c r="Y195" s="84"/>
      <c r="Z195" s="84"/>
      <c r="AA195" s="121"/>
      <c r="AB195" s="77" t="s">
        <v>557</v>
      </c>
      <c r="AC195" s="77">
        <v>18</v>
      </c>
      <c r="AD195" s="77">
        <v>0</v>
      </c>
      <c r="AE195" s="77">
        <v>13</v>
      </c>
      <c r="AF195" s="77">
        <v>7</v>
      </c>
      <c r="AG195" s="151">
        <f>'A2. Livestockdata'!AA56</f>
        <v>122</v>
      </c>
      <c r="AH195" s="77">
        <v>7</v>
      </c>
      <c r="AI195" s="259"/>
      <c r="AJ195" s="259"/>
      <c r="AK195" s="259"/>
      <c r="AL195" s="25"/>
      <c r="AM195" s="25"/>
      <c r="AN195" s="25"/>
      <c r="AO195" s="151" t="str">
        <f>'A2. Livestockdata'!A17</f>
        <v>Composting - forced aeration</v>
      </c>
      <c r="AP195" s="151">
        <f>'A2. Livestockdata'!B17</f>
        <v>6.6666666666666671E-3</v>
      </c>
      <c r="AQ195" s="151">
        <f>'A2. Livestockdata'!C17</f>
        <v>11</v>
      </c>
      <c r="AR195" s="77">
        <v>11</v>
      </c>
      <c r="AS195" s="259"/>
      <c r="AT195" s="784"/>
      <c r="AU195" s="259"/>
      <c r="AV195" s="13"/>
      <c r="AW195" s="60"/>
      <c r="AX195" s="60"/>
      <c r="AY195" s="60"/>
      <c r="AZ195" s="13"/>
      <c r="BA195" s="13"/>
      <c r="BB195" s="13"/>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V195" s="15"/>
      <c r="CW195" s="15"/>
      <c r="CX195" s="15"/>
      <c r="CY195" s="15"/>
      <c r="CZ195" s="15"/>
      <c r="DA195" s="15"/>
      <c r="DB195" s="15"/>
      <c r="DC195" s="15"/>
      <c r="DD195" s="15"/>
      <c r="DE195" s="15"/>
      <c r="DF195" s="15"/>
      <c r="DG195" s="15"/>
      <c r="DH195" s="15"/>
      <c r="DI195" s="15"/>
      <c r="DJ195" s="15"/>
      <c r="DK195" s="15"/>
      <c r="DL195" s="15"/>
      <c r="DM195" s="15"/>
      <c r="DN195" s="15"/>
      <c r="DO195" s="15"/>
      <c r="DP195" s="15"/>
      <c r="DQ195" s="15"/>
      <c r="DR195" s="15"/>
      <c r="DS195" s="15"/>
    </row>
    <row r="196" spans="1:123" ht="25.35" x14ac:dyDescent="0.25">
      <c r="A196" s="15"/>
      <c r="B196" s="84"/>
      <c r="C196" s="84"/>
      <c r="D196" s="89"/>
      <c r="E196" s="402"/>
      <c r="F196" s="403"/>
      <c r="G196" s="84"/>
      <c r="H196" s="403"/>
      <c r="I196" s="403"/>
      <c r="J196" s="84"/>
      <c r="K196" s="84"/>
      <c r="L196" s="84"/>
      <c r="M196" s="84"/>
      <c r="N196" s="84"/>
      <c r="O196" s="84"/>
      <c r="P196" s="84"/>
      <c r="Q196" s="84"/>
      <c r="R196" s="84"/>
      <c r="S196" s="84"/>
      <c r="T196" s="84"/>
      <c r="U196" s="84"/>
      <c r="V196" s="84"/>
      <c r="W196" s="84"/>
      <c r="X196" s="84"/>
      <c r="Y196" s="84"/>
      <c r="Z196" s="84"/>
      <c r="AA196" s="121"/>
      <c r="AB196" s="77" t="s">
        <v>1034</v>
      </c>
      <c r="AC196" s="77">
        <v>0</v>
      </c>
      <c r="AD196" s="77">
        <v>0</v>
      </c>
      <c r="AE196" s="77">
        <v>17</v>
      </c>
      <c r="AF196" s="151">
        <v>8</v>
      </c>
      <c r="AG196" s="151">
        <f>'A2. Livestockdata'!AA57</f>
        <v>0</v>
      </c>
      <c r="AH196" s="77"/>
      <c r="AI196" s="259"/>
      <c r="AJ196" s="259"/>
      <c r="AK196" s="259"/>
      <c r="AL196" s="25"/>
      <c r="AM196" s="25"/>
      <c r="AN196" s="25"/>
      <c r="AO196" s="151" t="str">
        <f>'A2. Livestockdata'!A18</f>
        <v>Composting - non-forced aeration</v>
      </c>
      <c r="AP196" s="151">
        <f>'A2. Livestockdata'!B18</f>
        <v>0.01</v>
      </c>
      <c r="AQ196" s="151">
        <f>'A2. Livestockdata'!C18</f>
        <v>12</v>
      </c>
      <c r="AR196" s="77">
        <v>12</v>
      </c>
      <c r="AS196" s="259"/>
      <c r="AT196" s="784"/>
      <c r="AU196" s="259"/>
      <c r="AV196" s="13"/>
      <c r="AW196" s="60"/>
      <c r="AX196" s="60"/>
      <c r="AY196" s="60"/>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V196" s="15"/>
      <c r="CW196" s="15"/>
      <c r="CX196" s="15"/>
      <c r="CY196" s="15"/>
      <c r="CZ196" s="15"/>
      <c r="DA196" s="15"/>
      <c r="DB196" s="15"/>
      <c r="DC196" s="15"/>
      <c r="DD196" s="15"/>
      <c r="DE196" s="15"/>
      <c r="DF196" s="15"/>
      <c r="DG196" s="15"/>
      <c r="DH196" s="15"/>
      <c r="DI196" s="15"/>
      <c r="DJ196" s="15"/>
      <c r="DK196" s="15"/>
      <c r="DL196" s="15"/>
      <c r="DM196" s="15"/>
      <c r="DN196" s="15"/>
      <c r="DO196" s="15"/>
      <c r="DP196" s="15"/>
      <c r="DQ196" s="15"/>
      <c r="DR196" s="15"/>
      <c r="DS196" s="15"/>
    </row>
    <row r="197" spans="1:123" x14ac:dyDescent="0.25">
      <c r="A197" s="15"/>
      <c r="B197" s="84"/>
      <c r="C197" s="84"/>
      <c r="D197" s="89"/>
      <c r="E197" s="402"/>
      <c r="F197" s="403"/>
      <c r="G197" s="84"/>
      <c r="H197" s="403"/>
      <c r="I197" s="403"/>
      <c r="J197" s="84"/>
      <c r="K197" s="84"/>
      <c r="L197" s="84"/>
      <c r="M197" s="84"/>
      <c r="N197" s="84"/>
      <c r="O197" s="84"/>
      <c r="P197" s="84"/>
      <c r="Q197" s="84"/>
      <c r="R197" s="84"/>
      <c r="S197" s="84"/>
      <c r="T197" s="84"/>
      <c r="U197" s="84"/>
      <c r="V197" s="84"/>
      <c r="W197" s="84"/>
      <c r="X197" s="84"/>
      <c r="Y197" s="84"/>
      <c r="Z197" s="84"/>
      <c r="AA197" s="121"/>
      <c r="AB197" s="77" t="s">
        <v>510</v>
      </c>
      <c r="AC197" s="77">
        <v>0</v>
      </c>
      <c r="AD197" s="77">
        <v>0</v>
      </c>
      <c r="AE197" s="77">
        <v>5</v>
      </c>
      <c r="AF197" s="151">
        <v>12</v>
      </c>
      <c r="AG197" s="151">
        <f>'A2. Livestockdata'!AA58</f>
        <v>126</v>
      </c>
      <c r="AH197" s="77">
        <v>11</v>
      </c>
      <c r="AI197" s="259"/>
      <c r="AJ197" s="259"/>
      <c r="AK197" s="259"/>
      <c r="AL197" s="25"/>
      <c r="AM197" s="25"/>
      <c r="AN197" s="25"/>
      <c r="AO197" s="151" t="str">
        <f>'A2. Livestockdata'!A19</f>
        <v>Poultry manure with litter</v>
      </c>
      <c r="AP197" s="151">
        <f>'A2. Livestockdata'!B19</f>
        <v>1E-3</v>
      </c>
      <c r="AQ197" s="151">
        <f>'A2. Livestockdata'!C19</f>
        <v>13</v>
      </c>
      <c r="AR197" s="77">
        <v>13</v>
      </c>
      <c r="AS197" s="259"/>
      <c r="AT197" s="784"/>
      <c r="AU197" s="259"/>
      <c r="AV197" s="13"/>
      <c r="AW197" s="60"/>
      <c r="AX197" s="60"/>
      <c r="AY197" s="60"/>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V197" s="15"/>
      <c r="CW197" s="15"/>
      <c r="CX197" s="15"/>
      <c r="CY197" s="15"/>
      <c r="CZ197" s="15"/>
      <c r="DA197" s="15"/>
      <c r="DB197" s="15"/>
      <c r="DC197" s="15"/>
      <c r="DD197" s="15"/>
      <c r="DE197" s="15"/>
      <c r="DF197" s="15"/>
      <c r="DG197" s="15"/>
      <c r="DH197" s="15"/>
      <c r="DI197" s="15"/>
      <c r="DJ197" s="15"/>
      <c r="DK197" s="15"/>
      <c r="DL197" s="15"/>
      <c r="DM197" s="15"/>
      <c r="DN197" s="15"/>
      <c r="DO197" s="15"/>
      <c r="DP197" s="15"/>
      <c r="DQ197" s="15"/>
      <c r="DR197" s="15"/>
      <c r="DS197" s="15"/>
    </row>
    <row r="198" spans="1:123" ht="25.35" x14ac:dyDescent="0.25">
      <c r="A198" s="15"/>
      <c r="B198" s="84"/>
      <c r="C198" s="84"/>
      <c r="D198" s="89"/>
      <c r="E198" s="402"/>
      <c r="F198" s="403"/>
      <c r="G198" s="84"/>
      <c r="H198" s="403"/>
      <c r="I198" s="403"/>
      <c r="J198" s="84"/>
      <c r="K198" s="84"/>
      <c r="L198" s="84"/>
      <c r="M198" s="84"/>
      <c r="N198" s="84"/>
      <c r="O198" s="84"/>
      <c r="P198" s="84"/>
      <c r="Q198" s="84"/>
      <c r="R198" s="84"/>
      <c r="S198" s="84"/>
      <c r="T198" s="84"/>
      <c r="U198" s="84"/>
      <c r="V198" s="84"/>
      <c r="W198" s="84"/>
      <c r="X198" s="84"/>
      <c r="Y198" s="84"/>
      <c r="Z198" s="84"/>
      <c r="AA198" s="121"/>
      <c r="AB198" s="77" t="s">
        <v>511</v>
      </c>
      <c r="AC198" s="77">
        <v>0</v>
      </c>
      <c r="AD198" s="77">
        <v>0</v>
      </c>
      <c r="AE198" s="77">
        <v>6</v>
      </c>
      <c r="AF198" s="77">
        <v>13</v>
      </c>
      <c r="AG198" s="151">
        <f>'A2. Livestockdata'!AA59</f>
        <v>130</v>
      </c>
      <c r="AH198" s="77">
        <v>12</v>
      </c>
      <c r="AI198" s="259"/>
      <c r="AJ198" s="259"/>
      <c r="AK198" s="259"/>
      <c r="AL198" s="25"/>
      <c r="AM198" s="25"/>
      <c r="AN198" s="25"/>
      <c r="AO198" s="151" t="str">
        <f>'A2. Livestockdata'!A20</f>
        <v>Poultry manure without litter</v>
      </c>
      <c r="AP198" s="151">
        <f>'A2. Livestockdata'!B20</f>
        <v>1E-3</v>
      </c>
      <c r="AQ198" s="151">
        <f>'A2. Livestockdata'!C20</f>
        <v>14</v>
      </c>
      <c r="AR198" s="77">
        <v>14</v>
      </c>
      <c r="AS198" s="259"/>
      <c r="AT198" s="784"/>
      <c r="AU198" s="259"/>
      <c r="AV198" s="13"/>
      <c r="AW198" s="60"/>
      <c r="AX198" s="60"/>
      <c r="AY198" s="60"/>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V198" s="15"/>
      <c r="CW198" s="15"/>
      <c r="CX198" s="15"/>
      <c r="CY198" s="15"/>
      <c r="CZ198" s="15"/>
      <c r="DA198" s="15"/>
      <c r="DB198" s="15"/>
      <c r="DC198" s="15"/>
      <c r="DD198" s="15"/>
      <c r="DE198" s="15"/>
      <c r="DF198" s="15"/>
      <c r="DG198" s="15"/>
      <c r="DH198" s="15"/>
      <c r="DI198" s="15"/>
      <c r="DJ198" s="15"/>
      <c r="DK198" s="15"/>
      <c r="DL198" s="15"/>
      <c r="DM198" s="15"/>
      <c r="DN198" s="15"/>
      <c r="DO198" s="15"/>
      <c r="DP198" s="15"/>
      <c r="DQ198" s="15"/>
      <c r="DR198" s="15"/>
      <c r="DS198" s="15"/>
    </row>
    <row r="199" spans="1:123" ht="25.35" x14ac:dyDescent="0.25">
      <c r="A199" s="15"/>
      <c r="B199" s="84"/>
      <c r="C199" s="84"/>
      <c r="D199" s="89"/>
      <c r="E199" s="402"/>
      <c r="F199" s="403"/>
      <c r="G199" s="84"/>
      <c r="H199" s="403"/>
      <c r="I199" s="403"/>
      <c r="J199" s="84"/>
      <c r="K199" s="84"/>
      <c r="L199" s="84"/>
      <c r="M199" s="84"/>
      <c r="N199" s="84"/>
      <c r="O199" s="84"/>
      <c r="P199" s="84"/>
      <c r="Q199" s="84"/>
      <c r="R199" s="84"/>
      <c r="S199" s="84"/>
      <c r="T199" s="84"/>
      <c r="U199" s="84"/>
      <c r="V199" s="84"/>
      <c r="W199" s="84"/>
      <c r="X199" s="84"/>
      <c r="Y199" s="84"/>
      <c r="Z199" s="84"/>
      <c r="AA199" s="121"/>
      <c r="AB199" s="77" t="s">
        <v>514</v>
      </c>
      <c r="AC199" s="77">
        <v>0</v>
      </c>
      <c r="AD199" s="77">
        <v>0</v>
      </c>
      <c r="AE199" s="77">
        <v>9</v>
      </c>
      <c r="AF199" s="151">
        <v>14</v>
      </c>
      <c r="AG199" s="151">
        <f>'A2. Livestockdata'!AA60</f>
        <v>132</v>
      </c>
      <c r="AH199" s="77">
        <v>13</v>
      </c>
      <c r="AI199" s="259"/>
      <c r="AJ199" s="259"/>
      <c r="AK199" s="259"/>
      <c r="AL199" s="25"/>
      <c r="AM199" s="25"/>
      <c r="AN199" s="25"/>
      <c r="AO199" s="151" t="str">
        <f>'A2. Livestockdata'!A21</f>
        <v>Aerobic treatment - natural aeration</v>
      </c>
      <c r="AP199" s="151">
        <f>'A2. Livestockdata'!B21</f>
        <v>0.01</v>
      </c>
      <c r="AQ199" s="151">
        <f>'A2. Livestockdata'!C21</f>
        <v>15</v>
      </c>
      <c r="AR199" s="77">
        <v>15</v>
      </c>
      <c r="AS199" s="259"/>
      <c r="AT199" s="784"/>
      <c r="AU199" s="259"/>
      <c r="AV199" s="13"/>
      <c r="AW199" s="60"/>
      <c r="AX199" s="60"/>
      <c r="AY199" s="60"/>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V199" s="15"/>
      <c r="CW199" s="15"/>
      <c r="CX199" s="15"/>
      <c r="CY199" s="15"/>
      <c r="CZ199" s="15"/>
      <c r="DA199" s="15"/>
      <c r="DB199" s="15"/>
      <c r="DC199" s="15"/>
      <c r="DD199" s="15"/>
      <c r="DE199" s="15"/>
      <c r="DF199" s="15"/>
      <c r="DG199" s="15"/>
      <c r="DH199" s="15"/>
      <c r="DI199" s="15"/>
      <c r="DJ199" s="15"/>
      <c r="DK199" s="15"/>
      <c r="DL199" s="15"/>
      <c r="DM199" s="15"/>
      <c r="DN199" s="15"/>
      <c r="DO199" s="15"/>
      <c r="DP199" s="15"/>
      <c r="DQ199" s="15"/>
      <c r="DR199" s="15"/>
      <c r="DS199" s="15"/>
    </row>
    <row r="200" spans="1:123" ht="25.35" x14ac:dyDescent="0.25">
      <c r="A200" s="15"/>
      <c r="B200" s="84"/>
      <c r="C200" s="84"/>
      <c r="D200" s="89"/>
      <c r="E200" s="402"/>
      <c r="F200" s="403"/>
      <c r="G200" s="84"/>
      <c r="H200" s="403"/>
      <c r="I200" s="403"/>
      <c r="J200" s="84"/>
      <c r="K200" s="84"/>
      <c r="L200" s="84"/>
      <c r="M200" s="84"/>
      <c r="N200" s="84"/>
      <c r="O200" s="84"/>
      <c r="P200" s="84"/>
      <c r="Q200" s="84"/>
      <c r="R200" s="84"/>
      <c r="S200" s="84"/>
      <c r="T200" s="84"/>
      <c r="U200" s="84"/>
      <c r="V200" s="84"/>
      <c r="W200" s="84"/>
      <c r="X200" s="84"/>
      <c r="Y200" s="84"/>
      <c r="Z200" s="84"/>
      <c r="AA200" s="121"/>
      <c r="AB200" s="77" t="s">
        <v>515</v>
      </c>
      <c r="AC200" s="77">
        <v>0</v>
      </c>
      <c r="AD200" s="77">
        <v>0</v>
      </c>
      <c r="AE200" s="77">
        <v>10</v>
      </c>
      <c r="AF200" s="77">
        <v>15</v>
      </c>
      <c r="AG200" s="151">
        <f>'A2. Livestockdata'!AA61</f>
        <v>134</v>
      </c>
      <c r="AH200" s="77">
        <v>14</v>
      </c>
      <c r="AI200" s="259"/>
      <c r="AJ200" s="259"/>
      <c r="AK200" s="259"/>
      <c r="AL200" s="25"/>
      <c r="AM200" s="25"/>
      <c r="AN200" s="25"/>
      <c r="AO200" s="151" t="str">
        <f>'A2. Livestockdata'!A22</f>
        <v>Aerobic treatment - forced aeration</v>
      </c>
      <c r="AP200" s="151">
        <f>'A2. Livestockdata'!B22</f>
        <v>5.0000000000000001E-3</v>
      </c>
      <c r="AQ200" s="151">
        <f>'A2. Livestockdata'!C22</f>
        <v>16</v>
      </c>
      <c r="AR200" s="77">
        <v>16</v>
      </c>
      <c r="AS200" s="259"/>
      <c r="AT200" s="784"/>
      <c r="AU200" s="259"/>
      <c r="AV200" s="13"/>
      <c r="AW200" s="60"/>
      <c r="AX200" s="60"/>
      <c r="AY200" s="60"/>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V200" s="15"/>
      <c r="CW200" s="15"/>
      <c r="CX200" s="15"/>
      <c r="CY200" s="15"/>
      <c r="CZ200" s="15"/>
      <c r="DA200" s="15"/>
      <c r="DB200" s="15"/>
      <c r="DC200" s="15"/>
      <c r="DD200" s="15"/>
      <c r="DE200" s="15"/>
      <c r="DF200" s="15"/>
      <c r="DG200" s="15"/>
      <c r="DH200" s="15"/>
      <c r="DI200" s="15"/>
      <c r="DJ200" s="15"/>
      <c r="DK200" s="15"/>
      <c r="DL200" s="15"/>
      <c r="DM200" s="15"/>
      <c r="DN200" s="15"/>
      <c r="DO200" s="15"/>
      <c r="DP200" s="15"/>
      <c r="DQ200" s="15"/>
      <c r="DR200" s="15"/>
      <c r="DS200" s="15"/>
    </row>
    <row r="201" spans="1:123" x14ac:dyDescent="0.25">
      <c r="A201" s="15"/>
      <c r="B201" s="84"/>
      <c r="C201" s="84"/>
      <c r="D201" s="89"/>
      <c r="E201" s="402"/>
      <c r="F201" s="403"/>
      <c r="G201" s="84"/>
      <c r="H201" s="403"/>
      <c r="I201" s="403"/>
      <c r="J201" s="84"/>
      <c r="K201" s="84"/>
      <c r="L201" s="84"/>
      <c r="M201" s="84"/>
      <c r="N201" s="84"/>
      <c r="O201" s="84"/>
      <c r="P201" s="84"/>
      <c r="Q201" s="84"/>
      <c r="R201" s="84"/>
      <c r="S201" s="84"/>
      <c r="T201" s="84"/>
      <c r="U201" s="84"/>
      <c r="V201" s="84"/>
      <c r="W201" s="84"/>
      <c r="X201" s="84"/>
      <c r="Y201" s="84"/>
      <c r="Z201" s="84"/>
      <c r="AA201" s="121"/>
      <c r="AB201" s="25"/>
      <c r="AC201" s="25"/>
      <c r="AD201" s="25"/>
      <c r="AE201" s="259"/>
      <c r="AF201" s="259"/>
      <c r="AG201" s="259"/>
      <c r="AH201" s="259"/>
      <c r="AI201" s="259"/>
      <c r="AJ201" s="259"/>
      <c r="AK201" s="259"/>
      <c r="AL201" s="25"/>
      <c r="AM201" s="25"/>
      <c r="AN201" s="25"/>
      <c r="AO201" s="151" t="s">
        <v>412</v>
      </c>
      <c r="AP201" s="88">
        <f>SUMIF(AI122:AI133,E7,AO122:AO133)</f>
        <v>0</v>
      </c>
      <c r="AQ201" s="151">
        <f>'A2. Livestockdata'!C23</f>
        <v>17</v>
      </c>
      <c r="AR201" s="77">
        <v>17</v>
      </c>
      <c r="AS201" s="259"/>
      <c r="AT201" s="784"/>
      <c r="AU201" s="259"/>
      <c r="AV201" s="13"/>
      <c r="AW201" s="60"/>
      <c r="AX201" s="60"/>
      <c r="AY201" s="60"/>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V201" s="15"/>
      <c r="CW201" s="15"/>
      <c r="CX201" s="15"/>
      <c r="CY201" s="15"/>
      <c r="CZ201" s="15"/>
      <c r="DA201" s="15"/>
      <c r="DB201" s="15"/>
      <c r="DC201" s="15"/>
      <c r="DD201" s="15"/>
      <c r="DE201" s="15"/>
      <c r="DF201" s="15"/>
      <c r="DG201" s="15"/>
      <c r="DH201" s="15"/>
      <c r="DI201" s="15"/>
      <c r="DJ201" s="15"/>
      <c r="DK201" s="15"/>
      <c r="DL201" s="15"/>
      <c r="DM201" s="15"/>
      <c r="DN201" s="15"/>
      <c r="DO201" s="15"/>
      <c r="DP201" s="15"/>
      <c r="DQ201" s="15"/>
      <c r="DR201" s="15"/>
      <c r="DS201" s="15"/>
    </row>
    <row r="202" spans="1:123" x14ac:dyDescent="0.25">
      <c r="A202" s="15"/>
      <c r="B202" s="84"/>
      <c r="C202" s="84"/>
      <c r="D202" s="89"/>
      <c r="E202" s="402"/>
      <c r="F202" s="403"/>
      <c r="G202" s="84"/>
      <c r="H202" s="403"/>
      <c r="I202" s="403"/>
      <c r="J202" s="84"/>
      <c r="K202" s="84"/>
      <c r="L202" s="84"/>
      <c r="M202" s="84"/>
      <c r="N202" s="84"/>
      <c r="O202" s="84"/>
      <c r="P202" s="84"/>
      <c r="Q202" s="84"/>
      <c r="R202" s="84"/>
      <c r="S202" s="84"/>
      <c r="T202" s="84"/>
      <c r="U202" s="84"/>
      <c r="V202" s="84"/>
      <c r="W202" s="84"/>
      <c r="X202" s="84"/>
      <c r="Y202" s="84"/>
      <c r="Z202" s="84"/>
      <c r="AA202" s="121"/>
      <c r="AB202" s="25"/>
      <c r="AC202" s="25"/>
      <c r="AD202" s="25"/>
      <c r="AE202" s="259"/>
      <c r="AF202" s="259"/>
      <c r="AG202" s="259"/>
      <c r="AH202" s="259"/>
      <c r="AI202" s="259"/>
      <c r="AJ202" s="259"/>
      <c r="AK202" s="259"/>
      <c r="AL202" s="25"/>
      <c r="AM202" s="25"/>
      <c r="AN202" s="25"/>
      <c r="AO202" s="25"/>
      <c r="AP202" s="3"/>
      <c r="AQ202" s="3"/>
      <c r="AR202" s="259"/>
      <c r="AS202" s="259"/>
      <c r="AT202" s="784"/>
      <c r="AU202" s="259"/>
      <c r="AV202" s="13"/>
      <c r="AW202" s="60"/>
      <c r="AX202" s="60"/>
      <c r="AY202" s="60"/>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V202" s="15"/>
      <c r="CW202" s="15"/>
      <c r="CX202" s="15"/>
      <c r="CY202" s="15"/>
      <c r="CZ202" s="15"/>
      <c r="DA202" s="15"/>
      <c r="DB202" s="15"/>
      <c r="DC202" s="15"/>
      <c r="DD202" s="15"/>
      <c r="DE202" s="15"/>
      <c r="DF202" s="15"/>
      <c r="DG202" s="15"/>
      <c r="DH202" s="15"/>
      <c r="DI202" s="15"/>
      <c r="DJ202" s="15"/>
      <c r="DK202" s="15"/>
      <c r="DL202" s="15"/>
      <c r="DM202" s="15"/>
      <c r="DN202" s="15"/>
      <c r="DO202" s="15"/>
      <c r="DP202" s="15"/>
      <c r="DQ202" s="15"/>
      <c r="DR202" s="15"/>
      <c r="DS202" s="15"/>
    </row>
    <row r="203" spans="1:123" x14ac:dyDescent="0.25">
      <c r="A203" s="15"/>
      <c r="B203" s="84"/>
      <c r="C203" s="84"/>
      <c r="D203" s="89"/>
      <c r="E203" s="402"/>
      <c r="F203" s="403"/>
      <c r="G203" s="84"/>
      <c r="H203" s="403"/>
      <c r="I203" s="403"/>
      <c r="J203" s="84"/>
      <c r="K203" s="84"/>
      <c r="L203" s="84"/>
      <c r="M203" s="84"/>
      <c r="N203" s="84"/>
      <c r="O203" s="84"/>
      <c r="P203" s="84"/>
      <c r="Q203" s="84"/>
      <c r="R203" s="84"/>
      <c r="S203" s="84"/>
      <c r="T203" s="84"/>
      <c r="U203" s="84"/>
      <c r="V203" s="84"/>
      <c r="W203" s="84"/>
      <c r="X203" s="84"/>
      <c r="Y203" s="84"/>
      <c r="Z203" s="84"/>
      <c r="AA203" s="121"/>
      <c r="AB203" s="25"/>
      <c r="AC203" s="25"/>
      <c r="AD203" s="25"/>
      <c r="AE203" s="25"/>
      <c r="AF203" s="25"/>
      <c r="AG203" s="25"/>
      <c r="AH203" s="259"/>
      <c r="AI203" s="259"/>
      <c r="AJ203" s="259"/>
      <c r="AK203" s="259"/>
      <c r="AL203" s="25"/>
      <c r="AM203" s="25"/>
      <c r="AN203" s="25"/>
      <c r="AO203" s="25"/>
      <c r="AP203" s="3"/>
      <c r="AQ203" s="3"/>
      <c r="AR203" s="259"/>
      <c r="AS203" s="259"/>
      <c r="AT203" s="784"/>
      <c r="AU203" s="259"/>
      <c r="AV203" s="13"/>
      <c r="AW203" s="60"/>
      <c r="AX203" s="60"/>
      <c r="AY203" s="60"/>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V203" s="15"/>
      <c r="CW203" s="15"/>
      <c r="CX203" s="15"/>
      <c r="CY203" s="15"/>
      <c r="CZ203" s="15"/>
      <c r="DA203" s="15"/>
      <c r="DB203" s="15"/>
      <c r="DC203" s="15"/>
      <c r="DD203" s="15"/>
      <c r="DE203" s="15"/>
      <c r="DF203" s="15"/>
      <c r="DG203" s="15"/>
      <c r="DH203" s="15"/>
      <c r="DI203" s="15"/>
      <c r="DJ203" s="15"/>
      <c r="DK203" s="15"/>
      <c r="DL203" s="15"/>
      <c r="DM203" s="15"/>
      <c r="DN203" s="15"/>
      <c r="DO203" s="15"/>
      <c r="DP203" s="15"/>
      <c r="DQ203" s="15"/>
      <c r="DR203" s="15"/>
      <c r="DS203" s="15"/>
    </row>
    <row r="204" spans="1:123" x14ac:dyDescent="0.25">
      <c r="A204" s="15"/>
      <c r="B204" s="84"/>
      <c r="C204" s="84"/>
      <c r="D204" s="89"/>
      <c r="E204" s="402"/>
      <c r="F204" s="403"/>
      <c r="G204" s="84"/>
      <c r="H204" s="403"/>
      <c r="I204" s="403"/>
      <c r="J204" s="84"/>
      <c r="K204" s="84"/>
      <c r="L204" s="84"/>
      <c r="M204" s="84"/>
      <c r="N204" s="84"/>
      <c r="O204" s="84"/>
      <c r="P204" s="84"/>
      <c r="Q204" s="84"/>
      <c r="R204" s="84"/>
      <c r="S204" s="84"/>
      <c r="T204" s="84"/>
      <c r="U204" s="84"/>
      <c r="V204" s="84"/>
      <c r="W204" s="84"/>
      <c r="X204" s="84"/>
      <c r="Y204" s="84"/>
      <c r="Z204" s="84"/>
      <c r="AA204" s="121"/>
      <c r="AB204" s="77"/>
      <c r="AC204" s="77" t="s">
        <v>1953</v>
      </c>
      <c r="AD204" s="25"/>
      <c r="AE204" s="25"/>
      <c r="AF204" s="25"/>
      <c r="AG204" s="25"/>
      <c r="AH204" s="259"/>
      <c r="AI204" s="429" t="s">
        <v>1019</v>
      </c>
      <c r="AJ204" s="78"/>
      <c r="AK204" s="78"/>
      <c r="AL204" s="78"/>
      <c r="AM204" s="25"/>
      <c r="AN204" s="25"/>
      <c r="AO204" s="25"/>
      <c r="AP204" s="3"/>
      <c r="AQ204" s="3"/>
      <c r="AR204" s="259"/>
      <c r="AS204" s="259"/>
      <c r="AT204" s="784"/>
      <c r="AU204" s="259"/>
      <c r="AV204" s="13"/>
      <c r="AW204" s="60"/>
      <c r="AX204" s="60"/>
      <c r="AY204" s="60"/>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V204" s="15"/>
      <c r="CW204" s="15"/>
      <c r="CX204" s="15"/>
      <c r="CY204" s="15"/>
      <c r="CZ204" s="15"/>
      <c r="DA204" s="15"/>
      <c r="DB204" s="15"/>
      <c r="DC204" s="15"/>
      <c r="DD204" s="15"/>
      <c r="DE204" s="15"/>
      <c r="DF204" s="15"/>
      <c r="DG204" s="15"/>
      <c r="DH204" s="15"/>
      <c r="DI204" s="15"/>
      <c r="DJ204" s="15"/>
      <c r="DK204" s="15"/>
      <c r="DL204" s="15"/>
      <c r="DM204" s="15"/>
      <c r="DN204" s="15"/>
      <c r="DO204" s="15"/>
      <c r="DP204" s="15"/>
      <c r="DQ204" s="15"/>
      <c r="DR204" s="15"/>
      <c r="DS204" s="15"/>
    </row>
    <row r="205" spans="1:123" x14ac:dyDescent="0.25">
      <c r="A205" s="15"/>
      <c r="B205" s="84"/>
      <c r="C205" s="84"/>
      <c r="D205" s="89"/>
      <c r="E205" s="402"/>
      <c r="F205" s="403"/>
      <c r="G205" s="84"/>
      <c r="H205" s="403"/>
      <c r="I205" s="403"/>
      <c r="J205" s="84"/>
      <c r="K205" s="84"/>
      <c r="L205" s="84"/>
      <c r="M205" s="84"/>
      <c r="N205" s="84"/>
      <c r="O205" s="84"/>
      <c r="P205" s="84"/>
      <c r="Q205" s="84"/>
      <c r="R205" s="84"/>
      <c r="S205" s="84"/>
      <c r="T205" s="84"/>
      <c r="U205" s="84"/>
      <c r="V205" s="84"/>
      <c r="W205" s="84"/>
      <c r="X205" s="84"/>
      <c r="Y205" s="84"/>
      <c r="Z205" s="84"/>
      <c r="AA205" s="121"/>
      <c r="AB205" s="151" t="s">
        <v>1019</v>
      </c>
      <c r="AC205" s="151">
        <f>'A2. Livestockdata'!J5</f>
        <v>40</v>
      </c>
      <c r="AD205" s="25"/>
      <c r="AE205" s="25"/>
      <c r="AF205" s="25"/>
      <c r="AG205" s="25"/>
      <c r="AH205" s="25"/>
      <c r="AI205" s="78" t="s">
        <v>346</v>
      </c>
      <c r="AJ205" s="78"/>
      <c r="AK205" s="78"/>
      <c r="AL205" s="78"/>
      <c r="AM205" s="25"/>
      <c r="AN205" s="25"/>
      <c r="AO205" s="25"/>
      <c r="AP205" s="3"/>
      <c r="AQ205" s="3"/>
      <c r="AR205" s="25"/>
      <c r="AS205" s="25"/>
      <c r="AT205" s="343"/>
      <c r="AU205" s="25"/>
      <c r="AV205" s="13"/>
      <c r="AW205" s="60"/>
      <c r="AX205" s="60"/>
      <c r="AY205" s="60"/>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V205" s="15"/>
      <c r="CW205" s="15"/>
      <c r="CX205" s="15"/>
      <c r="CY205" s="15"/>
      <c r="CZ205" s="15"/>
      <c r="DA205" s="15"/>
      <c r="DB205" s="15"/>
      <c r="DC205" s="15"/>
      <c r="DD205" s="15"/>
      <c r="DE205" s="15"/>
      <c r="DF205" s="15"/>
      <c r="DG205" s="15"/>
      <c r="DH205" s="15"/>
      <c r="DI205" s="15"/>
      <c r="DJ205" s="15"/>
      <c r="DK205" s="15"/>
      <c r="DL205" s="15"/>
      <c r="DM205" s="15"/>
      <c r="DN205" s="15"/>
      <c r="DO205" s="15"/>
      <c r="DP205" s="15"/>
      <c r="DQ205" s="15"/>
      <c r="DR205" s="15"/>
      <c r="DS205" s="15"/>
    </row>
    <row r="206" spans="1:123" x14ac:dyDescent="0.25">
      <c r="A206" s="15"/>
      <c r="B206" s="84"/>
      <c r="C206" s="84"/>
      <c r="D206" s="89"/>
      <c r="E206" s="402"/>
      <c r="F206" s="403"/>
      <c r="G206" s="84"/>
      <c r="H206" s="403"/>
      <c r="I206" s="403"/>
      <c r="J206" s="84"/>
      <c r="K206" s="84"/>
      <c r="L206" s="84"/>
      <c r="M206" s="84"/>
      <c r="N206" s="84"/>
      <c r="O206" s="84"/>
      <c r="P206" s="84"/>
      <c r="Q206" s="84"/>
      <c r="R206" s="84"/>
      <c r="S206" s="84"/>
      <c r="T206" s="84"/>
      <c r="U206" s="84"/>
      <c r="V206" s="84"/>
      <c r="W206" s="84"/>
      <c r="X206" s="84"/>
      <c r="Y206" s="84"/>
      <c r="Z206" s="84"/>
      <c r="AA206" s="121"/>
      <c r="AB206" s="77" t="s">
        <v>346</v>
      </c>
      <c r="AC206" s="151">
        <f>'A2. Livestockdata'!J6</f>
        <v>25</v>
      </c>
      <c r="AD206" s="360"/>
      <c r="AE206" s="25"/>
      <c r="AF206" s="25"/>
      <c r="AG206" s="25"/>
      <c r="AH206" s="25"/>
      <c r="AI206" s="78" t="s">
        <v>737</v>
      </c>
      <c r="AJ206" s="78"/>
      <c r="AK206" s="78"/>
      <c r="AL206" s="78"/>
      <c r="AM206" s="25"/>
      <c r="AN206" s="25"/>
      <c r="AO206" s="25"/>
      <c r="AP206" s="3"/>
      <c r="AQ206" s="3"/>
      <c r="AR206" s="25"/>
      <c r="AS206" s="25"/>
      <c r="AT206" s="343"/>
      <c r="AU206" s="25"/>
      <c r="AV206" s="13"/>
      <c r="AW206" s="60"/>
      <c r="AX206" s="60"/>
      <c r="AY206" s="60"/>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V206" s="15"/>
      <c r="CW206" s="15"/>
      <c r="CX206" s="15"/>
      <c r="CY206" s="15"/>
      <c r="CZ206" s="15"/>
      <c r="DA206" s="15"/>
      <c r="DB206" s="15"/>
      <c r="DC206" s="15"/>
      <c r="DD206" s="15"/>
      <c r="DE206" s="15"/>
      <c r="DF206" s="15"/>
      <c r="DG206" s="15"/>
      <c r="DH206" s="15"/>
      <c r="DI206" s="15"/>
      <c r="DJ206" s="15"/>
      <c r="DK206" s="15"/>
      <c r="DL206" s="15"/>
      <c r="DM206" s="15"/>
      <c r="DN206" s="15"/>
      <c r="DO206" s="15"/>
      <c r="DP206" s="15"/>
      <c r="DQ206" s="15"/>
      <c r="DR206" s="15"/>
      <c r="DS206" s="15"/>
    </row>
    <row r="207" spans="1:123" x14ac:dyDescent="0.25">
      <c r="A207" s="15"/>
      <c r="B207" s="84"/>
      <c r="C207" s="84"/>
      <c r="D207" s="89"/>
      <c r="E207" s="402"/>
      <c r="F207" s="403"/>
      <c r="G207" s="84"/>
      <c r="H207" s="403"/>
      <c r="I207" s="403"/>
      <c r="J207" s="84"/>
      <c r="K207" s="84"/>
      <c r="L207" s="84"/>
      <c r="M207" s="84"/>
      <c r="N207" s="84"/>
      <c r="O207" s="84"/>
      <c r="P207" s="84"/>
      <c r="Q207" s="84"/>
      <c r="R207" s="84"/>
      <c r="S207" s="84"/>
      <c r="T207" s="84"/>
      <c r="U207" s="84"/>
      <c r="V207" s="84"/>
      <c r="W207" s="84"/>
      <c r="X207" s="84"/>
      <c r="Y207" s="84"/>
      <c r="Z207" s="84"/>
      <c r="AA207" s="121"/>
      <c r="AB207" s="77" t="s">
        <v>737</v>
      </c>
      <c r="AC207" s="151">
        <f>'A2. Livestockdata'!J7</f>
        <v>40</v>
      </c>
      <c r="AD207" s="25"/>
      <c r="AE207" s="25"/>
      <c r="AF207" s="25"/>
      <c r="AG207" s="25"/>
      <c r="AH207" s="25"/>
      <c r="AI207" s="78" t="s">
        <v>741</v>
      </c>
      <c r="AJ207" s="78"/>
      <c r="AK207" s="78"/>
      <c r="AL207" s="78"/>
      <c r="AM207" s="25"/>
      <c r="AN207" s="25"/>
      <c r="AO207" s="25"/>
      <c r="AP207" s="3"/>
      <c r="AQ207" s="3"/>
      <c r="AR207" s="25"/>
      <c r="AS207" s="25"/>
      <c r="AT207" s="343"/>
      <c r="AU207" s="25"/>
      <c r="AV207" s="13"/>
      <c r="AW207" s="60"/>
      <c r="AX207" s="60"/>
      <c r="AY207" s="60"/>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V207" s="15"/>
      <c r="CW207" s="15"/>
      <c r="CX207" s="15"/>
      <c r="CY207" s="15"/>
      <c r="CZ207" s="15"/>
      <c r="DA207" s="15"/>
      <c r="DB207" s="15"/>
      <c r="DC207" s="15"/>
      <c r="DD207" s="15"/>
      <c r="DE207" s="15"/>
      <c r="DF207" s="15"/>
      <c r="DG207" s="15"/>
      <c r="DH207" s="15"/>
      <c r="DI207" s="15"/>
      <c r="DJ207" s="15"/>
      <c r="DK207" s="15"/>
      <c r="DL207" s="15"/>
      <c r="DM207" s="15"/>
      <c r="DN207" s="15"/>
      <c r="DO207" s="15"/>
      <c r="DP207" s="15"/>
      <c r="DQ207" s="15"/>
      <c r="DR207" s="15"/>
      <c r="DS207" s="15"/>
    </row>
    <row r="208" spans="1:123" x14ac:dyDescent="0.25">
      <c r="A208" s="15"/>
      <c r="B208" s="84"/>
      <c r="C208" s="84"/>
      <c r="D208" s="584"/>
      <c r="E208" s="146"/>
      <c r="F208" s="146"/>
      <c r="G208" s="146"/>
      <c r="H208" s="146"/>
      <c r="I208" s="146"/>
      <c r="J208" s="146"/>
      <c r="K208" s="146"/>
      <c r="L208" s="146"/>
      <c r="M208" s="146"/>
      <c r="N208" s="84"/>
      <c r="O208" s="84"/>
      <c r="P208" s="84"/>
      <c r="Q208" s="84"/>
      <c r="R208" s="84"/>
      <c r="S208" s="84"/>
      <c r="T208" s="84"/>
      <c r="U208" s="84"/>
      <c r="V208" s="84"/>
      <c r="W208" s="84"/>
      <c r="X208" s="84"/>
      <c r="Y208" s="84"/>
      <c r="Z208" s="84"/>
      <c r="AA208" s="121"/>
      <c r="AB208" s="77" t="s">
        <v>741</v>
      </c>
      <c r="AC208" s="151">
        <f>'A2. Livestockdata'!J8</f>
        <v>48</v>
      </c>
      <c r="AD208" s="25"/>
      <c r="AE208" s="25"/>
      <c r="AF208" s="25"/>
      <c r="AG208" s="25"/>
      <c r="AH208" s="25"/>
      <c r="AI208" s="78" t="s">
        <v>744</v>
      </c>
      <c r="AJ208" s="78"/>
      <c r="AK208" s="78"/>
      <c r="AL208" s="78"/>
      <c r="AM208" s="25"/>
      <c r="AN208" s="25"/>
      <c r="AO208" s="25"/>
      <c r="AP208" s="3"/>
      <c r="AQ208" s="3"/>
      <c r="AR208" s="25"/>
      <c r="AS208" s="25"/>
      <c r="AT208" s="343"/>
      <c r="AU208" s="25"/>
      <c r="AV208" s="13"/>
      <c r="AW208" s="60"/>
      <c r="AX208" s="60"/>
      <c r="AY208" s="60"/>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V208" s="15"/>
      <c r="CW208" s="15"/>
      <c r="CX208" s="15"/>
      <c r="CY208" s="15"/>
      <c r="CZ208" s="15"/>
      <c r="DA208" s="15"/>
      <c r="DB208" s="15"/>
      <c r="DC208" s="15"/>
      <c r="DD208" s="15"/>
      <c r="DE208" s="15"/>
      <c r="DF208" s="15"/>
      <c r="DG208" s="15"/>
      <c r="DH208" s="15"/>
      <c r="DI208" s="15"/>
      <c r="DJ208" s="15"/>
      <c r="DK208" s="15"/>
      <c r="DL208" s="15"/>
      <c r="DM208" s="15"/>
      <c r="DN208" s="15"/>
      <c r="DO208" s="15"/>
      <c r="DP208" s="15"/>
      <c r="DQ208" s="15"/>
      <c r="DR208" s="15"/>
      <c r="DS208" s="15"/>
    </row>
    <row r="209" spans="1:123" x14ac:dyDescent="0.25">
      <c r="A209" s="15"/>
      <c r="B209" s="84"/>
      <c r="C209" s="84"/>
      <c r="D209" s="89"/>
      <c r="E209" s="402"/>
      <c r="F209" s="403"/>
      <c r="G209" s="84"/>
      <c r="H209" s="403"/>
      <c r="I209" s="403"/>
      <c r="J209" s="84"/>
      <c r="K209" s="84"/>
      <c r="L209" s="84"/>
      <c r="M209" s="84"/>
      <c r="N209" s="84"/>
      <c r="O209" s="84"/>
      <c r="P209" s="84"/>
      <c r="Q209" s="84"/>
      <c r="R209" s="84"/>
      <c r="S209" s="84"/>
      <c r="T209" s="84"/>
      <c r="U209" s="84"/>
      <c r="V209" s="84"/>
      <c r="W209" s="84"/>
      <c r="X209" s="84"/>
      <c r="Y209" s="84"/>
      <c r="Z209" s="84"/>
      <c r="AA209" s="121"/>
      <c r="AB209" s="77" t="s">
        <v>744</v>
      </c>
      <c r="AC209" s="151">
        <f>'A2. Livestockdata'!J9</f>
        <v>45</v>
      </c>
      <c r="AD209" s="25"/>
      <c r="AE209" s="25"/>
      <c r="AF209" s="25"/>
      <c r="AG209" s="25"/>
      <c r="AH209" s="25"/>
      <c r="AI209" s="78" t="s">
        <v>542</v>
      </c>
      <c r="AJ209" s="78"/>
      <c r="AK209" s="78"/>
      <c r="AL209" s="78"/>
      <c r="AM209" s="25"/>
      <c r="AN209" s="25"/>
      <c r="AO209" s="25"/>
      <c r="AP209" s="3"/>
      <c r="AQ209" s="3"/>
      <c r="AR209" s="25"/>
      <c r="AS209" s="25"/>
      <c r="AT209" s="343"/>
      <c r="AU209" s="25"/>
      <c r="AV209" s="13"/>
      <c r="AW209" s="60"/>
      <c r="AX209" s="60"/>
      <c r="AY209" s="60"/>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V209" s="15"/>
      <c r="CW209" s="15"/>
      <c r="CX209" s="15"/>
      <c r="CY209" s="15"/>
      <c r="CZ209" s="15"/>
      <c r="DA209" s="15"/>
      <c r="DB209" s="15"/>
      <c r="DC209" s="15"/>
      <c r="DD209" s="15"/>
      <c r="DE209" s="15"/>
      <c r="DF209" s="15"/>
      <c r="DG209" s="15"/>
      <c r="DH209" s="15"/>
      <c r="DI209" s="15"/>
      <c r="DJ209" s="15"/>
      <c r="DK209" s="15"/>
      <c r="DL209" s="15"/>
      <c r="DM209" s="15"/>
      <c r="DN209" s="15"/>
      <c r="DO209" s="15"/>
      <c r="DP209" s="15"/>
      <c r="DQ209" s="15"/>
      <c r="DR209" s="15"/>
      <c r="DS209" s="15"/>
    </row>
    <row r="210" spans="1:123" x14ac:dyDescent="0.25">
      <c r="A210" s="15"/>
      <c r="B210" s="146"/>
      <c r="C210" s="146"/>
      <c r="D210" s="89"/>
      <c r="E210" s="402"/>
      <c r="F210" s="403"/>
      <c r="G210" s="84"/>
      <c r="H210" s="403"/>
      <c r="I210" s="403"/>
      <c r="J210" s="84"/>
      <c r="K210" s="84"/>
      <c r="L210" s="84"/>
      <c r="M210" s="84"/>
      <c r="N210" s="146"/>
      <c r="O210" s="146"/>
      <c r="P210" s="146"/>
      <c r="Q210" s="146"/>
      <c r="R210" s="146"/>
      <c r="S210" s="84"/>
      <c r="T210" s="84"/>
      <c r="U210" s="84"/>
      <c r="V210" s="84"/>
      <c r="W210" s="84"/>
      <c r="X210" s="84"/>
      <c r="Y210" s="84"/>
      <c r="Z210" s="84"/>
      <c r="AA210" s="121"/>
      <c r="AB210" s="77" t="s">
        <v>542</v>
      </c>
      <c r="AC210" s="151">
        <f>'A2. Livestockdata'!J10</f>
        <v>35</v>
      </c>
      <c r="AD210" s="25"/>
      <c r="AE210" s="25"/>
      <c r="AF210" s="25"/>
      <c r="AG210" s="25"/>
      <c r="AH210" s="25"/>
      <c r="AI210" s="78" t="s">
        <v>347</v>
      </c>
      <c r="AJ210" s="78"/>
      <c r="AK210" s="78"/>
      <c r="AL210" s="78"/>
      <c r="AM210" s="25"/>
      <c r="AN210" s="25"/>
      <c r="AO210" s="25"/>
      <c r="AP210" s="3"/>
      <c r="AQ210" s="3"/>
      <c r="AR210" s="25"/>
      <c r="AS210" s="25"/>
      <c r="AT210" s="343"/>
      <c r="AU210" s="25"/>
      <c r="AV210" s="13"/>
      <c r="AW210" s="60"/>
      <c r="AX210" s="60"/>
      <c r="AY210" s="60"/>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V210" s="15"/>
      <c r="CW210" s="15"/>
      <c r="CX210" s="15"/>
      <c r="CY210" s="15"/>
      <c r="CZ210" s="15"/>
      <c r="DA210" s="15"/>
      <c r="DB210" s="15"/>
      <c r="DC210" s="15"/>
      <c r="DD210" s="15"/>
      <c r="DE210" s="15"/>
      <c r="DF210" s="15"/>
      <c r="DG210" s="15"/>
      <c r="DH210" s="15"/>
      <c r="DI210" s="15"/>
      <c r="DJ210" s="15"/>
      <c r="DK210" s="15"/>
      <c r="DL210" s="15"/>
      <c r="DM210" s="15"/>
      <c r="DN210" s="15"/>
      <c r="DO210" s="15"/>
      <c r="DP210" s="15"/>
      <c r="DQ210" s="15"/>
      <c r="DR210" s="15"/>
      <c r="DS210" s="15"/>
    </row>
    <row r="211" spans="1:123" x14ac:dyDescent="0.25">
      <c r="A211" s="15"/>
      <c r="B211" s="84"/>
      <c r="C211" s="84"/>
      <c r="D211" s="89"/>
      <c r="E211" s="402"/>
      <c r="F211" s="403"/>
      <c r="G211" s="84"/>
      <c r="H211" s="403"/>
      <c r="I211" s="403"/>
      <c r="J211" s="84"/>
      <c r="K211" s="84"/>
      <c r="L211" s="84"/>
      <c r="M211" s="84"/>
      <c r="N211" s="84"/>
      <c r="O211" s="84"/>
      <c r="P211" s="84"/>
      <c r="Q211" s="84"/>
      <c r="R211" s="84"/>
      <c r="S211" s="84"/>
      <c r="T211" s="84"/>
      <c r="U211" s="84"/>
      <c r="V211" s="84"/>
      <c r="W211" s="84"/>
      <c r="X211" s="84"/>
      <c r="Y211" s="84"/>
      <c r="Z211" s="84"/>
      <c r="AA211" s="121"/>
      <c r="AB211" s="77" t="s">
        <v>347</v>
      </c>
      <c r="AC211" s="151">
        <f>'A2. Livestockdata'!J11</f>
        <v>40</v>
      </c>
      <c r="AD211" s="25"/>
      <c r="AE211" s="25"/>
      <c r="AF211" s="25"/>
      <c r="AG211" s="25"/>
      <c r="AH211" s="25"/>
      <c r="AI211" s="78" t="s">
        <v>613</v>
      </c>
      <c r="AJ211" s="78"/>
      <c r="AK211" s="78"/>
      <c r="AL211" s="78"/>
      <c r="AM211" s="25"/>
      <c r="AN211" s="25"/>
      <c r="AO211" s="25"/>
      <c r="AP211" s="3"/>
      <c r="AQ211" s="3"/>
      <c r="AR211" s="25"/>
      <c r="AS211" s="25"/>
      <c r="AT211" s="343"/>
      <c r="AU211" s="25"/>
      <c r="AV211" s="13"/>
      <c r="AW211" s="60"/>
      <c r="AX211" s="60"/>
      <c r="AY211" s="60"/>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V211" s="15"/>
      <c r="CW211" s="15"/>
      <c r="CX211" s="15"/>
      <c r="CY211" s="15"/>
      <c r="CZ211" s="15"/>
      <c r="DA211" s="15"/>
      <c r="DB211" s="15"/>
      <c r="DC211" s="15"/>
      <c r="DD211" s="15"/>
      <c r="DE211" s="15"/>
      <c r="DF211" s="15"/>
      <c r="DG211" s="15"/>
      <c r="DH211" s="15"/>
      <c r="DI211" s="15"/>
      <c r="DJ211" s="15"/>
      <c r="DK211" s="15"/>
      <c r="DL211" s="15"/>
      <c r="DM211" s="15"/>
      <c r="DN211" s="15"/>
      <c r="DO211" s="15"/>
      <c r="DP211" s="15"/>
      <c r="DQ211" s="15"/>
      <c r="DR211" s="15"/>
      <c r="DS211" s="15"/>
    </row>
    <row r="212" spans="1:123" x14ac:dyDescent="0.25">
      <c r="A212" s="15"/>
      <c r="B212" s="84"/>
      <c r="C212" s="84"/>
      <c r="D212" s="89"/>
      <c r="E212" s="402"/>
      <c r="F212" s="403"/>
      <c r="G212" s="84"/>
      <c r="H212" s="403"/>
      <c r="I212" s="403"/>
      <c r="J212" s="84"/>
      <c r="K212" s="84"/>
      <c r="L212" s="84"/>
      <c r="M212" s="84"/>
      <c r="N212" s="84"/>
      <c r="O212" s="84"/>
      <c r="P212" s="84"/>
      <c r="Q212" s="84"/>
      <c r="R212" s="84"/>
      <c r="S212" s="84"/>
      <c r="T212" s="84"/>
      <c r="U212" s="84"/>
      <c r="V212" s="84"/>
      <c r="W212" s="84"/>
      <c r="X212" s="84"/>
      <c r="Y212" s="84"/>
      <c r="Z212" s="84"/>
      <c r="AA212" s="121"/>
      <c r="AB212" s="77" t="s">
        <v>613</v>
      </c>
      <c r="AC212" s="151">
        <f>'A2. Livestockdata'!J12</f>
        <v>28</v>
      </c>
      <c r="AD212" s="25"/>
      <c r="AE212" s="25"/>
      <c r="AF212" s="25"/>
      <c r="AG212" s="25"/>
      <c r="AH212" s="25"/>
      <c r="AI212" s="78" t="s">
        <v>1186</v>
      </c>
      <c r="AJ212" s="78"/>
      <c r="AK212" s="78"/>
      <c r="AL212" s="78"/>
      <c r="AM212" s="25"/>
      <c r="AN212" s="25"/>
      <c r="AO212" s="25"/>
      <c r="AP212" s="3"/>
      <c r="AQ212" s="3"/>
      <c r="AR212" s="25"/>
      <c r="AS212" s="25"/>
      <c r="AT212" s="343"/>
      <c r="AU212" s="25"/>
      <c r="AV212" s="13"/>
      <c r="AW212" s="60"/>
      <c r="AX212" s="60"/>
      <c r="AY212" s="60"/>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V212" s="15"/>
      <c r="CW212" s="15"/>
      <c r="CX212" s="15"/>
      <c r="CY212" s="15"/>
      <c r="CZ212" s="15"/>
      <c r="DA212" s="15"/>
      <c r="DB212" s="15"/>
      <c r="DC212" s="15"/>
      <c r="DD212" s="15"/>
      <c r="DE212" s="15"/>
      <c r="DF212" s="15"/>
      <c r="DG212" s="15"/>
      <c r="DH212" s="15"/>
      <c r="DI212" s="15"/>
      <c r="DJ212" s="15"/>
      <c r="DK212" s="15"/>
      <c r="DL212" s="15"/>
      <c r="DM212" s="15"/>
      <c r="DN212" s="15"/>
      <c r="DO212" s="15"/>
      <c r="DP212" s="15"/>
      <c r="DQ212" s="15"/>
      <c r="DR212" s="15"/>
      <c r="DS212" s="15"/>
    </row>
    <row r="213" spans="1:123" x14ac:dyDescent="0.25">
      <c r="A213" s="15"/>
      <c r="B213" s="84"/>
      <c r="C213" s="84"/>
      <c r="D213" s="89"/>
      <c r="E213" s="402"/>
      <c r="F213" s="403"/>
      <c r="G213" s="84"/>
      <c r="H213" s="403"/>
      <c r="I213" s="403"/>
      <c r="J213" s="84"/>
      <c r="K213" s="84"/>
      <c r="L213" s="84"/>
      <c r="M213" s="84"/>
      <c r="N213" s="84"/>
      <c r="O213" s="84"/>
      <c r="P213" s="84"/>
      <c r="Q213" s="84"/>
      <c r="R213" s="84"/>
      <c r="S213" s="84"/>
      <c r="T213" s="84"/>
      <c r="U213" s="84"/>
      <c r="V213" s="84"/>
      <c r="W213" s="84"/>
      <c r="X213" s="84"/>
      <c r="Y213" s="84"/>
      <c r="Z213" s="84"/>
      <c r="AA213" s="121"/>
      <c r="AB213" s="77" t="s">
        <v>1186</v>
      </c>
      <c r="AC213" s="151">
        <f>'A2. Livestockdata'!J13</f>
        <v>20</v>
      </c>
      <c r="AD213" s="25"/>
      <c r="AE213" s="25"/>
      <c r="AF213" s="25"/>
      <c r="AG213" s="25"/>
      <c r="AH213" s="25"/>
      <c r="AI213" s="78" t="s">
        <v>1033</v>
      </c>
      <c r="AJ213" s="78"/>
      <c r="AK213" s="78"/>
      <c r="AL213" s="78"/>
      <c r="AM213" s="25"/>
      <c r="AN213" s="25"/>
      <c r="AO213" s="25"/>
      <c r="AP213" s="3"/>
      <c r="AQ213" s="3"/>
      <c r="AR213" s="25"/>
      <c r="AS213" s="25"/>
      <c r="AT213" s="343"/>
      <c r="AU213" s="25"/>
      <c r="AV213" s="13"/>
      <c r="AW213" s="60"/>
      <c r="AX213" s="60"/>
      <c r="AY213" s="60"/>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V213" s="15"/>
      <c r="CW213" s="15"/>
      <c r="CX213" s="15"/>
      <c r="CY213" s="15"/>
      <c r="CZ213" s="15"/>
      <c r="DA213" s="15"/>
      <c r="DB213" s="15"/>
      <c r="DC213" s="15"/>
      <c r="DD213" s="15"/>
      <c r="DE213" s="15"/>
      <c r="DF213" s="15"/>
      <c r="DG213" s="15"/>
      <c r="DH213" s="15"/>
      <c r="DI213" s="15"/>
      <c r="DJ213" s="15"/>
      <c r="DK213" s="15"/>
      <c r="DL213" s="15"/>
      <c r="DM213" s="15"/>
      <c r="DN213" s="15"/>
      <c r="DO213" s="15"/>
      <c r="DP213" s="15"/>
      <c r="DQ213" s="15"/>
      <c r="DR213" s="15"/>
      <c r="DS213" s="15"/>
    </row>
    <row r="214" spans="1:123" x14ac:dyDescent="0.25">
      <c r="A214" s="15"/>
      <c r="B214" s="84"/>
      <c r="C214" s="84"/>
      <c r="D214" s="89"/>
      <c r="E214" s="402"/>
      <c r="F214" s="403"/>
      <c r="G214" s="84"/>
      <c r="H214" s="403"/>
      <c r="I214" s="403"/>
      <c r="J214" s="84"/>
      <c r="K214" s="84"/>
      <c r="L214" s="84"/>
      <c r="M214" s="84"/>
      <c r="N214" s="84"/>
      <c r="O214" s="84"/>
      <c r="P214" s="84"/>
      <c r="Q214" s="84"/>
      <c r="R214" s="84"/>
      <c r="S214" s="84"/>
      <c r="T214" s="84"/>
      <c r="U214" s="84"/>
      <c r="V214" s="84"/>
      <c r="W214" s="84"/>
      <c r="X214" s="84"/>
      <c r="Y214" s="84"/>
      <c r="Z214" s="84"/>
      <c r="AA214" s="121"/>
      <c r="AB214" s="77" t="s">
        <v>1033</v>
      </c>
      <c r="AC214" s="151">
        <f>'A2. Livestockdata'!J14</f>
        <v>30</v>
      </c>
      <c r="AD214" s="25"/>
      <c r="AE214" s="25"/>
      <c r="AF214" s="25"/>
      <c r="AG214" s="25"/>
      <c r="AH214" s="25"/>
      <c r="AI214" s="78" t="s">
        <v>1039</v>
      </c>
      <c r="AJ214" s="78"/>
      <c r="AK214" s="78"/>
      <c r="AL214" s="78"/>
      <c r="AM214" s="25"/>
      <c r="AN214" s="25"/>
      <c r="AO214" s="25"/>
      <c r="AP214" s="3"/>
      <c r="AQ214" s="3"/>
      <c r="AR214" s="25"/>
      <c r="AS214" s="25"/>
      <c r="AT214" s="343"/>
      <c r="AU214" s="25"/>
      <c r="AV214" s="13"/>
      <c r="AW214" s="60"/>
      <c r="AX214" s="60"/>
      <c r="AY214" s="60"/>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V214" s="15"/>
      <c r="CW214" s="15"/>
      <c r="CX214" s="15"/>
      <c r="CY214" s="15"/>
      <c r="CZ214" s="15"/>
      <c r="DA214" s="15"/>
      <c r="DB214" s="15"/>
      <c r="DC214" s="15"/>
      <c r="DD214" s="15"/>
      <c r="DE214" s="15"/>
      <c r="DF214" s="15"/>
      <c r="DG214" s="15"/>
      <c r="DH214" s="15"/>
      <c r="DI214" s="15"/>
      <c r="DJ214" s="15"/>
      <c r="DK214" s="15"/>
      <c r="DL214" s="15"/>
      <c r="DM214" s="15"/>
      <c r="DN214" s="15"/>
      <c r="DO214" s="15"/>
      <c r="DP214" s="15"/>
      <c r="DQ214" s="15"/>
      <c r="DR214" s="15"/>
      <c r="DS214" s="15"/>
    </row>
    <row r="215" spans="1:123" x14ac:dyDescent="0.25">
      <c r="A215" s="15"/>
      <c r="B215" s="84"/>
      <c r="C215" s="84"/>
      <c r="D215" s="89"/>
      <c r="E215" s="402"/>
      <c r="F215" s="403"/>
      <c r="G215" s="84"/>
      <c r="H215" s="403"/>
      <c r="I215" s="403"/>
      <c r="J215" s="84"/>
      <c r="K215" s="84"/>
      <c r="L215" s="84"/>
      <c r="M215" s="84"/>
      <c r="N215" s="84"/>
      <c r="O215" s="84"/>
      <c r="P215" s="84"/>
      <c r="Q215" s="84"/>
      <c r="R215" s="84"/>
      <c r="S215" s="146"/>
      <c r="T215" s="146"/>
      <c r="U215" s="146"/>
      <c r="V215" s="146"/>
      <c r="W215" s="146"/>
      <c r="X215" s="146"/>
      <c r="Y215" s="146"/>
      <c r="Z215" s="146"/>
      <c r="AA215" s="121"/>
      <c r="AB215" s="77" t="s">
        <v>1039</v>
      </c>
      <c r="AC215" s="151">
        <f>'A2. Livestockdata'!J15</f>
        <v>7</v>
      </c>
      <c r="AD215" s="25"/>
      <c r="AE215" s="25"/>
      <c r="AF215" s="25"/>
      <c r="AG215" s="25"/>
      <c r="AH215" s="25"/>
      <c r="AI215" s="78" t="s">
        <v>1047</v>
      </c>
      <c r="AJ215" s="78"/>
      <c r="AK215" s="78"/>
      <c r="AL215" s="78"/>
      <c r="AM215" s="25"/>
      <c r="AN215" s="25"/>
      <c r="AO215" s="25"/>
      <c r="AP215" s="3"/>
      <c r="AQ215" s="3"/>
      <c r="AR215" s="25"/>
      <c r="AS215" s="25"/>
      <c r="AT215" s="343"/>
      <c r="AU215" s="25"/>
      <c r="AV215" s="13"/>
      <c r="AW215" s="60"/>
      <c r="AX215" s="60"/>
      <c r="AY215" s="60"/>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V215" s="15"/>
      <c r="CW215" s="15"/>
      <c r="CX215" s="15"/>
      <c r="CY215" s="15"/>
      <c r="CZ215" s="15"/>
      <c r="DA215" s="15"/>
      <c r="DB215" s="15"/>
      <c r="DC215" s="15"/>
      <c r="DD215" s="15"/>
      <c r="DE215" s="15"/>
      <c r="DF215" s="15"/>
      <c r="DG215" s="15"/>
      <c r="DH215" s="15"/>
      <c r="DI215" s="15"/>
      <c r="DJ215" s="15"/>
      <c r="DK215" s="15"/>
      <c r="DL215" s="15"/>
      <c r="DM215" s="15"/>
      <c r="DN215" s="15"/>
      <c r="DO215" s="15"/>
      <c r="DP215" s="15"/>
      <c r="DQ215" s="15"/>
      <c r="DR215" s="15"/>
      <c r="DS215" s="15"/>
    </row>
    <row r="216" spans="1:123" x14ac:dyDescent="0.25">
      <c r="A216" s="15"/>
      <c r="B216" s="84"/>
      <c r="C216" s="84"/>
      <c r="D216" s="89"/>
      <c r="E216" s="402"/>
      <c r="F216" s="403"/>
      <c r="G216" s="84"/>
      <c r="H216" s="403"/>
      <c r="I216" s="403"/>
      <c r="J216" s="84"/>
      <c r="K216" s="84"/>
      <c r="L216" s="84"/>
      <c r="M216" s="84"/>
      <c r="N216" s="84"/>
      <c r="O216" s="84"/>
      <c r="P216" s="84"/>
      <c r="Q216" s="84"/>
      <c r="R216" s="84"/>
      <c r="S216" s="84"/>
      <c r="T216" s="84"/>
      <c r="U216" s="84"/>
      <c r="V216" s="84"/>
      <c r="W216" s="84"/>
      <c r="X216" s="84"/>
      <c r="Y216" s="84"/>
      <c r="Z216" s="84"/>
      <c r="AA216" s="121"/>
      <c r="AB216" s="77" t="s">
        <v>1047</v>
      </c>
      <c r="AC216" s="151">
        <f>'A2. Livestockdata'!J16</f>
        <v>55</v>
      </c>
      <c r="AD216" s="25"/>
      <c r="AE216" s="25"/>
      <c r="AF216" s="25"/>
      <c r="AG216" s="25"/>
      <c r="AH216" s="25"/>
      <c r="AI216" s="78" t="s">
        <v>858</v>
      </c>
      <c r="AJ216" s="78"/>
      <c r="AK216" s="78"/>
      <c r="AL216" s="78"/>
      <c r="AM216" s="25"/>
      <c r="AN216" s="25"/>
      <c r="AO216" s="25"/>
      <c r="AP216" s="3"/>
      <c r="AQ216" s="3"/>
      <c r="AR216" s="25"/>
      <c r="AS216" s="25"/>
      <c r="AT216" s="343"/>
      <c r="AU216" s="25"/>
      <c r="AV216" s="13"/>
      <c r="AW216" s="60"/>
      <c r="AX216" s="60"/>
      <c r="AY216" s="60"/>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V216" s="15"/>
      <c r="CW216" s="15"/>
      <c r="CX216" s="15"/>
      <c r="CY216" s="15"/>
      <c r="CZ216" s="15"/>
      <c r="DA216" s="15"/>
      <c r="DB216" s="15"/>
      <c r="DC216" s="15"/>
      <c r="DD216" s="15"/>
      <c r="DE216" s="15"/>
      <c r="DF216" s="15"/>
      <c r="DG216" s="15"/>
      <c r="DH216" s="15"/>
      <c r="DI216" s="15"/>
      <c r="DJ216" s="15"/>
      <c r="DK216" s="15"/>
      <c r="DL216" s="15"/>
      <c r="DM216" s="15"/>
      <c r="DN216" s="15"/>
      <c r="DO216" s="15"/>
      <c r="DP216" s="15"/>
      <c r="DQ216" s="15"/>
      <c r="DR216" s="15"/>
      <c r="DS216" s="15"/>
    </row>
    <row r="217" spans="1:123" x14ac:dyDescent="0.25">
      <c r="A217" s="15"/>
      <c r="B217" s="84"/>
      <c r="C217" s="84"/>
      <c r="D217" s="89"/>
      <c r="E217" s="402"/>
      <c r="F217" s="403"/>
      <c r="G217" s="84"/>
      <c r="H217" s="403"/>
      <c r="I217" s="403"/>
      <c r="J217" s="84"/>
      <c r="K217" s="84"/>
      <c r="L217" s="84"/>
      <c r="M217" s="84"/>
      <c r="N217" s="84"/>
      <c r="O217" s="84"/>
      <c r="P217" s="84"/>
      <c r="Q217" s="84"/>
      <c r="R217" s="84"/>
      <c r="S217" s="84"/>
      <c r="T217" s="84"/>
      <c r="U217" s="84"/>
      <c r="V217" s="84"/>
      <c r="W217" s="84"/>
      <c r="X217" s="84"/>
      <c r="Y217" s="84"/>
      <c r="Z217" s="84"/>
      <c r="AA217" s="121"/>
      <c r="AB217" s="77" t="s">
        <v>858</v>
      </c>
      <c r="AC217" s="151">
        <f>'A2. Livestockdata'!J17</f>
        <v>40</v>
      </c>
      <c r="AD217" s="25"/>
      <c r="AE217" s="25"/>
      <c r="AF217" s="25"/>
      <c r="AG217" s="25"/>
      <c r="AH217" s="25"/>
      <c r="AI217" s="78" t="s">
        <v>429</v>
      </c>
      <c r="AJ217" s="78"/>
      <c r="AK217" s="78"/>
      <c r="AL217" s="78"/>
      <c r="AM217" s="25"/>
      <c r="AN217" s="25"/>
      <c r="AO217" s="25"/>
      <c r="AP217" s="3"/>
      <c r="AQ217" s="3"/>
      <c r="AR217" s="25"/>
      <c r="AS217" s="25"/>
      <c r="AT217" s="343"/>
      <c r="AU217" s="13"/>
      <c r="AV217" s="13"/>
      <c r="AW217" s="60"/>
      <c r="AX217" s="60"/>
      <c r="AY217" s="60"/>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V217" s="15"/>
      <c r="CW217" s="15"/>
      <c r="CX217" s="15"/>
      <c r="CY217" s="15"/>
      <c r="CZ217" s="15"/>
      <c r="DA217" s="15"/>
      <c r="DB217" s="15"/>
      <c r="DC217" s="15"/>
      <c r="DD217" s="15"/>
      <c r="DE217" s="15"/>
      <c r="DF217" s="15"/>
      <c r="DG217" s="15"/>
      <c r="DH217" s="15"/>
      <c r="DI217" s="15"/>
      <c r="DJ217" s="15"/>
      <c r="DK217" s="15"/>
      <c r="DL217" s="15"/>
      <c r="DM217" s="15"/>
      <c r="DN217" s="15"/>
      <c r="DO217" s="15"/>
      <c r="DP217" s="15"/>
      <c r="DQ217" s="15"/>
      <c r="DR217" s="15"/>
      <c r="DS217" s="15"/>
    </row>
    <row r="218" spans="1:123" x14ac:dyDescent="0.25">
      <c r="A218" s="15"/>
      <c r="B218" s="84"/>
      <c r="C218" s="84"/>
      <c r="D218" s="89"/>
      <c r="E218" s="402"/>
      <c r="F218" s="403"/>
      <c r="G218" s="84"/>
      <c r="H218" s="403"/>
      <c r="I218" s="403"/>
      <c r="J218" s="84"/>
      <c r="K218" s="84"/>
      <c r="L218" s="84"/>
      <c r="M218" s="84"/>
      <c r="N218" s="84"/>
      <c r="O218" s="84"/>
      <c r="P218" s="84"/>
      <c r="Q218" s="84"/>
      <c r="R218" s="84"/>
      <c r="S218" s="84"/>
      <c r="T218" s="84"/>
      <c r="U218" s="84"/>
      <c r="V218" s="84"/>
      <c r="W218" s="84"/>
      <c r="X218" s="84"/>
      <c r="Y218" s="84"/>
      <c r="Z218" s="84"/>
      <c r="AA218" s="121"/>
      <c r="AB218" s="77" t="s">
        <v>429</v>
      </c>
      <c r="AC218" s="151">
        <f>'A2. Livestockdata'!J18</f>
        <v>40</v>
      </c>
      <c r="AD218" s="25"/>
      <c r="AE218" s="25"/>
      <c r="AF218" s="25"/>
      <c r="AG218" s="25"/>
      <c r="AH218" s="25"/>
      <c r="AI218" s="78" t="s">
        <v>739</v>
      </c>
      <c r="AJ218" s="78"/>
      <c r="AK218" s="78"/>
      <c r="AL218" s="78"/>
      <c r="AM218" s="3"/>
      <c r="AN218" s="3"/>
      <c r="AO218" s="3"/>
      <c r="AP218" s="3"/>
      <c r="AQ218" s="3"/>
      <c r="AR218" s="25"/>
      <c r="AS218" s="25"/>
      <c r="AT218" s="343"/>
      <c r="AU218" s="13"/>
      <c r="AV218" s="13"/>
      <c r="AW218" s="60"/>
      <c r="AX218" s="60"/>
      <c r="AY218" s="60"/>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V218" s="15"/>
      <c r="CW218" s="15"/>
      <c r="CX218" s="15"/>
      <c r="CY218" s="15"/>
      <c r="CZ218" s="15"/>
      <c r="DA218" s="15"/>
      <c r="DB218" s="15"/>
      <c r="DC218" s="15"/>
      <c r="DD218" s="15"/>
      <c r="DE218" s="15"/>
      <c r="DF218" s="15"/>
      <c r="DG218" s="15"/>
      <c r="DH218" s="15"/>
      <c r="DI218" s="15"/>
      <c r="DJ218" s="15"/>
      <c r="DK218" s="15"/>
      <c r="DL218" s="15"/>
      <c r="DM218" s="15"/>
      <c r="DN218" s="15"/>
      <c r="DO218" s="15"/>
      <c r="DP218" s="15"/>
      <c r="DQ218" s="15"/>
      <c r="DR218" s="15"/>
      <c r="DS218" s="15"/>
    </row>
    <row r="219" spans="1:123" x14ac:dyDescent="0.25">
      <c r="A219" s="15"/>
      <c r="B219" s="84"/>
      <c r="C219" s="84"/>
      <c r="D219" s="89"/>
      <c r="E219" s="402"/>
      <c r="F219" s="403"/>
      <c r="G219" s="84"/>
      <c r="H219" s="403"/>
      <c r="I219" s="403"/>
      <c r="J219" s="84"/>
      <c r="K219" s="84"/>
      <c r="L219" s="84"/>
      <c r="M219" s="84"/>
      <c r="N219" s="84"/>
      <c r="O219" s="84"/>
      <c r="P219" s="84"/>
      <c r="Q219" s="84"/>
      <c r="R219" s="84"/>
      <c r="S219" s="84"/>
      <c r="T219" s="84"/>
      <c r="U219" s="84"/>
      <c r="V219" s="84"/>
      <c r="W219" s="84"/>
      <c r="X219" s="84"/>
      <c r="Y219" s="84"/>
      <c r="Z219" s="84"/>
      <c r="AA219" s="121"/>
      <c r="AB219" s="77" t="s">
        <v>739</v>
      </c>
      <c r="AC219" s="151">
        <f>'A2. Livestockdata'!J19</f>
        <v>30</v>
      </c>
      <c r="AD219" s="25"/>
      <c r="AE219" s="25"/>
      <c r="AF219" s="25"/>
      <c r="AG219" s="25"/>
      <c r="AH219" s="25"/>
      <c r="AI219" s="78" t="s">
        <v>738</v>
      </c>
      <c r="AJ219" s="78"/>
      <c r="AK219" s="78"/>
      <c r="AL219" s="78"/>
      <c r="AM219" s="3"/>
      <c r="AN219" s="3"/>
      <c r="AO219" s="3"/>
      <c r="AP219" s="3"/>
      <c r="AQ219" s="3"/>
      <c r="AR219" s="25"/>
      <c r="AS219" s="25"/>
      <c r="AT219" s="343"/>
      <c r="AU219" s="13"/>
      <c r="AV219" s="13"/>
      <c r="AW219" s="60"/>
      <c r="AX219" s="60"/>
      <c r="AY219" s="60"/>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V219" s="15"/>
      <c r="CW219" s="15"/>
      <c r="CX219" s="15"/>
      <c r="CY219" s="15"/>
      <c r="CZ219" s="15"/>
      <c r="DA219" s="15"/>
      <c r="DB219" s="15"/>
      <c r="DC219" s="15"/>
      <c r="DD219" s="15"/>
      <c r="DE219" s="15"/>
      <c r="DF219" s="15"/>
      <c r="DG219" s="15"/>
      <c r="DH219" s="15"/>
      <c r="DI219" s="15"/>
      <c r="DJ219" s="15"/>
      <c r="DK219" s="15"/>
      <c r="DL219" s="15"/>
      <c r="DM219" s="15"/>
      <c r="DN219" s="15"/>
      <c r="DO219" s="15"/>
      <c r="DP219" s="15"/>
      <c r="DQ219" s="15"/>
      <c r="DR219" s="15"/>
      <c r="DS219" s="15"/>
    </row>
    <row r="220" spans="1:123" x14ac:dyDescent="0.25">
      <c r="A220" s="15"/>
      <c r="B220" s="84"/>
      <c r="C220" s="84"/>
      <c r="D220" s="89"/>
      <c r="E220" s="402"/>
      <c r="F220" s="403"/>
      <c r="G220" s="84"/>
      <c r="H220" s="403"/>
      <c r="I220" s="403"/>
      <c r="J220" s="84"/>
      <c r="K220" s="84"/>
      <c r="L220" s="84"/>
      <c r="M220" s="84"/>
      <c r="N220" s="84"/>
      <c r="O220" s="84"/>
      <c r="P220" s="84"/>
      <c r="Q220" s="84"/>
      <c r="R220" s="84"/>
      <c r="S220" s="84"/>
      <c r="T220" s="84"/>
      <c r="U220" s="84"/>
      <c r="V220" s="84"/>
      <c r="W220" s="84"/>
      <c r="X220" s="84"/>
      <c r="Y220" s="84"/>
      <c r="Z220" s="84"/>
      <c r="AA220" s="121"/>
      <c r="AB220" s="77" t="s">
        <v>738</v>
      </c>
      <c r="AC220" s="151">
        <f>'A2. Livestockdata'!J20</f>
        <v>45</v>
      </c>
      <c r="AD220" s="25"/>
      <c r="AE220" s="25"/>
      <c r="AF220" s="25"/>
      <c r="AG220" s="25"/>
      <c r="AH220" s="25"/>
      <c r="AI220" s="78" t="s">
        <v>740</v>
      </c>
      <c r="AJ220" s="78"/>
      <c r="AK220" s="78"/>
      <c r="AL220" s="78"/>
      <c r="AM220" s="3"/>
      <c r="AN220" s="3"/>
      <c r="AO220" s="3"/>
      <c r="AP220" s="3"/>
      <c r="AQ220" s="3"/>
      <c r="AR220" s="25"/>
      <c r="AS220" s="25"/>
      <c r="AT220" s="343"/>
      <c r="AU220" s="13"/>
      <c r="AV220" s="13"/>
      <c r="AW220" s="60"/>
      <c r="AX220" s="60"/>
      <c r="AY220" s="60"/>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V220" s="15"/>
      <c r="CW220" s="15"/>
      <c r="CX220" s="15"/>
      <c r="CY220" s="15"/>
      <c r="CZ220" s="15"/>
      <c r="DA220" s="15"/>
      <c r="DB220" s="15"/>
      <c r="DC220" s="15"/>
      <c r="DD220" s="15"/>
      <c r="DE220" s="15"/>
      <c r="DF220" s="15"/>
      <c r="DG220" s="15"/>
      <c r="DH220" s="15"/>
      <c r="DI220" s="15"/>
      <c r="DJ220" s="15"/>
      <c r="DK220" s="15"/>
      <c r="DL220" s="15"/>
      <c r="DM220" s="15"/>
      <c r="DN220" s="15"/>
      <c r="DO220" s="15"/>
      <c r="DP220" s="15"/>
      <c r="DQ220" s="15"/>
      <c r="DR220" s="15"/>
      <c r="DS220" s="15"/>
    </row>
    <row r="221" spans="1:123" x14ac:dyDescent="0.25">
      <c r="A221" s="15"/>
      <c r="B221" s="84"/>
      <c r="C221" s="84"/>
      <c r="D221" s="89"/>
      <c r="E221" s="402"/>
      <c r="F221" s="403"/>
      <c r="G221" s="84"/>
      <c r="H221" s="403"/>
      <c r="I221" s="403"/>
      <c r="J221" s="84"/>
      <c r="K221" s="84"/>
      <c r="L221" s="84"/>
      <c r="M221" s="84"/>
      <c r="N221" s="84"/>
      <c r="O221" s="84"/>
      <c r="P221" s="84"/>
      <c r="Q221" s="84"/>
      <c r="R221" s="84"/>
      <c r="S221" s="84"/>
      <c r="T221" s="84"/>
      <c r="U221" s="84"/>
      <c r="V221" s="84"/>
      <c r="W221" s="84"/>
      <c r="X221" s="84"/>
      <c r="Y221" s="84"/>
      <c r="Z221" s="84"/>
      <c r="AA221" s="121"/>
      <c r="AB221" s="77" t="s">
        <v>740</v>
      </c>
      <c r="AC221" s="151">
        <f>'A2. Livestockdata'!J21</f>
        <v>30</v>
      </c>
      <c r="AD221" s="25"/>
      <c r="AE221" s="25"/>
      <c r="AF221" s="25"/>
      <c r="AG221" s="25"/>
      <c r="AH221" s="25"/>
      <c r="AI221" s="78" t="s">
        <v>943</v>
      </c>
      <c r="AJ221" s="78"/>
      <c r="AK221" s="78"/>
      <c r="AL221" s="78"/>
      <c r="AM221" s="3"/>
      <c r="AN221" s="3"/>
      <c r="AO221" s="3"/>
      <c r="AP221" s="25"/>
      <c r="AQ221" s="25"/>
      <c r="AR221" s="25"/>
      <c r="AS221" s="25"/>
      <c r="AT221" s="343"/>
      <c r="AU221" s="13"/>
      <c r="AV221" s="13"/>
      <c r="AW221" s="60"/>
      <c r="AX221" s="60"/>
      <c r="AY221" s="60"/>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V221" s="15"/>
      <c r="CW221" s="15"/>
      <c r="CX221" s="15"/>
      <c r="CY221" s="15"/>
      <c r="CZ221" s="15"/>
      <c r="DA221" s="15"/>
      <c r="DB221" s="15"/>
      <c r="DC221" s="15"/>
      <c r="DD221" s="15"/>
      <c r="DE221" s="15"/>
      <c r="DF221" s="15"/>
      <c r="DG221" s="15"/>
      <c r="DH221" s="15"/>
      <c r="DI221" s="15"/>
      <c r="DJ221" s="15"/>
      <c r="DK221" s="15"/>
      <c r="DL221" s="15"/>
      <c r="DM221" s="15"/>
      <c r="DN221" s="15"/>
      <c r="DO221" s="15"/>
      <c r="DP221" s="15"/>
      <c r="DQ221" s="15"/>
      <c r="DR221" s="15"/>
      <c r="DS221" s="15"/>
    </row>
    <row r="222" spans="1:123" x14ac:dyDescent="0.25">
      <c r="A222" s="15"/>
      <c r="B222" s="84"/>
      <c r="C222" s="84"/>
      <c r="D222" s="89"/>
      <c r="E222" s="402"/>
      <c r="F222" s="403"/>
      <c r="G222" s="84"/>
      <c r="H222" s="403"/>
      <c r="I222" s="403"/>
      <c r="J222" s="84"/>
      <c r="K222" s="84"/>
      <c r="L222" s="84"/>
      <c r="M222" s="84"/>
      <c r="N222" s="84"/>
      <c r="O222" s="84"/>
      <c r="P222" s="84"/>
      <c r="Q222" s="84"/>
      <c r="R222" s="84"/>
      <c r="S222" s="84"/>
      <c r="T222" s="84"/>
      <c r="U222" s="84"/>
      <c r="V222" s="84"/>
      <c r="W222" s="84"/>
      <c r="X222" s="84"/>
      <c r="Y222" s="84"/>
      <c r="Z222" s="84"/>
      <c r="AA222" s="121"/>
      <c r="AB222" s="77" t="s">
        <v>943</v>
      </c>
      <c r="AC222" s="151">
        <f>'A2. Livestockdata'!J22</f>
        <v>25</v>
      </c>
      <c r="AD222" s="25"/>
      <c r="AE222" s="25"/>
      <c r="AF222" s="25"/>
      <c r="AG222" s="25"/>
      <c r="AH222" s="25"/>
      <c r="AI222" s="78" t="s">
        <v>1364</v>
      </c>
      <c r="AJ222" s="78"/>
      <c r="AK222" s="78"/>
      <c r="AL222" s="78"/>
      <c r="AM222" s="3"/>
      <c r="AN222" s="3"/>
      <c r="AO222" s="3"/>
      <c r="AP222" s="25"/>
      <c r="AQ222" s="25"/>
      <c r="AR222" s="25"/>
      <c r="AS222" s="25"/>
      <c r="AT222" s="343"/>
      <c r="AU222" s="13"/>
      <c r="AV222" s="13"/>
      <c r="AW222" s="60"/>
      <c r="AX222" s="60"/>
      <c r="AY222" s="60"/>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V222" s="15"/>
      <c r="CW222" s="15"/>
      <c r="CX222" s="15"/>
      <c r="CY222" s="15"/>
      <c r="CZ222" s="15"/>
      <c r="DA222" s="15"/>
      <c r="DB222" s="15"/>
      <c r="DC222" s="15"/>
      <c r="DD222" s="15"/>
      <c r="DE222" s="15"/>
      <c r="DF222" s="15"/>
      <c r="DG222" s="15"/>
      <c r="DH222" s="15"/>
      <c r="DI222" s="15"/>
      <c r="DJ222" s="15"/>
      <c r="DK222" s="15"/>
      <c r="DL222" s="15"/>
      <c r="DM222" s="15"/>
      <c r="DN222" s="15"/>
      <c r="DO222" s="15"/>
      <c r="DP222" s="15"/>
      <c r="DQ222" s="15"/>
      <c r="DR222" s="15"/>
      <c r="DS222" s="15"/>
    </row>
    <row r="223" spans="1:123" x14ac:dyDescent="0.25">
      <c r="A223" s="15"/>
      <c r="B223" s="84"/>
      <c r="C223" s="84"/>
      <c r="D223" s="89"/>
      <c r="E223" s="402"/>
      <c r="F223" s="403"/>
      <c r="G223" s="84"/>
      <c r="H223" s="403"/>
      <c r="I223" s="403"/>
      <c r="J223" s="84"/>
      <c r="K223" s="84"/>
      <c r="L223" s="84"/>
      <c r="M223" s="84"/>
      <c r="N223" s="84"/>
      <c r="O223" s="84"/>
      <c r="P223" s="84"/>
      <c r="Q223" s="84"/>
      <c r="R223" s="84"/>
      <c r="S223" s="84"/>
      <c r="T223" s="84"/>
      <c r="U223" s="84"/>
      <c r="V223" s="84"/>
      <c r="W223" s="84"/>
      <c r="X223" s="84"/>
      <c r="Y223" s="84"/>
      <c r="Z223" s="84"/>
      <c r="AA223" s="121"/>
      <c r="AB223" s="77" t="s">
        <v>1364</v>
      </c>
      <c r="AC223" s="151">
        <f>'A2. Livestockdata'!J23</f>
        <v>12</v>
      </c>
      <c r="AD223" s="25"/>
      <c r="AE223" s="25"/>
      <c r="AF223" s="25"/>
      <c r="AG223" s="25"/>
      <c r="AH223" s="25"/>
      <c r="AI223" s="78" t="s">
        <v>108</v>
      </c>
      <c r="AJ223" s="78"/>
      <c r="AK223" s="78"/>
      <c r="AL223" s="78"/>
      <c r="AM223" s="3"/>
      <c r="AN223" s="3"/>
      <c r="AO223" s="3"/>
      <c r="AP223" s="25"/>
      <c r="AQ223" s="25"/>
      <c r="AR223" s="25"/>
      <c r="AS223" s="25"/>
      <c r="AT223" s="343"/>
      <c r="AU223" s="13"/>
      <c r="AV223" s="60"/>
      <c r="AW223" s="60"/>
      <c r="AX223" s="60"/>
      <c r="AY223" s="60"/>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V223" s="15"/>
      <c r="CW223" s="15"/>
      <c r="CX223" s="15"/>
      <c r="CY223" s="15"/>
      <c r="CZ223" s="15"/>
      <c r="DA223" s="15"/>
      <c r="DB223" s="15"/>
      <c r="DC223" s="15"/>
      <c r="DD223" s="15"/>
      <c r="DE223" s="15"/>
      <c r="DF223" s="15"/>
      <c r="DG223" s="15"/>
      <c r="DH223" s="15"/>
      <c r="DI223" s="15"/>
      <c r="DJ223" s="15"/>
      <c r="DK223" s="15"/>
      <c r="DL223" s="15"/>
      <c r="DM223" s="15"/>
      <c r="DN223" s="15"/>
      <c r="DO223" s="15"/>
      <c r="DP223" s="15"/>
      <c r="DQ223" s="15"/>
      <c r="DR223" s="15"/>
      <c r="DS223" s="15"/>
    </row>
    <row r="224" spans="1:123" x14ac:dyDescent="0.25">
      <c r="A224" s="15"/>
      <c r="B224" s="84"/>
      <c r="C224" s="84"/>
      <c r="D224" s="89"/>
      <c r="E224" s="402"/>
      <c r="F224" s="403"/>
      <c r="G224" s="84"/>
      <c r="H224" s="403"/>
      <c r="I224" s="403"/>
      <c r="J224" s="84"/>
      <c r="K224" s="84"/>
      <c r="L224" s="84"/>
      <c r="M224" s="84"/>
      <c r="N224" s="84"/>
      <c r="O224" s="84"/>
      <c r="P224" s="84"/>
      <c r="Q224" s="84"/>
      <c r="R224" s="84"/>
      <c r="S224" s="84"/>
      <c r="T224" s="84"/>
      <c r="U224" s="84"/>
      <c r="V224" s="84"/>
      <c r="W224" s="84"/>
      <c r="X224" s="84"/>
      <c r="Y224" s="84"/>
      <c r="Z224" s="84"/>
      <c r="AA224" s="121"/>
      <c r="AB224" s="77" t="s">
        <v>1658</v>
      </c>
      <c r="AC224" s="151">
        <f>'A2. Livestockdata'!J24</f>
        <v>20</v>
      </c>
      <c r="AD224" s="25"/>
      <c r="AE224" s="25"/>
      <c r="AF224" s="25"/>
      <c r="AG224" s="25"/>
      <c r="AH224" s="25"/>
      <c r="AI224" s="25"/>
      <c r="AJ224" s="25"/>
      <c r="AK224" s="25"/>
      <c r="AL224" s="3"/>
      <c r="AM224" s="3"/>
      <c r="AN224" s="3"/>
      <c r="AO224" s="3"/>
      <c r="AP224" s="25"/>
      <c r="AQ224" s="25"/>
      <c r="AR224" s="25"/>
      <c r="AS224" s="25"/>
      <c r="AT224" s="343"/>
      <c r="AU224" s="13"/>
      <c r="AV224" s="60"/>
      <c r="AW224" s="60"/>
      <c r="AX224" s="60"/>
      <c r="AY224" s="60"/>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V224" s="15"/>
      <c r="CW224" s="15"/>
      <c r="CX224" s="15"/>
      <c r="CY224" s="15"/>
      <c r="CZ224" s="15"/>
      <c r="DA224" s="15"/>
      <c r="DB224" s="15"/>
      <c r="DC224" s="15"/>
      <c r="DD224" s="15"/>
      <c r="DE224" s="15"/>
      <c r="DF224" s="15"/>
      <c r="DG224" s="15"/>
      <c r="DH224" s="15"/>
      <c r="DI224" s="15"/>
      <c r="DJ224" s="15"/>
      <c r="DK224" s="15"/>
      <c r="DL224" s="15"/>
      <c r="DM224" s="15"/>
      <c r="DN224" s="15"/>
      <c r="DO224" s="15"/>
      <c r="DP224" s="15"/>
      <c r="DQ224" s="15"/>
      <c r="DR224" s="15"/>
      <c r="DS224" s="15"/>
    </row>
    <row r="225" spans="1:123" x14ac:dyDescent="0.25">
      <c r="A225" s="15"/>
      <c r="B225" s="84"/>
      <c r="C225" s="84"/>
      <c r="D225" s="89"/>
      <c r="E225" s="402"/>
      <c r="F225" s="403"/>
      <c r="G225" s="84"/>
      <c r="H225" s="403"/>
      <c r="I225" s="403"/>
      <c r="J225" s="84"/>
      <c r="K225" s="84"/>
      <c r="L225" s="84"/>
      <c r="M225" s="84"/>
      <c r="N225" s="84"/>
      <c r="O225" s="84"/>
      <c r="P225" s="84"/>
      <c r="Q225" s="84"/>
      <c r="R225" s="84"/>
      <c r="S225" s="84"/>
      <c r="T225" s="84"/>
      <c r="U225" s="84"/>
      <c r="V225" s="84"/>
      <c r="W225" s="84"/>
      <c r="X225" s="84"/>
      <c r="Y225" s="84"/>
      <c r="Z225" s="84"/>
      <c r="AA225" s="121"/>
      <c r="AB225" s="25"/>
      <c r="AC225" s="25"/>
      <c r="AD225" s="25"/>
      <c r="AE225" s="25"/>
      <c r="AF225" s="25"/>
      <c r="AG225" s="25"/>
      <c r="AH225" s="25"/>
      <c r="AI225" s="25"/>
      <c r="AJ225" s="25"/>
      <c r="AK225" s="25"/>
      <c r="AL225" s="3"/>
      <c r="AM225" s="3"/>
      <c r="AN225" s="3"/>
      <c r="AO225" s="3"/>
      <c r="AP225" s="25"/>
      <c r="AQ225" s="25"/>
      <c r="AR225" s="25"/>
      <c r="AS225" s="25"/>
      <c r="AT225" s="343"/>
      <c r="AU225" s="13"/>
      <c r="AV225" s="60"/>
      <c r="AW225" s="60"/>
      <c r="AX225" s="60"/>
      <c r="AY225" s="60"/>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V225" s="15"/>
      <c r="CW225" s="15"/>
      <c r="CX225" s="15"/>
      <c r="CY225" s="15"/>
      <c r="CZ225" s="15"/>
      <c r="DA225" s="15"/>
      <c r="DB225" s="15"/>
      <c r="DC225" s="15"/>
      <c r="DD225" s="15"/>
      <c r="DE225" s="15"/>
      <c r="DF225" s="15"/>
      <c r="DG225" s="15"/>
      <c r="DH225" s="15"/>
      <c r="DI225" s="15"/>
      <c r="DJ225" s="15"/>
      <c r="DK225" s="15"/>
      <c r="DL225" s="15"/>
      <c r="DM225" s="15"/>
      <c r="DN225" s="15"/>
      <c r="DO225" s="15"/>
      <c r="DP225" s="15"/>
      <c r="DQ225" s="15"/>
      <c r="DR225" s="15"/>
      <c r="DS225" s="15"/>
    </row>
    <row r="226" spans="1:123" x14ac:dyDescent="0.25">
      <c r="A226" s="15"/>
      <c r="B226" s="84"/>
      <c r="C226" s="84"/>
      <c r="D226" s="89"/>
      <c r="E226" s="402"/>
      <c r="F226" s="403"/>
      <c r="G226" s="84"/>
      <c r="H226" s="403"/>
      <c r="I226" s="403"/>
      <c r="J226" s="84"/>
      <c r="K226" s="84"/>
      <c r="L226" s="84"/>
      <c r="M226" s="84"/>
      <c r="N226" s="84"/>
      <c r="O226" s="84"/>
      <c r="P226" s="84"/>
      <c r="Q226" s="84"/>
      <c r="R226" s="84"/>
      <c r="S226" s="84"/>
      <c r="T226" s="84"/>
      <c r="U226" s="84"/>
      <c r="V226" s="84"/>
      <c r="W226" s="84"/>
      <c r="X226" s="84"/>
      <c r="Y226" s="84"/>
      <c r="Z226" s="84"/>
      <c r="AA226" s="121"/>
      <c r="AB226" s="25"/>
      <c r="AC226" s="25"/>
      <c r="AD226" s="25"/>
      <c r="AE226" s="25"/>
      <c r="AF226" s="25"/>
      <c r="AG226" s="25"/>
      <c r="AH226" s="25"/>
      <c r="AI226" s="25"/>
      <c r="AJ226" s="25"/>
      <c r="AK226" s="25"/>
      <c r="AL226" s="3"/>
      <c r="AM226" s="3"/>
      <c r="AN226" s="3"/>
      <c r="AO226" s="3"/>
      <c r="AP226" s="25"/>
      <c r="AQ226" s="25"/>
      <c r="AR226" s="25"/>
      <c r="AS226" s="25"/>
      <c r="AT226" s="343"/>
      <c r="AU226" s="13"/>
      <c r="AV226" s="60"/>
      <c r="AW226" s="60"/>
      <c r="AX226" s="60"/>
      <c r="AY226" s="60"/>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V226" s="15"/>
      <c r="CW226" s="15"/>
      <c r="CX226" s="15"/>
      <c r="CY226" s="15"/>
      <c r="CZ226" s="15"/>
      <c r="DA226" s="15"/>
      <c r="DB226" s="15"/>
      <c r="DC226" s="15"/>
      <c r="DD226" s="15"/>
      <c r="DE226" s="15"/>
      <c r="DF226" s="15"/>
      <c r="DG226" s="15"/>
      <c r="DH226" s="15"/>
      <c r="DI226" s="15"/>
      <c r="DJ226" s="15"/>
      <c r="DK226" s="15"/>
      <c r="DL226" s="15"/>
      <c r="DM226" s="15"/>
      <c r="DN226" s="15"/>
      <c r="DO226" s="15"/>
      <c r="DP226" s="15"/>
      <c r="DQ226" s="15"/>
      <c r="DR226" s="15"/>
      <c r="DS226" s="15"/>
    </row>
    <row r="227" spans="1:123" x14ac:dyDescent="0.25">
      <c r="A227" s="15"/>
      <c r="B227" s="84"/>
      <c r="C227" s="84"/>
      <c r="D227" s="89"/>
      <c r="E227" s="402"/>
      <c r="F227" s="403"/>
      <c r="G227" s="84"/>
      <c r="H227" s="403"/>
      <c r="I227" s="403"/>
      <c r="J227" s="84"/>
      <c r="K227" s="84"/>
      <c r="L227" s="84"/>
      <c r="M227" s="84"/>
      <c r="N227" s="84"/>
      <c r="O227" s="84"/>
      <c r="P227" s="84"/>
      <c r="Q227" s="84"/>
      <c r="R227" s="84"/>
      <c r="S227" s="84"/>
      <c r="T227" s="84"/>
      <c r="U227" s="84"/>
      <c r="V227" s="84"/>
      <c r="W227" s="84"/>
      <c r="X227" s="84"/>
      <c r="Y227" s="84"/>
      <c r="Z227" s="84"/>
      <c r="AA227" s="121"/>
      <c r="AB227" s="25"/>
      <c r="AC227" s="25"/>
      <c r="AD227" s="25"/>
      <c r="AE227" s="25"/>
      <c r="AF227" s="25"/>
      <c r="AG227" s="25"/>
      <c r="AH227" s="25"/>
      <c r="AI227" s="25"/>
      <c r="AJ227" s="25"/>
      <c r="AK227" s="25"/>
      <c r="AL227" s="3"/>
      <c r="AM227" s="3"/>
      <c r="AN227" s="3"/>
      <c r="AO227" s="3"/>
      <c r="AP227" s="25"/>
      <c r="AQ227" s="25"/>
      <c r="AR227" s="25"/>
      <c r="AS227" s="25"/>
      <c r="AT227" s="343"/>
      <c r="AU227" s="13"/>
      <c r="AV227" s="60"/>
      <c r="AW227" s="60"/>
      <c r="AX227" s="60"/>
      <c r="AY227" s="60"/>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V227" s="15"/>
      <c r="CW227" s="15"/>
      <c r="CX227" s="15"/>
      <c r="CY227" s="15"/>
      <c r="CZ227" s="15"/>
      <c r="DA227" s="15"/>
      <c r="DB227" s="15"/>
      <c r="DC227" s="15"/>
      <c r="DD227" s="15"/>
      <c r="DE227" s="15"/>
      <c r="DF227" s="15"/>
      <c r="DG227" s="15"/>
      <c r="DH227" s="15"/>
      <c r="DI227" s="15"/>
      <c r="DJ227" s="15"/>
      <c r="DK227" s="15"/>
      <c r="DL227" s="15"/>
      <c r="DM227" s="15"/>
      <c r="DN227" s="15"/>
      <c r="DO227" s="15"/>
      <c r="DP227" s="15"/>
      <c r="DQ227" s="15"/>
      <c r="DR227" s="15"/>
      <c r="DS227" s="15"/>
    </row>
    <row r="228" spans="1:123" x14ac:dyDescent="0.25">
      <c r="A228" s="15"/>
      <c r="B228" s="84"/>
      <c r="C228" s="84"/>
      <c r="D228" s="89"/>
      <c r="E228" s="402"/>
      <c r="F228" s="403"/>
      <c r="G228" s="84"/>
      <c r="H228" s="403"/>
      <c r="I228" s="403"/>
      <c r="J228" s="84"/>
      <c r="K228" s="84"/>
      <c r="L228" s="84"/>
      <c r="M228" s="84"/>
      <c r="N228" s="84"/>
      <c r="O228" s="84"/>
      <c r="P228" s="84"/>
      <c r="Q228" s="84"/>
      <c r="R228" s="84"/>
      <c r="S228" s="84"/>
      <c r="T228" s="84"/>
      <c r="U228" s="84"/>
      <c r="V228" s="84"/>
      <c r="W228" s="84"/>
      <c r="X228" s="84"/>
      <c r="Y228" s="84"/>
      <c r="Z228" s="84"/>
      <c r="AA228" s="121"/>
      <c r="AB228" s="25"/>
      <c r="AC228" s="25"/>
      <c r="AD228" s="25"/>
      <c r="AE228" s="25"/>
      <c r="AF228" s="25"/>
      <c r="AG228" s="25"/>
      <c r="AH228" s="25"/>
      <c r="AI228" s="25"/>
      <c r="AJ228" s="25"/>
      <c r="AK228" s="25"/>
      <c r="AL228" s="3"/>
      <c r="AM228" s="3"/>
      <c r="AN228" s="3"/>
      <c r="AO228" s="3"/>
      <c r="AP228" s="25"/>
      <c r="AQ228" s="25"/>
      <c r="AR228" s="25"/>
      <c r="AS228" s="25"/>
      <c r="AT228" s="343"/>
      <c r="AU228" s="13"/>
      <c r="AV228" s="60"/>
      <c r="AW228" s="60"/>
      <c r="AX228" s="60"/>
      <c r="AY228" s="60"/>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V228" s="15"/>
      <c r="CW228" s="15"/>
      <c r="CX228" s="15"/>
      <c r="CY228" s="15"/>
      <c r="CZ228" s="15"/>
      <c r="DA228" s="15"/>
      <c r="DB228" s="15"/>
      <c r="DC228" s="15"/>
      <c r="DD228" s="15"/>
      <c r="DE228" s="15"/>
      <c r="DF228" s="15"/>
      <c r="DG228" s="15"/>
      <c r="DH228" s="15"/>
      <c r="DI228" s="15"/>
      <c r="DJ228" s="15"/>
      <c r="DK228" s="15"/>
      <c r="DL228" s="15"/>
      <c r="DM228" s="15"/>
      <c r="DN228" s="15"/>
      <c r="DO228" s="15"/>
      <c r="DP228" s="15"/>
      <c r="DQ228" s="15"/>
      <c r="DR228" s="15"/>
      <c r="DS228" s="15"/>
    </row>
    <row r="229" spans="1:123" x14ac:dyDescent="0.25">
      <c r="A229" s="15"/>
      <c r="B229" s="84"/>
      <c r="C229" s="84"/>
      <c r="D229" s="89"/>
      <c r="E229" s="402"/>
      <c r="F229" s="403"/>
      <c r="G229" s="84"/>
      <c r="H229" s="403"/>
      <c r="I229" s="403"/>
      <c r="J229" s="84"/>
      <c r="K229" s="84"/>
      <c r="L229" s="84"/>
      <c r="M229" s="84"/>
      <c r="N229" s="84"/>
      <c r="O229" s="84"/>
      <c r="P229" s="84"/>
      <c r="Q229" s="84"/>
      <c r="R229" s="84"/>
      <c r="S229" s="84"/>
      <c r="T229" s="84"/>
      <c r="U229" s="84"/>
      <c r="V229" s="84"/>
      <c r="W229" s="84"/>
      <c r="X229" s="84"/>
      <c r="Y229" s="84"/>
      <c r="Z229" s="84"/>
      <c r="AA229" s="121"/>
      <c r="AB229" s="25"/>
      <c r="AC229" s="25"/>
      <c r="AD229" s="25"/>
      <c r="AE229" s="25"/>
      <c r="AF229" s="25"/>
      <c r="AG229" s="25"/>
      <c r="AH229" s="25"/>
      <c r="AI229" s="25"/>
      <c r="AJ229" s="25"/>
      <c r="AK229" s="25"/>
      <c r="AL229" s="3"/>
      <c r="AM229" s="3"/>
      <c r="AN229" s="3"/>
      <c r="AO229" s="3"/>
      <c r="AP229" s="25"/>
      <c r="AQ229" s="25"/>
      <c r="AR229" s="25"/>
      <c r="AS229" s="25"/>
      <c r="AT229" s="343"/>
      <c r="AU229" s="13"/>
      <c r="AV229" s="60"/>
      <c r="AW229" s="60"/>
      <c r="AX229" s="60"/>
      <c r="AY229" s="60"/>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V229" s="15"/>
      <c r="CW229" s="15"/>
      <c r="CX229" s="15"/>
      <c r="CY229" s="15"/>
      <c r="CZ229" s="15"/>
      <c r="DA229" s="15"/>
      <c r="DB229" s="15"/>
      <c r="DC229" s="15"/>
      <c r="DD229" s="15"/>
      <c r="DE229" s="15"/>
      <c r="DF229" s="15"/>
      <c r="DG229" s="15"/>
      <c r="DH229" s="15"/>
      <c r="DI229" s="15"/>
      <c r="DJ229" s="15"/>
      <c r="DK229" s="15"/>
      <c r="DL229" s="15"/>
      <c r="DM229" s="15"/>
      <c r="DN229" s="15"/>
      <c r="DO229" s="15"/>
      <c r="DP229" s="15"/>
      <c r="DQ229" s="15"/>
      <c r="DR229" s="15"/>
      <c r="DS229" s="15"/>
    </row>
    <row r="230" spans="1:123" x14ac:dyDescent="0.25">
      <c r="A230" s="15"/>
      <c r="B230" s="84"/>
      <c r="C230" s="84"/>
      <c r="D230" s="89"/>
      <c r="E230" s="402"/>
      <c r="F230" s="403"/>
      <c r="G230" s="84"/>
      <c r="H230" s="403"/>
      <c r="I230" s="403"/>
      <c r="J230" s="84"/>
      <c r="K230" s="84"/>
      <c r="L230" s="84"/>
      <c r="M230" s="84"/>
      <c r="N230" s="84"/>
      <c r="O230" s="84"/>
      <c r="P230" s="84"/>
      <c r="Q230" s="84"/>
      <c r="R230" s="84"/>
      <c r="S230" s="84"/>
      <c r="T230" s="84"/>
      <c r="U230" s="84"/>
      <c r="V230" s="84"/>
      <c r="W230" s="84"/>
      <c r="X230" s="84"/>
      <c r="Y230" s="84"/>
      <c r="Z230" s="84"/>
      <c r="AA230" s="121"/>
      <c r="AB230" s="25"/>
      <c r="AC230" s="25"/>
      <c r="AD230" s="25"/>
      <c r="AE230" s="25"/>
      <c r="AF230" s="25"/>
      <c r="AG230" s="25"/>
      <c r="AH230" s="25"/>
      <c r="AI230" s="25"/>
      <c r="AJ230" s="25"/>
      <c r="AK230" s="25"/>
      <c r="AL230" s="3"/>
      <c r="AM230" s="3"/>
      <c r="AN230" s="3"/>
      <c r="AO230" s="3"/>
      <c r="AP230" s="25"/>
      <c r="AQ230" s="25"/>
      <c r="AR230" s="25"/>
      <c r="AS230" s="25"/>
      <c r="AT230" s="343"/>
      <c r="AU230" s="13"/>
      <c r="AV230" s="60"/>
      <c r="AW230" s="60"/>
      <c r="AX230" s="60"/>
      <c r="AY230" s="60"/>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V230" s="15"/>
      <c r="CW230" s="15"/>
      <c r="CX230" s="15"/>
      <c r="CY230" s="15"/>
      <c r="CZ230" s="15"/>
      <c r="DA230" s="15"/>
      <c r="DB230" s="15"/>
      <c r="DC230" s="15"/>
      <c r="DD230" s="15"/>
      <c r="DE230" s="15"/>
      <c r="DF230" s="15"/>
      <c r="DG230" s="15"/>
      <c r="DH230" s="15"/>
      <c r="DI230" s="15"/>
      <c r="DJ230" s="15"/>
      <c r="DK230" s="15"/>
      <c r="DL230" s="15"/>
      <c r="DM230" s="15"/>
      <c r="DN230" s="15"/>
      <c r="DO230" s="15"/>
      <c r="DP230" s="15"/>
      <c r="DQ230" s="15"/>
      <c r="DR230" s="15"/>
      <c r="DS230" s="15"/>
    </row>
    <row r="231" spans="1:123" ht="13.25" thickBot="1" x14ac:dyDescent="0.3">
      <c r="A231" s="15"/>
      <c r="B231" s="84"/>
      <c r="C231" s="84"/>
      <c r="D231" s="89"/>
      <c r="E231" s="402"/>
      <c r="F231" s="403"/>
      <c r="G231" s="84"/>
      <c r="H231" s="403"/>
      <c r="I231" s="403"/>
      <c r="J231" s="84"/>
      <c r="K231" s="84"/>
      <c r="L231" s="84"/>
      <c r="M231" s="84"/>
      <c r="N231" s="84"/>
      <c r="O231" s="84"/>
      <c r="P231" s="84"/>
      <c r="Q231" s="84"/>
      <c r="R231" s="84"/>
      <c r="S231" s="84"/>
      <c r="T231" s="84"/>
      <c r="U231" s="84"/>
      <c r="V231" s="84"/>
      <c r="W231" s="84"/>
      <c r="X231" s="84"/>
      <c r="Y231" s="84"/>
      <c r="Z231" s="84"/>
      <c r="AA231" s="383"/>
      <c r="AB231" s="125"/>
      <c r="AC231" s="125"/>
      <c r="AD231" s="125"/>
      <c r="AE231" s="125"/>
      <c r="AF231" s="125"/>
      <c r="AG231" s="125"/>
      <c r="AH231" s="125"/>
      <c r="AI231" s="125"/>
      <c r="AJ231" s="125"/>
      <c r="AK231" s="125"/>
      <c r="AL231" s="1642"/>
      <c r="AM231" s="1642"/>
      <c r="AN231" s="1642"/>
      <c r="AO231" s="1642"/>
      <c r="AP231" s="125"/>
      <c r="AQ231" s="125"/>
      <c r="AR231" s="125"/>
      <c r="AS231" s="125"/>
      <c r="AT231" s="384"/>
      <c r="AU231" s="13"/>
      <c r="AV231" s="60"/>
      <c r="AW231" s="60"/>
      <c r="AX231" s="60"/>
      <c r="AY231" s="60"/>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V231" s="15"/>
      <c r="CW231" s="15"/>
      <c r="CX231" s="15"/>
      <c r="CY231" s="15"/>
      <c r="CZ231" s="15"/>
      <c r="DA231" s="15"/>
      <c r="DB231" s="15"/>
      <c r="DC231" s="15"/>
      <c r="DD231" s="15"/>
      <c r="DE231" s="15"/>
      <c r="DF231" s="15"/>
      <c r="DG231" s="15"/>
      <c r="DH231" s="15"/>
      <c r="DI231" s="15"/>
      <c r="DJ231" s="15"/>
      <c r="DK231" s="15"/>
      <c r="DL231" s="15"/>
      <c r="DM231" s="15"/>
      <c r="DN231" s="15"/>
      <c r="DO231" s="15"/>
      <c r="DP231" s="15"/>
      <c r="DQ231" s="15"/>
      <c r="DR231" s="15"/>
      <c r="DS231" s="15"/>
    </row>
    <row r="232" spans="1:123" x14ac:dyDescent="0.25">
      <c r="A232" s="15"/>
      <c r="B232" s="84"/>
      <c r="C232" s="84"/>
      <c r="D232" s="89"/>
      <c r="E232" s="402"/>
      <c r="F232" s="403"/>
      <c r="G232" s="84"/>
      <c r="H232" s="403"/>
      <c r="I232" s="403"/>
      <c r="J232" s="84"/>
      <c r="K232" s="84"/>
      <c r="L232" s="84"/>
      <c r="M232" s="84"/>
      <c r="N232" s="84"/>
      <c r="O232" s="84"/>
      <c r="P232" s="84"/>
      <c r="Q232" s="84"/>
      <c r="R232" s="84"/>
      <c r="S232" s="84"/>
      <c r="T232" s="84"/>
      <c r="U232" s="84"/>
      <c r="V232" s="84"/>
      <c r="W232" s="84"/>
      <c r="X232" s="84"/>
      <c r="Y232" s="84"/>
      <c r="Z232" s="84"/>
      <c r="AA232" s="2466" t="s">
        <v>555</v>
      </c>
      <c r="AB232" s="2467"/>
      <c r="AC232" s="2467"/>
      <c r="AD232" s="2467"/>
      <c r="AE232" s="351"/>
      <c r="AF232" s="351"/>
      <c r="AG232" s="351"/>
      <c r="AH232" s="351"/>
      <c r="AI232" s="351"/>
      <c r="AJ232" s="351"/>
      <c r="AK232" s="351"/>
      <c r="AL232" s="1635"/>
      <c r="AM232" s="1635"/>
      <c r="AN232" s="1635"/>
      <c r="AO232" s="1635"/>
      <c r="AP232" s="351"/>
      <c r="AQ232" s="351"/>
      <c r="AR232" s="351"/>
      <c r="AS232" s="351"/>
      <c r="AT232" s="153"/>
      <c r="AU232" s="13"/>
      <c r="AV232" s="60"/>
      <c r="AW232" s="60"/>
      <c r="AX232" s="60"/>
      <c r="AY232" s="60"/>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V232" s="15"/>
      <c r="CW232" s="15"/>
      <c r="CX232" s="15"/>
      <c r="CY232" s="15"/>
      <c r="CZ232" s="15"/>
      <c r="DA232" s="15"/>
      <c r="DB232" s="15"/>
      <c r="DC232" s="15"/>
      <c r="DD232" s="15"/>
      <c r="DE232" s="15"/>
      <c r="DF232" s="15"/>
      <c r="DG232" s="15"/>
      <c r="DH232" s="15"/>
      <c r="DI232" s="15"/>
      <c r="DJ232" s="15"/>
      <c r="DK232" s="15"/>
      <c r="DL232" s="15"/>
      <c r="DM232" s="15"/>
      <c r="DN232" s="15"/>
      <c r="DO232" s="15"/>
      <c r="DP232" s="15"/>
      <c r="DQ232" s="15"/>
      <c r="DR232" s="15"/>
      <c r="DS232" s="15"/>
    </row>
    <row r="233" spans="1:123" ht="18.75" customHeight="1" x14ac:dyDescent="0.25">
      <c r="A233" s="15"/>
      <c r="B233" s="84"/>
      <c r="C233" s="84"/>
      <c r="D233" s="89"/>
      <c r="E233" s="402"/>
      <c r="F233" s="403"/>
      <c r="G233" s="84"/>
      <c r="H233" s="403"/>
      <c r="I233" s="403"/>
      <c r="J233" s="84"/>
      <c r="K233" s="84"/>
      <c r="L233" s="84"/>
      <c r="M233" s="84"/>
      <c r="N233" s="84"/>
      <c r="O233" s="84"/>
      <c r="P233" s="84"/>
      <c r="Q233" s="84"/>
      <c r="R233" s="84"/>
      <c r="S233" s="84"/>
      <c r="T233" s="84"/>
      <c r="U233" s="84"/>
      <c r="V233" s="84"/>
      <c r="W233" s="84"/>
      <c r="X233" s="84"/>
      <c r="Y233" s="84"/>
      <c r="Z233" s="84"/>
      <c r="AA233" s="2468"/>
      <c r="AB233" s="2469"/>
      <c r="AC233" s="2469"/>
      <c r="AD233" s="2469"/>
      <c r="AE233" s="25"/>
      <c r="AF233" s="25"/>
      <c r="AG233" s="25"/>
      <c r="AH233" s="25"/>
      <c r="AI233" s="25"/>
      <c r="AJ233" s="25"/>
      <c r="AK233" s="25"/>
      <c r="AL233" s="3"/>
      <c r="AM233" s="3"/>
      <c r="AN233" s="3"/>
      <c r="AO233" s="3"/>
      <c r="AP233" s="25"/>
      <c r="AQ233" s="25"/>
      <c r="AR233" s="25"/>
      <c r="AS233" s="25"/>
      <c r="AT233" s="343"/>
      <c r="AU233" s="13"/>
      <c r="AV233" s="60"/>
      <c r="AW233" s="60"/>
      <c r="AX233" s="60"/>
      <c r="AY233" s="60"/>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V233" s="15"/>
      <c r="CW233" s="15"/>
      <c r="CX233" s="15"/>
      <c r="CY233" s="15"/>
      <c r="CZ233" s="15"/>
      <c r="DA233" s="15"/>
      <c r="DB233" s="15"/>
      <c r="DC233" s="15"/>
      <c r="DD233" s="15"/>
      <c r="DE233" s="15"/>
      <c r="DF233" s="15"/>
      <c r="DG233" s="15"/>
      <c r="DH233" s="15"/>
      <c r="DI233" s="15"/>
      <c r="DJ233" s="15"/>
      <c r="DK233" s="15"/>
      <c r="DL233" s="15"/>
      <c r="DM233" s="15"/>
      <c r="DN233" s="15"/>
      <c r="DO233" s="15"/>
      <c r="DP233" s="15"/>
      <c r="DQ233" s="15"/>
      <c r="DR233" s="15"/>
      <c r="DS233" s="15"/>
    </row>
    <row r="234" spans="1:123" x14ac:dyDescent="0.25">
      <c r="AA234" s="121"/>
      <c r="AB234" s="25"/>
      <c r="AC234" s="25"/>
      <c r="AD234" s="25"/>
      <c r="AE234" s="25"/>
      <c r="AF234" s="25"/>
      <c r="AG234" s="25"/>
      <c r="AH234" s="25"/>
      <c r="AI234" s="25"/>
      <c r="AJ234" s="25"/>
      <c r="AK234" s="25"/>
      <c r="AL234" s="3"/>
      <c r="AM234" s="3"/>
      <c r="AN234" s="3"/>
      <c r="AO234" s="3"/>
      <c r="AP234" s="25"/>
      <c r="AQ234" s="25"/>
      <c r="AR234" s="25"/>
      <c r="AS234" s="25"/>
      <c r="AT234" s="343"/>
      <c r="AU234" s="13"/>
    </row>
    <row r="235" spans="1:123" x14ac:dyDescent="0.25">
      <c r="AA235" s="121"/>
      <c r="AB235" s="25"/>
      <c r="AC235" s="25"/>
      <c r="AD235" s="25"/>
      <c r="AE235" s="25"/>
      <c r="AF235" s="25"/>
      <c r="AG235" s="25"/>
      <c r="AH235" s="25"/>
      <c r="AI235" s="25"/>
      <c r="AJ235" s="25"/>
      <c r="AK235" s="25"/>
      <c r="AL235" s="3"/>
      <c r="AM235" s="3"/>
      <c r="AN235" s="3"/>
      <c r="AO235" s="3"/>
      <c r="AP235" s="25"/>
      <c r="AQ235" s="25"/>
      <c r="AR235" s="25"/>
      <c r="AS235" s="25"/>
      <c r="AT235" s="343"/>
      <c r="AU235" s="13"/>
    </row>
    <row r="236" spans="1:123" x14ac:dyDescent="0.25">
      <c r="AA236" s="121"/>
      <c r="AB236" s="25"/>
      <c r="AC236" s="25"/>
      <c r="AD236" s="25"/>
      <c r="AE236" s="25"/>
      <c r="AF236" s="25"/>
      <c r="AG236" s="25"/>
      <c r="AH236" s="25"/>
      <c r="AI236" s="25"/>
      <c r="AJ236" s="25"/>
      <c r="AK236" s="25"/>
      <c r="AL236" s="3"/>
      <c r="AM236" s="3"/>
      <c r="AN236" s="3"/>
      <c r="AO236" s="3"/>
      <c r="AP236" s="25"/>
      <c r="AQ236" s="25"/>
      <c r="AR236" s="25"/>
      <c r="AS236" s="25"/>
      <c r="AT236" s="343"/>
      <c r="AU236" s="13"/>
    </row>
    <row r="237" spans="1:123" x14ac:dyDescent="0.25">
      <c r="AA237" s="121"/>
      <c r="AB237" s="25"/>
      <c r="AC237" s="25"/>
      <c r="AD237" s="25"/>
      <c r="AE237" s="25"/>
      <c r="AF237" s="25"/>
      <c r="AG237" s="25"/>
      <c r="AH237" s="25"/>
      <c r="AI237" s="25"/>
      <c r="AJ237" s="25"/>
      <c r="AK237" s="25"/>
      <c r="AL237" s="3"/>
      <c r="AM237" s="3"/>
      <c r="AN237" s="3"/>
      <c r="AO237" s="3"/>
      <c r="AP237" s="25"/>
      <c r="AQ237" s="25"/>
      <c r="AR237" s="25"/>
      <c r="AS237" s="25"/>
      <c r="AT237" s="343"/>
      <c r="AU237" s="13"/>
    </row>
    <row r="238" spans="1:123" x14ac:dyDescent="0.25">
      <c r="AA238" s="121"/>
      <c r="AB238" s="25"/>
      <c r="AC238" s="25"/>
      <c r="AD238" s="25"/>
      <c r="AE238" s="25"/>
      <c r="AF238" s="25"/>
      <c r="AG238" s="25"/>
      <c r="AH238" s="25"/>
      <c r="AI238" s="25"/>
      <c r="AJ238" s="25"/>
      <c r="AK238" s="25"/>
      <c r="AL238" s="25"/>
      <c r="AM238" s="25"/>
      <c r="AN238" s="25"/>
      <c r="AO238" s="25"/>
      <c r="AP238" s="25"/>
      <c r="AQ238" s="25"/>
      <c r="AR238" s="25"/>
      <c r="AS238" s="25"/>
      <c r="AT238" s="343"/>
      <c r="AU238" s="13"/>
    </row>
    <row r="239" spans="1:123" x14ac:dyDescent="0.25">
      <c r="AA239" s="121"/>
      <c r="AB239" s="25"/>
      <c r="AC239" s="25"/>
      <c r="AD239" s="25"/>
      <c r="AE239" s="25"/>
      <c r="AF239" s="25"/>
      <c r="AG239" s="25"/>
      <c r="AH239" s="25"/>
      <c r="AI239" s="25"/>
      <c r="AJ239" s="25"/>
      <c r="AK239" s="25"/>
      <c r="AL239" s="25"/>
      <c r="AM239" s="25"/>
      <c r="AN239" s="25"/>
      <c r="AO239" s="25"/>
      <c r="AP239" s="25"/>
      <c r="AQ239" s="25"/>
      <c r="AR239" s="25"/>
      <c r="AS239" s="25"/>
      <c r="AT239" s="343"/>
      <c r="AU239" s="13"/>
    </row>
    <row r="240" spans="1:123" x14ac:dyDescent="0.25">
      <c r="AA240" s="121"/>
      <c r="AB240" s="25"/>
      <c r="AC240" s="25"/>
      <c r="AD240" s="25"/>
      <c r="AE240" s="25"/>
      <c r="AF240" s="25"/>
      <c r="AG240" s="25"/>
      <c r="AH240" s="25"/>
      <c r="AI240" s="25"/>
      <c r="AJ240" s="25"/>
      <c r="AK240" s="25"/>
      <c r="AL240" s="25"/>
      <c r="AM240" s="25"/>
      <c r="AN240" s="25"/>
      <c r="AO240" s="25"/>
      <c r="AP240" s="25"/>
      <c r="AQ240" s="25"/>
      <c r="AR240" s="25"/>
      <c r="AS240" s="25"/>
      <c r="AT240" s="343"/>
      <c r="AU240" s="13"/>
    </row>
    <row r="241" spans="27:47" x14ac:dyDescent="0.25">
      <c r="AA241" s="1637"/>
      <c r="AB241" s="294" t="str">
        <f>'2.CropManagement'!X157</f>
        <v>kgs</v>
      </c>
      <c r="AC241" s="294">
        <f>'2.CropManagement'!Y157</f>
        <v>1E-3</v>
      </c>
      <c r="AD241" s="25"/>
      <c r="AE241" s="1133" t="s">
        <v>1479</v>
      </c>
      <c r="AF241" s="1134">
        <v>1</v>
      </c>
      <c r="AG241" s="25"/>
      <c r="AH241" s="25"/>
      <c r="AI241" s="25"/>
      <c r="AJ241" s="25"/>
      <c r="AK241" s="25"/>
      <c r="AL241" s="25"/>
      <c r="AM241" s="25"/>
      <c r="AN241" s="25"/>
      <c r="AO241" s="25"/>
      <c r="AP241" s="25"/>
      <c r="AQ241" s="25"/>
      <c r="AR241" s="25"/>
      <c r="AS241" s="25"/>
      <c r="AT241" s="343"/>
      <c r="AU241" s="13"/>
    </row>
    <row r="242" spans="27:47" x14ac:dyDescent="0.25">
      <c r="AA242" s="1637"/>
      <c r="AB242" s="294" t="str">
        <f>'2.CropManagement'!X158</f>
        <v xml:space="preserve">tonnes </v>
      </c>
      <c r="AC242" s="294">
        <f>'2.CropManagement'!Y158</f>
        <v>1</v>
      </c>
      <c r="AD242" s="25"/>
      <c r="AE242" s="1135" t="s">
        <v>1478</v>
      </c>
      <c r="AF242" s="1134">
        <v>1E-3</v>
      </c>
      <c r="AG242" s="25"/>
      <c r="AH242" s="25"/>
      <c r="AI242" s="77" t="s">
        <v>1426</v>
      </c>
      <c r="AJ242" s="77" t="s">
        <v>857</v>
      </c>
      <c r="AK242" s="77">
        <v>1</v>
      </c>
      <c r="AL242" s="25"/>
      <c r="AM242" s="25"/>
      <c r="AN242" s="25"/>
      <c r="AO242" s="25"/>
      <c r="AP242" s="25"/>
      <c r="AQ242" s="25"/>
      <c r="AR242" s="25"/>
      <c r="AS242" s="25"/>
      <c r="AT242" s="343"/>
      <c r="AU242" s="13"/>
    </row>
    <row r="243" spans="27:47" x14ac:dyDescent="0.25">
      <c r="AA243" s="1637"/>
      <c r="AB243" s="294" t="str">
        <f>'2.CropManagement'!X159</f>
        <v>tons (US, short)</v>
      </c>
      <c r="AC243" s="294">
        <f>'2.CropManagement'!Y159</f>
        <v>0.90718474000000004</v>
      </c>
      <c r="AD243" s="25"/>
      <c r="AE243" s="180" t="s">
        <v>1480</v>
      </c>
      <c r="AF243" s="1134">
        <v>2.2046000000000001</v>
      </c>
      <c r="AG243" s="25"/>
      <c r="AH243" s="25"/>
      <c r="AI243" s="77" t="s">
        <v>1427</v>
      </c>
      <c r="AJ243" s="77" t="s">
        <v>1111</v>
      </c>
      <c r="AK243" s="77">
        <v>2.2010000000000001</v>
      </c>
      <c r="AL243" s="25"/>
      <c r="AM243" s="25"/>
      <c r="AN243" s="25"/>
      <c r="AO243" s="25"/>
      <c r="AP243" s="25"/>
      <c r="AQ243" s="25"/>
      <c r="AR243" s="25"/>
      <c r="AS243" s="25"/>
      <c r="AT243" s="343"/>
      <c r="AU243" s="13"/>
    </row>
    <row r="244" spans="27:47" x14ac:dyDescent="0.25">
      <c r="AA244" s="1637"/>
      <c r="AB244" s="294" t="str">
        <f>'2.CropManagement'!X160</f>
        <v>litres</v>
      </c>
      <c r="AC244" s="294">
        <f>'2.CropManagement'!Y160</f>
        <v>1E-3</v>
      </c>
      <c r="AD244" s="25"/>
      <c r="AE244" s="180" t="s">
        <v>1481</v>
      </c>
      <c r="AF244" s="1134">
        <f>2.201/2000</f>
        <v>1.1005000000000001E-3</v>
      </c>
      <c r="AG244" s="25"/>
      <c r="AH244" s="25"/>
      <c r="AI244" s="25"/>
      <c r="AJ244" s="25"/>
      <c r="AK244" s="25"/>
      <c r="AL244" s="25"/>
      <c r="AM244" s="25"/>
      <c r="AN244" s="25"/>
      <c r="AO244" s="25"/>
      <c r="AP244" s="25"/>
      <c r="AQ244" s="25"/>
      <c r="AR244" s="25"/>
      <c r="AS244" s="25"/>
      <c r="AT244" s="343"/>
      <c r="AU244" s="13"/>
    </row>
    <row r="245" spans="27:47" x14ac:dyDescent="0.25">
      <c r="AA245" s="121"/>
      <c r="AB245" s="25"/>
      <c r="AC245" s="25"/>
      <c r="AD245" s="25"/>
      <c r="AE245" s="25"/>
      <c r="AF245" s="25"/>
      <c r="AG245" s="25"/>
      <c r="AH245" s="25"/>
      <c r="AI245" s="25"/>
      <c r="AJ245" s="25"/>
      <c r="AK245" s="25"/>
      <c r="AL245" s="25"/>
      <c r="AM245" s="25"/>
      <c r="AN245" s="25"/>
      <c r="AO245" s="25"/>
      <c r="AP245" s="25"/>
      <c r="AQ245" s="25"/>
      <c r="AR245" s="25"/>
      <c r="AS245" s="25"/>
      <c r="AT245" s="343"/>
      <c r="AU245" s="13"/>
    </row>
    <row r="246" spans="27:47" x14ac:dyDescent="0.25">
      <c r="AA246" s="121"/>
      <c r="AB246" s="25"/>
      <c r="AC246" s="25"/>
      <c r="AD246" s="25"/>
      <c r="AE246" s="25"/>
      <c r="AF246" s="25"/>
      <c r="AG246" s="25"/>
      <c r="AH246" s="25"/>
      <c r="AI246" s="25"/>
      <c r="AJ246" s="25"/>
      <c r="AK246" s="25"/>
      <c r="AL246" s="25"/>
      <c r="AM246" s="25"/>
      <c r="AN246" s="25"/>
      <c r="AO246" s="25"/>
      <c r="AP246" s="25"/>
      <c r="AQ246" s="25"/>
      <c r="AR246" s="25"/>
      <c r="AS246" s="25"/>
      <c r="AT246" s="343"/>
      <c r="AU246" s="13"/>
    </row>
    <row r="247" spans="27:47" x14ac:dyDescent="0.25">
      <c r="AA247" s="121"/>
      <c r="AB247" s="25"/>
      <c r="AC247" s="25"/>
      <c r="AD247" s="25"/>
      <c r="AE247" s="25"/>
      <c r="AF247" s="25"/>
      <c r="AG247" s="25"/>
      <c r="AH247" s="25"/>
      <c r="AI247" s="25"/>
      <c r="AJ247" s="25"/>
      <c r="AK247" s="25"/>
      <c r="AL247" s="25"/>
      <c r="AM247" s="25"/>
      <c r="AN247" s="25"/>
      <c r="AO247" s="25"/>
      <c r="AP247" s="25"/>
      <c r="AQ247" s="25"/>
      <c r="AR247" s="25"/>
      <c r="AS247" s="25"/>
      <c r="AT247" s="343"/>
      <c r="AU247" s="13"/>
    </row>
    <row r="248" spans="27:47" x14ac:dyDescent="0.25">
      <c r="AA248" s="121"/>
      <c r="AB248" s="25"/>
      <c r="AC248" s="25"/>
      <c r="AD248" s="25"/>
      <c r="AE248" s="25"/>
      <c r="AF248" s="25"/>
      <c r="AG248" s="25"/>
      <c r="AH248" s="25"/>
      <c r="AI248" s="25"/>
      <c r="AJ248" s="25"/>
      <c r="AK248" s="25"/>
      <c r="AL248" s="25"/>
      <c r="AM248" s="25"/>
      <c r="AN248" s="25"/>
      <c r="AO248" s="25"/>
      <c r="AP248" s="25"/>
      <c r="AQ248" s="25"/>
      <c r="AR248" s="25"/>
      <c r="AS248" s="25"/>
      <c r="AT248" s="343"/>
      <c r="AU248" s="13"/>
    </row>
    <row r="249" spans="27:47" x14ac:dyDescent="0.25">
      <c r="AA249" s="121"/>
      <c r="AB249" s="25"/>
      <c r="AC249" s="25"/>
      <c r="AD249" s="25"/>
      <c r="AE249" s="25"/>
      <c r="AF249" s="25"/>
      <c r="AG249" s="25"/>
      <c r="AH249" s="25"/>
      <c r="AI249" s="25"/>
      <c r="AJ249" s="25"/>
      <c r="AK249" s="25"/>
      <c r="AL249" s="25"/>
      <c r="AM249" s="25"/>
      <c r="AN249" s="25"/>
      <c r="AO249" s="25"/>
      <c r="AP249" s="25"/>
      <c r="AQ249" s="25"/>
      <c r="AR249" s="25"/>
      <c r="AS249" s="25"/>
      <c r="AT249" s="343"/>
      <c r="AU249" s="13"/>
    </row>
    <row r="250" spans="27:47" x14ac:dyDescent="0.25">
      <c r="AA250" s="121"/>
      <c r="AB250" s="25"/>
      <c r="AC250" s="25"/>
      <c r="AD250" s="25"/>
      <c r="AE250" s="25"/>
      <c r="AF250" s="25"/>
      <c r="AG250" s="25"/>
      <c r="AH250" s="25"/>
      <c r="AI250" s="25"/>
      <c r="AJ250" s="25"/>
      <c r="AK250" s="25"/>
      <c r="AL250" s="25"/>
      <c r="AM250" s="25"/>
      <c r="AN250" s="25"/>
      <c r="AO250" s="25"/>
      <c r="AP250" s="25"/>
      <c r="AQ250" s="25"/>
      <c r="AR250" s="25"/>
      <c r="AS250" s="25"/>
      <c r="AT250" s="343"/>
      <c r="AU250" s="13"/>
    </row>
    <row r="251" spans="27:47" x14ac:dyDescent="0.25">
      <c r="AA251" s="121"/>
      <c r="AB251" s="25"/>
      <c r="AC251" s="25"/>
      <c r="AD251" s="25"/>
      <c r="AE251" s="25"/>
      <c r="AF251" s="25"/>
      <c r="AG251" s="25"/>
      <c r="AH251" s="25"/>
      <c r="AI251" s="25"/>
      <c r="AJ251" s="25"/>
      <c r="AK251" s="25"/>
      <c r="AL251" s="25"/>
      <c r="AM251" s="3"/>
      <c r="AN251" s="3"/>
      <c r="AO251" s="3"/>
      <c r="AP251" s="3"/>
      <c r="AQ251" s="3"/>
      <c r="AR251" s="3"/>
      <c r="AS251" s="3"/>
      <c r="AT251" s="343"/>
      <c r="AU251" s="13"/>
    </row>
    <row r="252" spans="27:47" x14ac:dyDescent="0.25">
      <c r="AA252" s="121"/>
      <c r="AB252" s="25"/>
      <c r="AC252" s="25"/>
      <c r="AD252" s="25"/>
      <c r="AE252" s="25"/>
      <c r="AF252" s="25"/>
      <c r="AG252" s="25"/>
      <c r="AH252" s="25"/>
      <c r="AI252" s="3"/>
      <c r="AJ252" s="3"/>
      <c r="AK252" s="3"/>
      <c r="AL252" s="3"/>
      <c r="AM252" s="3"/>
      <c r="AN252" s="3"/>
      <c r="AO252" s="3"/>
      <c r="AP252" s="3"/>
      <c r="AQ252" s="3"/>
      <c r="AR252" s="3"/>
      <c r="AS252" s="3"/>
      <c r="AT252" s="343"/>
      <c r="AU252" s="13"/>
    </row>
    <row r="253" spans="27:47" x14ac:dyDescent="0.25">
      <c r="AA253" s="1637"/>
      <c r="AB253" s="77"/>
      <c r="AC253" s="77" t="s">
        <v>1015</v>
      </c>
      <c r="AD253" s="77" t="s">
        <v>1224</v>
      </c>
      <c r="AE253" s="25"/>
      <c r="AF253" s="25"/>
      <c r="AG253" s="25"/>
      <c r="AH253" s="25"/>
      <c r="AI253" s="3"/>
      <c r="AJ253" s="3"/>
      <c r="AK253" s="3"/>
      <c r="AL253" s="3"/>
      <c r="AM253" s="3"/>
      <c r="AN253" s="3"/>
      <c r="AO253" s="3"/>
      <c r="AP253" s="3"/>
      <c r="AQ253" s="3"/>
      <c r="AR253" s="3"/>
      <c r="AS253" s="3"/>
      <c r="AT253" s="343"/>
      <c r="AU253" s="13"/>
    </row>
    <row r="254" spans="27:47" x14ac:dyDescent="0.25">
      <c r="AA254" s="1637"/>
      <c r="AB254" s="77" t="s">
        <v>1225</v>
      </c>
      <c r="AC254" s="77">
        <f>'A2. Livestockdata'!B163</f>
        <v>3</v>
      </c>
      <c r="AD254" s="77"/>
      <c r="AE254" s="25"/>
      <c r="AF254" s="25"/>
      <c r="AG254" s="25"/>
      <c r="AH254" s="25"/>
      <c r="AI254" s="3"/>
      <c r="AJ254" s="3"/>
      <c r="AK254" s="3"/>
      <c r="AL254" s="3"/>
      <c r="AM254" s="3"/>
      <c r="AN254" s="3"/>
      <c r="AO254" s="3"/>
      <c r="AP254" s="3"/>
      <c r="AQ254" s="3"/>
      <c r="AR254" s="3"/>
      <c r="AS254" s="3"/>
      <c r="AT254" s="343"/>
      <c r="AU254" s="13"/>
    </row>
    <row r="255" spans="27:47" x14ac:dyDescent="0.25">
      <c r="AA255" s="1637"/>
      <c r="AB255" s="77" t="s">
        <v>745</v>
      </c>
      <c r="AC255" s="77">
        <f>'A2. Livestockdata'!B164</f>
        <v>6.5</v>
      </c>
      <c r="AD255" s="77"/>
      <c r="AE255" s="25"/>
      <c r="AF255" s="25"/>
      <c r="AG255" s="25"/>
      <c r="AH255" s="25"/>
      <c r="AI255" s="3"/>
      <c r="AJ255" s="3"/>
      <c r="AK255" s="3"/>
      <c r="AL255" s="3"/>
      <c r="AM255" s="3"/>
      <c r="AN255" s="3"/>
      <c r="AO255" s="3"/>
      <c r="AP255" s="3"/>
      <c r="AQ255" s="3"/>
      <c r="AR255" s="3"/>
      <c r="AS255" s="3"/>
      <c r="AT255" s="343"/>
      <c r="AU255" s="13"/>
    </row>
    <row r="256" spans="27:47" x14ac:dyDescent="0.25">
      <c r="AA256" s="1637"/>
      <c r="AB256" s="77" t="s">
        <v>1226</v>
      </c>
      <c r="AC256" s="77">
        <f>'A2. Livestockdata'!B165</f>
        <v>6.5</v>
      </c>
      <c r="AD256" s="77"/>
      <c r="AE256" s="25"/>
      <c r="AF256" s="25"/>
      <c r="AG256" s="25"/>
      <c r="AH256" s="25"/>
      <c r="AI256" s="3"/>
      <c r="AJ256" s="3"/>
      <c r="AK256" s="3"/>
      <c r="AL256" s="3"/>
      <c r="AM256" s="3"/>
      <c r="AN256" s="3"/>
      <c r="AO256" s="3"/>
      <c r="AP256" s="3"/>
      <c r="AQ256" s="3"/>
      <c r="AR256" s="3"/>
      <c r="AS256" s="3"/>
      <c r="AT256" s="343"/>
      <c r="AU256" s="13"/>
    </row>
    <row r="257" spans="27:47" x14ac:dyDescent="0.25">
      <c r="AA257" s="1637"/>
      <c r="AB257" s="77" t="s">
        <v>433</v>
      </c>
      <c r="AC257" s="77">
        <f>'A2. Livestockdata'!B166</f>
        <v>6.5</v>
      </c>
      <c r="AD257" s="77"/>
      <c r="AE257" s="25"/>
      <c r="AF257" s="77"/>
      <c r="AG257" s="77" t="s">
        <v>434</v>
      </c>
      <c r="AH257" s="77" t="s">
        <v>1224</v>
      </c>
      <c r="AI257" s="3"/>
      <c r="AJ257" s="3"/>
      <c r="AK257" s="3"/>
      <c r="AL257" s="3"/>
      <c r="AM257" s="3"/>
      <c r="AN257" s="3"/>
      <c r="AO257" s="3"/>
      <c r="AP257" s="3"/>
      <c r="AQ257" s="3"/>
      <c r="AR257" s="3"/>
      <c r="AS257" s="3"/>
      <c r="AT257" s="343"/>
      <c r="AU257" s="13"/>
    </row>
    <row r="258" spans="27:47" x14ac:dyDescent="0.25">
      <c r="AA258" s="1637"/>
      <c r="AB258" s="25"/>
      <c r="AC258" s="25"/>
      <c r="AD258" s="25"/>
      <c r="AE258" s="25"/>
      <c r="AF258" s="77" t="s">
        <v>435</v>
      </c>
      <c r="AG258" s="77">
        <f>'A2. Livestockdata'!B174</f>
        <v>8</v>
      </c>
      <c r="AH258" s="77">
        <f>'A2. Livestockdata'!C174</f>
        <v>0.8</v>
      </c>
      <c r="AI258" s="3"/>
      <c r="AJ258" s="3"/>
      <c r="AK258" s="3"/>
      <c r="AL258" s="3"/>
      <c r="AM258" s="3"/>
      <c r="AN258" s="3"/>
      <c r="AO258" s="3"/>
      <c r="AP258" s="3"/>
      <c r="AQ258" s="3"/>
      <c r="AR258" s="3"/>
      <c r="AS258" s="3"/>
      <c r="AT258" s="343"/>
      <c r="AU258" s="13"/>
    </row>
    <row r="259" spans="27:47" x14ac:dyDescent="0.25">
      <c r="AA259" s="1637"/>
      <c r="AB259" s="77"/>
      <c r="AC259" s="77" t="s">
        <v>1015</v>
      </c>
      <c r="AD259" s="25"/>
      <c r="AE259" s="25"/>
      <c r="AF259" s="77" t="s">
        <v>746</v>
      </c>
      <c r="AG259" s="77">
        <f>'A2. Livestockdata'!B175</f>
        <v>7</v>
      </c>
      <c r="AH259" s="77">
        <f>'A2. Livestockdata'!C175</f>
        <v>0.7</v>
      </c>
      <c r="AI259" s="3"/>
      <c r="AJ259" s="3"/>
      <c r="AK259" s="3"/>
      <c r="AL259" s="3"/>
      <c r="AM259" s="3"/>
      <c r="AN259" s="3"/>
      <c r="AO259" s="3"/>
      <c r="AP259" s="3"/>
      <c r="AQ259" s="3"/>
      <c r="AR259" s="3"/>
      <c r="AS259" s="3"/>
      <c r="AT259" s="343"/>
      <c r="AU259" s="13"/>
    </row>
    <row r="260" spans="27:47" x14ac:dyDescent="0.25">
      <c r="AA260" s="1637"/>
      <c r="AB260" s="77" t="s">
        <v>436</v>
      </c>
      <c r="AC260" s="77">
        <f>'A2. Livestockdata'!B169</f>
        <v>4.5</v>
      </c>
      <c r="AD260" s="25"/>
      <c r="AE260" s="25"/>
      <c r="AF260" s="77" t="s">
        <v>437</v>
      </c>
      <c r="AG260" s="77">
        <f>'A2. Livestockdata'!B176</f>
        <v>6</v>
      </c>
      <c r="AH260" s="77">
        <f>'A2. Livestockdata'!C176</f>
        <v>0.6</v>
      </c>
      <c r="AI260" s="3"/>
      <c r="AJ260" s="3"/>
      <c r="AK260" s="3"/>
      <c r="AL260" s="3"/>
      <c r="AM260" s="3"/>
      <c r="AN260" s="3"/>
      <c r="AO260" s="3"/>
      <c r="AP260" s="3"/>
      <c r="AQ260" s="3"/>
      <c r="AR260" s="3"/>
      <c r="AS260" s="3"/>
      <c r="AT260" s="343"/>
      <c r="AU260" s="13"/>
    </row>
    <row r="261" spans="27:47" x14ac:dyDescent="0.25">
      <c r="AA261" s="1637"/>
      <c r="AB261" s="77" t="s">
        <v>592</v>
      </c>
      <c r="AC261" s="77">
        <f>'A2. Livestockdata'!B170</f>
        <v>6.5</v>
      </c>
      <c r="AD261" s="25"/>
      <c r="AE261" s="25"/>
      <c r="AF261" s="77" t="s">
        <v>877</v>
      </c>
      <c r="AG261" s="77">
        <f>'A2. Livestockdata'!B177</f>
        <v>4.5</v>
      </c>
      <c r="AH261" s="77">
        <f>'A2. Livestockdata'!C177</f>
        <v>0.5</v>
      </c>
      <c r="AI261" s="3"/>
      <c r="AJ261" s="3"/>
      <c r="AK261" s="3"/>
      <c r="AL261" s="3"/>
      <c r="AM261" s="3"/>
      <c r="AN261" s="3"/>
      <c r="AO261" s="3"/>
      <c r="AP261" s="3"/>
      <c r="AQ261" s="3"/>
      <c r="AR261" s="3"/>
      <c r="AS261" s="3"/>
      <c r="AT261" s="343"/>
      <c r="AU261" s="13"/>
    </row>
    <row r="262" spans="27:47" x14ac:dyDescent="0.25">
      <c r="AA262" s="121"/>
      <c r="AB262" s="25"/>
      <c r="AC262" s="25"/>
      <c r="AD262" s="25"/>
      <c r="AE262" s="25"/>
      <c r="AF262" s="25"/>
      <c r="AG262" s="25"/>
      <c r="AH262" s="25"/>
      <c r="AI262" s="3"/>
      <c r="AJ262" s="3"/>
      <c r="AK262" s="3"/>
      <c r="AL262" s="3"/>
      <c r="AM262" s="3"/>
      <c r="AN262" s="3"/>
      <c r="AO262" s="3"/>
      <c r="AP262" s="3"/>
      <c r="AQ262" s="3"/>
      <c r="AR262" s="3"/>
      <c r="AS262" s="3"/>
      <c r="AT262" s="343"/>
      <c r="AU262" s="13"/>
    </row>
    <row r="263" spans="27:47" x14ac:dyDescent="0.25">
      <c r="AA263" s="121"/>
      <c r="AB263" s="25"/>
      <c r="AC263" s="25"/>
      <c r="AD263" s="25"/>
      <c r="AE263" s="25"/>
      <c r="AF263" s="25"/>
      <c r="AG263" s="25"/>
      <c r="AH263" s="25"/>
      <c r="AI263" s="3"/>
      <c r="AJ263" s="3"/>
      <c r="AK263" s="3"/>
      <c r="AL263" s="3"/>
      <c r="AM263" s="3"/>
      <c r="AN263" s="3"/>
      <c r="AO263" s="3"/>
      <c r="AP263" s="3"/>
      <c r="AQ263" s="3"/>
      <c r="AR263" s="3"/>
      <c r="AS263" s="3"/>
      <c r="AT263" s="343"/>
      <c r="AU263" s="13"/>
    </row>
    <row r="264" spans="27:47" x14ac:dyDescent="0.25">
      <c r="AA264" s="121"/>
      <c r="AB264" s="25"/>
      <c r="AC264" s="25"/>
      <c r="AD264" s="25"/>
      <c r="AE264" s="25"/>
      <c r="AF264" s="25"/>
      <c r="AG264" s="25"/>
      <c r="AH264" s="25"/>
      <c r="AI264" s="3"/>
      <c r="AJ264" s="3"/>
      <c r="AK264" s="3"/>
      <c r="AL264" s="3"/>
      <c r="AM264" s="3"/>
      <c r="AN264" s="3"/>
      <c r="AO264" s="3"/>
      <c r="AP264" s="3"/>
      <c r="AQ264" s="3"/>
      <c r="AR264" s="3"/>
      <c r="AS264" s="3"/>
      <c r="AT264" s="343"/>
      <c r="AU264" s="13"/>
    </row>
    <row r="265" spans="27:47" x14ac:dyDescent="0.25">
      <c r="AA265" s="121"/>
      <c r="AB265" s="25"/>
      <c r="AC265" s="25"/>
      <c r="AD265" s="25"/>
      <c r="AE265" s="25"/>
      <c r="AF265" s="25"/>
      <c r="AG265" s="25"/>
      <c r="AH265" s="25"/>
      <c r="AI265" s="3"/>
      <c r="AJ265" s="3"/>
      <c r="AK265" s="3"/>
      <c r="AL265" s="3"/>
      <c r="AM265" s="3"/>
      <c r="AN265" s="3"/>
      <c r="AO265" s="3"/>
      <c r="AP265" s="3"/>
      <c r="AQ265" s="3"/>
      <c r="AR265" s="3"/>
      <c r="AS265" s="3"/>
      <c r="AT265" s="343"/>
      <c r="AU265" s="13"/>
    </row>
    <row r="266" spans="27:47" x14ac:dyDescent="0.25">
      <c r="AA266" s="121"/>
      <c r="AB266" s="25"/>
      <c r="AC266" s="25"/>
      <c r="AD266" s="25"/>
      <c r="AE266" s="25"/>
      <c r="AF266" s="25"/>
      <c r="AG266" s="25"/>
      <c r="AH266" s="25"/>
      <c r="AI266" s="3"/>
      <c r="AJ266" s="3"/>
      <c r="AK266" s="3"/>
      <c r="AL266" s="3"/>
      <c r="AM266" s="3"/>
      <c r="AN266" s="3"/>
      <c r="AO266" s="3"/>
      <c r="AP266" s="3"/>
      <c r="AQ266" s="3"/>
      <c r="AR266" s="3"/>
      <c r="AS266" s="3"/>
      <c r="AT266" s="343"/>
      <c r="AU266" s="13"/>
    </row>
    <row r="267" spans="27:47" x14ac:dyDescent="0.25">
      <c r="AA267" s="121"/>
      <c r="AB267" s="180"/>
      <c r="AC267" s="180" t="s">
        <v>434</v>
      </c>
      <c r="AD267" s="25"/>
      <c r="AE267" s="180"/>
      <c r="AF267" s="180" t="s">
        <v>1927</v>
      </c>
      <c r="AG267" s="25"/>
      <c r="AH267" s="180"/>
      <c r="AI267" s="180" t="s">
        <v>892</v>
      </c>
      <c r="AJ267" s="3"/>
      <c r="AK267" s="3"/>
      <c r="AL267" s="3"/>
      <c r="AM267" s="180" t="s">
        <v>274</v>
      </c>
      <c r="AN267" s="3"/>
      <c r="AO267" s="180"/>
      <c r="AP267" s="129" t="s">
        <v>855</v>
      </c>
      <c r="AQ267" s="3"/>
      <c r="AR267" s="3"/>
      <c r="AS267" s="3"/>
      <c r="AT267" s="343"/>
      <c r="AU267" s="13"/>
    </row>
    <row r="268" spans="27:47" x14ac:dyDescent="0.25">
      <c r="AA268" s="121"/>
      <c r="AB268" s="180" t="s">
        <v>1946</v>
      </c>
      <c r="AC268" s="180">
        <v>0.8</v>
      </c>
      <c r="AD268" s="25"/>
      <c r="AE268" s="180" t="s">
        <v>1946</v>
      </c>
      <c r="AF268" s="180">
        <v>0</v>
      </c>
      <c r="AG268" s="25"/>
      <c r="AH268" s="180" t="s">
        <v>227</v>
      </c>
      <c r="AI268" s="180">
        <v>0.8</v>
      </c>
      <c r="AJ268" s="3"/>
      <c r="AK268" s="3"/>
      <c r="AL268" s="3"/>
      <c r="AM268" s="180">
        <v>18.5</v>
      </c>
      <c r="AN268" s="3"/>
      <c r="AO268" s="180" t="s">
        <v>106</v>
      </c>
      <c r="AP268" s="180">
        <v>0.32200000000000001</v>
      </c>
      <c r="AQ268" s="3"/>
      <c r="AR268" s="3"/>
      <c r="AS268" s="3"/>
      <c r="AT268" s="343"/>
      <c r="AU268" s="13"/>
    </row>
    <row r="269" spans="27:47" x14ac:dyDescent="0.25">
      <c r="AA269" s="121"/>
      <c r="AB269" s="180" t="s">
        <v>746</v>
      </c>
      <c r="AC269" s="180">
        <v>0.7</v>
      </c>
      <c r="AD269" s="25"/>
      <c r="AE269" s="180" t="s">
        <v>2091</v>
      </c>
      <c r="AF269" s="180">
        <v>0.17</v>
      </c>
      <c r="AG269" s="25"/>
      <c r="AH269" s="180" t="s">
        <v>112</v>
      </c>
      <c r="AI269" s="180">
        <v>1</v>
      </c>
      <c r="AJ269" s="3"/>
      <c r="AK269" s="3"/>
      <c r="AL269" s="3"/>
      <c r="AM269" s="3"/>
      <c r="AN269" s="3"/>
      <c r="AO269" s="180" t="s">
        <v>1</v>
      </c>
      <c r="AP269" s="180">
        <v>0.38600000000000001</v>
      </c>
      <c r="AQ269" s="3"/>
      <c r="AR269" s="3"/>
      <c r="AS269" s="3"/>
      <c r="AT269" s="343"/>
      <c r="AU269" s="13"/>
    </row>
    <row r="270" spans="27:47" x14ac:dyDescent="0.25">
      <c r="AA270" s="121"/>
      <c r="AB270" s="180" t="s">
        <v>647</v>
      </c>
      <c r="AC270" s="180">
        <v>0.6</v>
      </c>
      <c r="AD270" s="420"/>
      <c r="AE270" s="180" t="s">
        <v>273</v>
      </c>
      <c r="AF270" s="180">
        <v>0.36</v>
      </c>
      <c r="AG270" s="25"/>
      <c r="AH270" s="180" t="s">
        <v>114</v>
      </c>
      <c r="AI270" s="180">
        <v>1.2</v>
      </c>
      <c r="AJ270" s="25"/>
      <c r="AK270" s="25"/>
      <c r="AL270" s="25"/>
      <c r="AM270" s="3"/>
      <c r="AN270" s="3"/>
      <c r="AO270" s="180" t="s">
        <v>107</v>
      </c>
      <c r="AP270" s="180">
        <v>0.37</v>
      </c>
      <c r="AQ270" s="3"/>
      <c r="AR270" s="3"/>
      <c r="AS270" s="3"/>
      <c r="AT270" s="343"/>
      <c r="AU270" s="13"/>
    </row>
    <row r="271" spans="27:47" x14ac:dyDescent="0.25">
      <c r="AA271" s="121"/>
      <c r="AB271" s="180" t="s">
        <v>877</v>
      </c>
      <c r="AC271" s="180">
        <v>0.45</v>
      </c>
      <c r="AD271" s="25"/>
      <c r="AE271" s="25"/>
      <c r="AF271" s="25"/>
      <c r="AG271" s="25"/>
      <c r="AH271" s="25"/>
      <c r="AI271" s="25"/>
      <c r="AJ271" s="25"/>
      <c r="AK271" s="25"/>
      <c r="AL271" s="25"/>
      <c r="AM271" s="3"/>
      <c r="AN271" s="3"/>
      <c r="AO271" s="180" t="s">
        <v>692</v>
      </c>
      <c r="AP271" s="180">
        <f>AVERAGE(0.236,0.217)</f>
        <v>0.22649999999999998</v>
      </c>
      <c r="AQ271" s="3"/>
      <c r="AR271" s="3"/>
      <c r="AS271" s="3"/>
      <c r="AT271" s="343"/>
      <c r="AU271" s="13"/>
    </row>
    <row r="272" spans="27:47" x14ac:dyDescent="0.25">
      <c r="AA272" s="121"/>
      <c r="AB272" s="25"/>
      <c r="AC272" s="25"/>
      <c r="AD272" s="25"/>
      <c r="AE272" s="25"/>
      <c r="AF272" s="25"/>
      <c r="AG272" s="25"/>
      <c r="AH272" s="25"/>
      <c r="AI272" s="25"/>
      <c r="AJ272" s="25"/>
      <c r="AK272" s="25"/>
      <c r="AL272" s="25"/>
      <c r="AM272" s="3"/>
      <c r="AN272" s="3"/>
      <c r="AO272" s="180" t="s">
        <v>693</v>
      </c>
      <c r="AP272" s="180">
        <f>1.15*AP271</f>
        <v>0.26047499999999996</v>
      </c>
      <c r="AQ272" s="3"/>
      <c r="AR272" s="3"/>
      <c r="AS272" s="3"/>
      <c r="AT272" s="343"/>
      <c r="AU272" s="13"/>
    </row>
    <row r="273" spans="27:47" x14ac:dyDescent="0.25">
      <c r="AA273" s="121"/>
      <c r="AB273" s="25"/>
      <c r="AC273" s="25"/>
      <c r="AD273" s="25"/>
      <c r="AE273" s="25"/>
      <c r="AF273" s="25"/>
      <c r="AG273" s="25"/>
      <c r="AH273" s="25"/>
      <c r="AI273" s="25"/>
      <c r="AJ273" s="25"/>
      <c r="AK273" s="25"/>
      <c r="AL273" s="25"/>
      <c r="AM273" s="3"/>
      <c r="AN273" s="3"/>
      <c r="AO273" s="3"/>
      <c r="AP273" s="3"/>
      <c r="AQ273" s="3"/>
      <c r="AR273" s="3"/>
      <c r="AS273" s="3"/>
      <c r="AT273" s="343"/>
      <c r="AU273" s="13"/>
    </row>
    <row r="274" spans="27:47" x14ac:dyDescent="0.25">
      <c r="AA274" s="121"/>
      <c r="AB274" s="25"/>
      <c r="AC274" s="25"/>
      <c r="AD274" s="25"/>
      <c r="AE274" s="25"/>
      <c r="AF274" s="25"/>
      <c r="AG274" s="25"/>
      <c r="AH274" s="25"/>
      <c r="AI274" s="25"/>
      <c r="AJ274" s="25"/>
      <c r="AK274" s="25"/>
      <c r="AL274" s="25"/>
      <c r="AM274" s="3"/>
      <c r="AN274" s="3"/>
      <c r="AO274" s="3"/>
      <c r="AP274" s="3"/>
      <c r="AQ274" s="3"/>
      <c r="AR274" s="3"/>
      <c r="AS274" s="3"/>
      <c r="AT274" s="343"/>
      <c r="AU274" s="13"/>
    </row>
    <row r="275" spans="27:47" x14ac:dyDescent="0.25">
      <c r="AA275" s="121"/>
      <c r="AB275" s="180"/>
      <c r="AC275" s="180" t="s">
        <v>694</v>
      </c>
      <c r="AD275" s="2"/>
      <c r="AE275" s="180"/>
      <c r="AF275" s="180" t="s">
        <v>1015</v>
      </c>
      <c r="AG275" s="25"/>
      <c r="AH275" s="180"/>
      <c r="AI275" s="180" t="s">
        <v>827</v>
      </c>
      <c r="AJ275" s="25"/>
      <c r="AK275" s="25"/>
      <c r="AL275" s="25"/>
      <c r="AM275" s="25"/>
      <c r="AN275" s="25"/>
      <c r="AO275" s="25"/>
      <c r="AP275" s="25"/>
      <c r="AQ275" s="25"/>
      <c r="AR275" s="25"/>
      <c r="AS275" s="25"/>
      <c r="AT275" s="343"/>
      <c r="AU275" s="13"/>
    </row>
    <row r="276" spans="27:47" x14ac:dyDescent="0.25">
      <c r="AA276" s="1637"/>
      <c r="AB276" s="180" t="s">
        <v>1946</v>
      </c>
      <c r="AC276" s="180">
        <v>0</v>
      </c>
      <c r="AD276" s="2"/>
      <c r="AE276" s="180">
        <v>1</v>
      </c>
      <c r="AF276" s="180">
        <v>0.03</v>
      </c>
      <c r="AG276" s="3"/>
      <c r="AH276" s="180" t="s">
        <v>853</v>
      </c>
      <c r="AI276" s="180">
        <v>8.9999999999999993E-3</v>
      </c>
      <c r="AJ276" s="3"/>
      <c r="AK276" s="25"/>
      <c r="AL276" s="3"/>
      <c r="AM276" s="3"/>
      <c r="AN276" s="3"/>
      <c r="AO276" s="3"/>
      <c r="AP276" s="25"/>
      <c r="AQ276" s="25"/>
      <c r="AR276" s="25"/>
      <c r="AS276" s="25"/>
      <c r="AT276" s="343"/>
      <c r="AU276" s="13"/>
    </row>
    <row r="277" spans="27:47" x14ac:dyDescent="0.25">
      <c r="AA277" s="1637"/>
      <c r="AB277" s="180" t="str">
        <f>AB269</f>
        <v>High quality forage</v>
      </c>
      <c r="AC277" s="180">
        <v>0.17</v>
      </c>
      <c r="AD277" s="2"/>
      <c r="AE277" s="180">
        <v>2</v>
      </c>
      <c r="AF277" s="180">
        <v>6.5000000000000002E-2</v>
      </c>
      <c r="AG277" s="3"/>
      <c r="AH277" s="180" t="s">
        <v>829</v>
      </c>
      <c r="AI277" s="180">
        <v>1.0699999999999999E-2</v>
      </c>
      <c r="AJ277" s="3"/>
      <c r="AK277" s="25"/>
      <c r="AL277" s="3"/>
      <c r="AM277" s="3"/>
      <c r="AN277" s="3"/>
      <c r="AO277" s="3"/>
      <c r="AP277" s="25"/>
      <c r="AQ277" s="25"/>
      <c r="AR277" s="25"/>
      <c r="AS277" s="25"/>
      <c r="AT277" s="343"/>
      <c r="AU277" s="13"/>
    </row>
    <row r="278" spans="27:47" x14ac:dyDescent="0.25">
      <c r="AA278" s="1637"/>
      <c r="AB278" s="180" t="str">
        <f>AB270</f>
        <v>Medium quality forage</v>
      </c>
      <c r="AC278" s="180">
        <v>0.36</v>
      </c>
      <c r="AD278" s="2"/>
      <c r="AE278" s="180">
        <v>3</v>
      </c>
      <c r="AF278" s="180">
        <v>6.5000000000000002E-2</v>
      </c>
      <c r="AG278" s="3"/>
      <c r="AH278" s="180" t="s">
        <v>828</v>
      </c>
      <c r="AI278" s="180">
        <v>2.4E-2</v>
      </c>
      <c r="AJ278" s="3"/>
      <c r="AK278" s="25"/>
      <c r="AL278" s="3"/>
      <c r="AM278" s="3"/>
      <c r="AN278" s="3"/>
      <c r="AO278" s="3"/>
      <c r="AP278" s="25"/>
      <c r="AQ278" s="25"/>
      <c r="AR278" s="25"/>
      <c r="AS278" s="25"/>
      <c r="AT278" s="343"/>
      <c r="AU278" s="13"/>
    </row>
    <row r="279" spans="27:47" x14ac:dyDescent="0.25">
      <c r="AA279" s="1637"/>
      <c r="AB279" s="180" t="str">
        <f>AB271</f>
        <v>Low quality forage</v>
      </c>
      <c r="AC279" s="180">
        <v>0.36</v>
      </c>
      <c r="AD279" s="2"/>
      <c r="AE279" s="180"/>
      <c r="AF279" s="180">
        <v>6.5000000000000002E-2</v>
      </c>
      <c r="AG279" s="3"/>
      <c r="AH279" s="180" t="s">
        <v>854</v>
      </c>
      <c r="AI279" s="180">
        <v>6.7000000000000002E-3</v>
      </c>
      <c r="AJ279" s="3"/>
      <c r="AK279" s="25"/>
      <c r="AL279" s="25"/>
      <c r="AM279" s="25"/>
      <c r="AN279" s="25"/>
      <c r="AO279" s="25"/>
      <c r="AP279" s="25"/>
      <c r="AQ279" s="25"/>
      <c r="AR279" s="25"/>
      <c r="AS279" s="25"/>
      <c r="AT279" s="343"/>
      <c r="AU279" s="13"/>
    </row>
    <row r="280" spans="27:47" x14ac:dyDescent="0.25">
      <c r="AA280" s="1637"/>
      <c r="AB280" s="3"/>
      <c r="AC280" s="3"/>
      <c r="AD280" s="3"/>
      <c r="AE280" s="3"/>
      <c r="AF280" s="3"/>
      <c r="AG280" s="3"/>
      <c r="AH280" s="3"/>
      <c r="AI280" s="3"/>
      <c r="AJ280" s="3"/>
      <c r="AK280" s="25"/>
      <c r="AL280" s="25"/>
      <c r="AM280" s="25"/>
      <c r="AN280" s="25"/>
      <c r="AO280" s="25"/>
      <c r="AP280" s="25"/>
      <c r="AQ280" s="25"/>
      <c r="AR280" s="25"/>
      <c r="AS280" s="25"/>
      <c r="AT280" s="343"/>
      <c r="AU280" s="13"/>
    </row>
    <row r="281" spans="27:47" x14ac:dyDescent="0.25">
      <c r="AA281" s="1637"/>
      <c r="AB281" s="3"/>
      <c r="AC281" s="3"/>
      <c r="AD281" s="3"/>
      <c r="AE281" s="3"/>
      <c r="AF281" s="3"/>
      <c r="AG281" s="3"/>
      <c r="AH281" s="3"/>
      <c r="AI281" s="3"/>
      <c r="AJ281" s="3"/>
      <c r="AK281" s="25"/>
      <c r="AL281" s="25"/>
      <c r="AM281" s="25"/>
      <c r="AN281" s="25"/>
      <c r="AO281" s="25"/>
      <c r="AP281" s="25"/>
      <c r="AQ281" s="25"/>
      <c r="AR281" s="25"/>
      <c r="AS281" s="25"/>
      <c r="AT281" s="343"/>
      <c r="AU281" s="13"/>
    </row>
    <row r="282" spans="27:47" x14ac:dyDescent="0.25">
      <c r="AA282" s="1637"/>
      <c r="AB282" s="3"/>
      <c r="AC282" s="3"/>
      <c r="AD282" s="3"/>
      <c r="AE282" s="3"/>
      <c r="AF282" s="3"/>
      <c r="AG282" s="3"/>
      <c r="AH282" s="3"/>
      <c r="AI282" s="3"/>
      <c r="AJ282" s="3"/>
      <c r="AK282" s="25"/>
      <c r="AL282" s="25"/>
      <c r="AM282" s="25"/>
      <c r="AN282" s="25"/>
      <c r="AO282" s="25"/>
      <c r="AP282" s="25"/>
      <c r="AQ282" s="25"/>
      <c r="AR282" s="25"/>
      <c r="AS282" s="25"/>
      <c r="AT282" s="343"/>
      <c r="AU282" s="13"/>
    </row>
    <row r="283" spans="27:47" x14ac:dyDescent="0.25">
      <c r="AA283" s="1637"/>
      <c r="AB283" s="3"/>
      <c r="AC283" s="3"/>
      <c r="AD283" s="3"/>
      <c r="AE283" s="3"/>
      <c r="AF283" s="3"/>
      <c r="AG283" s="3"/>
      <c r="AH283" s="3"/>
      <c r="AI283" s="3"/>
      <c r="AJ283" s="3"/>
      <c r="AK283" s="25"/>
      <c r="AL283" s="25"/>
      <c r="AM283" s="25"/>
      <c r="AN283" s="25"/>
      <c r="AO283" s="25"/>
      <c r="AP283" s="25"/>
      <c r="AQ283" s="25"/>
      <c r="AR283" s="25"/>
      <c r="AS283" s="25"/>
      <c r="AT283" s="343"/>
      <c r="AU283" s="13"/>
    </row>
    <row r="284" spans="27:47" x14ac:dyDescent="0.25">
      <c r="AA284" s="1637"/>
      <c r="AB284" s="3"/>
      <c r="AC284" s="3"/>
      <c r="AD284" s="3"/>
      <c r="AE284" s="3"/>
      <c r="AF284" s="3"/>
      <c r="AG284" s="3"/>
      <c r="AH284" s="3"/>
      <c r="AI284" s="3"/>
      <c r="AJ284" s="3"/>
      <c r="AK284" s="25"/>
      <c r="AL284" s="25"/>
      <c r="AM284" s="25"/>
      <c r="AN284" s="25"/>
      <c r="AO284" s="25"/>
      <c r="AP284" s="25"/>
      <c r="AQ284" s="25"/>
      <c r="AR284" s="25"/>
      <c r="AS284" s="25"/>
      <c r="AT284" s="343"/>
      <c r="AU284" s="13"/>
    </row>
    <row r="285" spans="27:47" x14ac:dyDescent="0.25">
      <c r="AA285" s="1637"/>
      <c r="AB285" s="3"/>
      <c r="AC285" s="3"/>
      <c r="AD285" s="3"/>
      <c r="AE285" s="3"/>
      <c r="AF285" s="3"/>
      <c r="AG285" s="3"/>
      <c r="AH285" s="3"/>
      <c r="AI285" s="3"/>
      <c r="AJ285" s="3"/>
      <c r="AK285" s="25"/>
      <c r="AL285" s="25"/>
      <c r="AM285" s="25"/>
      <c r="AN285" s="25"/>
      <c r="AO285" s="25"/>
      <c r="AP285" s="25"/>
      <c r="AQ285" s="25"/>
      <c r="AR285" s="25"/>
      <c r="AS285" s="25"/>
      <c r="AT285" s="343"/>
      <c r="AU285" s="13"/>
    </row>
    <row r="286" spans="27:47" x14ac:dyDescent="0.25">
      <c r="AA286" s="1637"/>
      <c r="AB286" s="3"/>
      <c r="AC286" s="3"/>
      <c r="AD286" s="3"/>
      <c r="AE286" s="3"/>
      <c r="AF286" s="3"/>
      <c r="AG286" s="3"/>
      <c r="AH286" s="3"/>
      <c r="AI286" s="3"/>
      <c r="AJ286" s="3"/>
      <c r="AK286" s="25"/>
      <c r="AL286" s="25"/>
      <c r="AM286" s="25"/>
      <c r="AN286" s="25"/>
      <c r="AO286" s="25"/>
      <c r="AP286" s="25"/>
      <c r="AQ286" s="25"/>
      <c r="AR286" s="25"/>
      <c r="AS286" s="25"/>
      <c r="AT286" s="343"/>
      <c r="AU286" s="13"/>
    </row>
    <row r="287" spans="27:47" x14ac:dyDescent="0.25">
      <c r="AA287" s="1637"/>
      <c r="AB287" s="3"/>
      <c r="AC287" s="3"/>
      <c r="AD287" s="3"/>
      <c r="AE287" s="3"/>
      <c r="AF287" s="3"/>
      <c r="AG287" s="3"/>
      <c r="AH287" s="3"/>
      <c r="AI287" s="3"/>
      <c r="AJ287" s="3"/>
      <c r="AK287" s="25"/>
      <c r="AL287" s="25"/>
      <c r="AM287" s="25"/>
      <c r="AN287" s="25"/>
      <c r="AO287" s="25"/>
      <c r="AP287" s="25"/>
      <c r="AQ287" s="25"/>
      <c r="AR287" s="25"/>
      <c r="AS287" s="25"/>
      <c r="AT287" s="343"/>
      <c r="AU287" s="13"/>
    </row>
    <row r="288" spans="27:47" x14ac:dyDescent="0.25">
      <c r="AA288" s="1637"/>
      <c r="AB288" s="3"/>
      <c r="AC288" s="3"/>
      <c r="AD288" s="3"/>
      <c r="AE288" s="3"/>
      <c r="AF288" s="3"/>
      <c r="AG288" s="3"/>
      <c r="AH288" s="3"/>
      <c r="AI288" s="3"/>
      <c r="AJ288" s="3"/>
      <c r="AK288" s="25"/>
      <c r="AL288" s="25"/>
      <c r="AM288" s="25"/>
      <c r="AN288" s="25"/>
      <c r="AO288" s="25"/>
      <c r="AP288" s="25"/>
      <c r="AQ288" s="25"/>
      <c r="AR288" s="25"/>
      <c r="AS288" s="25"/>
      <c r="AT288" s="343"/>
      <c r="AU288" s="13"/>
    </row>
    <row r="289" spans="27:47" x14ac:dyDescent="0.25">
      <c r="AA289" s="121"/>
      <c r="AB289" s="25"/>
      <c r="AC289" s="25"/>
      <c r="AD289" s="25"/>
      <c r="AE289" s="25"/>
      <c r="AF289" s="25"/>
      <c r="AG289" s="25"/>
      <c r="AH289" s="25"/>
      <c r="AI289" s="25"/>
      <c r="AJ289" s="25"/>
      <c r="AK289" s="25"/>
      <c r="AL289" s="25"/>
      <c r="AM289" s="25"/>
      <c r="AN289" s="25"/>
      <c r="AO289" s="25"/>
      <c r="AP289" s="25"/>
      <c r="AQ289" s="25"/>
      <c r="AR289" s="25"/>
      <c r="AS289" s="25"/>
      <c r="AT289" s="343"/>
      <c r="AU289" s="13"/>
    </row>
    <row r="290" spans="27:47" ht="13.25" thickBot="1" x14ac:dyDescent="0.3">
      <c r="AA290" s="383"/>
      <c r="AB290" s="125"/>
      <c r="AC290" s="125"/>
      <c r="AD290" s="125"/>
      <c r="AE290" s="125"/>
      <c r="AF290" s="125"/>
      <c r="AG290" s="125"/>
      <c r="AH290" s="125"/>
      <c r="AI290" s="125"/>
      <c r="AJ290" s="125"/>
      <c r="AK290" s="125"/>
      <c r="AL290" s="125"/>
      <c r="AM290" s="125"/>
      <c r="AN290" s="125"/>
      <c r="AO290" s="125"/>
      <c r="AP290" s="125"/>
      <c r="AQ290" s="125"/>
      <c r="AR290" s="125"/>
      <c r="AS290" s="125"/>
      <c r="AT290" s="384"/>
      <c r="AU290" s="13"/>
    </row>
    <row r="291" spans="27:47" x14ac:dyDescent="0.25">
      <c r="AA291" s="2470" t="s">
        <v>556</v>
      </c>
      <c r="AB291" s="2471"/>
      <c r="AC291" s="2471"/>
      <c r="AD291" s="2471"/>
      <c r="AE291" s="351"/>
      <c r="AF291" s="351"/>
      <c r="AG291" s="351"/>
      <c r="AH291" s="351"/>
      <c r="AI291" s="351"/>
      <c r="AJ291" s="351"/>
      <c r="AK291" s="351"/>
      <c r="AL291" s="351"/>
      <c r="AM291" s="351"/>
      <c r="AN291" s="351"/>
      <c r="AO291" s="351"/>
      <c r="AP291" s="351"/>
      <c r="AQ291" s="351"/>
      <c r="AR291" s="351"/>
      <c r="AS291" s="351"/>
      <c r="AT291" s="153"/>
      <c r="AU291" s="13"/>
    </row>
    <row r="292" spans="27:47" x14ac:dyDescent="0.25">
      <c r="AA292" s="2472"/>
      <c r="AB292" s="2473"/>
      <c r="AC292" s="2473"/>
      <c r="AD292" s="2473"/>
      <c r="AE292" s="25"/>
      <c r="AF292" s="25"/>
      <c r="AG292" s="25"/>
      <c r="AH292" s="25"/>
      <c r="AI292" s="25"/>
      <c r="AJ292" s="25"/>
      <c r="AK292" s="25"/>
      <c r="AL292" s="25"/>
      <c r="AM292" s="25"/>
      <c r="AN292" s="25"/>
      <c r="AO292" s="25"/>
      <c r="AP292" s="25"/>
      <c r="AQ292" s="25"/>
      <c r="AR292" s="25"/>
      <c r="AS292" s="25"/>
      <c r="AT292" s="343"/>
      <c r="AU292" s="13"/>
    </row>
    <row r="293" spans="27:47" x14ac:dyDescent="0.25">
      <c r="AA293" s="121"/>
      <c r="AB293" s="25"/>
      <c r="AC293" s="25"/>
      <c r="AD293" s="25"/>
      <c r="AE293" s="25"/>
      <c r="AF293" s="25"/>
      <c r="AG293" s="25"/>
      <c r="AH293" s="25"/>
      <c r="AI293" s="25"/>
      <c r="AJ293" s="25"/>
      <c r="AK293" s="25"/>
      <c r="AL293" s="25"/>
      <c r="AM293" s="25"/>
      <c r="AN293" s="25"/>
      <c r="AO293" s="25"/>
      <c r="AP293" s="25"/>
      <c r="AQ293" s="25"/>
      <c r="AR293" s="25"/>
      <c r="AS293" s="25"/>
      <c r="AT293" s="343"/>
      <c r="AU293" s="13"/>
    </row>
    <row r="294" spans="27:47" x14ac:dyDescent="0.25">
      <c r="AA294" s="121"/>
      <c r="AB294" s="25"/>
      <c r="AC294" s="25"/>
      <c r="AD294" s="25"/>
      <c r="AE294" s="25"/>
      <c r="AF294" s="25"/>
      <c r="AG294" s="25"/>
      <c r="AH294" s="25"/>
      <c r="AI294" s="25"/>
      <c r="AJ294" s="25"/>
      <c r="AK294" s="25"/>
      <c r="AL294" s="25"/>
      <c r="AM294" s="25"/>
      <c r="AN294" s="25"/>
      <c r="AO294" s="25"/>
      <c r="AP294" s="25"/>
      <c r="AQ294" s="25"/>
      <c r="AR294" s="25"/>
      <c r="AS294" s="25"/>
      <c r="AT294" s="343"/>
      <c r="AU294" s="13"/>
    </row>
    <row r="295" spans="27:47" x14ac:dyDescent="0.25">
      <c r="AA295" s="121"/>
      <c r="AB295" s="25"/>
      <c r="AC295" s="25"/>
      <c r="AD295" s="25"/>
      <c r="AE295" s="25"/>
      <c r="AF295" s="25"/>
      <c r="AG295" s="25"/>
      <c r="AH295" s="25"/>
      <c r="AI295" s="25"/>
      <c r="AJ295" s="25"/>
      <c r="AK295" s="25"/>
      <c r="AL295" s="25"/>
      <c r="AM295" s="25"/>
      <c r="AN295" s="25"/>
      <c r="AO295" s="25"/>
      <c r="AP295" s="25"/>
      <c r="AQ295" s="25"/>
      <c r="AR295" s="25"/>
      <c r="AS295" s="25"/>
      <c r="AT295" s="343"/>
      <c r="AU295" s="13"/>
    </row>
    <row r="296" spans="27:47" x14ac:dyDescent="0.25">
      <c r="AA296" s="121"/>
      <c r="AB296" s="25"/>
      <c r="AC296" s="25"/>
      <c r="AD296" s="25"/>
      <c r="AE296" s="25"/>
      <c r="AF296" s="25"/>
      <c r="AG296" s="25"/>
      <c r="AH296" s="25"/>
      <c r="AI296" s="25"/>
      <c r="AJ296" s="25"/>
      <c r="AK296" s="25"/>
      <c r="AL296" s="25"/>
      <c r="AM296" s="25"/>
      <c r="AN296" s="25"/>
      <c r="AO296" s="25"/>
      <c r="AP296" s="25"/>
      <c r="AQ296" s="25"/>
      <c r="AR296" s="25"/>
      <c r="AS296" s="25"/>
      <c r="AT296" s="343"/>
      <c r="AU296" s="13"/>
    </row>
    <row r="297" spans="27:47" x14ac:dyDescent="0.25">
      <c r="AA297" s="121"/>
      <c r="AB297" s="25"/>
      <c r="AC297" s="25"/>
      <c r="AD297" s="337"/>
      <c r="AE297" s="338"/>
      <c r="AF297" s="25"/>
      <c r="AG297" s="338"/>
      <c r="AH297" s="25"/>
      <c r="AI297" s="25"/>
      <c r="AJ297" s="25"/>
      <c r="AK297" s="25"/>
      <c r="AL297" s="25"/>
      <c r="AM297" s="25"/>
      <c r="AN297" s="25"/>
      <c r="AO297" s="25" t="s">
        <v>1579</v>
      </c>
      <c r="AP297" s="25"/>
      <c r="AQ297" s="25"/>
      <c r="AR297" s="25"/>
      <c r="AS297" s="25"/>
      <c r="AT297" s="343"/>
      <c r="AU297" s="13"/>
    </row>
    <row r="298" spans="27:47" ht="25.35" x14ac:dyDescent="0.25">
      <c r="AA298" s="121"/>
      <c r="AB298" s="25"/>
      <c r="AC298" s="360" t="s">
        <v>1113</v>
      </c>
      <c r="AD298" s="360" t="s">
        <v>1580</v>
      </c>
      <c r="AE298" s="25" t="s">
        <v>1114</v>
      </c>
      <c r="AF298" s="25" t="s">
        <v>1115</v>
      </c>
      <c r="AG298" s="25" t="s">
        <v>296</v>
      </c>
      <c r="AH298" s="25"/>
      <c r="AI298" s="25"/>
      <c r="AJ298" s="360" t="s">
        <v>1113</v>
      </c>
      <c r="AK298" s="2057">
        <v>5.2499999999999998E-2</v>
      </c>
      <c r="AL298" s="2057">
        <v>0.10859999999999999</v>
      </c>
      <c r="AM298" s="360"/>
      <c r="AN298" s="25" t="s">
        <v>1116</v>
      </c>
      <c r="AO298" s="25">
        <v>1</v>
      </c>
      <c r="AP298" s="25"/>
      <c r="AQ298" s="25"/>
      <c r="AR298" s="25"/>
      <c r="AS298" s="25"/>
      <c r="AT298" s="343"/>
      <c r="AU298" s="13"/>
    </row>
    <row r="299" spans="27:47" ht="25.35" x14ac:dyDescent="0.25">
      <c r="AA299" s="121"/>
      <c r="AB299" s="25"/>
      <c r="AC299" s="259" t="s">
        <v>955</v>
      </c>
      <c r="AD299" s="360" t="s">
        <v>1581</v>
      </c>
      <c r="AE299" s="360" t="s">
        <v>966</v>
      </c>
      <c r="AF299" s="360" t="s">
        <v>967</v>
      </c>
      <c r="AG299" s="360" t="s">
        <v>651</v>
      </c>
      <c r="AH299" s="360"/>
      <c r="AI299" s="360"/>
      <c r="AJ299" s="259" t="s">
        <v>955</v>
      </c>
      <c r="AK299" s="2057">
        <v>4.4999999999999998E-2</v>
      </c>
      <c r="AL299" s="2057">
        <v>9.1499999999999998E-2</v>
      </c>
      <c r="AM299" s="360"/>
      <c r="AN299" s="360" t="s">
        <v>968</v>
      </c>
      <c r="AO299" s="360">
        <v>7</v>
      </c>
      <c r="AP299" s="25"/>
      <c r="AQ299" s="25"/>
      <c r="AR299" s="25"/>
      <c r="AS299" s="25"/>
      <c r="AT299" s="343"/>
      <c r="AU299" s="15"/>
    </row>
    <row r="300" spans="27:47" ht="25.35" x14ac:dyDescent="0.25">
      <c r="AA300" s="121"/>
      <c r="AB300" s="25"/>
      <c r="AC300" s="259" t="s">
        <v>969</v>
      </c>
      <c r="AD300" s="360" t="s">
        <v>1612</v>
      </c>
      <c r="AE300" s="25" t="s">
        <v>970</v>
      </c>
      <c r="AF300" s="25" t="s">
        <v>971</v>
      </c>
      <c r="AG300" s="25" t="s">
        <v>972</v>
      </c>
      <c r="AH300" s="25"/>
      <c r="AI300" s="25"/>
      <c r="AJ300" s="259" t="s">
        <v>969</v>
      </c>
      <c r="AK300" s="2057">
        <v>4.6399999999999997E-2</v>
      </c>
      <c r="AL300" s="2057">
        <v>9.8000000000000004E-2</v>
      </c>
      <c r="AM300" s="360"/>
      <c r="AN300" s="25" t="s">
        <v>974</v>
      </c>
      <c r="AO300" s="25">
        <f>365/12</f>
        <v>30.416666666666668</v>
      </c>
      <c r="AP300" s="3"/>
      <c r="AQ300" s="3"/>
      <c r="AR300" s="25"/>
      <c r="AS300" s="25"/>
      <c r="AT300" s="343"/>
      <c r="AU300" s="15"/>
    </row>
    <row r="301" spans="27:47" ht="38.049999999999997" x14ac:dyDescent="0.25">
      <c r="AA301" s="121"/>
      <c r="AB301" s="25"/>
      <c r="AC301" s="360" t="s">
        <v>976</v>
      </c>
      <c r="AD301" s="360" t="s">
        <v>1613</v>
      </c>
      <c r="AE301" s="25" t="s">
        <v>977</v>
      </c>
      <c r="AF301" s="25" t="s">
        <v>978</v>
      </c>
      <c r="AG301" s="25" t="s">
        <v>979</v>
      </c>
      <c r="AH301" s="25"/>
      <c r="AI301" s="25"/>
      <c r="AJ301" s="360" t="s">
        <v>976</v>
      </c>
      <c r="AK301" s="2057">
        <v>5.0180000000000002E-2</v>
      </c>
      <c r="AL301" s="2057">
        <v>0.10920000000000001</v>
      </c>
      <c r="AM301" s="360"/>
      <c r="AN301" s="25"/>
      <c r="AO301" s="25">
        <v>365</v>
      </c>
      <c r="AP301" s="3"/>
      <c r="AQ301" s="3"/>
      <c r="AR301" s="25"/>
      <c r="AS301" s="25"/>
      <c r="AT301" s="343"/>
      <c r="AU301" s="15"/>
    </row>
    <row r="302" spans="27:47" x14ac:dyDescent="0.25">
      <c r="AA302" s="121"/>
      <c r="AB302" s="25"/>
      <c r="AC302" s="360"/>
      <c r="AD302" s="360"/>
      <c r="AE302" s="25" t="s">
        <v>980</v>
      </c>
      <c r="AF302" s="25" t="s">
        <v>981</v>
      </c>
      <c r="AG302" s="25" t="s">
        <v>1427</v>
      </c>
      <c r="AH302" s="25"/>
      <c r="AI302" s="25"/>
      <c r="AJ302" s="360"/>
      <c r="AK302" s="360"/>
      <c r="AL302" s="360"/>
      <c r="AM302" s="360"/>
      <c r="AN302" s="25"/>
      <c r="AO302" s="25"/>
      <c r="AP302" s="3"/>
      <c r="AQ302" s="3"/>
      <c r="AR302" s="25"/>
      <c r="AS302" s="25"/>
      <c r="AT302" s="343"/>
      <c r="AU302" s="15"/>
    </row>
    <row r="303" spans="27:47" x14ac:dyDescent="0.25">
      <c r="AA303" s="121"/>
      <c r="AB303" s="25"/>
      <c r="AC303" s="25"/>
      <c r="AD303" s="25"/>
      <c r="AE303" s="25"/>
      <c r="AF303" s="25"/>
      <c r="AG303" s="25"/>
      <c r="AH303" s="25"/>
      <c r="AI303" s="25"/>
      <c r="AJ303" s="25"/>
      <c r="AK303" s="25"/>
      <c r="AL303" s="25"/>
      <c r="AM303" s="25"/>
      <c r="AN303" s="25"/>
      <c r="AO303" s="25"/>
      <c r="AP303" s="3"/>
      <c r="AQ303" s="3"/>
      <c r="AR303" s="25"/>
      <c r="AS303" s="25"/>
      <c r="AT303" s="343"/>
      <c r="AU303" s="15"/>
    </row>
    <row r="304" spans="27:47" x14ac:dyDescent="0.25">
      <c r="AA304" s="121"/>
      <c r="AB304" s="25"/>
      <c r="AC304" s="25"/>
      <c r="AD304" s="25"/>
      <c r="AE304" s="25"/>
      <c r="AF304" s="25"/>
      <c r="AG304" s="25"/>
      <c r="AH304" s="25"/>
      <c r="AI304" s="25"/>
      <c r="AJ304" s="25"/>
      <c r="AK304" s="25"/>
      <c r="AL304" s="25"/>
      <c r="AM304" s="25"/>
      <c r="AN304" s="25"/>
      <c r="AO304" s="25"/>
      <c r="AP304" s="3"/>
      <c r="AQ304" s="3"/>
      <c r="AR304" s="25"/>
      <c r="AS304" s="25"/>
      <c r="AT304" s="343"/>
      <c r="AU304" s="15"/>
    </row>
    <row r="305" spans="27:47" ht="13.25" thickBot="1" x14ac:dyDescent="0.3">
      <c r="AA305" s="383"/>
      <c r="AB305" s="125"/>
      <c r="AC305" s="125"/>
      <c r="AD305" s="125"/>
      <c r="AE305" s="125"/>
      <c r="AF305" s="125"/>
      <c r="AG305" s="125"/>
      <c r="AH305" s="125"/>
      <c r="AI305" s="125"/>
      <c r="AJ305" s="125"/>
      <c r="AK305" s="125"/>
      <c r="AL305" s="125"/>
      <c r="AM305" s="125"/>
      <c r="AN305" s="125"/>
      <c r="AO305" s="125"/>
      <c r="AP305" s="1642"/>
      <c r="AQ305" s="1642"/>
      <c r="AR305" s="125"/>
      <c r="AS305" s="125"/>
      <c r="AT305" s="384"/>
      <c r="AU305" s="15"/>
    </row>
    <row r="306" spans="27:47" x14ac:dyDescent="0.25">
      <c r="AA306" s="13"/>
      <c r="AB306" s="13"/>
      <c r="AC306" s="25"/>
      <c r="AD306" s="13"/>
      <c r="AE306" s="13"/>
      <c r="AF306" s="13"/>
      <c r="AG306" s="13"/>
      <c r="AH306" s="13"/>
      <c r="AI306" s="13"/>
      <c r="AJ306" s="13"/>
      <c r="AK306" s="13"/>
      <c r="AL306" s="13"/>
      <c r="AM306" s="13"/>
      <c r="AN306" s="13"/>
      <c r="AO306" s="13"/>
      <c r="AP306" s="2"/>
      <c r="AQ306" s="2"/>
      <c r="AR306" s="13"/>
      <c r="AS306" s="13"/>
      <c r="AT306" s="13"/>
      <c r="AU306" s="15"/>
    </row>
    <row r="307" spans="27:47" x14ac:dyDescent="0.25">
      <c r="AA307" s="13"/>
      <c r="AB307" s="13"/>
      <c r="AC307" s="166"/>
      <c r="AD307" s="166"/>
      <c r="AE307" s="166"/>
      <c r="AF307" s="166"/>
      <c r="AG307" s="166"/>
      <c r="AH307" s="166"/>
      <c r="AI307" s="13"/>
      <c r="AJ307" s="13"/>
      <c r="AK307" s="13"/>
      <c r="AL307" s="13"/>
      <c r="AM307" s="13"/>
      <c r="AN307" s="13"/>
      <c r="AO307" s="13"/>
      <c r="AP307" s="2"/>
      <c r="AQ307" s="2"/>
      <c r="AR307" s="13"/>
      <c r="AS307" s="13"/>
      <c r="AT307" s="13"/>
      <c r="AU307" s="15"/>
    </row>
    <row r="308" spans="27:47" x14ac:dyDescent="0.25">
      <c r="AA308" s="13"/>
      <c r="AB308" s="13"/>
      <c r="AC308" s="166"/>
      <c r="AD308" s="166"/>
      <c r="AE308" s="166"/>
      <c r="AF308" s="166"/>
      <c r="AG308" s="166"/>
      <c r="AH308" s="166"/>
      <c r="AI308" s="13"/>
      <c r="AJ308" s="13"/>
      <c r="AK308" s="13"/>
      <c r="AL308" s="13"/>
      <c r="AM308" s="13"/>
      <c r="AN308" s="13"/>
      <c r="AO308" s="13"/>
      <c r="AP308" s="2"/>
      <c r="AQ308" s="2"/>
      <c r="AR308" s="13"/>
      <c r="AS308" s="13"/>
      <c r="AT308" s="13"/>
      <c r="AU308" s="15"/>
    </row>
    <row r="309" spans="27:47" x14ac:dyDescent="0.25">
      <c r="AA309" s="13"/>
      <c r="AB309" s="166"/>
      <c r="AC309" s="166"/>
      <c r="AD309" s="166"/>
      <c r="AE309" s="2"/>
      <c r="AF309" s="2"/>
      <c r="AG309" s="2"/>
      <c r="AH309" s="2"/>
      <c r="AI309" s="13"/>
      <c r="AJ309" s="13"/>
      <c r="AK309" s="13"/>
      <c r="AL309" s="13"/>
      <c r="AM309" s="13"/>
      <c r="AN309" s="13"/>
      <c r="AO309" s="13"/>
      <c r="AP309" s="2"/>
      <c r="AQ309" s="2"/>
      <c r="AR309" s="13"/>
      <c r="AS309" s="13"/>
      <c r="AT309" s="13"/>
      <c r="AU309" s="15"/>
    </row>
    <row r="310" spans="27:47" x14ac:dyDescent="0.25">
      <c r="AA310" s="13"/>
      <c r="AB310" s="166"/>
      <c r="AC310" s="166"/>
      <c r="AD310" s="166"/>
      <c r="AE310" s="2"/>
      <c r="AF310" s="2"/>
      <c r="AG310" s="2"/>
      <c r="AH310" s="2"/>
      <c r="AI310" s="13"/>
      <c r="AJ310" s="13"/>
      <c r="AK310" s="13"/>
      <c r="AL310" s="13"/>
      <c r="AM310" s="13"/>
      <c r="AN310" s="13"/>
      <c r="AO310" s="13"/>
      <c r="AP310" s="2"/>
      <c r="AQ310" s="2"/>
      <c r="AR310" s="13"/>
      <c r="AS310" s="13"/>
      <c r="AT310" s="13"/>
      <c r="AU310" s="15"/>
    </row>
    <row r="311" spans="27:47" x14ac:dyDescent="0.25">
      <c r="AA311" s="13"/>
      <c r="AB311" s="166"/>
      <c r="AC311" s="166"/>
      <c r="AD311" s="166"/>
      <c r="AE311" s="2"/>
      <c r="AF311" s="2"/>
      <c r="AG311" s="2"/>
      <c r="AH311" s="2"/>
      <c r="AI311" s="13"/>
      <c r="AJ311" s="13"/>
      <c r="AK311" s="13"/>
      <c r="AL311" s="13"/>
      <c r="AM311" s="13"/>
      <c r="AN311" s="13"/>
      <c r="AO311" s="13"/>
      <c r="AP311" s="2"/>
      <c r="AQ311" s="2"/>
      <c r="AR311" s="13"/>
      <c r="AS311" s="13"/>
      <c r="AT311" s="13"/>
      <c r="AU311" s="15"/>
    </row>
    <row r="312" spans="27:47" x14ac:dyDescent="0.25">
      <c r="AA312" s="13"/>
      <c r="AB312" s="166"/>
      <c r="AC312" s="166"/>
      <c r="AD312" s="166"/>
      <c r="AE312" s="2"/>
      <c r="AF312" s="2"/>
      <c r="AG312" s="2"/>
      <c r="AH312" s="2"/>
      <c r="AI312" s="13"/>
      <c r="AJ312" s="13"/>
      <c r="AK312" s="13"/>
      <c r="AL312" s="13"/>
      <c r="AM312" s="13"/>
      <c r="AN312" s="13"/>
      <c r="AO312" s="13"/>
      <c r="AP312" s="2"/>
      <c r="AQ312" s="2"/>
      <c r="AR312" s="13"/>
      <c r="AS312" s="13"/>
      <c r="AT312" s="13"/>
      <c r="AU312" s="15"/>
    </row>
    <row r="313" spans="27:47" x14ac:dyDescent="0.25">
      <c r="AA313" s="13"/>
      <c r="AB313" s="77" t="s">
        <v>1946</v>
      </c>
      <c r="AC313" s="77" t="s">
        <v>236</v>
      </c>
      <c r="AD313" s="166"/>
      <c r="AE313" s="2"/>
      <c r="AF313" s="2"/>
      <c r="AG313" s="166"/>
      <c r="AH313" s="166"/>
      <c r="AI313" s="13"/>
      <c r="AJ313" s="13"/>
      <c r="AK313" s="13"/>
      <c r="AL313" s="13"/>
      <c r="AM313" s="13"/>
      <c r="AN313" s="13"/>
      <c r="AO313" s="13"/>
      <c r="AP313" s="2"/>
      <c r="AQ313" s="2"/>
      <c r="AR313" s="13"/>
      <c r="AS313" s="13"/>
      <c r="AT313" s="13"/>
      <c r="AU313" s="15"/>
    </row>
    <row r="314" spans="27:47" x14ac:dyDescent="0.25">
      <c r="AA314" s="13"/>
      <c r="AB314" s="77" t="str">
        <f>'A4. Default crop lookup'!A29</f>
        <v>Calcium supplement</v>
      </c>
      <c r="AC314" s="77">
        <f>'A4. Default crop lookup'!I29</f>
        <v>19</v>
      </c>
      <c r="AD314" s="166"/>
      <c r="AE314" s="166"/>
      <c r="AF314" s="166"/>
      <c r="AG314" s="166"/>
      <c r="AH314" s="166"/>
      <c r="AI314" s="13"/>
      <c r="AJ314" s="13"/>
      <c r="AK314" s="13"/>
      <c r="AL314" s="13"/>
      <c r="AM314" s="13"/>
      <c r="AN314" s="13"/>
      <c r="AO314" s="13"/>
      <c r="AP314" s="2"/>
      <c r="AQ314" s="2"/>
      <c r="AR314" s="13"/>
      <c r="AS314" s="13"/>
      <c r="AT314" s="13"/>
      <c r="AU314" s="15"/>
    </row>
    <row r="315" spans="27:47" x14ac:dyDescent="0.25">
      <c r="AA315" s="13"/>
      <c r="AB315" s="77" t="str">
        <f>'A4. Default crop lookup'!A30</f>
        <v>Chickpea</v>
      </c>
      <c r="AC315" s="77">
        <f>'A4. Default crop lookup'!I30</f>
        <v>188.94538054761904</v>
      </c>
      <c r="AD315" s="166"/>
      <c r="AE315" s="166"/>
      <c r="AF315" s="166"/>
      <c r="AG315" s="166"/>
      <c r="AH315" s="166"/>
      <c r="AI315" s="13"/>
      <c r="AJ315" s="13"/>
      <c r="AK315" s="13"/>
      <c r="AL315" s="13"/>
      <c r="AM315" s="13"/>
      <c r="AN315" s="13"/>
      <c r="AO315" s="13"/>
      <c r="AP315" s="2"/>
      <c r="AQ315" s="2"/>
      <c r="AR315" s="13"/>
      <c r="AS315" s="13"/>
      <c r="AT315" s="13"/>
      <c r="AU315" s="15"/>
    </row>
    <row r="316" spans="27:47" x14ac:dyDescent="0.25">
      <c r="AA316" s="13"/>
      <c r="AB316" s="77" t="str">
        <f>'A4. Default crop lookup'!A31</f>
        <v>Cotton</v>
      </c>
      <c r="AC316" s="77">
        <f>'A4. Default crop lookup'!I31</f>
        <v>387.39576871428562</v>
      </c>
      <c r="AD316" s="166"/>
      <c r="AE316" s="166"/>
      <c r="AF316" s="166"/>
      <c r="AG316" s="166"/>
      <c r="AH316" s="166"/>
      <c r="AI316" s="13"/>
      <c r="AJ316" s="13"/>
      <c r="AK316" s="13"/>
      <c r="AL316" s="13"/>
      <c r="AM316" s="13"/>
      <c r="AN316" s="13"/>
      <c r="AO316" s="13"/>
      <c r="AP316" s="2"/>
      <c r="AQ316" s="2"/>
      <c r="AR316" s="13"/>
      <c r="AS316" s="13"/>
      <c r="AT316" s="13"/>
      <c r="AU316" s="15"/>
    </row>
    <row r="317" spans="27:47" x14ac:dyDescent="0.25">
      <c r="AA317" s="13"/>
      <c r="AB317" s="77" t="str">
        <f>'A4. Default crop lookup'!A32</f>
        <v>Field Bean [Broad Bean, Faba Bean]</v>
      </c>
      <c r="AC317" s="77">
        <f>'A4. Default crop lookup'!I32</f>
        <v>42.257999999999996</v>
      </c>
      <c r="AD317" s="166"/>
      <c r="AE317" s="166"/>
      <c r="AF317" s="166"/>
      <c r="AG317" s="166"/>
      <c r="AH317" s="166"/>
      <c r="AI317" s="13"/>
      <c r="AJ317" s="13"/>
      <c r="AK317" s="13"/>
      <c r="AL317" s="13"/>
      <c r="AM317" s="13"/>
      <c r="AN317" s="13"/>
      <c r="AO317" s="13"/>
      <c r="AP317" s="2"/>
      <c r="AQ317" s="2"/>
      <c r="AR317" s="13"/>
      <c r="AS317" s="13"/>
      <c r="AT317" s="13"/>
      <c r="AU317" s="15"/>
    </row>
    <row r="318" spans="27:47" x14ac:dyDescent="0.25">
      <c r="AA318" s="13"/>
      <c r="AB318" s="77" t="str">
        <f>'A4. Default crop lookup'!A33</f>
        <v>Field Pea</v>
      </c>
      <c r="AC318" s="77">
        <f>'A4. Default crop lookup'!I33</f>
        <v>35.214999999999996</v>
      </c>
      <c r="AD318" s="166"/>
      <c r="AE318" s="166"/>
      <c r="AF318" s="166"/>
      <c r="AG318" s="166"/>
      <c r="AH318" s="166"/>
      <c r="AI318" s="13"/>
      <c r="AJ318" s="13"/>
      <c r="AK318" s="13"/>
      <c r="AL318" s="13"/>
      <c r="AM318" s="13"/>
      <c r="AN318" s="13"/>
      <c r="AO318" s="13"/>
      <c r="AP318" s="2"/>
      <c r="AQ318" s="2"/>
      <c r="AR318" s="13"/>
      <c r="AS318" s="13"/>
      <c r="AT318" s="13"/>
      <c r="AU318" s="15"/>
    </row>
    <row r="319" spans="27:47" x14ac:dyDescent="0.25">
      <c r="AA319" s="13"/>
      <c r="AB319" s="77" t="str">
        <f>'A4. Default crop lookup'!A34</f>
        <v>Fodder Legumes</v>
      </c>
      <c r="AC319" s="77">
        <f>'A4. Default crop lookup'!I34</f>
        <v>19.50689657142857</v>
      </c>
      <c r="AD319" s="166"/>
      <c r="AE319" s="166"/>
      <c r="AF319" s="166"/>
      <c r="AG319" s="166"/>
      <c r="AH319" s="166"/>
      <c r="AI319" s="13"/>
      <c r="AJ319" s="13"/>
      <c r="AK319" s="13"/>
      <c r="AL319" s="13"/>
      <c r="AM319" s="13"/>
      <c r="AN319" s="13"/>
      <c r="AO319" s="13"/>
      <c r="AP319" s="2"/>
      <c r="AQ319" s="2"/>
      <c r="AR319" s="13"/>
      <c r="AS319" s="13"/>
      <c r="AT319" s="13"/>
      <c r="AU319" s="15"/>
    </row>
    <row r="320" spans="27:47" x14ac:dyDescent="0.25">
      <c r="AA320" s="13"/>
      <c r="AB320" s="77" t="str">
        <f>'A4. Default crop lookup'!A35</f>
        <v>Fodderbeet</v>
      </c>
      <c r="AC320" s="77">
        <f>'A4. Default crop lookup'!I35</f>
        <v>141.70123347619048</v>
      </c>
      <c r="AD320" s="166"/>
      <c r="AE320" s="166"/>
      <c r="AF320" s="166"/>
      <c r="AG320" s="166"/>
      <c r="AH320" s="166"/>
      <c r="AI320" s="13"/>
      <c r="AJ320" s="13"/>
      <c r="AK320" s="13"/>
      <c r="AL320" s="13"/>
      <c r="AM320" s="13"/>
      <c r="AN320" s="13"/>
      <c r="AO320" s="13"/>
      <c r="AP320" s="2"/>
      <c r="AQ320" s="2"/>
      <c r="AR320" s="13"/>
      <c r="AS320" s="13"/>
      <c r="AT320" s="13"/>
      <c r="AU320" s="15"/>
    </row>
    <row r="321" spans="27:47" x14ac:dyDescent="0.25">
      <c r="AA321" s="13"/>
      <c r="AB321" s="77" t="str">
        <f>'A4. Default crop lookup'!A36</f>
        <v>Groundnut [Peanut]</v>
      </c>
      <c r="AC321" s="77">
        <f>'A4. Default crop lookup'!I36</f>
        <v>88.530978749999989</v>
      </c>
      <c r="AD321" s="166"/>
      <c r="AE321" s="2"/>
      <c r="AF321" s="2"/>
      <c r="AG321" s="166"/>
      <c r="AH321" s="166"/>
      <c r="AI321" s="13"/>
      <c r="AJ321" s="13"/>
      <c r="AK321" s="13"/>
      <c r="AL321" s="13"/>
      <c r="AM321" s="13"/>
      <c r="AN321" s="13"/>
      <c r="AO321" s="13"/>
      <c r="AP321" s="2"/>
      <c r="AQ321" s="2"/>
      <c r="AR321" s="13"/>
      <c r="AS321" s="13"/>
      <c r="AT321" s="13"/>
      <c r="AU321" s="15"/>
    </row>
    <row r="322" spans="27:47" x14ac:dyDescent="0.25">
      <c r="AA322" s="13"/>
      <c r="AB322" s="77" t="str">
        <f>'A4. Default crop lookup'!A37</f>
        <v>Lentil</v>
      </c>
      <c r="AC322" s="77">
        <f>'A4. Default crop lookup'!I37</f>
        <v>177.13629426339281</v>
      </c>
      <c r="AD322" s="166"/>
      <c r="AE322" s="2"/>
      <c r="AF322" s="2"/>
      <c r="AG322" s="166"/>
      <c r="AH322" s="166"/>
      <c r="AI322" s="13"/>
      <c r="AJ322" s="13"/>
      <c r="AK322" s="13"/>
      <c r="AL322" s="13"/>
      <c r="AM322" s="13"/>
      <c r="AN322" s="13"/>
      <c r="AO322" s="13"/>
      <c r="AP322" s="2"/>
      <c r="AQ322" s="2"/>
      <c r="AR322" s="13"/>
      <c r="AS322" s="13"/>
      <c r="AT322" s="13"/>
      <c r="AU322" s="15"/>
    </row>
    <row r="323" spans="27:47" x14ac:dyDescent="0.25">
      <c r="AA323" s="13"/>
      <c r="AB323" s="77" t="str">
        <f>'A4. Default crop lookup'!A38</f>
        <v>Maize</v>
      </c>
      <c r="AC323" s="77">
        <f>'A4. Default crop lookup'!I38</f>
        <v>271.24092573236885</v>
      </c>
      <c r="AD323" s="166"/>
      <c r="AE323" s="2"/>
      <c r="AF323" s="2"/>
      <c r="AG323" s="166"/>
      <c r="AH323" s="166"/>
      <c r="AI323" s="13"/>
      <c r="AJ323" s="13"/>
      <c r="AK323" s="13"/>
      <c r="AL323" s="13"/>
      <c r="AM323" s="13"/>
      <c r="AN323" s="13"/>
      <c r="AO323" s="13"/>
      <c r="AP323" s="2"/>
      <c r="AQ323" s="2"/>
      <c r="AR323" s="13"/>
      <c r="AS323" s="13"/>
      <c r="AT323" s="13"/>
      <c r="AU323" s="15"/>
    </row>
    <row r="324" spans="27:47" x14ac:dyDescent="0.25">
      <c r="AA324" s="13"/>
      <c r="AB324" s="77" t="str">
        <f>'A4. Default crop lookup'!A39</f>
        <v>Millet</v>
      </c>
      <c r="AC324" s="77">
        <f>'A4. Default crop lookup'!I39</f>
        <v>305.17087452380946</v>
      </c>
      <c r="AD324" s="166"/>
      <c r="AE324" s="2"/>
      <c r="AF324" s="2"/>
      <c r="AG324" s="166"/>
      <c r="AH324" s="166"/>
      <c r="AI324" s="13"/>
      <c r="AJ324" s="13"/>
      <c r="AK324" s="13"/>
      <c r="AL324" s="13"/>
      <c r="AM324" s="13"/>
      <c r="AN324" s="13"/>
      <c r="AO324" s="13"/>
      <c r="AP324" s="2"/>
      <c r="AQ324" s="2"/>
      <c r="AR324" s="13"/>
      <c r="AS324" s="13"/>
      <c r="AT324" s="13"/>
      <c r="AU324" s="15"/>
    </row>
    <row r="325" spans="27:47" x14ac:dyDescent="0.25">
      <c r="AA325" s="13"/>
      <c r="AB325" s="77" t="str">
        <f>'A4. Default crop lookup'!A40</f>
        <v>Oats</v>
      </c>
      <c r="AC325" s="77">
        <f>'A4. Default crop lookup'!I40</f>
        <v>207.94449849999995</v>
      </c>
      <c r="AD325" s="166"/>
      <c r="AE325" s="166"/>
      <c r="AF325" s="166"/>
      <c r="AG325" s="166"/>
      <c r="AH325" s="166"/>
      <c r="AI325" s="13"/>
      <c r="AJ325" s="13"/>
      <c r="AK325" s="13"/>
      <c r="AL325" s="13"/>
      <c r="AM325" s="13"/>
      <c r="AN325" s="13"/>
      <c r="AO325" s="13"/>
      <c r="AP325" s="2"/>
      <c r="AQ325" s="2"/>
      <c r="AR325" s="13"/>
      <c r="AS325" s="13"/>
      <c r="AT325" s="13"/>
      <c r="AU325" s="15"/>
    </row>
    <row r="326" spans="27:47" x14ac:dyDescent="0.25">
      <c r="AA326" s="13"/>
      <c r="AB326" s="77" t="str">
        <f>'A4. Default crop lookup'!A41</f>
        <v>Oilseed Rape</v>
      </c>
      <c r="AC326" s="77">
        <f>'A4. Default crop lookup'!I41</f>
        <v>427.77786785714284</v>
      </c>
      <c r="AD326" s="166"/>
      <c r="AE326" s="166"/>
      <c r="AF326" s="166"/>
      <c r="AG326" s="166"/>
      <c r="AH326" s="166"/>
      <c r="AI326" s="13"/>
      <c r="AJ326" s="13"/>
      <c r="AK326" s="13"/>
      <c r="AL326" s="13"/>
      <c r="AM326" s="13"/>
      <c r="AN326" s="13"/>
      <c r="AO326" s="13"/>
      <c r="AP326" s="2"/>
      <c r="AQ326" s="2"/>
      <c r="AR326" s="13"/>
      <c r="AS326" s="13"/>
      <c r="AT326" s="13"/>
      <c r="AU326" s="15"/>
    </row>
    <row r="327" spans="27:47" x14ac:dyDescent="0.25">
      <c r="AA327" s="13"/>
      <c r="AB327" s="77" t="str">
        <f>'A4. Default crop lookup'!A42</f>
        <v>Pigeon pea/cowpea/mungbean</v>
      </c>
      <c r="AC327" s="77">
        <f>'A4. Default crop lookup'!I42</f>
        <v>226.34807730836241</v>
      </c>
      <c r="AD327" s="166"/>
      <c r="AE327" s="166"/>
      <c r="AF327" s="166"/>
      <c r="AG327" s="166"/>
      <c r="AH327" s="166"/>
      <c r="AI327" s="13"/>
      <c r="AJ327" s="13"/>
      <c r="AK327" s="13"/>
      <c r="AL327" s="13"/>
      <c r="AM327" s="13"/>
      <c r="AN327" s="13"/>
      <c r="AO327" s="13"/>
      <c r="AP327" s="2"/>
      <c r="AQ327" s="2"/>
      <c r="AR327" s="13"/>
      <c r="AS327" s="13"/>
      <c r="AT327" s="13"/>
      <c r="AU327" s="15"/>
    </row>
    <row r="328" spans="27:47" x14ac:dyDescent="0.25">
      <c r="AA328" s="13"/>
      <c r="AB328" s="77" t="str">
        <f>'A4. Default crop lookup'!A43</f>
        <v>Potato</v>
      </c>
      <c r="AC328" s="77">
        <f>'A4. Default crop lookup'!I43</f>
        <v>90.744387680893055</v>
      </c>
      <c r="AD328" s="166"/>
      <c r="AE328" s="166"/>
      <c r="AF328" s="166"/>
      <c r="AG328" s="166"/>
      <c r="AH328" s="166"/>
      <c r="AI328" s="13"/>
      <c r="AJ328" s="13"/>
      <c r="AK328" s="13"/>
      <c r="AL328" s="13"/>
      <c r="AM328" s="13"/>
      <c r="AN328" s="13"/>
      <c r="AO328" s="13"/>
      <c r="AP328" s="2"/>
      <c r="AQ328" s="2"/>
      <c r="AR328" s="13"/>
      <c r="AS328" s="13"/>
      <c r="AT328" s="13"/>
      <c r="AU328" s="15"/>
    </row>
    <row r="329" spans="27:47" x14ac:dyDescent="0.25">
      <c r="AA329" s="13"/>
      <c r="AB329" s="77" t="str">
        <f>'A4. Default crop lookup'!A44</f>
        <v>Rice</v>
      </c>
      <c r="AC329" s="77">
        <f>'A4. Default crop lookup'!I44</f>
        <v>183.04825269523809</v>
      </c>
      <c r="AD329" s="166"/>
      <c r="AE329" s="166"/>
      <c r="AF329" s="13"/>
      <c r="AG329" s="166"/>
      <c r="AH329" s="166"/>
      <c r="AI329" s="13"/>
      <c r="AJ329" s="13"/>
      <c r="AK329" s="13"/>
      <c r="AL329" s="13"/>
      <c r="AM329" s="13"/>
      <c r="AN329" s="13"/>
      <c r="AO329" s="13"/>
      <c r="AP329" s="2"/>
      <c r="AQ329" s="2"/>
      <c r="AR329" s="13"/>
      <c r="AS329" s="13"/>
      <c r="AT329" s="13"/>
      <c r="AU329" s="15"/>
    </row>
    <row r="330" spans="27:47" x14ac:dyDescent="0.25">
      <c r="AA330" s="13"/>
      <c r="AB330" s="77" t="str">
        <f>'A4. Default crop lookup'!A45</f>
        <v>Rye</v>
      </c>
      <c r="AC330" s="77">
        <f>'A4. Default crop lookup'!I45</f>
        <v>273.62405883777234</v>
      </c>
      <c r="AD330" s="166"/>
      <c r="AE330" s="166"/>
      <c r="AF330" s="166"/>
      <c r="AG330" s="166"/>
      <c r="AH330" s="166"/>
      <c r="AI330" s="13"/>
      <c r="AJ330" s="13"/>
      <c r="AK330" s="13"/>
      <c r="AL330" s="13"/>
      <c r="AM330" s="13"/>
      <c r="AN330" s="13"/>
      <c r="AO330" s="13"/>
      <c r="AP330" s="2"/>
      <c r="AQ330" s="2"/>
      <c r="AR330" s="13"/>
      <c r="AS330" s="13"/>
      <c r="AT330" s="13"/>
      <c r="AU330" s="15"/>
    </row>
    <row r="331" spans="27:47" x14ac:dyDescent="0.25">
      <c r="AA331" s="13"/>
      <c r="AB331" s="77" t="str">
        <f>'A4. Default crop lookup'!A46</f>
        <v>Safflower</v>
      </c>
      <c r="AC331" s="77">
        <f>'A4. Default crop lookup'!I46</f>
        <v>432.45796481428567</v>
      </c>
      <c r="AD331" s="166"/>
      <c r="AE331" s="2"/>
      <c r="AF331" s="2"/>
      <c r="AG331" s="166"/>
      <c r="AH331" s="166"/>
      <c r="AI331" s="13"/>
      <c r="AJ331" s="13"/>
      <c r="AK331" s="13"/>
      <c r="AL331" s="13"/>
      <c r="AM331" s="13"/>
      <c r="AN331" s="13"/>
      <c r="AO331" s="13"/>
      <c r="AP331" s="2"/>
      <c r="AQ331" s="2"/>
      <c r="AR331" s="13"/>
      <c r="AS331" s="13"/>
      <c r="AT331" s="13"/>
      <c r="AU331" s="15"/>
    </row>
    <row r="332" spans="27:47" x14ac:dyDescent="0.25">
      <c r="AA332" s="13"/>
      <c r="AB332" s="77" t="str">
        <f>'A4. Default crop lookup'!A47</f>
        <v>Sorghum</v>
      </c>
      <c r="AC332" s="77">
        <f>'A4. Default crop lookup'!I47</f>
        <v>151.07742226190473</v>
      </c>
      <c r="AD332" s="166"/>
      <c r="AE332" s="2"/>
      <c r="AF332" s="2"/>
      <c r="AG332" s="166"/>
      <c r="AH332" s="166"/>
      <c r="AI332" s="13"/>
      <c r="AJ332" s="13"/>
      <c r="AK332" s="13"/>
      <c r="AL332" s="13"/>
      <c r="AM332" s="13"/>
      <c r="AN332" s="13"/>
      <c r="AO332" s="13"/>
      <c r="AP332" s="2"/>
      <c r="AQ332" s="2"/>
      <c r="AR332" s="13"/>
      <c r="AS332" s="13"/>
      <c r="AT332" s="13"/>
      <c r="AU332" s="15"/>
    </row>
    <row r="333" spans="27:47" x14ac:dyDescent="0.25">
      <c r="AA333" s="13"/>
      <c r="AB333" s="77" t="str">
        <f>'A4. Default crop lookup'!A48</f>
        <v>Soybean</v>
      </c>
      <c r="AC333" s="77">
        <f>'A4. Default crop lookup'!I48</f>
        <v>98.603983653846143</v>
      </c>
      <c r="AD333" s="166"/>
      <c r="AE333" s="2"/>
      <c r="AF333" s="2"/>
      <c r="AG333" s="166"/>
      <c r="AH333" s="166"/>
      <c r="AI333" s="13"/>
      <c r="AJ333" s="13"/>
      <c r="AK333" s="13"/>
      <c r="AL333" s="13"/>
      <c r="AM333" s="13"/>
      <c r="AN333" s="13"/>
      <c r="AO333" s="13"/>
      <c r="AP333" s="2"/>
      <c r="AQ333" s="2"/>
      <c r="AR333" s="13"/>
      <c r="AS333" s="13"/>
      <c r="AT333" s="13"/>
      <c r="AU333" s="15"/>
    </row>
    <row r="334" spans="27:47" x14ac:dyDescent="0.25">
      <c r="AA334" s="13"/>
      <c r="AB334" s="77" t="str">
        <f>'A4. Default crop lookup'!A49</f>
        <v>Spring barley</v>
      </c>
      <c r="AC334" s="77">
        <f>'A4. Default crop lookup'!I49</f>
        <v>335.00218898809527</v>
      </c>
      <c r="AD334" s="166"/>
      <c r="AE334" s="2"/>
      <c r="AF334" s="2"/>
      <c r="AG334" s="166"/>
      <c r="AH334" s="166"/>
      <c r="AI334" s="13"/>
      <c r="AJ334" s="13"/>
      <c r="AK334" s="13"/>
      <c r="AL334" s="13"/>
      <c r="AM334" s="13"/>
      <c r="AN334" s="13"/>
      <c r="AO334" s="13"/>
      <c r="AP334" s="2"/>
      <c r="AQ334" s="2"/>
      <c r="AR334" s="13"/>
      <c r="AS334" s="13"/>
      <c r="AT334" s="13"/>
      <c r="AU334" s="15"/>
    </row>
    <row r="335" spans="27:47" x14ac:dyDescent="0.25">
      <c r="AA335" s="13"/>
      <c r="AB335" s="77" t="str">
        <f>'A4. Default crop lookup'!A50</f>
        <v>Sugarbeet</v>
      </c>
      <c r="AC335" s="77">
        <f>'A4. Default crop lookup'!I50</f>
        <v>10.109942424242423</v>
      </c>
      <c r="AD335" s="166"/>
      <c r="AE335" s="2"/>
      <c r="AF335" s="2"/>
      <c r="AG335" s="166"/>
      <c r="AH335" s="166"/>
      <c r="AI335" s="13"/>
      <c r="AJ335" s="13"/>
      <c r="AK335" s="13"/>
      <c r="AL335" s="13"/>
      <c r="AM335" s="13"/>
      <c r="AN335" s="13"/>
      <c r="AO335" s="13"/>
      <c r="AP335" s="2"/>
      <c r="AQ335" s="2"/>
      <c r="AR335" s="13"/>
      <c r="AS335" s="13"/>
      <c r="AT335" s="13"/>
      <c r="AU335" s="15"/>
    </row>
    <row r="336" spans="27:47" x14ac:dyDescent="0.25">
      <c r="AA336" s="13"/>
      <c r="AB336" s="77" t="str">
        <f>'A4. Default crop lookup'!A51</f>
        <v>Sunflower</v>
      </c>
      <c r="AC336" s="77">
        <f>'A4. Default crop lookup'!I51</f>
        <v>287.38857551020408</v>
      </c>
      <c r="AD336" s="166"/>
      <c r="AE336" s="2"/>
      <c r="AF336" s="2"/>
      <c r="AG336" s="166"/>
      <c r="AH336" s="166"/>
      <c r="AI336" s="13"/>
      <c r="AJ336" s="13"/>
      <c r="AK336" s="13"/>
      <c r="AL336" s="13"/>
      <c r="AM336" s="13"/>
      <c r="AN336" s="13"/>
      <c r="AO336" s="13"/>
      <c r="AP336" s="2"/>
      <c r="AQ336" s="2"/>
      <c r="AR336" s="13"/>
      <c r="AS336" s="13"/>
      <c r="AT336" s="13"/>
      <c r="AU336" s="15"/>
    </row>
    <row r="337" spans="27:47" x14ac:dyDescent="0.25">
      <c r="AA337" s="13"/>
      <c r="AB337" s="77" t="str">
        <f>'A4. Default crop lookup'!A52</f>
        <v>Sweet Potato</v>
      </c>
      <c r="AC337" s="77">
        <f>'A4. Default crop lookup'!I52</f>
        <v>97.859354742857136</v>
      </c>
      <c r="AD337" s="166"/>
      <c r="AE337" s="166"/>
      <c r="AF337" s="166"/>
      <c r="AG337" s="166"/>
      <c r="AH337" s="166"/>
      <c r="AI337" s="13"/>
      <c r="AJ337" s="13"/>
      <c r="AK337" s="13"/>
      <c r="AL337" s="13"/>
      <c r="AM337" s="13"/>
      <c r="AN337" s="13"/>
      <c r="AO337" s="13"/>
      <c r="AP337" s="13"/>
      <c r="AQ337" s="13"/>
      <c r="AR337" s="13"/>
      <c r="AS337" s="13"/>
      <c r="AT337" s="13"/>
      <c r="AU337" s="15"/>
    </row>
    <row r="338" spans="27:47" x14ac:dyDescent="0.25">
      <c r="AA338" s="13"/>
      <c r="AB338" s="77" t="str">
        <f>'A4. Default crop lookup'!A53</f>
        <v>Temperate Grassland: Grass/Legume Swards</v>
      </c>
      <c r="AC338" s="77">
        <f>'A4. Default crop lookup'!I53</f>
        <v>31.397143749999998</v>
      </c>
      <c r="AD338" s="166"/>
      <c r="AE338" s="166"/>
      <c r="AF338" s="166"/>
      <c r="AG338" s="166"/>
      <c r="AH338" s="166"/>
      <c r="AI338" s="13"/>
      <c r="AJ338" s="13"/>
      <c r="AK338" s="13"/>
      <c r="AL338" s="13"/>
      <c r="AM338" s="13"/>
      <c r="AN338" s="13"/>
      <c r="AO338" s="13"/>
      <c r="AP338" s="13"/>
      <c r="AQ338" s="13"/>
      <c r="AR338" s="13"/>
      <c r="AS338" s="13"/>
      <c r="AT338" s="13"/>
      <c r="AU338" s="15"/>
    </row>
    <row r="339" spans="27:47" x14ac:dyDescent="0.25">
      <c r="AA339" s="13"/>
      <c r="AB339" s="77" t="str">
        <f>'A4. Default crop lookup'!A54</f>
        <v>Temperate Grassland: Permanent Grass and Sown Grass or Leys</v>
      </c>
      <c r="AC339" s="77">
        <f>'A4. Default crop lookup'!I54</f>
        <v>432.23962057142859</v>
      </c>
      <c r="AD339" s="166"/>
      <c r="AE339" s="166"/>
      <c r="AF339" s="166"/>
      <c r="AG339" s="166"/>
      <c r="AH339" s="166"/>
      <c r="AI339" s="13"/>
      <c r="AJ339" s="13"/>
      <c r="AK339" s="13"/>
      <c r="AL339" s="13"/>
      <c r="AM339" s="13"/>
      <c r="AN339" s="13"/>
      <c r="AO339" s="13"/>
      <c r="AP339" s="13"/>
      <c r="AQ339" s="13"/>
      <c r="AR339" s="13"/>
      <c r="AS339" s="13"/>
      <c r="AT339" s="13"/>
      <c r="AU339" s="15"/>
    </row>
    <row r="340" spans="27:47" x14ac:dyDescent="0.25">
      <c r="AA340" s="13"/>
      <c r="AB340" s="77" t="str">
        <f>'A4. Default crop lookup'!A55</f>
        <v>Tropical Grasses</v>
      </c>
      <c r="AC340" s="77">
        <f>'A4. Default crop lookup'!I55</f>
        <v>45.385557619047617</v>
      </c>
      <c r="AD340" s="166"/>
      <c r="AE340" s="166"/>
      <c r="AF340" s="166"/>
      <c r="AG340" s="166"/>
      <c r="AH340" s="166"/>
      <c r="AI340" s="13"/>
      <c r="AJ340" s="13"/>
      <c r="AK340" s="13"/>
      <c r="AL340" s="13"/>
      <c r="AM340" s="13"/>
      <c r="AN340" s="13"/>
      <c r="AO340" s="13"/>
      <c r="AP340" s="13"/>
      <c r="AQ340" s="13"/>
      <c r="AR340" s="13"/>
      <c r="AS340" s="13"/>
      <c r="AT340" s="13"/>
      <c r="AU340" s="15"/>
    </row>
    <row r="341" spans="27:47" x14ac:dyDescent="0.25">
      <c r="AA341" s="13"/>
      <c r="AB341" s="77" t="str">
        <f>'A4. Default crop lookup'!A56</f>
        <v>Wheat</v>
      </c>
      <c r="AC341" s="77">
        <f>'A4. Default crop lookup'!I56</f>
        <v>140.97078933901918</v>
      </c>
      <c r="AD341" s="166"/>
      <c r="AE341" s="166"/>
      <c r="AF341" s="166"/>
      <c r="AG341" s="166"/>
      <c r="AH341" s="166"/>
      <c r="AI341" s="13"/>
      <c r="AJ341" s="13"/>
      <c r="AK341" s="13"/>
      <c r="AL341" s="13"/>
      <c r="AM341" s="13"/>
      <c r="AN341" s="13"/>
      <c r="AO341" s="13"/>
      <c r="AP341" s="13"/>
      <c r="AQ341" s="13"/>
      <c r="AR341" s="13"/>
      <c r="AS341" s="13"/>
      <c r="AT341" s="13"/>
      <c r="AU341" s="15"/>
    </row>
    <row r="342" spans="27:47" x14ac:dyDescent="0.25">
      <c r="AA342" s="13"/>
      <c r="AB342" s="77" t="str">
        <f>'A4. Default crop lookup'!A57</f>
        <v>Winter barley</v>
      </c>
      <c r="AC342" s="77">
        <f>'A4. Default crop lookup'!I57</f>
        <v>271.0834088235294</v>
      </c>
      <c r="AD342" s="166"/>
      <c r="AE342" s="166"/>
      <c r="AF342" s="166"/>
      <c r="AG342" s="166"/>
      <c r="AH342" s="166"/>
      <c r="AI342" s="13"/>
      <c r="AJ342" s="13"/>
      <c r="AK342" s="13"/>
      <c r="AL342" s="13"/>
      <c r="AM342" s="13"/>
      <c r="AN342" s="13"/>
      <c r="AO342" s="13"/>
      <c r="AP342" s="13"/>
      <c r="AQ342" s="13"/>
      <c r="AR342" s="13"/>
      <c r="AS342" s="13"/>
      <c r="AT342" s="13"/>
      <c r="AU342" s="15"/>
    </row>
    <row r="343" spans="27:47" x14ac:dyDescent="0.25">
      <c r="AA343" s="13"/>
      <c r="AB343" s="77" t="str">
        <f>'A4. Default crop lookup'!A58</f>
        <v>Yams and Cocoyams</v>
      </c>
      <c r="AC343" s="77">
        <f>'A4. Default crop lookup'!I58</f>
        <v>38.243043650793652</v>
      </c>
      <c r="AD343" s="166"/>
      <c r="AE343" s="166"/>
      <c r="AF343" s="166"/>
      <c r="AG343" s="166"/>
      <c r="AH343" s="166"/>
      <c r="AI343" s="13"/>
      <c r="AJ343" s="13"/>
      <c r="AK343" s="13"/>
      <c r="AL343" s="13"/>
      <c r="AM343" s="13"/>
      <c r="AN343" s="13"/>
      <c r="AO343" s="13"/>
      <c r="AP343" s="13"/>
      <c r="AQ343" s="13"/>
      <c r="AR343" s="13"/>
      <c r="AS343" s="13"/>
      <c r="AT343" s="13"/>
      <c r="AU343" s="15"/>
    </row>
    <row r="344" spans="27:47" x14ac:dyDescent="0.25">
      <c r="AA344" s="13"/>
      <c r="AB344" s="77" t="str">
        <f>'A4. Default crop lookup'!A60</f>
        <v>User defined 1</v>
      </c>
      <c r="AC344" s="77" t="e">
        <f>'A4. Default crop lookup'!E60</f>
        <v>#DIV/0!</v>
      </c>
      <c r="AD344" s="2"/>
      <c r="AE344" s="2"/>
      <c r="AF344" s="2"/>
      <c r="AG344" s="2"/>
      <c r="AH344" s="166"/>
      <c r="AI344" s="13"/>
      <c r="AJ344" s="13"/>
      <c r="AK344" s="13"/>
      <c r="AL344" s="13"/>
      <c r="AM344" s="13"/>
      <c r="AN344" s="13"/>
      <c r="AO344" s="13"/>
      <c r="AP344" s="13"/>
      <c r="AQ344" s="13"/>
      <c r="AR344" s="13"/>
      <c r="AS344" s="13"/>
      <c r="AT344" s="13"/>
      <c r="AU344" s="15"/>
    </row>
    <row r="345" spans="27:47" x14ac:dyDescent="0.25">
      <c r="AA345" s="13"/>
      <c r="AB345" s="77" t="str">
        <f>'A4. Default crop lookup'!A61</f>
        <v>User defined 2</v>
      </c>
      <c r="AC345" s="77" t="e">
        <f>'A4. Default crop lookup'!E61</f>
        <v>#DIV/0!</v>
      </c>
      <c r="AD345" s="2"/>
      <c r="AE345" s="2"/>
      <c r="AF345" s="2"/>
      <c r="AG345" s="2"/>
      <c r="AH345" s="166"/>
      <c r="AI345" s="13"/>
      <c r="AJ345" s="13"/>
      <c r="AK345" s="13"/>
      <c r="AL345" s="13"/>
      <c r="AM345" s="13"/>
      <c r="AN345" s="13"/>
      <c r="AO345" s="13"/>
      <c r="AP345" s="13"/>
      <c r="AQ345" s="13"/>
      <c r="AR345" s="13"/>
      <c r="AS345" s="13"/>
      <c r="AT345" s="13"/>
      <c r="AU345" s="15"/>
    </row>
    <row r="346" spans="27:47" x14ac:dyDescent="0.25">
      <c r="AA346" s="13"/>
      <c r="AB346" s="77" t="str">
        <f>'A4. Default crop lookup'!A62</f>
        <v>User defined 3</v>
      </c>
      <c r="AC346" s="77" t="e">
        <f>'A4. Default crop lookup'!E62</f>
        <v>#DIV/0!</v>
      </c>
      <c r="AD346" s="2"/>
      <c r="AE346" s="2"/>
      <c r="AF346" s="2"/>
      <c r="AG346" s="2"/>
      <c r="AH346" s="166"/>
      <c r="AI346" s="13"/>
      <c r="AJ346" s="13"/>
      <c r="AK346" s="13"/>
      <c r="AL346" s="13"/>
      <c r="AM346" s="13"/>
      <c r="AN346" s="13"/>
      <c r="AO346" s="13"/>
      <c r="AP346" s="13"/>
      <c r="AQ346" s="13"/>
      <c r="AR346" s="13"/>
      <c r="AS346" s="13"/>
      <c r="AT346" s="13"/>
      <c r="AU346" s="15"/>
    </row>
    <row r="347" spans="27:47" x14ac:dyDescent="0.25">
      <c r="AA347" s="13"/>
      <c r="AB347" s="77" t="str">
        <f>'A4. Default crop lookup'!A63</f>
        <v>User defined 4</v>
      </c>
      <c r="AC347" s="77" t="e">
        <f>'A4. Default crop lookup'!E63</f>
        <v>#DIV/0!</v>
      </c>
      <c r="AD347" s="2"/>
      <c r="AE347" s="2"/>
      <c r="AF347" s="2"/>
      <c r="AG347" s="2"/>
      <c r="AH347" s="166"/>
      <c r="AI347" s="13"/>
      <c r="AJ347" s="13"/>
      <c r="AK347" s="13"/>
      <c r="AL347" s="13"/>
      <c r="AM347" s="13"/>
      <c r="AN347" s="13"/>
      <c r="AO347" s="13"/>
      <c r="AP347" s="13"/>
      <c r="AQ347" s="13"/>
      <c r="AR347" s="13"/>
      <c r="AS347" s="13"/>
      <c r="AT347" s="13"/>
      <c r="AU347" s="15"/>
    </row>
    <row r="348" spans="27:47" x14ac:dyDescent="0.25">
      <c r="AA348" s="13"/>
      <c r="AB348" s="77" t="str">
        <f>'A4. Default crop lookup'!A64</f>
        <v>User defined 5</v>
      </c>
      <c r="AC348" s="77" t="e">
        <f>'A4. Default crop lookup'!E64</f>
        <v>#DIV/0!</v>
      </c>
      <c r="AD348" s="2"/>
      <c r="AE348" s="2"/>
      <c r="AF348" s="2"/>
      <c r="AG348" s="2"/>
      <c r="AH348" s="166"/>
      <c r="AI348" s="13"/>
      <c r="AJ348" s="13"/>
      <c r="AK348" s="13"/>
      <c r="AL348" s="13"/>
      <c r="AM348" s="13"/>
      <c r="AN348" s="13"/>
      <c r="AO348" s="13"/>
      <c r="AP348" s="13"/>
      <c r="AQ348" s="13"/>
      <c r="AR348" s="13"/>
      <c r="AS348" s="13"/>
      <c r="AT348" s="13"/>
      <c r="AU348" s="15"/>
    </row>
    <row r="349" spans="27:47" x14ac:dyDescent="0.25">
      <c r="AA349" s="13"/>
      <c r="AB349" s="77" t="str">
        <f>'A4. Default crop lookup'!A65</f>
        <v>User defined 6</v>
      </c>
      <c r="AC349" s="77" t="e">
        <f>'A4. Default crop lookup'!E65</f>
        <v>#DIV/0!</v>
      </c>
      <c r="AD349" s="13"/>
      <c r="AE349" s="13"/>
      <c r="AF349" s="166"/>
      <c r="AG349" s="166"/>
      <c r="AH349" s="166"/>
      <c r="AI349" s="13"/>
      <c r="AJ349" s="13"/>
      <c r="AK349" s="13"/>
      <c r="AL349" s="13"/>
      <c r="AM349" s="13"/>
      <c r="AN349" s="13"/>
      <c r="AO349" s="13"/>
      <c r="AP349" s="13"/>
      <c r="AQ349" s="13"/>
      <c r="AR349" s="13"/>
      <c r="AS349" s="13"/>
      <c r="AT349" s="13"/>
      <c r="AU349" s="15"/>
    </row>
    <row r="350" spans="27:47" x14ac:dyDescent="0.25">
      <c r="AA350" s="13"/>
      <c r="AB350" s="166"/>
      <c r="AC350" s="166"/>
      <c r="AD350" s="13"/>
      <c r="AE350" s="13"/>
      <c r="AF350" s="166"/>
      <c r="AG350" s="166"/>
      <c r="AH350" s="166"/>
      <c r="AI350" s="13"/>
      <c r="AJ350" s="13"/>
      <c r="AK350" s="13"/>
      <c r="AL350" s="13"/>
      <c r="AM350" s="13"/>
      <c r="AN350" s="13"/>
      <c r="AO350" s="13"/>
      <c r="AP350" s="13"/>
      <c r="AQ350" s="13"/>
      <c r="AR350" s="13"/>
      <c r="AS350" s="13"/>
      <c r="AT350" s="13"/>
      <c r="AU350" s="15"/>
    </row>
    <row r="351" spans="27:47" x14ac:dyDescent="0.25">
      <c r="AA351" s="13"/>
      <c r="AB351" s="166"/>
      <c r="AC351" s="166"/>
      <c r="AD351" s="13"/>
      <c r="AE351" s="13"/>
      <c r="AF351" s="166"/>
      <c r="AG351" s="166"/>
      <c r="AH351" s="166"/>
      <c r="AI351" s="13"/>
      <c r="AJ351" s="13"/>
      <c r="AK351" s="13"/>
      <c r="AL351" s="13"/>
      <c r="AM351" s="13"/>
      <c r="AN351" s="13"/>
      <c r="AO351" s="13"/>
      <c r="AP351" s="13"/>
      <c r="AQ351" s="13"/>
      <c r="AR351" s="13"/>
      <c r="AS351" s="13"/>
      <c r="AT351" s="13"/>
      <c r="AU351" s="15"/>
    </row>
    <row r="352" spans="27:47" x14ac:dyDescent="0.25">
      <c r="AA352" s="13"/>
      <c r="AB352" s="166"/>
      <c r="AC352" s="166"/>
      <c r="AD352" s="13"/>
      <c r="AE352" s="13"/>
      <c r="AF352" s="166"/>
      <c r="AG352" s="166"/>
      <c r="AH352" s="166"/>
      <c r="AI352" s="13"/>
      <c r="AJ352" s="13"/>
      <c r="AK352" s="13"/>
      <c r="AL352" s="13"/>
      <c r="AM352" s="13"/>
      <c r="AN352" s="13"/>
      <c r="AO352" s="13"/>
      <c r="AP352" s="13"/>
      <c r="AQ352" s="13"/>
      <c r="AR352" s="13"/>
      <c r="AS352" s="13"/>
      <c r="AT352" s="13"/>
      <c r="AU352" s="15"/>
    </row>
    <row r="353" spans="27:47" x14ac:dyDescent="0.25">
      <c r="AA353" s="13"/>
      <c r="AB353" s="166"/>
      <c r="AC353" s="166"/>
      <c r="AD353" s="13"/>
      <c r="AE353" s="13"/>
      <c r="AF353" s="166"/>
      <c r="AG353" s="166"/>
      <c r="AH353" s="166"/>
      <c r="AI353" s="13"/>
      <c r="AJ353" s="13"/>
      <c r="AK353" s="13"/>
      <c r="AL353" s="13"/>
      <c r="AM353" s="13"/>
      <c r="AN353" s="13"/>
      <c r="AO353" s="13"/>
      <c r="AP353" s="13"/>
      <c r="AQ353" s="13"/>
      <c r="AR353" s="13"/>
      <c r="AS353" s="13"/>
      <c r="AT353" s="13"/>
      <c r="AU353" s="15"/>
    </row>
    <row r="354" spans="27:47" x14ac:dyDescent="0.25">
      <c r="AA354" s="15"/>
      <c r="AB354" s="60"/>
      <c r="AC354" s="60"/>
      <c r="AD354" s="60"/>
      <c r="AE354" s="60"/>
      <c r="AF354" s="60"/>
      <c r="AG354" s="60"/>
      <c r="AH354" s="60"/>
      <c r="AI354" s="15"/>
      <c r="AJ354" s="15"/>
      <c r="AK354" s="15"/>
      <c r="AL354" s="15"/>
      <c r="AM354" s="15"/>
      <c r="AN354" s="15"/>
      <c r="AO354" s="15"/>
      <c r="AP354" s="15"/>
      <c r="AQ354" s="15"/>
      <c r="AR354" s="15"/>
      <c r="AS354" s="15"/>
      <c r="AT354" s="15"/>
      <c r="AU354" s="15"/>
    </row>
    <row r="355" spans="27:47" x14ac:dyDescent="0.25">
      <c r="AA355" s="15"/>
      <c r="AB355" s="60"/>
      <c r="AC355" s="60"/>
      <c r="AD355" s="60"/>
      <c r="AE355" s="60"/>
      <c r="AF355" s="60"/>
      <c r="AG355" s="60"/>
      <c r="AH355" s="60"/>
      <c r="AI355" s="15"/>
      <c r="AJ355" s="15"/>
      <c r="AK355" s="15"/>
      <c r="AL355" s="15"/>
      <c r="AM355" s="15"/>
      <c r="AN355" s="15"/>
      <c r="AO355" s="15"/>
      <c r="AP355" s="15"/>
      <c r="AQ355" s="15"/>
      <c r="AR355" s="15"/>
      <c r="AS355" s="15"/>
      <c r="AT355" s="15"/>
      <c r="AU355" s="15"/>
    </row>
    <row r="356" spans="27:47" x14ac:dyDescent="0.25">
      <c r="AA356" s="15"/>
      <c r="AB356" s="60"/>
      <c r="AC356" s="60"/>
      <c r="AD356" s="60"/>
      <c r="AE356" s="60"/>
      <c r="AF356" s="60"/>
      <c r="AG356" s="60"/>
      <c r="AH356" s="60"/>
      <c r="AI356" s="15"/>
      <c r="AJ356" s="15"/>
      <c r="AK356" s="15"/>
      <c r="AL356" s="15"/>
      <c r="AM356" s="15"/>
      <c r="AN356" s="15"/>
      <c r="AO356" s="15"/>
      <c r="AP356" s="15"/>
      <c r="AQ356" s="15"/>
      <c r="AR356" s="15"/>
      <c r="AS356" s="15"/>
      <c r="AT356" s="15"/>
      <c r="AU356" s="15"/>
    </row>
    <row r="357" spans="27:47" x14ac:dyDescent="0.25">
      <c r="AA357" s="15"/>
      <c r="AB357" s="60"/>
      <c r="AC357" s="60"/>
      <c r="AD357" s="60"/>
      <c r="AE357" s="60"/>
      <c r="AF357" s="60"/>
      <c r="AG357" s="60"/>
      <c r="AH357" s="60"/>
      <c r="AI357" s="15"/>
      <c r="AJ357" s="15"/>
      <c r="AK357" s="15"/>
      <c r="AL357" s="15"/>
      <c r="AM357" s="15"/>
      <c r="AN357" s="15"/>
      <c r="AO357" s="15"/>
      <c r="AP357" s="15"/>
      <c r="AQ357" s="15"/>
      <c r="AR357" s="15"/>
      <c r="AS357" s="15"/>
      <c r="AT357" s="15"/>
      <c r="AU357" s="15"/>
    </row>
    <row r="358" spans="27:47" x14ac:dyDescent="0.25">
      <c r="AA358" s="15"/>
      <c r="AB358" s="60"/>
      <c r="AC358" s="60"/>
      <c r="AD358" s="60"/>
      <c r="AE358" s="60"/>
      <c r="AF358" s="60"/>
      <c r="AG358" s="60"/>
      <c r="AH358" s="60"/>
      <c r="AI358" s="15"/>
      <c r="AJ358" s="15"/>
      <c r="AK358" s="15"/>
      <c r="AL358" s="15"/>
      <c r="AM358" s="15"/>
      <c r="AN358" s="15"/>
      <c r="AO358" s="15"/>
      <c r="AP358" s="15"/>
      <c r="AQ358" s="15"/>
      <c r="AR358" s="15"/>
      <c r="AS358" s="15"/>
      <c r="AT358" s="15"/>
      <c r="AU358" s="15"/>
    </row>
    <row r="359" spans="27:47" x14ac:dyDescent="0.25">
      <c r="AA359" s="15"/>
      <c r="AB359" s="60"/>
      <c r="AC359" s="60"/>
      <c r="AD359" s="60"/>
      <c r="AE359" s="60"/>
      <c r="AF359" s="60"/>
      <c r="AG359" s="60"/>
      <c r="AH359" s="60"/>
      <c r="AI359" s="15"/>
      <c r="AJ359" s="15"/>
      <c r="AK359" s="15"/>
      <c r="AL359" s="15"/>
      <c r="AM359" s="15"/>
      <c r="AN359" s="15"/>
      <c r="AO359" s="15"/>
      <c r="AP359" s="15"/>
      <c r="AQ359" s="15"/>
      <c r="AR359" s="15"/>
      <c r="AS359" s="15"/>
      <c r="AT359" s="15"/>
      <c r="AU359" s="15"/>
    </row>
    <row r="360" spans="27:47" x14ac:dyDescent="0.25">
      <c r="AA360" s="15"/>
      <c r="AB360" s="15"/>
      <c r="AC360" s="15"/>
      <c r="AD360" s="15"/>
      <c r="AE360" s="15"/>
      <c r="AF360" s="15"/>
      <c r="AG360" s="15"/>
      <c r="AH360" s="15"/>
      <c r="AI360" s="15"/>
      <c r="AJ360" s="15"/>
      <c r="AK360" s="15"/>
      <c r="AL360" s="15"/>
      <c r="AM360" s="15"/>
      <c r="AN360" s="15"/>
      <c r="AO360" s="15"/>
      <c r="AP360" s="15"/>
      <c r="AQ360" s="15"/>
      <c r="AR360" s="15"/>
      <c r="AS360" s="15"/>
      <c r="AT360" s="15"/>
      <c r="AU360" s="15"/>
    </row>
    <row r="361" spans="27:47" x14ac:dyDescent="0.25">
      <c r="AA361" s="15"/>
      <c r="AB361" s="15"/>
      <c r="AC361" s="15"/>
      <c r="AD361" s="15"/>
      <c r="AE361" s="15"/>
      <c r="AF361" s="15"/>
      <c r="AG361" s="15"/>
      <c r="AH361" s="15"/>
      <c r="AI361" s="15"/>
      <c r="AJ361" s="15"/>
      <c r="AK361" s="15"/>
      <c r="AL361" s="15"/>
      <c r="AM361" s="15"/>
      <c r="AN361" s="15"/>
      <c r="AO361" s="15"/>
      <c r="AP361" s="15"/>
      <c r="AQ361" s="15"/>
      <c r="AR361" s="15"/>
      <c r="AS361" s="15"/>
      <c r="AT361" s="15"/>
      <c r="AU361" s="15"/>
    </row>
    <row r="362" spans="27:47" x14ac:dyDescent="0.25">
      <c r="AA362" s="15"/>
      <c r="AB362" s="15"/>
      <c r="AC362" s="15"/>
      <c r="AF362" s="15"/>
      <c r="AG362" s="15"/>
      <c r="AH362" s="15"/>
      <c r="AI362" s="15"/>
      <c r="AJ362" s="15"/>
      <c r="AK362" s="15"/>
      <c r="AL362" s="15"/>
      <c r="AM362" s="15"/>
      <c r="AN362" s="15"/>
      <c r="AO362" s="15"/>
      <c r="AP362" s="15"/>
      <c r="AQ362" s="15"/>
      <c r="AR362" s="15"/>
      <c r="AS362" s="15"/>
      <c r="AT362" s="15"/>
      <c r="AU362" s="15"/>
    </row>
    <row r="363" spans="27:47" x14ac:dyDescent="0.25">
      <c r="AA363" s="15"/>
      <c r="AB363" s="15"/>
      <c r="AC363" s="15"/>
      <c r="AF363" s="15"/>
      <c r="AG363" s="15"/>
      <c r="AH363" s="15"/>
      <c r="AI363" s="15"/>
      <c r="AJ363" s="15"/>
      <c r="AK363" s="15"/>
      <c r="AL363" s="15"/>
      <c r="AM363" s="15"/>
      <c r="AN363" s="15"/>
      <c r="AO363" s="15"/>
      <c r="AP363" s="15"/>
      <c r="AQ363" s="15"/>
      <c r="AR363" s="15"/>
      <c r="AS363" s="15"/>
      <c r="AT363" s="15"/>
      <c r="AU363" s="15"/>
    </row>
    <row r="364" spans="27:47" x14ac:dyDescent="0.25">
      <c r="AU364" s="15"/>
    </row>
    <row r="365" spans="27:47" x14ac:dyDescent="0.25">
      <c r="AU365" s="15"/>
    </row>
    <row r="366" spans="27:47" x14ac:dyDescent="0.25">
      <c r="AU366" s="15"/>
    </row>
    <row r="367" spans="27:47" x14ac:dyDescent="0.25">
      <c r="AU367" s="15"/>
    </row>
    <row r="368" spans="27:47" x14ac:dyDescent="0.25">
      <c r="AU368" s="15"/>
    </row>
    <row r="369" spans="27:51" x14ac:dyDescent="0.25">
      <c r="AU369" s="15"/>
    </row>
    <row r="370" spans="27:51" x14ac:dyDescent="0.25">
      <c r="AU370" s="15"/>
    </row>
    <row r="371" spans="27:51" x14ac:dyDescent="0.25">
      <c r="AU371" s="15"/>
    </row>
    <row r="372" spans="27:51" x14ac:dyDescent="0.25">
      <c r="AU372" s="15"/>
    </row>
    <row r="373" spans="27:51" x14ac:dyDescent="0.25">
      <c r="AU373" s="15"/>
    </row>
    <row r="374" spans="27:51" x14ac:dyDescent="0.25">
      <c r="AU374" s="15"/>
    </row>
    <row r="375" spans="27:51" x14ac:dyDescent="0.25">
      <c r="AU375" s="15"/>
    </row>
    <row r="376" spans="27:51" x14ac:dyDescent="0.25">
      <c r="AU376" s="15"/>
    </row>
    <row r="377" spans="27:51" x14ac:dyDescent="0.25">
      <c r="AU377" s="15"/>
    </row>
    <row r="378" spans="27:51" x14ac:dyDescent="0.25">
      <c r="AU378" s="15"/>
    </row>
    <row r="381" spans="27:51" x14ac:dyDescent="0.25">
      <c r="AA381" s="1991"/>
      <c r="AB381" s="1991"/>
      <c r="AC381" s="1991"/>
      <c r="AD381" s="1991"/>
      <c r="AE381" s="1991"/>
      <c r="AF381" s="1991"/>
      <c r="AG381" s="1991"/>
      <c r="AH381" s="1991"/>
      <c r="AI381" s="1991"/>
      <c r="AJ381" s="1991"/>
      <c r="AK381" s="1991"/>
      <c r="AL381" s="1991"/>
      <c r="AM381" s="1991"/>
      <c r="AN381" s="1991"/>
      <c r="AO381" s="837"/>
      <c r="AP381" s="837"/>
      <c r="AQ381" s="1991"/>
      <c r="AR381" s="1991"/>
      <c r="AS381" s="1991"/>
      <c r="AT381" s="1991"/>
      <c r="AU381" s="1991"/>
      <c r="AV381" s="1991"/>
      <c r="AW381" s="1991"/>
      <c r="AX381" s="1991"/>
      <c r="AY381" s="1991"/>
    </row>
    <row r="382" spans="27:51" x14ac:dyDescent="0.25">
      <c r="AA382" s="1991"/>
      <c r="AB382" s="1991"/>
      <c r="AC382" s="1991"/>
      <c r="AD382" s="1991"/>
      <c r="AE382" s="1991"/>
      <c r="AF382" s="1991"/>
      <c r="AG382" s="1991"/>
      <c r="AH382" s="1991"/>
      <c r="AI382" s="1991"/>
      <c r="AJ382" s="1991"/>
      <c r="AK382" s="1991"/>
      <c r="AL382" s="1991"/>
      <c r="AM382" s="1991"/>
      <c r="AN382" s="1991"/>
      <c r="AO382" s="837"/>
      <c r="AP382" s="837"/>
      <c r="AQ382" s="1991"/>
      <c r="AR382" s="1991"/>
      <c r="AS382" s="1991"/>
      <c r="AT382" s="1991"/>
      <c r="AU382" s="1991"/>
      <c r="AV382" s="1991"/>
      <c r="AW382" s="1991"/>
      <c r="AX382" s="1991"/>
      <c r="AY382" s="1991"/>
    </row>
    <row r="383" spans="27:51" x14ac:dyDescent="0.25">
      <c r="AA383" s="837"/>
      <c r="AB383" s="837"/>
      <c r="AC383" s="1390"/>
      <c r="AD383" s="1390"/>
      <c r="AE383" s="837"/>
      <c r="AF383" s="837"/>
      <c r="AG383" s="837"/>
      <c r="AH383" s="837"/>
      <c r="AI383" s="837"/>
      <c r="AJ383" s="837"/>
      <c r="AK383" s="837"/>
      <c r="AL383" s="837"/>
      <c r="AM383" s="837"/>
      <c r="AN383" s="837"/>
      <c r="AO383" s="837"/>
      <c r="AP383" s="837"/>
      <c r="AQ383" s="1991"/>
      <c r="AR383" s="1991"/>
      <c r="AS383" s="1991"/>
      <c r="AT383" s="1991"/>
      <c r="AU383" s="1991"/>
      <c r="AV383" s="1991"/>
      <c r="AW383" s="1991"/>
      <c r="AX383" s="1991"/>
      <c r="AY383" s="1991"/>
    </row>
    <row r="384" spans="27:51" x14ac:dyDescent="0.25">
      <c r="AA384" s="837"/>
      <c r="AB384" s="837"/>
      <c r="AC384" s="1390"/>
      <c r="AD384" s="1389"/>
      <c r="AE384" s="1385"/>
      <c r="AF384" s="837"/>
      <c r="AG384" s="1385"/>
      <c r="AH384" s="1385"/>
      <c r="AI384" s="837"/>
      <c r="AJ384" s="837"/>
      <c r="AK384" s="837"/>
      <c r="AL384" s="837"/>
      <c r="AM384" s="837"/>
      <c r="AN384" s="837"/>
      <c r="AO384" s="837"/>
      <c r="AP384" s="837"/>
      <c r="AQ384" s="1991"/>
      <c r="AR384" s="1991"/>
      <c r="AS384" s="1991"/>
      <c r="AT384" s="1991"/>
      <c r="AU384" s="1991"/>
      <c r="AV384" s="1991"/>
      <c r="AW384" s="1991"/>
      <c r="AX384" s="1991"/>
      <c r="AY384" s="1991"/>
    </row>
    <row r="385" spans="27:51" x14ac:dyDescent="0.25">
      <c r="AA385" s="837"/>
      <c r="AB385" s="837"/>
      <c r="AC385" s="1390"/>
      <c r="AD385" s="1389"/>
      <c r="AE385" s="1385"/>
      <c r="AF385" s="837"/>
      <c r="AG385" s="1385"/>
      <c r="AH385" s="1385"/>
      <c r="AI385" s="837"/>
      <c r="AJ385" s="837"/>
      <c r="AK385" s="837"/>
      <c r="AL385" s="2055"/>
      <c r="AM385" s="2055"/>
      <c r="AN385" s="2055"/>
      <c r="AO385" s="2055"/>
      <c r="AP385" s="2055"/>
      <c r="AQ385" s="1991"/>
      <c r="AR385" s="1991"/>
      <c r="AS385" s="1991"/>
      <c r="AT385" s="1991"/>
      <c r="AU385" s="1991"/>
      <c r="AV385" s="1991"/>
      <c r="AW385" s="1991"/>
      <c r="AX385" s="1991"/>
      <c r="AY385" s="1991"/>
    </row>
    <row r="386" spans="27:51" x14ac:dyDescent="0.25">
      <c r="AA386" s="837"/>
      <c r="AB386" s="837"/>
      <c r="AC386" s="1390"/>
      <c r="AD386" s="1389"/>
      <c r="AE386" s="1385"/>
      <c r="AF386" s="837"/>
      <c r="AG386" s="1385"/>
      <c r="AH386" s="1385"/>
      <c r="AI386" s="837"/>
      <c r="AJ386" s="837"/>
      <c r="AK386" s="837"/>
      <c r="AL386" s="2055"/>
      <c r="AM386" s="2055"/>
      <c r="AN386" s="2055"/>
      <c r="AO386" s="2055"/>
      <c r="AP386" s="2055"/>
      <c r="AQ386" s="1991"/>
      <c r="AR386" s="1991"/>
      <c r="AS386" s="1991"/>
      <c r="AT386" s="1991"/>
      <c r="AU386" s="1991"/>
      <c r="AV386" s="1991"/>
      <c r="AW386" s="1991"/>
      <c r="AX386" s="1991"/>
      <c r="AY386" s="1991"/>
    </row>
    <row r="387" spans="27:51" x14ac:dyDescent="0.25">
      <c r="AA387" s="291"/>
      <c r="AB387" s="291"/>
      <c r="AC387" s="563"/>
      <c r="AD387" s="837"/>
      <c r="AE387" s="291"/>
      <c r="AF387" s="291"/>
      <c r="AG387" s="837"/>
      <c r="AH387" s="837"/>
      <c r="AI387" s="837"/>
      <c r="AJ387" s="837"/>
      <c r="AK387" s="837"/>
      <c r="AL387" s="837"/>
      <c r="AM387" s="291"/>
      <c r="AN387" s="291"/>
      <c r="AO387" s="291"/>
      <c r="AP387" s="291"/>
      <c r="AQ387" s="1991"/>
      <c r="AR387" s="1991"/>
      <c r="AS387" s="1991"/>
      <c r="AT387" s="1991"/>
      <c r="AU387" s="1991"/>
      <c r="AV387" s="1991"/>
      <c r="AW387" s="1991"/>
      <c r="AX387" s="1991"/>
      <c r="AY387" s="1991"/>
    </row>
    <row r="388" spans="27:51" x14ac:dyDescent="0.25">
      <c r="AA388" s="291"/>
      <c r="AB388" s="291"/>
      <c r="AC388" s="1390"/>
      <c r="AD388" s="837"/>
      <c r="AE388" s="837"/>
      <c r="AF388" s="837"/>
      <c r="AG388" s="837"/>
      <c r="AH388" s="837"/>
      <c r="AI388" s="837"/>
      <c r="AJ388" s="837"/>
      <c r="AK388" s="837"/>
      <c r="AL388" s="837"/>
      <c r="AM388" s="291"/>
      <c r="AN388" s="291"/>
      <c r="AO388" s="291"/>
      <c r="AP388" s="291"/>
      <c r="AQ388" s="1991"/>
      <c r="AR388" s="1991"/>
      <c r="AS388" s="1991"/>
      <c r="AT388" s="1991"/>
      <c r="AU388" s="1991"/>
      <c r="AV388" s="1991"/>
      <c r="AW388" s="1991"/>
      <c r="AX388" s="1991"/>
      <c r="AY388" s="1991"/>
    </row>
    <row r="389" spans="27:51" x14ac:dyDescent="0.25">
      <c r="AA389" s="837"/>
      <c r="AB389" s="837"/>
      <c r="AC389" s="1390"/>
      <c r="AD389" s="1389"/>
      <c r="AE389" s="1385"/>
      <c r="AF389" s="837"/>
      <c r="AG389" s="1385"/>
      <c r="AH389" s="1385"/>
      <c r="AI389" s="837"/>
      <c r="AJ389" s="837"/>
      <c r="AK389" s="837"/>
      <c r="AL389" s="837"/>
      <c r="AM389" s="837"/>
      <c r="AN389" s="837"/>
      <c r="AO389" s="837"/>
      <c r="AP389" s="837"/>
      <c r="AQ389" s="1991"/>
      <c r="AR389" s="1991"/>
      <c r="AS389" s="1991"/>
      <c r="AT389" s="1991"/>
      <c r="AU389" s="1991"/>
      <c r="AV389" s="1991"/>
      <c r="AW389" s="1991"/>
      <c r="AX389" s="1991"/>
      <c r="AY389" s="1991"/>
    </row>
    <row r="390" spans="27:51" x14ac:dyDescent="0.25">
      <c r="AA390" s="837"/>
      <c r="AB390" s="837"/>
      <c r="AC390" s="1390"/>
      <c r="AD390" s="1389"/>
      <c r="AE390" s="1385"/>
      <c r="AF390" s="837"/>
      <c r="AG390" s="1385"/>
      <c r="AH390" s="1385"/>
      <c r="AI390" s="837"/>
      <c r="AJ390" s="837"/>
      <c r="AK390" s="837"/>
      <c r="AL390" s="837"/>
      <c r="AM390" s="837"/>
      <c r="AN390" s="837"/>
      <c r="AO390" s="837"/>
      <c r="AP390" s="837"/>
      <c r="AQ390" s="1991"/>
      <c r="AR390" s="1991"/>
      <c r="AS390" s="1991"/>
      <c r="AT390" s="1991"/>
      <c r="AU390" s="1991"/>
      <c r="AV390" s="1991"/>
      <c r="AW390" s="1991"/>
      <c r="AX390" s="1991"/>
      <c r="AY390" s="1991"/>
    </row>
    <row r="391" spans="27:51" x14ac:dyDescent="0.25">
      <c r="AA391" s="837"/>
      <c r="AB391" s="1991"/>
      <c r="AC391" s="1991"/>
      <c r="AD391" s="1389"/>
      <c r="AE391" s="1385"/>
      <c r="AF391" s="837"/>
      <c r="AG391" s="1385"/>
      <c r="AH391" s="1385"/>
      <c r="AI391" s="837"/>
      <c r="AJ391" s="837"/>
      <c r="AK391" s="837"/>
      <c r="AL391" s="837"/>
      <c r="AM391" s="837"/>
      <c r="AN391" s="837"/>
      <c r="AO391" s="837"/>
      <c r="AP391" s="837"/>
      <c r="AQ391" s="1991"/>
      <c r="AR391" s="1991"/>
      <c r="AS391" s="1991"/>
      <c r="AT391" s="1991"/>
      <c r="AU391" s="1991"/>
      <c r="AV391" s="1991"/>
      <c r="AW391" s="1991"/>
      <c r="AX391" s="1991"/>
      <c r="AY391" s="1991"/>
    </row>
    <row r="392" spans="27:51" x14ac:dyDescent="0.25">
      <c r="AA392" s="837"/>
      <c r="AB392" s="1991"/>
      <c r="AC392" s="1991"/>
      <c r="AD392" s="1385"/>
      <c r="AE392" s="2052"/>
      <c r="AF392" s="2052"/>
      <c r="AG392" s="2052"/>
      <c r="AH392" s="2052"/>
      <c r="AI392" s="2053"/>
      <c r="AJ392" s="2054"/>
      <c r="AK392" s="2054"/>
      <c r="AL392" s="2054"/>
      <c r="AM392" s="837"/>
      <c r="AN392" s="837"/>
      <c r="AO392" s="837"/>
      <c r="AP392" s="837"/>
      <c r="AQ392" s="1991"/>
      <c r="AR392" s="1991"/>
      <c r="AS392" s="1991"/>
      <c r="AT392" s="1991"/>
      <c r="AU392" s="1991"/>
      <c r="AV392" s="1991"/>
      <c r="AW392" s="1991"/>
      <c r="AX392" s="1991"/>
      <c r="AY392" s="1991"/>
    </row>
    <row r="393" spans="27:51" x14ac:dyDescent="0.25">
      <c r="AA393" s="837"/>
      <c r="AB393" s="1991"/>
      <c r="AC393" s="1991"/>
      <c r="AD393" s="1389"/>
      <c r="AE393" s="1385"/>
      <c r="AF393" s="837"/>
      <c r="AG393" s="1385"/>
      <c r="AH393" s="1385"/>
      <c r="AI393" s="837"/>
      <c r="AJ393" s="837"/>
      <c r="AK393" s="837"/>
      <c r="AL393" s="837"/>
      <c r="AM393" s="837"/>
      <c r="AN393" s="837"/>
      <c r="AO393" s="837"/>
      <c r="AP393" s="837"/>
      <c r="AQ393" s="1991"/>
      <c r="AR393" s="1991"/>
      <c r="AS393" s="1991"/>
      <c r="AT393" s="1991"/>
      <c r="AU393" s="1991"/>
      <c r="AV393" s="1991"/>
      <c r="AW393" s="1991"/>
      <c r="AX393" s="1991"/>
      <c r="AY393" s="1991"/>
    </row>
    <row r="394" spans="27:51" x14ac:dyDescent="0.25">
      <c r="AA394" s="837"/>
      <c r="AB394" s="1991"/>
      <c r="AC394" s="1991"/>
      <c r="AD394" s="1389"/>
      <c r="AE394" s="1385"/>
      <c r="AF394" s="837"/>
      <c r="AG394" s="1385"/>
      <c r="AH394" s="1385"/>
      <c r="AI394" s="837"/>
      <c r="AJ394" s="837"/>
      <c r="AK394" s="837"/>
      <c r="AL394" s="837"/>
      <c r="AM394" s="837"/>
      <c r="AN394" s="837"/>
      <c r="AO394" s="837"/>
      <c r="AP394" s="837"/>
      <c r="AQ394" s="1991"/>
      <c r="AR394" s="1991"/>
      <c r="AS394" s="1991"/>
      <c r="AT394" s="1991"/>
      <c r="AU394" s="1991"/>
      <c r="AV394" s="1991"/>
      <c r="AW394" s="1991"/>
      <c r="AX394" s="1991"/>
      <c r="AY394" s="1991"/>
    </row>
    <row r="395" spans="27:51" x14ac:dyDescent="0.25">
      <c r="AA395" s="837"/>
      <c r="AB395" s="837"/>
      <c r="AC395" s="1390"/>
      <c r="AD395" s="1389"/>
      <c r="AE395" s="1385"/>
      <c r="AF395" s="837"/>
      <c r="AG395" s="1385"/>
      <c r="AH395" s="1385"/>
      <c r="AI395" s="837"/>
      <c r="AJ395" s="837"/>
      <c r="AK395" s="837"/>
      <c r="AL395" s="837"/>
      <c r="AM395" s="837"/>
      <c r="AN395" s="837"/>
      <c r="AO395" s="837"/>
      <c r="AP395" s="837"/>
      <c r="AQ395" s="1991"/>
      <c r="AR395" s="1991"/>
      <c r="AS395" s="1991"/>
      <c r="AT395" s="1991"/>
      <c r="AU395" s="1991"/>
      <c r="AV395" s="1991"/>
      <c r="AW395" s="1991"/>
      <c r="AX395" s="1991"/>
      <c r="AY395" s="1991"/>
    </row>
    <row r="396" spans="27:51" x14ac:dyDescent="0.25">
      <c r="AA396" s="837"/>
      <c r="AB396" s="837"/>
      <c r="AC396" s="1390"/>
      <c r="AD396" s="1389"/>
      <c r="AE396" s="1385"/>
      <c r="AF396" s="837"/>
      <c r="AG396" s="1385"/>
      <c r="AH396" s="1385"/>
      <c r="AI396" s="837"/>
      <c r="AJ396" s="837"/>
      <c r="AK396" s="837"/>
      <c r="AL396" s="837"/>
      <c r="AM396" s="837"/>
      <c r="AN396" s="837"/>
      <c r="AO396" s="837"/>
      <c r="AP396" s="837"/>
      <c r="AQ396" s="1991"/>
      <c r="AR396" s="1991"/>
      <c r="AS396" s="1991"/>
      <c r="AT396" s="1991"/>
      <c r="AU396" s="1991"/>
      <c r="AV396" s="1991"/>
      <c r="AW396" s="1991"/>
      <c r="AX396" s="1991"/>
      <c r="AY396" s="1991"/>
    </row>
    <row r="397" spans="27:51" x14ac:dyDescent="0.25">
      <c r="AA397" s="837"/>
      <c r="AB397" s="837"/>
      <c r="AC397" s="1390"/>
      <c r="AD397" s="1389"/>
      <c r="AE397" s="1385"/>
      <c r="AF397" s="837"/>
      <c r="AG397" s="1385"/>
      <c r="AH397" s="1385"/>
      <c r="AI397" s="837"/>
      <c r="AJ397" s="837"/>
      <c r="AK397" s="837"/>
      <c r="AL397" s="837"/>
      <c r="AM397" s="837"/>
      <c r="AN397" s="837"/>
      <c r="AO397" s="837"/>
      <c r="AP397" s="837"/>
      <c r="AQ397" s="1991"/>
      <c r="AR397" s="1991"/>
      <c r="AS397" s="1991"/>
      <c r="AT397" s="1991"/>
      <c r="AU397" s="1991"/>
      <c r="AV397" s="1991"/>
      <c r="AW397" s="1991"/>
      <c r="AX397" s="1991"/>
      <c r="AY397" s="1991"/>
    </row>
    <row r="398" spans="27:51" x14ac:dyDescent="0.25">
      <c r="AA398" s="837"/>
      <c r="AB398" s="837"/>
      <c r="AC398" s="1390"/>
      <c r="AD398" s="1389"/>
      <c r="AE398" s="1385"/>
      <c r="AF398" s="837"/>
      <c r="AG398" s="1385"/>
      <c r="AH398" s="1385"/>
      <c r="AI398" s="837"/>
      <c r="AJ398" s="837"/>
      <c r="AK398" s="837"/>
      <c r="AL398" s="837"/>
      <c r="AM398" s="837"/>
      <c r="AN398" s="837"/>
      <c r="AO398" s="837"/>
      <c r="AP398" s="837"/>
      <c r="AQ398" s="1991"/>
      <c r="AR398" s="1991"/>
      <c r="AS398" s="1991"/>
      <c r="AT398" s="1991"/>
      <c r="AU398" s="1991"/>
      <c r="AV398" s="1991"/>
      <c r="AW398" s="1991"/>
      <c r="AX398" s="1991"/>
      <c r="AY398" s="1991"/>
    </row>
    <row r="399" spans="27:51" x14ac:dyDescent="0.25">
      <c r="AA399" s="837"/>
      <c r="AB399" s="837"/>
      <c r="AC399" s="1390"/>
      <c r="AD399" s="1389"/>
      <c r="AE399" s="1385"/>
      <c r="AF399" s="837"/>
      <c r="AG399" s="1385"/>
      <c r="AH399" s="1385"/>
      <c r="AI399" s="837"/>
      <c r="AJ399" s="837"/>
      <c r="AK399" s="837"/>
      <c r="AL399" s="837"/>
      <c r="AM399" s="837"/>
      <c r="AN399" s="837"/>
      <c r="AO399" s="837"/>
      <c r="AP399" s="837"/>
      <c r="AQ399" s="1991"/>
      <c r="AR399" s="1991"/>
      <c r="AS399" s="1991"/>
      <c r="AT399" s="1991"/>
      <c r="AU399" s="1991"/>
      <c r="AV399" s="1991"/>
      <c r="AW399" s="1991"/>
      <c r="AX399" s="1991"/>
      <c r="AY399" s="1991"/>
    </row>
    <row r="400" spans="27:51" x14ac:dyDescent="0.25">
      <c r="AA400" s="1991"/>
      <c r="AB400" s="1991"/>
      <c r="AC400" s="1991"/>
      <c r="AD400" s="1991"/>
      <c r="AE400" s="1991"/>
      <c r="AF400" s="1991"/>
      <c r="AG400" s="1991"/>
      <c r="AH400" s="1991"/>
      <c r="AI400" s="1991"/>
      <c r="AJ400" s="1991"/>
      <c r="AK400" s="1991"/>
      <c r="AL400" s="1991"/>
      <c r="AM400" s="1991"/>
      <c r="AN400" s="1991"/>
      <c r="AO400" s="1991"/>
      <c r="AP400" s="1991"/>
      <c r="AQ400" s="1991"/>
      <c r="AR400" s="1991"/>
      <c r="AS400" s="1991"/>
      <c r="AT400" s="1991"/>
      <c r="AU400" s="1991"/>
      <c r="AV400" s="1991"/>
      <c r="AW400" s="1991"/>
      <c r="AX400" s="1991"/>
      <c r="AY400" s="1991"/>
    </row>
    <row r="401" spans="27:51" x14ac:dyDescent="0.25">
      <c r="AA401" s="1991"/>
      <c r="AB401" s="1991"/>
      <c r="AC401" s="1991"/>
      <c r="AD401" s="1991"/>
      <c r="AE401" s="1991"/>
      <c r="AF401" s="1991"/>
      <c r="AG401" s="1991"/>
      <c r="AH401" s="1991"/>
      <c r="AI401" s="1991"/>
      <c r="AJ401" s="1991"/>
      <c r="AK401" s="1991"/>
      <c r="AL401" s="1991"/>
      <c r="AM401" s="1991"/>
      <c r="AN401" s="1991"/>
      <c r="AO401" s="1991"/>
      <c r="AP401" s="1991"/>
      <c r="AQ401" s="1991"/>
      <c r="AR401" s="1991"/>
      <c r="AS401" s="1991"/>
      <c r="AT401" s="1991"/>
      <c r="AU401" s="1991"/>
      <c r="AV401" s="1991"/>
      <c r="AW401" s="1991"/>
      <c r="AX401" s="1991"/>
      <c r="AY401" s="1991"/>
    </row>
    <row r="402" spans="27:51" x14ac:dyDescent="0.25">
      <c r="AA402" s="1991"/>
      <c r="AB402" s="1991"/>
      <c r="AC402" s="1991"/>
      <c r="AD402" s="1991"/>
      <c r="AE402" s="1991"/>
      <c r="AF402" s="1991"/>
      <c r="AG402" s="1991"/>
      <c r="AH402" s="1991"/>
      <c r="AI402" s="1991"/>
      <c r="AJ402" s="1991"/>
      <c r="AK402" s="1991"/>
      <c r="AL402" s="1991"/>
      <c r="AM402" s="1991"/>
      <c r="AN402" s="1991"/>
      <c r="AO402" s="1991"/>
      <c r="AP402" s="1991"/>
      <c r="AQ402" s="1991"/>
      <c r="AR402" s="1991"/>
      <c r="AS402" s="1991"/>
      <c r="AT402" s="1991"/>
      <c r="AU402" s="1991"/>
      <c r="AV402" s="1991"/>
      <c r="AW402" s="1991"/>
      <c r="AX402" s="1991"/>
      <c r="AY402" s="1991"/>
    </row>
    <row r="403" spans="27:51" x14ac:dyDescent="0.25">
      <c r="AA403" s="1991"/>
      <c r="AB403" s="1991"/>
      <c r="AC403" s="1991"/>
      <c r="AD403" s="1991"/>
      <c r="AE403" s="1991"/>
      <c r="AF403" s="1991"/>
      <c r="AG403" s="1991"/>
      <c r="AH403" s="1991"/>
      <c r="AI403" s="1991"/>
      <c r="AJ403" s="1991"/>
      <c r="AK403" s="1991"/>
      <c r="AL403" s="1991"/>
      <c r="AM403" s="1991"/>
      <c r="AN403" s="1991"/>
      <c r="AO403" s="1991"/>
      <c r="AP403" s="1991"/>
      <c r="AQ403" s="1991"/>
      <c r="AR403" s="1991"/>
      <c r="AS403" s="1991"/>
      <c r="AT403" s="1991"/>
      <c r="AU403" s="837"/>
      <c r="AV403" s="1991"/>
      <c r="AW403" s="1991"/>
      <c r="AX403" s="1991"/>
      <c r="AY403" s="1991"/>
    </row>
    <row r="404" spans="27:51" x14ac:dyDescent="0.25">
      <c r="AA404" s="1991"/>
      <c r="AB404" s="1991"/>
      <c r="AC404" s="1991"/>
      <c r="AD404" s="1991"/>
      <c r="AE404" s="1991"/>
      <c r="AF404" s="1991"/>
      <c r="AG404" s="1991"/>
      <c r="AH404" s="1991"/>
      <c r="AI404" s="1991"/>
      <c r="AJ404" s="1991"/>
      <c r="AK404" s="1991"/>
      <c r="AL404" s="1991"/>
      <c r="AM404" s="1991"/>
      <c r="AN404" s="1991"/>
      <c r="AO404" s="1991"/>
      <c r="AP404" s="1991"/>
      <c r="AQ404" s="1991"/>
      <c r="AR404" s="1991"/>
      <c r="AS404" s="1991"/>
      <c r="AT404" s="1991"/>
      <c r="AU404" s="837"/>
      <c r="AV404" s="1991"/>
      <c r="AW404" s="1991"/>
      <c r="AX404" s="1991"/>
      <c r="AY404" s="1991"/>
    </row>
    <row r="405" spans="27:51" x14ac:dyDescent="0.25">
      <c r="AA405" s="1991"/>
      <c r="AB405" s="1991"/>
      <c r="AC405" s="1991"/>
      <c r="AD405" s="1991"/>
      <c r="AE405" s="1991"/>
      <c r="AF405" s="1991"/>
      <c r="AG405" s="1991"/>
      <c r="AH405" s="1991"/>
      <c r="AI405" s="1991"/>
      <c r="AJ405" s="1991"/>
      <c r="AK405" s="1991"/>
      <c r="AL405" s="1991"/>
      <c r="AM405" s="1991"/>
      <c r="AN405" s="1991"/>
      <c r="AO405" s="1991"/>
      <c r="AP405" s="1991"/>
      <c r="AQ405" s="1991"/>
      <c r="AR405" s="1991"/>
      <c r="AS405" s="1991"/>
      <c r="AT405" s="1991"/>
      <c r="AU405" s="837"/>
      <c r="AV405" s="1991"/>
      <c r="AW405" s="1991"/>
      <c r="AX405" s="1991"/>
      <c r="AY405" s="1991"/>
    </row>
    <row r="406" spans="27:51" x14ac:dyDescent="0.25">
      <c r="AA406" s="1991"/>
      <c r="AB406" s="1991"/>
      <c r="AC406" s="1991"/>
      <c r="AD406" s="1991"/>
      <c r="AE406" s="1991"/>
      <c r="AF406" s="1991"/>
      <c r="AG406" s="1991"/>
      <c r="AH406" s="1991"/>
      <c r="AI406" s="1991"/>
      <c r="AJ406" s="1991"/>
      <c r="AK406" s="1991"/>
      <c r="AL406" s="1991"/>
      <c r="AM406" s="1991"/>
      <c r="AN406" s="1991"/>
      <c r="AO406" s="1991"/>
      <c r="AP406" s="1991"/>
      <c r="AQ406" s="1991"/>
      <c r="AR406" s="1991"/>
      <c r="AS406" s="1991"/>
      <c r="AT406" s="1991"/>
      <c r="AU406" s="837"/>
      <c r="AV406" s="1991"/>
      <c r="AW406" s="1991"/>
      <c r="AX406" s="1991"/>
      <c r="AY406" s="1991"/>
    </row>
    <row r="407" spans="27:51" x14ac:dyDescent="0.25">
      <c r="AA407" s="1991"/>
      <c r="AB407" s="1991"/>
      <c r="AC407" s="1991"/>
      <c r="AD407" s="1991"/>
      <c r="AE407" s="1991"/>
      <c r="AF407" s="1991"/>
      <c r="AG407" s="1991"/>
      <c r="AH407" s="1991"/>
      <c r="AI407" s="1991"/>
      <c r="AJ407" s="1991"/>
      <c r="AK407" s="1991"/>
      <c r="AL407" s="1991"/>
      <c r="AM407" s="1991"/>
      <c r="AN407" s="1991"/>
      <c r="AO407" s="1991"/>
      <c r="AP407" s="1991"/>
      <c r="AQ407" s="1991"/>
      <c r="AR407" s="1991"/>
      <c r="AS407" s="1991"/>
      <c r="AT407" s="1991"/>
      <c r="AU407" s="837"/>
      <c r="AV407" s="1991"/>
      <c r="AW407" s="1991"/>
      <c r="AX407" s="1991"/>
      <c r="AY407" s="1991"/>
    </row>
    <row r="408" spans="27:51" x14ac:dyDescent="0.25">
      <c r="AA408" s="1991"/>
      <c r="AB408" s="1991"/>
      <c r="AC408" s="1991"/>
      <c r="AD408" s="1991"/>
      <c r="AE408" s="1991"/>
      <c r="AF408" s="1991"/>
      <c r="AG408" s="1991"/>
      <c r="AH408" s="1991"/>
      <c r="AI408" s="1991"/>
      <c r="AJ408" s="1991"/>
      <c r="AK408" s="1991"/>
      <c r="AL408" s="1991"/>
      <c r="AM408" s="1991"/>
      <c r="AN408" s="1991"/>
      <c r="AO408" s="1991"/>
      <c r="AP408" s="1991"/>
      <c r="AQ408" s="1991"/>
      <c r="AR408" s="1991"/>
      <c r="AS408" s="1991"/>
      <c r="AT408" s="1991"/>
      <c r="AU408" s="837"/>
      <c r="AV408" s="1991"/>
      <c r="AW408" s="1991"/>
      <c r="AX408" s="1991"/>
      <c r="AY408" s="1991"/>
    </row>
    <row r="409" spans="27:51" x14ac:dyDescent="0.25">
      <c r="AA409" s="1991"/>
      <c r="AB409" s="1991"/>
      <c r="AC409" s="1991"/>
      <c r="AD409" s="1991"/>
      <c r="AE409" s="1991"/>
      <c r="AF409" s="1991"/>
      <c r="AG409" s="1991"/>
      <c r="AH409" s="1991"/>
      <c r="AI409" s="1991"/>
      <c r="AJ409" s="1991"/>
      <c r="AK409" s="1991"/>
      <c r="AL409" s="1991"/>
      <c r="AM409" s="1991"/>
      <c r="AN409" s="1991"/>
      <c r="AO409" s="1991"/>
      <c r="AP409" s="1991"/>
      <c r="AQ409" s="1991"/>
      <c r="AR409" s="1991"/>
      <c r="AS409" s="1991"/>
      <c r="AT409" s="1991"/>
      <c r="AU409" s="837"/>
      <c r="AV409" s="1991"/>
      <c r="AW409" s="1991"/>
      <c r="AX409" s="1991"/>
      <c r="AY409" s="1991"/>
    </row>
    <row r="410" spans="27:51" x14ac:dyDescent="0.25">
      <c r="AA410" s="1991"/>
      <c r="AB410" s="1991"/>
      <c r="AC410" s="1991"/>
      <c r="AD410" s="1991"/>
      <c r="AE410" s="1991"/>
      <c r="AF410" s="1991"/>
      <c r="AG410" s="1991"/>
      <c r="AH410" s="1991"/>
      <c r="AI410" s="1991"/>
      <c r="AJ410" s="1991"/>
      <c r="AK410" s="1991"/>
      <c r="AL410" s="1991"/>
      <c r="AM410" s="1991"/>
      <c r="AN410" s="1991"/>
      <c r="AO410" s="1991"/>
      <c r="AP410" s="1991"/>
      <c r="AQ410" s="1991"/>
      <c r="AR410" s="1991"/>
      <c r="AS410" s="1991"/>
      <c r="AT410" s="1991"/>
      <c r="AU410" s="837"/>
      <c r="AV410" s="1991"/>
      <c r="AW410" s="1991"/>
      <c r="AX410" s="1991"/>
      <c r="AY410" s="1991"/>
    </row>
    <row r="411" spans="27:51" x14ac:dyDescent="0.25">
      <c r="AA411" s="1991"/>
      <c r="AB411" s="1991"/>
      <c r="AC411" s="1991"/>
      <c r="AD411" s="1991"/>
      <c r="AE411" s="1991"/>
      <c r="AF411" s="1991"/>
      <c r="AG411" s="1991"/>
      <c r="AH411" s="1991"/>
      <c r="AI411" s="1991"/>
      <c r="AJ411" s="1991"/>
      <c r="AK411" s="1991"/>
      <c r="AL411" s="1991"/>
      <c r="AM411" s="1991"/>
      <c r="AN411" s="1991"/>
      <c r="AO411" s="1991"/>
      <c r="AP411" s="1991"/>
      <c r="AQ411" s="1991"/>
      <c r="AR411" s="1991"/>
      <c r="AS411" s="1991"/>
      <c r="AT411" s="1991"/>
      <c r="AU411" s="837"/>
      <c r="AV411" s="1991"/>
      <c r="AW411" s="1991"/>
      <c r="AX411" s="1991"/>
      <c r="AY411" s="1991"/>
    </row>
    <row r="412" spans="27:51" x14ac:dyDescent="0.25">
      <c r="AA412" s="1991"/>
      <c r="AB412" s="1991"/>
      <c r="AC412" s="1991"/>
      <c r="AD412" s="1991"/>
      <c r="AE412" s="1991"/>
      <c r="AF412" s="1991"/>
      <c r="AG412" s="1991"/>
      <c r="AH412" s="1991"/>
      <c r="AI412" s="1991"/>
      <c r="AJ412" s="1991"/>
      <c r="AK412" s="1991"/>
      <c r="AL412" s="1991"/>
      <c r="AM412" s="1991"/>
      <c r="AN412" s="1991"/>
      <c r="AO412" s="1991"/>
      <c r="AP412" s="1991"/>
      <c r="AQ412" s="1991"/>
      <c r="AR412" s="1991"/>
      <c r="AS412" s="1991"/>
      <c r="AT412" s="1991"/>
      <c r="AU412" s="837"/>
      <c r="AV412" s="1991"/>
      <c r="AW412" s="1991"/>
      <c r="AX412" s="1991"/>
      <c r="AY412" s="1991"/>
    </row>
    <row r="413" spans="27:51" x14ac:dyDescent="0.25">
      <c r="AA413" s="1991"/>
      <c r="AB413" s="1991"/>
      <c r="AC413" s="1991"/>
      <c r="AD413" s="1991"/>
      <c r="AE413" s="1991"/>
      <c r="AF413" s="1991"/>
      <c r="AG413" s="1991"/>
      <c r="AH413" s="1991"/>
      <c r="AI413" s="1991"/>
      <c r="AJ413" s="1991"/>
      <c r="AK413" s="1991"/>
      <c r="AL413" s="1991"/>
      <c r="AM413" s="1991"/>
      <c r="AN413" s="1991"/>
      <c r="AO413" s="1991"/>
      <c r="AP413" s="1991"/>
      <c r="AQ413" s="1991"/>
      <c r="AR413" s="1991"/>
      <c r="AS413" s="1991"/>
      <c r="AT413" s="1991"/>
      <c r="AU413" s="837"/>
      <c r="AV413" s="1991"/>
      <c r="AW413" s="1991"/>
      <c r="AX413" s="1991"/>
      <c r="AY413" s="1991"/>
    </row>
    <row r="414" spans="27:51" x14ac:dyDescent="0.25">
      <c r="AA414" s="1991"/>
      <c r="AB414" s="1991"/>
      <c r="AC414" s="1991"/>
      <c r="AD414" s="1991"/>
      <c r="AE414" s="1991"/>
      <c r="AF414" s="1991"/>
      <c r="AG414" s="1991"/>
      <c r="AH414" s="1991"/>
      <c r="AI414" s="1991"/>
      <c r="AJ414" s="1991"/>
      <c r="AK414" s="1991"/>
      <c r="AL414" s="1991"/>
      <c r="AM414" s="1991"/>
      <c r="AN414" s="1991"/>
      <c r="AO414" s="1991"/>
      <c r="AP414" s="1991"/>
      <c r="AQ414" s="1991"/>
      <c r="AR414" s="1991"/>
      <c r="AS414" s="1991"/>
      <c r="AT414" s="1991"/>
      <c r="AU414" s="837"/>
      <c r="AV414" s="1991"/>
      <c r="AW414" s="1991"/>
      <c r="AX414" s="1991"/>
      <c r="AY414" s="1991"/>
    </row>
    <row r="415" spans="27:51" x14ac:dyDescent="0.25">
      <c r="AA415" s="1991"/>
      <c r="AB415" s="1991"/>
      <c r="AC415" s="1991"/>
      <c r="AD415" s="1991"/>
      <c r="AE415" s="1991"/>
      <c r="AF415" s="1991"/>
      <c r="AG415" s="1991"/>
      <c r="AH415" s="1991"/>
      <c r="AI415" s="1991"/>
      <c r="AJ415" s="1991"/>
      <c r="AK415" s="1991"/>
      <c r="AL415" s="1991"/>
      <c r="AM415" s="1991"/>
      <c r="AN415" s="1991"/>
      <c r="AO415" s="1991"/>
      <c r="AP415" s="1991"/>
      <c r="AQ415" s="1991"/>
      <c r="AR415" s="1991"/>
      <c r="AS415" s="1991"/>
      <c r="AT415" s="1991"/>
      <c r="AU415" s="837"/>
      <c r="AV415" s="1991"/>
      <c r="AW415" s="1991"/>
      <c r="AX415" s="1991"/>
      <c r="AY415" s="1991"/>
    </row>
    <row r="416" spans="27:51" x14ac:dyDescent="0.25">
      <c r="AA416" s="1991"/>
      <c r="AB416" s="1991"/>
      <c r="AC416" s="1991"/>
      <c r="AD416" s="1991"/>
      <c r="AE416" s="1991"/>
      <c r="AF416" s="1991"/>
      <c r="AG416" s="1991"/>
      <c r="AH416" s="1991"/>
      <c r="AI416" s="1991"/>
      <c r="AJ416" s="1991"/>
      <c r="AK416" s="1991"/>
      <c r="AL416" s="1991"/>
      <c r="AM416" s="1991"/>
      <c r="AN416" s="1991"/>
      <c r="AO416" s="1991"/>
      <c r="AP416" s="1991"/>
      <c r="AQ416" s="1991"/>
      <c r="AR416" s="1991"/>
      <c r="AS416" s="1991"/>
      <c r="AT416" s="1991"/>
      <c r="AU416" s="837"/>
      <c r="AV416" s="1991"/>
      <c r="AW416" s="1991"/>
      <c r="AX416" s="1991"/>
      <c r="AY416" s="1991"/>
    </row>
    <row r="417" spans="27:51" x14ac:dyDescent="0.25">
      <c r="AA417" s="1991"/>
      <c r="AB417" s="1991"/>
      <c r="AC417" s="1991"/>
      <c r="AD417" s="1991"/>
      <c r="AE417" s="1991"/>
      <c r="AF417" s="1991"/>
      <c r="AG417" s="1991"/>
      <c r="AH417" s="1991"/>
      <c r="AI417" s="1991"/>
      <c r="AJ417" s="1991"/>
      <c r="AK417" s="1991"/>
      <c r="AL417" s="1991"/>
      <c r="AM417" s="1991"/>
      <c r="AN417" s="1991"/>
      <c r="AO417" s="1991"/>
      <c r="AP417" s="1991"/>
      <c r="AQ417" s="1991"/>
      <c r="AR417" s="1991"/>
      <c r="AS417" s="1991"/>
      <c r="AT417" s="1991"/>
      <c r="AU417" s="837"/>
      <c r="AV417" s="1991"/>
      <c r="AW417" s="1991"/>
      <c r="AX417" s="1991"/>
      <c r="AY417" s="1991"/>
    </row>
    <row r="418" spans="27:51" x14ac:dyDescent="0.25">
      <c r="AA418" s="1991"/>
      <c r="AB418" s="1991"/>
      <c r="AC418" s="1991"/>
      <c r="AD418" s="1991"/>
      <c r="AE418" s="1991"/>
      <c r="AF418" s="1991"/>
      <c r="AG418" s="1991"/>
      <c r="AH418" s="1991"/>
      <c r="AI418" s="1991"/>
      <c r="AJ418" s="1991"/>
      <c r="AK418" s="1991"/>
      <c r="AL418" s="1991"/>
      <c r="AM418" s="1991"/>
      <c r="AN418" s="1991"/>
      <c r="AO418" s="1991"/>
      <c r="AP418" s="1991"/>
      <c r="AQ418" s="1991"/>
      <c r="AR418" s="1991"/>
      <c r="AS418" s="1991"/>
      <c r="AT418" s="1991"/>
      <c r="AU418" s="837"/>
      <c r="AV418" s="1991"/>
      <c r="AW418" s="1991"/>
      <c r="AX418" s="1991"/>
      <c r="AY418" s="1991"/>
    </row>
    <row r="419" spans="27:51" x14ac:dyDescent="0.25">
      <c r="AA419" s="1991"/>
      <c r="AB419" s="1991"/>
      <c r="AC419" s="1991"/>
      <c r="AD419" s="1991"/>
      <c r="AE419" s="1991"/>
      <c r="AF419" s="1991"/>
      <c r="AG419" s="1991"/>
      <c r="AH419" s="1991"/>
      <c r="AI419" s="1991"/>
      <c r="AJ419" s="1991"/>
      <c r="AK419" s="1991"/>
      <c r="AL419" s="1991"/>
      <c r="AM419" s="1991"/>
      <c r="AN419" s="1991"/>
      <c r="AO419" s="837"/>
      <c r="AP419" s="837"/>
      <c r="AQ419" s="837"/>
      <c r="AR419" s="837"/>
      <c r="AS419" s="837"/>
      <c r="AT419" s="837"/>
      <c r="AU419" s="837"/>
      <c r="AV419" s="1991"/>
      <c r="AW419" s="1991"/>
      <c r="AX419" s="1991"/>
      <c r="AY419" s="1991"/>
    </row>
    <row r="420" spans="27:51" x14ac:dyDescent="0.25">
      <c r="AA420" s="1991"/>
      <c r="AB420" s="1991"/>
      <c r="AC420" s="1991"/>
      <c r="AD420" s="1991"/>
      <c r="AE420" s="1991"/>
      <c r="AF420" s="1991"/>
      <c r="AG420" s="1991"/>
      <c r="AH420" s="1991"/>
      <c r="AI420" s="1991"/>
      <c r="AJ420" s="1991"/>
      <c r="AK420" s="1991"/>
      <c r="AL420" s="1991"/>
      <c r="AM420" s="1991"/>
      <c r="AN420" s="1991"/>
      <c r="AO420" s="837"/>
      <c r="AP420" s="837"/>
      <c r="AQ420" s="837"/>
      <c r="AR420" s="837"/>
      <c r="AS420" s="837"/>
      <c r="AT420" s="837"/>
      <c r="AU420" s="837"/>
      <c r="AV420" s="1991"/>
      <c r="AW420" s="1991"/>
      <c r="AX420" s="1991"/>
      <c r="AY420" s="1991"/>
    </row>
    <row r="421" spans="27:51" x14ac:dyDescent="0.25">
      <c r="AA421" s="1991"/>
      <c r="AB421" s="1991"/>
      <c r="AC421" s="1991"/>
      <c r="AD421" s="1991"/>
      <c r="AE421" s="1991"/>
      <c r="AF421" s="1991"/>
      <c r="AG421" s="1991"/>
      <c r="AH421" s="1991"/>
      <c r="AI421" s="1991"/>
      <c r="AJ421" s="1991"/>
      <c r="AK421" s="1991"/>
      <c r="AL421" s="1991"/>
      <c r="AM421" s="1991"/>
      <c r="AN421" s="1991"/>
      <c r="AO421" s="837"/>
      <c r="AP421" s="837"/>
      <c r="AQ421" s="837"/>
      <c r="AR421" s="837"/>
      <c r="AS421" s="837"/>
      <c r="AT421" s="837"/>
      <c r="AU421" s="837"/>
      <c r="AV421" s="1991"/>
      <c r="AW421" s="1991"/>
      <c r="AX421" s="1991"/>
      <c r="AY421" s="1991"/>
    </row>
    <row r="422" spans="27:51" x14ac:dyDescent="0.25">
      <c r="AA422" s="1991"/>
      <c r="AB422" s="1991"/>
      <c r="AC422" s="1991"/>
      <c r="AD422" s="1991"/>
      <c r="AE422" s="1991"/>
      <c r="AF422" s="1991"/>
      <c r="AG422" s="1991"/>
      <c r="AH422" s="1991"/>
      <c r="AI422" s="1991"/>
      <c r="AJ422" s="1991"/>
      <c r="AK422" s="1991"/>
      <c r="AL422" s="1991"/>
      <c r="AM422" s="1991"/>
      <c r="AN422" s="1991"/>
      <c r="AO422" s="837"/>
      <c r="AP422" s="837"/>
      <c r="AQ422" s="837"/>
      <c r="AR422" s="837"/>
      <c r="AS422" s="837"/>
      <c r="AT422" s="837"/>
      <c r="AU422" s="837"/>
      <c r="AV422" s="1991"/>
      <c r="AW422" s="1991"/>
      <c r="AX422" s="1991"/>
      <c r="AY422" s="1991"/>
    </row>
    <row r="423" spans="27:51" x14ac:dyDescent="0.25">
      <c r="AA423" s="1991"/>
      <c r="AB423" s="1991"/>
      <c r="AC423" s="1991"/>
      <c r="AD423" s="1991"/>
      <c r="AE423" s="1991"/>
      <c r="AF423" s="1991"/>
      <c r="AG423" s="1991"/>
      <c r="AH423" s="1991"/>
      <c r="AI423" s="1991"/>
      <c r="AJ423" s="1991"/>
      <c r="AK423" s="1991"/>
      <c r="AL423" s="1991"/>
      <c r="AM423" s="1991"/>
      <c r="AN423" s="1991"/>
      <c r="AO423" s="837"/>
      <c r="AP423" s="837"/>
      <c r="AQ423" s="837"/>
      <c r="AR423" s="837"/>
      <c r="AS423" s="837"/>
      <c r="AT423" s="837"/>
      <c r="AU423" s="837"/>
      <c r="AV423" s="1991"/>
      <c r="AW423" s="1991"/>
      <c r="AX423" s="1991"/>
      <c r="AY423" s="1991"/>
    </row>
    <row r="424" spans="27:51" x14ac:dyDescent="0.25">
      <c r="AA424" s="1991"/>
      <c r="AB424" s="1991"/>
      <c r="AC424" s="1991"/>
      <c r="AD424" s="1991"/>
      <c r="AE424" s="1991"/>
      <c r="AF424" s="1991"/>
      <c r="AG424" s="1991"/>
      <c r="AH424" s="1991"/>
      <c r="AI424" s="1991"/>
      <c r="AJ424" s="1991"/>
      <c r="AK424" s="1991"/>
      <c r="AL424" s="1991"/>
      <c r="AM424" s="1991"/>
      <c r="AN424" s="1991"/>
      <c r="AO424" s="837"/>
      <c r="AP424" s="837"/>
      <c r="AQ424" s="837"/>
      <c r="AR424" s="837"/>
      <c r="AS424" s="837"/>
      <c r="AT424" s="837"/>
      <c r="AU424" s="837"/>
      <c r="AV424" s="1991"/>
      <c r="AW424" s="1991"/>
      <c r="AX424" s="1991"/>
      <c r="AY424" s="1991"/>
    </row>
    <row r="425" spans="27:51" x14ac:dyDescent="0.25">
      <c r="AA425" s="1991"/>
      <c r="AB425" s="1991"/>
      <c r="AC425" s="1991"/>
      <c r="AD425" s="1991"/>
      <c r="AE425" s="1991"/>
      <c r="AF425" s="1991"/>
      <c r="AG425" s="1991"/>
      <c r="AH425" s="1991"/>
      <c r="AI425" s="1991"/>
      <c r="AJ425" s="1991"/>
      <c r="AK425" s="1991"/>
      <c r="AL425" s="1991"/>
      <c r="AM425" s="1991"/>
      <c r="AN425" s="1991"/>
      <c r="AO425" s="837"/>
      <c r="AP425" s="837"/>
      <c r="AQ425" s="837"/>
      <c r="AR425" s="837"/>
      <c r="AS425" s="837"/>
      <c r="AT425" s="837"/>
      <c r="AU425" s="837"/>
      <c r="AV425" s="1991"/>
      <c r="AW425" s="1991"/>
      <c r="AX425" s="1991"/>
      <c r="AY425" s="1991"/>
    </row>
    <row r="426" spans="27:51" x14ac:dyDescent="0.25">
      <c r="AA426" s="1991"/>
      <c r="AB426" s="1991"/>
      <c r="AC426" s="1991"/>
      <c r="AD426" s="1991"/>
      <c r="AE426" s="1991"/>
      <c r="AF426" s="1991"/>
      <c r="AG426" s="1991"/>
      <c r="AH426" s="1991"/>
      <c r="AI426" s="1991"/>
      <c r="AJ426" s="1991"/>
      <c r="AK426" s="1991"/>
      <c r="AL426" s="1991"/>
      <c r="AM426" s="1991"/>
      <c r="AN426" s="1991"/>
      <c r="AO426" s="837"/>
      <c r="AP426" s="837"/>
      <c r="AQ426" s="837"/>
      <c r="AR426" s="837"/>
      <c r="AS426" s="837"/>
      <c r="AT426" s="837"/>
      <c r="AU426" s="837"/>
      <c r="AV426" s="1991"/>
      <c r="AW426" s="1991"/>
      <c r="AX426" s="1991"/>
      <c r="AY426" s="1991"/>
    </row>
    <row r="427" spans="27:51" x14ac:dyDescent="0.25">
      <c r="AA427" s="1991"/>
      <c r="AB427" s="1991"/>
      <c r="AC427" s="1991"/>
      <c r="AD427" s="1991"/>
      <c r="AE427" s="1991"/>
      <c r="AF427" s="1991"/>
      <c r="AG427" s="1991"/>
      <c r="AH427" s="1991"/>
      <c r="AI427" s="1991"/>
      <c r="AJ427" s="1991"/>
      <c r="AK427" s="1991"/>
      <c r="AL427" s="1991"/>
      <c r="AM427" s="1991"/>
      <c r="AN427" s="1991"/>
      <c r="AO427" s="1991"/>
      <c r="AP427" s="1991"/>
      <c r="AQ427" s="1991"/>
      <c r="AR427" s="1991"/>
      <c r="AS427" s="1991"/>
      <c r="AT427" s="1991"/>
      <c r="AU427" s="1991"/>
      <c r="AV427" s="1991"/>
      <c r="AW427" s="1991"/>
      <c r="AX427" s="1991"/>
      <c r="AY427" s="1991"/>
    </row>
    <row r="428" spans="27:51" x14ac:dyDescent="0.25">
      <c r="AA428" s="1991"/>
      <c r="AB428" s="1991"/>
      <c r="AC428" s="1991"/>
      <c r="AD428" s="1991"/>
      <c r="AE428" s="1991"/>
      <c r="AF428" s="1991"/>
      <c r="AG428" s="1991"/>
      <c r="AH428" s="1991"/>
      <c r="AI428" s="1991"/>
      <c r="AJ428" s="1991"/>
      <c r="AK428" s="1991"/>
      <c r="AL428" s="1991"/>
      <c r="AM428" s="1991"/>
      <c r="AN428" s="1991"/>
      <c r="AO428" s="1991"/>
      <c r="AP428" s="1991"/>
      <c r="AQ428" s="1991"/>
      <c r="AR428" s="1991"/>
      <c r="AS428" s="1991"/>
      <c r="AT428" s="1991"/>
      <c r="AU428" s="1991"/>
      <c r="AV428" s="1991"/>
      <c r="AW428" s="1991"/>
      <c r="AX428" s="1991"/>
      <c r="AY428" s="1991"/>
    </row>
    <row r="429" spans="27:51" x14ac:dyDescent="0.25">
      <c r="AA429" s="1991"/>
      <c r="AB429" s="1991"/>
      <c r="AC429" s="1991"/>
      <c r="AD429" s="1991"/>
      <c r="AE429" s="1991"/>
      <c r="AF429" s="1991"/>
      <c r="AG429" s="1991"/>
      <c r="AH429" s="1991"/>
      <c r="AI429" s="1991"/>
      <c r="AJ429" s="1991"/>
      <c r="AK429" s="1991"/>
      <c r="AL429" s="1991"/>
      <c r="AM429" s="1991"/>
      <c r="AN429" s="1991"/>
      <c r="AO429" s="1991"/>
      <c r="AP429" s="1991"/>
      <c r="AQ429" s="1991"/>
      <c r="AR429" s="1991"/>
      <c r="AS429" s="1991"/>
      <c r="AT429" s="1991"/>
      <c r="AU429" s="1991"/>
      <c r="AV429" s="1991"/>
      <c r="AW429" s="1991"/>
      <c r="AX429" s="1991"/>
      <c r="AY429" s="1991"/>
    </row>
    <row r="430" spans="27:51" x14ac:dyDescent="0.25">
      <c r="AA430" s="1991"/>
      <c r="AB430" s="1991"/>
      <c r="AC430" s="1991"/>
      <c r="AD430" s="1991"/>
      <c r="AE430" s="1991"/>
      <c r="AF430" s="1991"/>
      <c r="AG430" s="1991"/>
      <c r="AH430" s="1991"/>
      <c r="AI430" s="1991"/>
      <c r="AJ430" s="1991"/>
      <c r="AK430" s="1991"/>
      <c r="AL430" s="1991"/>
      <c r="AM430" s="1991"/>
      <c r="AN430" s="1991"/>
      <c r="AO430" s="1991"/>
      <c r="AP430" s="1991"/>
      <c r="AQ430" s="1991"/>
      <c r="AR430" s="1991"/>
      <c r="AS430" s="1991"/>
      <c r="AT430" s="1991"/>
      <c r="AU430" s="1991"/>
      <c r="AV430" s="1991"/>
      <c r="AW430" s="1991"/>
      <c r="AX430" s="1991"/>
      <c r="AY430" s="1991"/>
    </row>
    <row r="431" spans="27:51" x14ac:dyDescent="0.25">
      <c r="AA431" s="1991"/>
      <c r="AB431" s="1991"/>
      <c r="AC431" s="1991"/>
      <c r="AD431" s="1991"/>
      <c r="AE431" s="1991"/>
      <c r="AF431" s="1991"/>
      <c r="AG431" s="1991"/>
      <c r="AH431" s="1991"/>
      <c r="AI431" s="1991"/>
      <c r="AJ431" s="1991"/>
      <c r="AK431" s="1991"/>
      <c r="AL431" s="1991"/>
      <c r="AM431" s="1991"/>
      <c r="AN431" s="1991"/>
      <c r="AO431" s="1991"/>
      <c r="AP431" s="1991"/>
      <c r="AQ431" s="1991"/>
      <c r="AR431" s="1991"/>
      <c r="AS431" s="1991"/>
      <c r="AT431" s="1991"/>
      <c r="AU431" s="1991"/>
      <c r="AV431" s="1991"/>
      <c r="AW431" s="1991"/>
      <c r="AX431" s="1991"/>
      <c r="AY431" s="1991"/>
    </row>
    <row r="432" spans="27:51" x14ac:dyDescent="0.25">
      <c r="AA432" s="1991"/>
      <c r="AB432" s="1991"/>
      <c r="AC432" s="1991"/>
      <c r="AD432" s="1991"/>
      <c r="AE432" s="1991"/>
      <c r="AF432" s="1991"/>
      <c r="AG432" s="1991"/>
      <c r="AH432" s="1991"/>
      <c r="AI432" s="1991"/>
      <c r="AJ432" s="1991"/>
      <c r="AK432" s="1991"/>
      <c r="AL432" s="1991"/>
      <c r="AM432" s="1991"/>
      <c r="AN432" s="1991"/>
      <c r="AO432" s="1991"/>
      <c r="AP432" s="1991"/>
      <c r="AQ432" s="1991"/>
      <c r="AR432" s="1991"/>
      <c r="AS432" s="1991"/>
      <c r="AT432" s="1991"/>
      <c r="AU432" s="1991"/>
      <c r="AV432" s="1991"/>
      <c r="AW432" s="1991"/>
      <c r="AX432" s="1991"/>
      <c r="AY432" s="1991"/>
    </row>
    <row r="433" spans="27:51" x14ac:dyDescent="0.25">
      <c r="AA433" s="1991"/>
      <c r="AB433" s="1991"/>
      <c r="AC433" s="1991"/>
      <c r="AD433" s="1991"/>
      <c r="AE433" s="1991"/>
      <c r="AF433" s="1991"/>
      <c r="AG433" s="1991"/>
      <c r="AH433" s="1991"/>
      <c r="AI433" s="1991"/>
      <c r="AJ433" s="1991"/>
      <c r="AK433" s="1991"/>
      <c r="AL433" s="1991"/>
      <c r="AM433" s="1991"/>
      <c r="AN433" s="1991"/>
      <c r="AO433" s="1991"/>
      <c r="AP433" s="1991"/>
      <c r="AQ433" s="1991"/>
      <c r="AR433" s="1991"/>
      <c r="AS433" s="1991"/>
      <c r="AT433" s="1991"/>
      <c r="AU433" s="1991"/>
      <c r="AV433" s="1991"/>
      <c r="AW433" s="1991"/>
      <c r="AX433" s="1991"/>
      <c r="AY433" s="1991"/>
    </row>
    <row r="434" spans="27:51" x14ac:dyDescent="0.25">
      <c r="AA434" s="1991"/>
      <c r="AB434" s="1991"/>
      <c r="AC434" s="1991"/>
      <c r="AD434" s="1991"/>
      <c r="AE434" s="1991"/>
      <c r="AF434" s="1991"/>
      <c r="AG434" s="1991"/>
      <c r="AH434" s="1991"/>
      <c r="AI434" s="1991"/>
      <c r="AJ434" s="1991"/>
      <c r="AK434" s="1991"/>
      <c r="AL434" s="1991"/>
      <c r="AM434" s="1991"/>
      <c r="AN434" s="1991"/>
      <c r="AO434" s="1991"/>
      <c r="AP434" s="1991"/>
      <c r="AQ434" s="1991"/>
      <c r="AR434" s="1991"/>
      <c r="AS434" s="1991"/>
      <c r="AT434" s="1991"/>
      <c r="AU434" s="1991"/>
      <c r="AV434" s="1991"/>
      <c r="AW434" s="1991"/>
      <c r="AX434" s="1991"/>
      <c r="AY434" s="1991"/>
    </row>
    <row r="435" spans="27:51" x14ac:dyDescent="0.25">
      <c r="AA435" s="1991"/>
      <c r="AB435" s="1991"/>
      <c r="AC435" s="1991"/>
      <c r="AD435" s="1991"/>
      <c r="AE435" s="1991"/>
      <c r="AF435" s="1991"/>
      <c r="AG435" s="1991"/>
      <c r="AH435" s="1991"/>
      <c r="AI435" s="1991"/>
      <c r="AJ435" s="1991"/>
      <c r="AK435" s="1991"/>
      <c r="AL435" s="1991"/>
      <c r="AM435" s="1991"/>
      <c r="AN435" s="1991"/>
      <c r="AO435" s="1991"/>
      <c r="AP435" s="1991"/>
      <c r="AQ435" s="1991"/>
      <c r="AR435" s="1991"/>
      <c r="AS435" s="1991"/>
      <c r="AT435" s="1991"/>
      <c r="AU435" s="1991"/>
      <c r="AV435" s="1991"/>
      <c r="AW435" s="1991"/>
      <c r="AX435" s="1991"/>
      <c r="AY435" s="1991"/>
    </row>
    <row r="436" spans="27:51" x14ac:dyDescent="0.25">
      <c r="AA436" s="1991"/>
      <c r="AB436" s="1991"/>
      <c r="AC436" s="1991"/>
      <c r="AD436" s="1991"/>
      <c r="AE436" s="1991"/>
      <c r="AF436" s="1991"/>
      <c r="AG436" s="1991"/>
      <c r="AH436" s="1991"/>
      <c r="AI436" s="1991"/>
      <c r="AJ436" s="1991"/>
      <c r="AK436" s="1991"/>
      <c r="AL436" s="1991"/>
      <c r="AM436" s="1991"/>
      <c r="AN436" s="1991"/>
      <c r="AO436" s="1991"/>
      <c r="AP436" s="1991"/>
      <c r="AQ436" s="1991"/>
      <c r="AR436" s="1991"/>
      <c r="AS436" s="1991"/>
      <c r="AT436" s="1991"/>
      <c r="AU436" s="1991"/>
      <c r="AV436" s="1991"/>
      <c r="AW436" s="1991"/>
      <c r="AX436" s="1991"/>
      <c r="AY436" s="1991"/>
    </row>
    <row r="437" spans="27:51" x14ac:dyDescent="0.25">
      <c r="AA437" s="1991"/>
      <c r="AB437" s="1991"/>
      <c r="AC437" s="1991"/>
      <c r="AD437" s="1991"/>
      <c r="AE437" s="1991"/>
      <c r="AF437" s="1991"/>
      <c r="AG437" s="1991"/>
      <c r="AH437" s="1991"/>
      <c r="AI437" s="1991"/>
      <c r="AJ437" s="1991"/>
      <c r="AK437" s="1991"/>
      <c r="AL437" s="1991"/>
      <c r="AM437" s="1991"/>
      <c r="AN437" s="1991"/>
      <c r="AO437" s="1991"/>
      <c r="AP437" s="1991"/>
      <c r="AQ437" s="1991"/>
      <c r="AR437" s="1991"/>
      <c r="AS437" s="1991"/>
      <c r="AT437" s="1991"/>
      <c r="AU437" s="1991"/>
      <c r="AV437" s="1991"/>
      <c r="AW437" s="1991"/>
      <c r="AX437" s="1991"/>
      <c r="AY437" s="1991"/>
    </row>
    <row r="438" spans="27:51" x14ac:dyDescent="0.25">
      <c r="AA438" s="1991"/>
      <c r="AB438" s="1991"/>
      <c r="AC438" s="1991"/>
      <c r="AD438" s="1991"/>
      <c r="AE438" s="1991"/>
      <c r="AF438" s="1991"/>
      <c r="AG438" s="1991"/>
      <c r="AH438" s="1991"/>
      <c r="AI438" s="1991"/>
      <c r="AJ438" s="1991"/>
      <c r="AK438" s="1991"/>
      <c r="AL438" s="1991"/>
      <c r="AM438" s="1991"/>
      <c r="AN438" s="1991"/>
      <c r="AO438" s="1991"/>
      <c r="AP438" s="1991"/>
      <c r="AQ438" s="1991"/>
      <c r="AR438" s="1991"/>
      <c r="AS438" s="1991"/>
      <c r="AT438" s="1991"/>
      <c r="AU438" s="1991"/>
      <c r="AV438" s="1991"/>
      <c r="AW438" s="1991"/>
      <c r="AX438" s="1991"/>
      <c r="AY438" s="1991"/>
    </row>
    <row r="439" spans="27:51" x14ac:dyDescent="0.25">
      <c r="AA439" s="1991"/>
      <c r="AB439" s="1991"/>
      <c r="AC439" s="1991"/>
      <c r="AD439" s="1991"/>
      <c r="AE439" s="1991"/>
      <c r="AF439" s="1991"/>
      <c r="AG439" s="1991"/>
      <c r="AH439" s="1991"/>
      <c r="AI439" s="1991"/>
      <c r="AJ439" s="1991"/>
      <c r="AK439" s="1991"/>
      <c r="AL439" s="1991"/>
      <c r="AM439" s="1991"/>
      <c r="AN439" s="1991"/>
      <c r="AO439" s="1991"/>
      <c r="AP439" s="1991"/>
      <c r="AQ439" s="1991"/>
      <c r="AR439" s="1991"/>
      <c r="AS439" s="1991"/>
      <c r="AT439" s="1991"/>
      <c r="AU439" s="1991"/>
      <c r="AV439" s="1991"/>
      <c r="AW439" s="1991"/>
      <c r="AX439" s="1991"/>
      <c r="AY439" s="1991"/>
    </row>
    <row r="440" spans="27:51" x14ac:dyDescent="0.25">
      <c r="AA440" s="1991"/>
      <c r="AB440" s="1991"/>
      <c r="AC440" s="1991"/>
      <c r="AD440" s="1991"/>
      <c r="AE440" s="1991"/>
      <c r="AF440" s="1991"/>
      <c r="AG440" s="1991"/>
      <c r="AH440" s="1991"/>
      <c r="AI440" s="1991"/>
      <c r="AJ440" s="1991"/>
      <c r="AK440" s="1991"/>
      <c r="AL440" s="1991"/>
      <c r="AM440" s="1991"/>
      <c r="AN440" s="1991"/>
      <c r="AO440" s="1991"/>
      <c r="AP440" s="1991"/>
      <c r="AQ440" s="1991"/>
      <c r="AR440" s="1991"/>
      <c r="AS440" s="1991"/>
      <c r="AT440" s="1991"/>
      <c r="AU440" s="1991"/>
      <c r="AV440" s="1991"/>
      <c r="AW440" s="1991"/>
      <c r="AX440" s="1991"/>
      <c r="AY440" s="1991"/>
    </row>
    <row r="441" spans="27:51" x14ac:dyDescent="0.25">
      <c r="AA441" s="1991"/>
      <c r="AB441" s="1991"/>
      <c r="AC441" s="1991"/>
      <c r="AD441" s="1991"/>
      <c r="AE441" s="1991"/>
      <c r="AF441" s="1991"/>
      <c r="AG441" s="1991"/>
      <c r="AH441" s="1991"/>
      <c r="AI441" s="1991"/>
      <c r="AJ441" s="1991"/>
      <c r="AK441" s="1991"/>
      <c r="AL441" s="1991"/>
      <c r="AM441" s="1991"/>
      <c r="AN441" s="1991"/>
      <c r="AO441" s="1991"/>
      <c r="AP441" s="1991"/>
      <c r="AQ441" s="1991"/>
      <c r="AR441" s="1991"/>
      <c r="AS441" s="1991"/>
      <c r="AT441" s="1991"/>
      <c r="AU441" s="1991"/>
      <c r="AV441" s="1991"/>
      <c r="AW441" s="1991"/>
      <c r="AX441" s="1991"/>
      <c r="AY441" s="1991"/>
    </row>
    <row r="442" spans="27:51" x14ac:dyDescent="0.25">
      <c r="AA442" s="1991"/>
      <c r="AB442" s="1991"/>
      <c r="AC442" s="1991"/>
      <c r="AD442" s="1991"/>
      <c r="AE442" s="1991"/>
      <c r="AF442" s="1991"/>
      <c r="AG442" s="1991"/>
      <c r="AH442" s="1991"/>
      <c r="AI442" s="1991"/>
      <c r="AJ442" s="1991"/>
      <c r="AK442" s="1991"/>
      <c r="AL442" s="1991"/>
      <c r="AM442" s="1991"/>
      <c r="AN442" s="1991"/>
      <c r="AO442" s="1991"/>
      <c r="AP442" s="1991"/>
      <c r="AQ442" s="1991"/>
      <c r="AR442" s="1991"/>
      <c r="AS442" s="1991"/>
      <c r="AT442" s="1991"/>
      <c r="AU442" s="1991"/>
      <c r="AV442" s="1991"/>
      <c r="AW442" s="1991"/>
      <c r="AX442" s="1991"/>
      <c r="AY442" s="1991"/>
    </row>
    <row r="443" spans="27:51" x14ac:dyDescent="0.25">
      <c r="AA443" s="1991"/>
      <c r="AB443" s="1991"/>
      <c r="AC443" s="1991"/>
      <c r="AD443" s="1991"/>
      <c r="AE443" s="1991"/>
      <c r="AF443" s="1991"/>
      <c r="AG443" s="1991"/>
      <c r="AH443" s="1991"/>
      <c r="AI443" s="1991"/>
      <c r="AJ443" s="1991"/>
      <c r="AK443" s="1991"/>
      <c r="AL443" s="1991"/>
      <c r="AM443" s="1991"/>
      <c r="AN443" s="1991"/>
      <c r="AO443" s="1991"/>
      <c r="AP443" s="1991"/>
      <c r="AQ443" s="1991"/>
      <c r="AR443" s="1991"/>
      <c r="AS443" s="1991"/>
      <c r="AT443" s="1991"/>
      <c r="AU443" s="1991"/>
      <c r="AV443" s="1991"/>
      <c r="AW443" s="1991"/>
      <c r="AX443" s="1991"/>
      <c r="AY443" s="1991"/>
    </row>
    <row r="444" spans="27:51" x14ac:dyDescent="0.25">
      <c r="AA444" s="1991"/>
      <c r="AB444" s="1991"/>
      <c r="AC444" s="1991"/>
      <c r="AD444" s="1991"/>
      <c r="AE444" s="1991"/>
      <c r="AF444" s="1991"/>
      <c r="AG444" s="1991"/>
      <c r="AH444" s="1991"/>
      <c r="AI444" s="1991"/>
      <c r="AJ444" s="1991"/>
      <c r="AK444" s="1991"/>
      <c r="AL444" s="1991"/>
      <c r="AM444" s="1991"/>
      <c r="AN444" s="1991"/>
      <c r="AO444" s="1991"/>
      <c r="AP444" s="1991"/>
      <c r="AQ444" s="1991"/>
      <c r="AR444" s="1991"/>
      <c r="AS444" s="1991"/>
      <c r="AT444" s="1991"/>
      <c r="AU444" s="1991"/>
      <c r="AV444" s="1991"/>
      <c r="AW444" s="1991"/>
      <c r="AX444" s="1991"/>
      <c r="AY444" s="1991"/>
    </row>
    <row r="445" spans="27:51" x14ac:dyDescent="0.25">
      <c r="AA445" s="1991"/>
      <c r="AB445" s="1991"/>
      <c r="AC445" s="1991"/>
      <c r="AD445" s="1991"/>
      <c r="AE445" s="1991"/>
      <c r="AF445" s="1991"/>
      <c r="AG445" s="1991"/>
      <c r="AH445" s="1991"/>
      <c r="AI445" s="1991"/>
      <c r="AJ445" s="1991"/>
      <c r="AK445" s="1991"/>
      <c r="AL445" s="1991"/>
      <c r="AM445" s="1991"/>
      <c r="AN445" s="1991"/>
      <c r="AO445" s="1991"/>
      <c r="AP445" s="1991"/>
      <c r="AQ445" s="1991"/>
      <c r="AR445" s="1991"/>
      <c r="AS445" s="1991"/>
      <c r="AT445" s="1991"/>
      <c r="AU445" s="1991"/>
      <c r="AV445" s="1991"/>
      <c r="AW445" s="1991"/>
      <c r="AX445" s="1991"/>
      <c r="AY445" s="1991"/>
    </row>
    <row r="446" spans="27:51" x14ac:dyDescent="0.25">
      <c r="AA446" s="1991"/>
      <c r="AB446" s="1991"/>
      <c r="AC446" s="1991"/>
      <c r="AD446" s="1991"/>
      <c r="AE446" s="1991"/>
      <c r="AF446" s="1991"/>
      <c r="AG446" s="1991"/>
      <c r="AH446" s="1991"/>
      <c r="AI446" s="1991"/>
      <c r="AJ446" s="1991"/>
      <c r="AK446" s="1991"/>
      <c r="AL446" s="1991"/>
      <c r="AM446" s="1991"/>
      <c r="AN446" s="1991"/>
      <c r="AO446" s="1991"/>
      <c r="AP446" s="1991"/>
      <c r="AQ446" s="1991"/>
      <c r="AR446" s="1991"/>
      <c r="AS446" s="1991"/>
      <c r="AT446" s="1991"/>
      <c r="AU446" s="1991"/>
      <c r="AV446" s="1991"/>
      <c r="AW446" s="1991"/>
      <c r="AX446" s="1991"/>
      <c r="AY446" s="1991"/>
    </row>
    <row r="447" spans="27:51" x14ac:dyDescent="0.25">
      <c r="AA447" s="1991"/>
      <c r="AB447" s="1991"/>
      <c r="AC447" s="1991"/>
      <c r="AD447" s="1991"/>
      <c r="AE447" s="1991"/>
      <c r="AF447" s="1991"/>
      <c r="AG447" s="1991"/>
      <c r="AH447" s="1991"/>
      <c r="AI447" s="1991"/>
      <c r="AJ447" s="1991"/>
      <c r="AK447" s="1991"/>
      <c r="AL447" s="1991"/>
      <c r="AM447" s="1991"/>
      <c r="AN447" s="1991"/>
      <c r="AO447" s="1991"/>
      <c r="AP447" s="1991"/>
      <c r="AQ447" s="1991"/>
      <c r="AR447" s="1991"/>
      <c r="AS447" s="1991"/>
      <c r="AT447" s="1991"/>
      <c r="AU447" s="1991"/>
      <c r="AV447" s="1991"/>
      <c r="AW447" s="1991"/>
      <c r="AX447" s="1991"/>
      <c r="AY447" s="1991"/>
    </row>
    <row r="448" spans="27:51" x14ac:dyDescent="0.25">
      <c r="AA448" s="1991"/>
      <c r="AB448" s="1991"/>
      <c r="AC448" s="1991"/>
      <c r="AD448" s="1991"/>
      <c r="AE448" s="1991"/>
      <c r="AF448" s="1991"/>
      <c r="AG448" s="1991"/>
      <c r="AH448" s="1991"/>
      <c r="AI448" s="1991"/>
      <c r="AJ448" s="1991"/>
      <c r="AK448" s="1991"/>
      <c r="AL448" s="1991"/>
      <c r="AM448" s="1991"/>
      <c r="AN448" s="1991"/>
      <c r="AO448" s="1991"/>
      <c r="AP448" s="1991"/>
      <c r="AQ448" s="1991"/>
      <c r="AR448" s="1991"/>
      <c r="AS448" s="1991"/>
      <c r="AT448" s="1991"/>
      <c r="AU448" s="1991"/>
      <c r="AV448" s="1991"/>
      <c r="AW448" s="1991"/>
      <c r="AX448" s="1991"/>
      <c r="AY448" s="1991"/>
    </row>
    <row r="449" spans="27:51" x14ac:dyDescent="0.25">
      <c r="AA449" s="1991"/>
      <c r="AB449" s="1991"/>
      <c r="AC449" s="1991"/>
      <c r="AD449" s="1991"/>
      <c r="AE449" s="1991"/>
      <c r="AF449" s="1991"/>
      <c r="AG449" s="1991"/>
      <c r="AH449" s="1991"/>
      <c r="AI449" s="1991"/>
      <c r="AJ449" s="1991"/>
      <c r="AK449" s="1991"/>
      <c r="AL449" s="1991"/>
      <c r="AM449" s="1991"/>
      <c r="AN449" s="1991"/>
      <c r="AO449" s="1991"/>
      <c r="AP449" s="1991"/>
      <c r="AQ449" s="1991"/>
      <c r="AR449" s="1991"/>
      <c r="AS449" s="1991"/>
      <c r="AT449" s="1991"/>
      <c r="AU449" s="1991"/>
      <c r="AV449" s="1991"/>
      <c r="AW449" s="1991"/>
      <c r="AX449" s="1991"/>
      <c r="AY449" s="1991"/>
    </row>
    <row r="450" spans="27:51" x14ac:dyDescent="0.25">
      <c r="AA450" s="1991"/>
      <c r="AB450" s="1991"/>
      <c r="AC450" s="1991"/>
      <c r="AD450" s="1991"/>
      <c r="AE450" s="1991"/>
      <c r="AF450" s="1991"/>
      <c r="AG450" s="1991"/>
      <c r="AH450" s="1991"/>
      <c r="AI450" s="1991"/>
      <c r="AJ450" s="1991"/>
      <c r="AK450" s="1991"/>
      <c r="AL450" s="1991"/>
      <c r="AM450" s="1991"/>
      <c r="AN450" s="1991"/>
      <c r="AO450" s="1991"/>
      <c r="AP450" s="1991"/>
      <c r="AQ450" s="1991"/>
      <c r="AR450" s="1991"/>
      <c r="AS450" s="1991"/>
      <c r="AT450" s="1991"/>
      <c r="AU450" s="1991"/>
      <c r="AV450" s="1991"/>
      <c r="AW450" s="1991"/>
      <c r="AX450" s="1991"/>
      <c r="AY450" s="1991"/>
    </row>
    <row r="451" spans="27:51" x14ac:dyDescent="0.25">
      <c r="AA451" s="1991"/>
      <c r="AB451" s="1991"/>
      <c r="AC451" s="1991"/>
      <c r="AD451" s="1991"/>
      <c r="AE451" s="1991"/>
      <c r="AF451" s="1991"/>
      <c r="AG451" s="1991"/>
      <c r="AH451" s="1991"/>
      <c r="AI451" s="1991"/>
      <c r="AJ451" s="1991"/>
      <c r="AK451" s="1991"/>
      <c r="AL451" s="1991"/>
      <c r="AM451" s="1991"/>
      <c r="AN451" s="1991"/>
      <c r="AO451" s="1991"/>
      <c r="AP451" s="1991"/>
      <c r="AQ451" s="1991"/>
      <c r="AR451" s="1991"/>
      <c r="AS451" s="1991"/>
      <c r="AT451" s="1991"/>
      <c r="AU451" s="1991"/>
      <c r="AV451" s="1991"/>
      <c r="AW451" s="1991"/>
      <c r="AX451" s="1991"/>
      <c r="AY451" s="1991"/>
    </row>
    <row r="452" spans="27:51" x14ac:dyDescent="0.25">
      <c r="AA452" s="1991"/>
      <c r="AB452" s="1991"/>
      <c r="AC452" s="1991"/>
      <c r="AD452" s="1991"/>
      <c r="AE452" s="1991"/>
      <c r="AF452" s="1991"/>
      <c r="AG452" s="1991"/>
      <c r="AH452" s="1991"/>
      <c r="AI452" s="1991"/>
      <c r="AJ452" s="1991"/>
      <c r="AK452" s="1991"/>
      <c r="AL452" s="1991"/>
      <c r="AM452" s="1991"/>
      <c r="AN452" s="1991"/>
      <c r="AO452" s="1991"/>
      <c r="AP452" s="1991"/>
      <c r="AQ452" s="1991"/>
      <c r="AR452" s="1991"/>
      <c r="AS452" s="1991"/>
      <c r="AT452" s="1991"/>
      <c r="AU452" s="1991"/>
      <c r="AV452" s="1991"/>
      <c r="AW452" s="1991"/>
      <c r="AX452" s="1991"/>
      <c r="AY452" s="1991"/>
    </row>
    <row r="453" spans="27:51" x14ac:dyDescent="0.25">
      <c r="AA453" s="1991"/>
      <c r="AB453" s="1991"/>
      <c r="AC453" s="1991"/>
      <c r="AD453" s="1991"/>
      <c r="AE453" s="1991"/>
      <c r="AF453" s="1991"/>
      <c r="AG453" s="1991"/>
      <c r="AH453" s="1991"/>
      <c r="AI453" s="1991"/>
      <c r="AJ453" s="1991"/>
      <c r="AK453" s="1991"/>
      <c r="AL453" s="1991"/>
      <c r="AM453" s="1991"/>
      <c r="AN453" s="1991"/>
      <c r="AO453" s="1991"/>
      <c r="AP453" s="1991"/>
      <c r="AQ453" s="1991"/>
      <c r="AR453" s="1991"/>
      <c r="AS453" s="1991"/>
      <c r="AT453" s="1991"/>
      <c r="AU453" s="1991"/>
      <c r="AV453" s="1991"/>
      <c r="AW453" s="1991"/>
      <c r="AX453" s="1991"/>
      <c r="AY453" s="1991"/>
    </row>
    <row r="454" spans="27:51" x14ac:dyDescent="0.25">
      <c r="AA454" s="1991"/>
      <c r="AB454" s="1991"/>
      <c r="AC454" s="1991"/>
      <c r="AD454" s="1991"/>
      <c r="AE454" s="1991"/>
      <c r="AF454" s="1991"/>
      <c r="AG454" s="1991"/>
      <c r="AH454" s="1991"/>
      <c r="AI454" s="1991"/>
      <c r="AJ454" s="1991"/>
      <c r="AK454" s="1991"/>
      <c r="AL454" s="1991"/>
      <c r="AM454" s="1991"/>
      <c r="AN454" s="1991"/>
      <c r="AO454" s="1991"/>
      <c r="AP454" s="1991"/>
      <c r="AQ454" s="1991"/>
      <c r="AR454" s="1991"/>
      <c r="AS454" s="1991"/>
      <c r="AT454" s="1991"/>
      <c r="AU454" s="1991"/>
      <c r="AV454" s="1991"/>
      <c r="AW454" s="1991"/>
      <c r="AX454" s="1991"/>
      <c r="AY454" s="1991"/>
    </row>
    <row r="455" spans="27:51" x14ac:dyDescent="0.25">
      <c r="AA455" s="1991"/>
      <c r="AB455" s="1991"/>
      <c r="AC455" s="1991"/>
      <c r="AD455" s="1991"/>
      <c r="AE455" s="1991"/>
      <c r="AF455" s="1991"/>
      <c r="AG455" s="1991"/>
      <c r="AH455" s="1991"/>
      <c r="AI455" s="1991"/>
      <c r="AJ455" s="1991"/>
      <c r="AK455" s="1991"/>
      <c r="AL455" s="1991"/>
      <c r="AM455" s="1991"/>
      <c r="AN455" s="1991"/>
      <c r="AO455" s="1991"/>
      <c r="AP455" s="1991"/>
      <c r="AQ455" s="1991"/>
      <c r="AR455" s="1991"/>
      <c r="AS455" s="1991"/>
      <c r="AT455" s="1991"/>
      <c r="AU455" s="1991"/>
      <c r="AV455" s="1991"/>
      <c r="AW455" s="1991"/>
      <c r="AX455" s="1991"/>
      <c r="AY455" s="1991"/>
    </row>
    <row r="456" spans="27:51" x14ac:dyDescent="0.25">
      <c r="AA456" s="1991"/>
      <c r="AB456" s="1991"/>
      <c r="AC456" s="1991"/>
      <c r="AD456" s="1991"/>
      <c r="AE456" s="1991"/>
      <c r="AF456" s="1991"/>
      <c r="AG456" s="1991"/>
      <c r="AH456" s="1991"/>
      <c r="AI456" s="1991"/>
      <c r="AJ456" s="1991"/>
      <c r="AK456" s="1991"/>
      <c r="AL456" s="1991"/>
      <c r="AM456" s="1991"/>
      <c r="AN456" s="1991"/>
      <c r="AO456" s="1991"/>
      <c r="AP456" s="1991"/>
      <c r="AQ456" s="1991"/>
      <c r="AR456" s="1991"/>
      <c r="AS456" s="1991"/>
      <c r="AT456" s="1991"/>
      <c r="AU456" s="1991"/>
      <c r="AV456" s="1991"/>
      <c r="AW456" s="1991"/>
      <c r="AX456" s="1991"/>
      <c r="AY456" s="1991"/>
    </row>
    <row r="457" spans="27:51" x14ac:dyDescent="0.25">
      <c r="AA457" s="1991"/>
      <c r="AB457" s="1991"/>
      <c r="AC457" s="1991"/>
      <c r="AD457" s="1991"/>
      <c r="AE457" s="1991"/>
      <c r="AF457" s="1991"/>
      <c r="AG457" s="1991"/>
      <c r="AH457" s="1991"/>
      <c r="AI457" s="1991"/>
      <c r="AJ457" s="1991"/>
      <c r="AK457" s="1991"/>
      <c r="AL457" s="1991"/>
      <c r="AM457" s="1991"/>
      <c r="AN457" s="1991"/>
      <c r="AO457" s="1991"/>
      <c r="AP457" s="1991"/>
      <c r="AQ457" s="1991"/>
      <c r="AR457" s="1991"/>
      <c r="AS457" s="1991"/>
      <c r="AT457" s="1991"/>
      <c r="AU457" s="1991"/>
      <c r="AV457" s="1991"/>
      <c r="AW457" s="1991"/>
      <c r="AX457" s="1991"/>
      <c r="AY457" s="1991"/>
    </row>
    <row r="458" spans="27:51" x14ac:dyDescent="0.25">
      <c r="AA458" s="1991"/>
      <c r="AB458" s="1991"/>
      <c r="AC458" s="1991"/>
      <c r="AD458" s="1991"/>
      <c r="AE458" s="1991"/>
      <c r="AF458" s="1991"/>
      <c r="AG458" s="1991"/>
      <c r="AH458" s="1991"/>
      <c r="AI458" s="1991"/>
      <c r="AJ458" s="1991"/>
      <c r="AK458" s="1991"/>
      <c r="AL458" s="1991"/>
      <c r="AM458" s="1991"/>
      <c r="AN458" s="1991"/>
      <c r="AO458" s="1991"/>
      <c r="AP458" s="1991"/>
      <c r="AQ458" s="1991"/>
      <c r="AR458" s="1991"/>
      <c r="AS458" s="1991"/>
      <c r="AT458" s="1991"/>
      <c r="AU458" s="1991"/>
      <c r="AV458" s="1991"/>
      <c r="AW458" s="1991"/>
      <c r="AX458" s="1991"/>
      <c r="AY458" s="1991"/>
    </row>
    <row r="459" spans="27:51" x14ac:dyDescent="0.25">
      <c r="AA459" s="1991"/>
      <c r="AB459" s="1991"/>
      <c r="AC459" s="1991"/>
      <c r="AD459" s="1991"/>
      <c r="AE459" s="1991"/>
      <c r="AF459" s="1991"/>
      <c r="AG459" s="1991"/>
      <c r="AH459" s="1991"/>
      <c r="AI459" s="1991"/>
      <c r="AJ459" s="1991"/>
      <c r="AK459" s="1991"/>
      <c r="AL459" s="1991"/>
      <c r="AM459" s="1991"/>
      <c r="AN459" s="1991"/>
      <c r="AO459" s="1991"/>
      <c r="AP459" s="1991"/>
      <c r="AQ459" s="1991"/>
      <c r="AR459" s="1991"/>
      <c r="AS459" s="1991"/>
      <c r="AT459" s="1991"/>
      <c r="AU459" s="1991"/>
      <c r="AV459" s="1991"/>
      <c r="AW459" s="1991"/>
      <c r="AX459" s="1991"/>
      <c r="AY459" s="1991"/>
    </row>
    <row r="460" spans="27:51" x14ac:dyDescent="0.25">
      <c r="AA460" s="1991"/>
      <c r="AB460" s="1991"/>
      <c r="AC460" s="1991"/>
      <c r="AD460" s="1991"/>
      <c r="AE460" s="1991"/>
      <c r="AF460" s="1991"/>
      <c r="AG460" s="1991"/>
      <c r="AH460" s="1991"/>
      <c r="AI460" s="1991"/>
      <c r="AJ460" s="1991"/>
      <c r="AK460" s="1991"/>
      <c r="AL460" s="1991"/>
      <c r="AM460" s="1991"/>
      <c r="AN460" s="1991"/>
      <c r="AO460" s="1991"/>
      <c r="AP460" s="1991"/>
      <c r="AQ460" s="1991"/>
      <c r="AR460" s="1991"/>
      <c r="AS460" s="1991"/>
      <c r="AT460" s="1991"/>
      <c r="AU460" s="1991"/>
      <c r="AV460" s="1991"/>
      <c r="AW460" s="1991"/>
      <c r="AX460" s="1991"/>
      <c r="AY460" s="1991"/>
    </row>
    <row r="461" spans="27:51" x14ac:dyDescent="0.25">
      <c r="AA461" s="1991"/>
      <c r="AB461" s="1991"/>
      <c r="AC461" s="1991"/>
      <c r="AD461" s="1991"/>
      <c r="AE461" s="1991"/>
      <c r="AF461" s="1991"/>
      <c r="AG461" s="1991"/>
      <c r="AH461" s="1991"/>
      <c r="AI461" s="1991"/>
      <c r="AJ461" s="1991"/>
      <c r="AK461" s="1991"/>
      <c r="AL461" s="1991"/>
      <c r="AM461" s="1991"/>
      <c r="AN461" s="1991"/>
      <c r="AO461" s="1991"/>
      <c r="AP461" s="1991"/>
      <c r="AQ461" s="1991"/>
      <c r="AR461" s="1991"/>
      <c r="AS461" s="1991"/>
      <c r="AT461" s="1991"/>
      <c r="AU461" s="1991"/>
      <c r="AV461" s="1991"/>
      <c r="AW461" s="1991"/>
      <c r="AX461" s="1991"/>
      <c r="AY461" s="1991"/>
    </row>
    <row r="462" spans="27:51" x14ac:dyDescent="0.25">
      <c r="AA462" s="1991"/>
      <c r="AB462" s="1991"/>
      <c r="AC462" s="1991"/>
      <c r="AD462" s="1991"/>
      <c r="AE462" s="1991"/>
      <c r="AF462" s="1991"/>
      <c r="AG462" s="1991"/>
      <c r="AH462" s="1991"/>
      <c r="AI462" s="1991"/>
      <c r="AJ462" s="1991"/>
      <c r="AK462" s="1991"/>
      <c r="AL462" s="1991"/>
      <c r="AM462" s="1991"/>
      <c r="AN462" s="1991"/>
      <c r="AO462" s="1991"/>
      <c r="AP462" s="1991"/>
      <c r="AQ462" s="1991"/>
      <c r="AR462" s="1991"/>
      <c r="AS462" s="1991"/>
      <c r="AT462" s="1991"/>
      <c r="AU462" s="1991"/>
      <c r="AV462" s="1991"/>
      <c r="AW462" s="1991"/>
      <c r="AX462" s="1991"/>
      <c r="AY462" s="1991"/>
    </row>
    <row r="463" spans="27:51" x14ac:dyDescent="0.25">
      <c r="AA463" s="1991"/>
      <c r="AB463" s="1991"/>
      <c r="AC463" s="1991"/>
      <c r="AD463" s="1991"/>
      <c r="AE463" s="1991"/>
      <c r="AF463" s="1991"/>
      <c r="AG463" s="1991"/>
      <c r="AH463" s="1991"/>
      <c r="AI463" s="1991"/>
      <c r="AJ463" s="1991"/>
      <c r="AK463" s="1991"/>
      <c r="AL463" s="1991"/>
      <c r="AM463" s="1991"/>
      <c r="AN463" s="1991"/>
      <c r="AO463" s="1991"/>
      <c r="AP463" s="1991"/>
      <c r="AQ463" s="1991"/>
      <c r="AR463" s="1991"/>
      <c r="AS463" s="1991"/>
      <c r="AT463" s="1991"/>
      <c r="AU463" s="1991"/>
      <c r="AV463" s="1991"/>
      <c r="AW463" s="1991"/>
      <c r="AX463" s="1991"/>
      <c r="AY463" s="1991"/>
    </row>
    <row r="464" spans="27:51" x14ac:dyDescent="0.25">
      <c r="AA464" s="1991"/>
      <c r="AB464" s="1991"/>
      <c r="AC464" s="1991"/>
      <c r="AD464" s="1991"/>
      <c r="AE464" s="1991"/>
      <c r="AF464" s="1991"/>
      <c r="AG464" s="1991"/>
      <c r="AH464" s="1991"/>
      <c r="AI464" s="1991"/>
      <c r="AJ464" s="1991"/>
      <c r="AK464" s="1991"/>
      <c r="AL464" s="1991"/>
      <c r="AM464" s="1991"/>
      <c r="AN464" s="1991"/>
      <c r="AO464" s="1991"/>
      <c r="AP464" s="1991"/>
      <c r="AQ464" s="1991"/>
      <c r="AR464" s="1991"/>
      <c r="AS464" s="1991"/>
      <c r="AT464" s="1991"/>
      <c r="AU464" s="1991"/>
      <c r="AV464" s="1991"/>
      <c r="AW464" s="1991"/>
      <c r="AX464" s="1991"/>
      <c r="AY464" s="1991"/>
    </row>
    <row r="465" spans="27:51" x14ac:dyDescent="0.25">
      <c r="AA465" s="1991"/>
      <c r="AB465" s="1991"/>
      <c r="AC465" s="1991"/>
      <c r="AD465" s="1991"/>
      <c r="AE465" s="1991"/>
      <c r="AF465" s="1991"/>
      <c r="AG465" s="1991"/>
      <c r="AH465" s="1991"/>
      <c r="AI465" s="1991"/>
      <c r="AJ465" s="1991"/>
      <c r="AK465" s="1991"/>
      <c r="AL465" s="1991"/>
      <c r="AM465" s="1991"/>
      <c r="AN465" s="1991"/>
      <c r="AO465" s="1991"/>
      <c r="AP465" s="1991"/>
      <c r="AQ465" s="1991"/>
      <c r="AR465" s="1991"/>
      <c r="AS465" s="1991"/>
      <c r="AT465" s="1991"/>
      <c r="AU465" s="1991"/>
      <c r="AV465" s="1991"/>
      <c r="AW465" s="1991"/>
      <c r="AX465" s="1991"/>
      <c r="AY465" s="1991"/>
    </row>
    <row r="466" spans="27:51" x14ac:dyDescent="0.25">
      <c r="AA466" s="1991"/>
      <c r="AB466" s="1991"/>
      <c r="AC466" s="1991"/>
      <c r="AD466" s="1991"/>
      <c r="AE466" s="1991"/>
      <c r="AF466" s="1991"/>
      <c r="AG466" s="1991"/>
      <c r="AH466" s="1991"/>
      <c r="AI466" s="1991"/>
      <c r="AJ466" s="1991"/>
      <c r="AK466" s="1991"/>
      <c r="AL466" s="1991"/>
      <c r="AM466" s="1991"/>
      <c r="AN466" s="1991"/>
      <c r="AO466" s="1991"/>
      <c r="AP466" s="1991"/>
      <c r="AQ466" s="1991"/>
      <c r="AR466" s="1991"/>
      <c r="AS466" s="1991"/>
      <c r="AT466" s="1991"/>
      <c r="AU466" s="1991"/>
      <c r="AV466" s="1991"/>
      <c r="AW466" s="1991"/>
      <c r="AX466" s="1991"/>
      <c r="AY466" s="1991"/>
    </row>
    <row r="467" spans="27:51" x14ac:dyDescent="0.25">
      <c r="AA467" s="1991"/>
      <c r="AB467" s="1991"/>
      <c r="AC467" s="1991"/>
      <c r="AD467" s="1991"/>
      <c r="AE467" s="1991"/>
      <c r="AF467" s="1991"/>
      <c r="AG467" s="1991"/>
      <c r="AH467" s="1991"/>
      <c r="AI467" s="1991"/>
      <c r="AJ467" s="1991"/>
      <c r="AK467" s="1991"/>
      <c r="AL467" s="1991"/>
      <c r="AM467" s="1991"/>
      <c r="AN467" s="1991"/>
      <c r="AO467" s="1991"/>
      <c r="AP467" s="1991"/>
      <c r="AQ467" s="1991"/>
      <c r="AR467" s="1991"/>
      <c r="AS467" s="1991"/>
      <c r="AT467" s="1991"/>
      <c r="AU467" s="1991"/>
      <c r="AV467" s="1991"/>
      <c r="AW467" s="1991"/>
      <c r="AX467" s="1991"/>
      <c r="AY467" s="1991"/>
    </row>
    <row r="468" spans="27:51" x14ac:dyDescent="0.25">
      <c r="AA468" s="1991"/>
      <c r="AB468" s="1991"/>
      <c r="AC468" s="1991"/>
      <c r="AD468" s="1991"/>
      <c r="AE468" s="1991"/>
      <c r="AF468" s="1991"/>
      <c r="AG468" s="1991"/>
      <c r="AH468" s="1991"/>
      <c r="AI468" s="1991"/>
      <c r="AJ468" s="1991"/>
      <c r="AK468" s="1991"/>
      <c r="AL468" s="1991"/>
      <c r="AM468" s="1991"/>
      <c r="AN468" s="1991"/>
      <c r="AO468" s="1991"/>
      <c r="AP468" s="1991"/>
      <c r="AQ468" s="1991"/>
      <c r="AR468" s="1991"/>
      <c r="AS468" s="1991"/>
      <c r="AT468" s="1991"/>
      <c r="AU468" s="1991"/>
      <c r="AV468" s="1991"/>
      <c r="AW468" s="1991"/>
      <c r="AX468" s="1991"/>
      <c r="AY468" s="1991"/>
    </row>
    <row r="469" spans="27:51" x14ac:dyDescent="0.25">
      <c r="AA469" s="1991"/>
      <c r="AB469" s="1991"/>
      <c r="AC469" s="1991"/>
      <c r="AD469" s="1991"/>
      <c r="AE469" s="1991"/>
      <c r="AF469" s="1991"/>
      <c r="AG469" s="1991"/>
      <c r="AH469" s="1991"/>
      <c r="AI469" s="1991"/>
      <c r="AJ469" s="1991"/>
      <c r="AK469" s="1991"/>
      <c r="AL469" s="1991"/>
      <c r="AM469" s="1991"/>
      <c r="AN469" s="1991"/>
      <c r="AO469" s="1991"/>
      <c r="AP469" s="1991"/>
      <c r="AQ469" s="1991"/>
      <c r="AR469" s="1991"/>
      <c r="AS469" s="1991"/>
      <c r="AT469" s="1991"/>
      <c r="AU469" s="1991"/>
      <c r="AV469" s="1991"/>
      <c r="AW469" s="1991"/>
      <c r="AX469" s="1991"/>
      <c r="AY469" s="1991"/>
    </row>
    <row r="470" spans="27:51" x14ac:dyDescent="0.25">
      <c r="AA470" s="1991"/>
      <c r="AB470" s="1991"/>
      <c r="AC470" s="1991"/>
      <c r="AD470" s="1991"/>
      <c r="AE470" s="1991"/>
      <c r="AF470" s="1991"/>
      <c r="AG470" s="1991"/>
      <c r="AH470" s="1991"/>
      <c r="AI470" s="1991"/>
      <c r="AJ470" s="1991"/>
      <c r="AK470" s="1991"/>
      <c r="AL470" s="1991"/>
      <c r="AM470" s="1991"/>
      <c r="AN470" s="1991"/>
      <c r="AO470" s="1991"/>
      <c r="AP470" s="1991"/>
      <c r="AQ470" s="1991"/>
      <c r="AR470" s="1991"/>
      <c r="AS470" s="1991"/>
      <c r="AT470" s="1991"/>
      <c r="AU470" s="1991"/>
      <c r="AV470" s="1991"/>
      <c r="AW470" s="1991"/>
      <c r="AX470" s="1991"/>
      <c r="AY470" s="1991"/>
    </row>
    <row r="471" spans="27:51" x14ac:dyDescent="0.25">
      <c r="AA471" s="1991"/>
      <c r="AB471" s="1991"/>
      <c r="AC471" s="1991"/>
      <c r="AD471" s="1991"/>
      <c r="AE471" s="1991"/>
      <c r="AF471" s="1991"/>
      <c r="AG471" s="1991"/>
      <c r="AH471" s="1991"/>
      <c r="AI471" s="1991"/>
      <c r="AJ471" s="1991"/>
      <c r="AK471" s="1991"/>
      <c r="AL471" s="1991"/>
      <c r="AM471" s="1991"/>
      <c r="AN471" s="1991"/>
      <c r="AO471" s="1991"/>
      <c r="AP471" s="1991"/>
      <c r="AQ471" s="1991"/>
      <c r="AR471" s="1991"/>
      <c r="AS471" s="1991"/>
      <c r="AT471" s="1991"/>
      <c r="AU471" s="1991"/>
      <c r="AV471" s="1991"/>
      <c r="AW471" s="1991"/>
      <c r="AX471" s="1991"/>
      <c r="AY471" s="1991"/>
    </row>
    <row r="472" spans="27:51" x14ac:dyDescent="0.25">
      <c r="AA472" s="1991"/>
      <c r="AB472" s="1991"/>
      <c r="AC472" s="1991"/>
      <c r="AD472" s="1991"/>
      <c r="AE472" s="1991"/>
      <c r="AF472" s="1991"/>
      <c r="AG472" s="1991"/>
      <c r="AH472" s="1991"/>
      <c r="AI472" s="1991"/>
      <c r="AJ472" s="1991"/>
      <c r="AK472" s="1991"/>
      <c r="AL472" s="1991"/>
      <c r="AM472" s="1991"/>
      <c r="AN472" s="1991"/>
      <c r="AO472" s="1991"/>
      <c r="AP472" s="1991"/>
      <c r="AQ472" s="1991"/>
      <c r="AR472" s="1991"/>
      <c r="AS472" s="1991"/>
      <c r="AT472" s="1991"/>
      <c r="AU472" s="1991"/>
      <c r="AV472" s="1991"/>
      <c r="AW472" s="1991"/>
      <c r="AX472" s="1991"/>
      <c r="AY472" s="1991"/>
    </row>
    <row r="473" spans="27:51" x14ac:dyDescent="0.25">
      <c r="AA473" s="1991"/>
      <c r="AB473" s="1991"/>
      <c r="AC473" s="1991"/>
      <c r="AD473" s="1991"/>
      <c r="AE473" s="1991"/>
      <c r="AF473" s="1991"/>
      <c r="AG473" s="1991"/>
      <c r="AH473" s="1991"/>
      <c r="AI473" s="1991"/>
      <c r="AJ473" s="1991"/>
      <c r="AK473" s="1991"/>
      <c r="AL473" s="1991"/>
      <c r="AM473" s="1991"/>
      <c r="AN473" s="1991"/>
      <c r="AO473" s="1991"/>
      <c r="AP473" s="1991"/>
      <c r="AQ473" s="1991"/>
      <c r="AR473" s="1991"/>
      <c r="AS473" s="1991"/>
      <c r="AT473" s="1991"/>
      <c r="AU473" s="1991"/>
      <c r="AV473" s="1991"/>
      <c r="AW473" s="1991"/>
      <c r="AX473" s="1991"/>
      <c r="AY473" s="1991"/>
    </row>
    <row r="474" spans="27:51" x14ac:dyDescent="0.25">
      <c r="AA474" s="1991"/>
      <c r="AB474" s="1991"/>
      <c r="AC474" s="1991"/>
      <c r="AD474" s="1991"/>
      <c r="AE474" s="1991"/>
      <c r="AF474" s="1991"/>
      <c r="AG474" s="1991"/>
      <c r="AH474" s="1991"/>
      <c r="AI474" s="1991"/>
      <c r="AJ474" s="1991"/>
      <c r="AK474" s="1991"/>
      <c r="AL474" s="1991"/>
      <c r="AM474" s="1991"/>
      <c r="AN474" s="1991"/>
      <c r="AO474" s="1991"/>
      <c r="AP474" s="1991"/>
      <c r="AQ474" s="1991"/>
      <c r="AR474" s="1991"/>
      <c r="AS474" s="1991"/>
      <c r="AT474" s="1991"/>
      <c r="AU474" s="1991"/>
      <c r="AV474" s="1991"/>
      <c r="AW474" s="1991"/>
      <c r="AX474" s="1991"/>
      <c r="AY474" s="1991"/>
    </row>
    <row r="475" spans="27:51" x14ac:dyDescent="0.25">
      <c r="AA475" s="1991"/>
      <c r="AB475" s="1991"/>
      <c r="AC475" s="1991"/>
      <c r="AD475" s="1991"/>
      <c r="AE475" s="1991"/>
      <c r="AF475" s="1991"/>
      <c r="AG475" s="1991"/>
      <c r="AH475" s="1991"/>
      <c r="AI475" s="1991"/>
      <c r="AJ475" s="1991"/>
      <c r="AK475" s="1991"/>
      <c r="AL475" s="1991"/>
      <c r="AM475" s="1991"/>
      <c r="AN475" s="1991"/>
      <c r="AO475" s="1991"/>
      <c r="AP475" s="1991"/>
      <c r="AQ475" s="1991"/>
      <c r="AR475" s="1991"/>
      <c r="AS475" s="1991"/>
      <c r="AT475" s="1991"/>
      <c r="AU475" s="1991"/>
      <c r="AV475" s="1991"/>
      <c r="AW475" s="1991"/>
      <c r="AX475" s="1991"/>
      <c r="AY475" s="1991"/>
    </row>
    <row r="476" spans="27:51" x14ac:dyDescent="0.25">
      <c r="AA476" s="1991"/>
      <c r="AB476" s="1991"/>
      <c r="AC476" s="1991"/>
      <c r="AD476" s="1991"/>
      <c r="AE476" s="1991"/>
      <c r="AF476" s="1991"/>
      <c r="AG476" s="1991"/>
      <c r="AH476" s="1991"/>
      <c r="AI476" s="1991"/>
      <c r="AJ476" s="1991"/>
      <c r="AK476" s="1991"/>
      <c r="AL476" s="1991"/>
      <c r="AM476" s="1991"/>
      <c r="AN476" s="1991"/>
      <c r="AO476" s="1991"/>
      <c r="AP476" s="1991"/>
      <c r="AQ476" s="1991"/>
      <c r="AR476" s="1991"/>
      <c r="AS476" s="1991"/>
      <c r="AT476" s="1991"/>
      <c r="AU476" s="1991"/>
      <c r="AV476" s="1991"/>
      <c r="AW476" s="1991"/>
      <c r="AX476" s="1991"/>
      <c r="AY476" s="1991"/>
    </row>
    <row r="477" spans="27:51" x14ac:dyDescent="0.25">
      <c r="AA477" s="1991"/>
      <c r="AB477" s="1991"/>
      <c r="AC477" s="1991"/>
      <c r="AD477" s="1991"/>
      <c r="AE477" s="1991"/>
      <c r="AF477" s="1991"/>
      <c r="AG477" s="1991"/>
      <c r="AH477" s="1991"/>
      <c r="AI477" s="1991"/>
      <c r="AJ477" s="1991"/>
      <c r="AK477" s="1991"/>
      <c r="AL477" s="1991"/>
      <c r="AM477" s="1991"/>
      <c r="AN477" s="1991"/>
      <c r="AO477" s="1991"/>
      <c r="AP477" s="1991"/>
      <c r="AQ477" s="1991"/>
      <c r="AR477" s="1991"/>
      <c r="AS477" s="1991"/>
      <c r="AT477" s="1991"/>
      <c r="AU477" s="1991"/>
      <c r="AV477" s="1991"/>
      <c r="AW477" s="1991"/>
      <c r="AX477" s="1991"/>
      <c r="AY477" s="1991"/>
    </row>
    <row r="478" spans="27:51" x14ac:dyDescent="0.25">
      <c r="AA478" s="1991"/>
      <c r="AB478" s="1991"/>
      <c r="AC478" s="1991"/>
      <c r="AD478" s="1991"/>
      <c r="AE478" s="1991"/>
      <c r="AF478" s="1991"/>
      <c r="AG478" s="1991"/>
      <c r="AH478" s="1991"/>
      <c r="AI478" s="1991"/>
      <c r="AJ478" s="1991"/>
      <c r="AK478" s="1991"/>
      <c r="AL478" s="1991"/>
      <c r="AM478" s="1991"/>
      <c r="AN478" s="1991"/>
      <c r="AO478" s="1991"/>
      <c r="AP478" s="1991"/>
      <c r="AQ478" s="1991"/>
      <c r="AR478" s="1991"/>
      <c r="AS478" s="1991"/>
      <c r="AT478" s="1991"/>
      <c r="AU478" s="1991"/>
      <c r="AV478" s="1991"/>
      <c r="AW478" s="1991"/>
      <c r="AX478" s="1991"/>
      <c r="AY478" s="1991"/>
    </row>
    <row r="479" spans="27:51" x14ac:dyDescent="0.25">
      <c r="AA479" s="1991"/>
      <c r="AB479" s="1991"/>
      <c r="AC479" s="1991"/>
      <c r="AD479" s="1991"/>
      <c r="AE479" s="1991"/>
      <c r="AF479" s="1991"/>
      <c r="AG479" s="1991"/>
      <c r="AH479" s="1991"/>
      <c r="AI479" s="1991"/>
      <c r="AJ479" s="1991"/>
      <c r="AK479" s="1991"/>
      <c r="AL479" s="1991"/>
      <c r="AM479" s="1991"/>
      <c r="AN479" s="1991"/>
      <c r="AO479" s="1991"/>
      <c r="AP479" s="1991"/>
      <c r="AQ479" s="1991"/>
      <c r="AR479" s="1991"/>
      <c r="AS479" s="1991"/>
      <c r="AT479" s="1991"/>
      <c r="AU479" s="1991"/>
      <c r="AV479" s="1991"/>
      <c r="AW479" s="1991"/>
      <c r="AX479" s="1991"/>
      <c r="AY479" s="1991"/>
    </row>
    <row r="480" spans="27:51" x14ac:dyDescent="0.25">
      <c r="AA480" s="1991"/>
      <c r="AB480" s="1991"/>
      <c r="AC480" s="1991"/>
      <c r="AD480" s="1991"/>
      <c r="AE480" s="1991"/>
      <c r="AF480" s="1991"/>
      <c r="AG480" s="1991"/>
      <c r="AH480" s="1991"/>
      <c r="AI480" s="1991"/>
      <c r="AJ480" s="1991"/>
      <c r="AK480" s="1991"/>
      <c r="AL480" s="1991"/>
      <c r="AM480" s="1991"/>
      <c r="AN480" s="1991"/>
      <c r="AO480" s="1991"/>
      <c r="AP480" s="1991"/>
      <c r="AQ480" s="1991"/>
      <c r="AR480" s="1991"/>
      <c r="AS480" s="1991"/>
      <c r="AT480" s="1991"/>
      <c r="AU480" s="1991"/>
      <c r="AV480" s="1991"/>
      <c r="AW480" s="1991"/>
      <c r="AX480" s="1991"/>
      <c r="AY480" s="1991"/>
    </row>
    <row r="481" spans="27:51" x14ac:dyDescent="0.25">
      <c r="AA481" s="1991"/>
      <c r="AB481" s="1991"/>
      <c r="AC481" s="1991"/>
      <c r="AD481" s="1991"/>
      <c r="AE481" s="1991"/>
      <c r="AF481" s="1991"/>
      <c r="AG481" s="1991"/>
      <c r="AH481" s="1991"/>
      <c r="AI481" s="1991"/>
      <c r="AJ481" s="1991"/>
      <c r="AK481" s="1991"/>
      <c r="AL481" s="1991"/>
      <c r="AM481" s="1991"/>
      <c r="AN481" s="1991"/>
      <c r="AO481" s="1991"/>
      <c r="AP481" s="1991"/>
      <c r="AQ481" s="1991"/>
      <c r="AR481" s="1991"/>
      <c r="AS481" s="1991"/>
      <c r="AT481" s="1991"/>
      <c r="AU481" s="1991"/>
      <c r="AV481" s="1991"/>
      <c r="AW481" s="1991"/>
      <c r="AX481" s="1991"/>
      <c r="AY481" s="1991"/>
    </row>
    <row r="482" spans="27:51" x14ac:dyDescent="0.25">
      <c r="AA482" s="1991"/>
      <c r="AB482" s="1991"/>
      <c r="AC482" s="1991"/>
      <c r="AD482" s="1991"/>
      <c r="AE482" s="1991"/>
      <c r="AF482" s="1991"/>
      <c r="AG482" s="1991"/>
      <c r="AH482" s="1991"/>
      <c r="AI482" s="1991"/>
      <c r="AJ482" s="1991"/>
      <c r="AK482" s="1991"/>
      <c r="AL482" s="1991"/>
      <c r="AM482" s="1991"/>
      <c r="AN482" s="1991"/>
      <c r="AO482" s="1991"/>
      <c r="AP482" s="1991"/>
      <c r="AQ482" s="1991"/>
      <c r="AR482" s="1991"/>
      <c r="AS482" s="1991"/>
      <c r="AT482" s="1991"/>
      <c r="AU482" s="1991"/>
      <c r="AV482" s="1991"/>
      <c r="AW482" s="1991"/>
      <c r="AX482" s="1991"/>
      <c r="AY482" s="1991"/>
    </row>
    <row r="483" spans="27:51" x14ac:dyDescent="0.25">
      <c r="AA483" s="1991"/>
      <c r="AB483" s="1991"/>
      <c r="AC483" s="1991"/>
      <c r="AD483" s="1991"/>
      <c r="AE483" s="1991"/>
      <c r="AF483" s="1991"/>
      <c r="AG483" s="1991"/>
      <c r="AH483" s="1991"/>
      <c r="AI483" s="1991"/>
      <c r="AJ483" s="1991"/>
      <c r="AK483" s="1991"/>
      <c r="AL483" s="1991"/>
      <c r="AM483" s="1991"/>
      <c r="AN483" s="1991"/>
      <c r="AO483" s="1991"/>
      <c r="AP483" s="1991"/>
      <c r="AQ483" s="1991"/>
      <c r="AR483" s="1991"/>
      <c r="AS483" s="1991"/>
      <c r="AT483" s="1991"/>
      <c r="AU483" s="1991"/>
      <c r="AV483" s="1991"/>
      <c r="AW483" s="1991"/>
      <c r="AX483" s="1991"/>
      <c r="AY483" s="1991"/>
    </row>
    <row r="484" spans="27:51" x14ac:dyDescent="0.25">
      <c r="AA484" s="1991"/>
      <c r="AB484" s="1991"/>
      <c r="AC484" s="1991"/>
      <c r="AD484" s="1991"/>
      <c r="AE484" s="1991"/>
      <c r="AF484" s="1991"/>
      <c r="AG484" s="1991"/>
      <c r="AH484" s="1991"/>
      <c r="AI484" s="1991"/>
      <c r="AJ484" s="1991"/>
      <c r="AK484" s="1991"/>
      <c r="AL484" s="1991"/>
      <c r="AM484" s="1991"/>
      <c r="AN484" s="1991"/>
      <c r="AO484" s="1991"/>
      <c r="AP484" s="1991"/>
      <c r="AQ484" s="1991"/>
      <c r="AR484" s="1991"/>
      <c r="AS484" s="1991"/>
      <c r="AT484" s="1991"/>
      <c r="AU484" s="1991"/>
      <c r="AV484" s="1991"/>
      <c r="AW484" s="1991"/>
      <c r="AX484" s="1991"/>
      <c r="AY484" s="1991"/>
    </row>
    <row r="485" spans="27:51" x14ac:dyDescent="0.25">
      <c r="AA485" s="1991"/>
      <c r="AB485" s="1991"/>
      <c r="AC485" s="1991"/>
      <c r="AD485" s="1991"/>
      <c r="AE485" s="1991"/>
      <c r="AF485" s="1991"/>
      <c r="AG485" s="1991"/>
      <c r="AH485" s="1991"/>
      <c r="AI485" s="1991"/>
      <c r="AJ485" s="1991"/>
      <c r="AK485" s="1991"/>
      <c r="AL485" s="1991"/>
      <c r="AM485" s="1991"/>
      <c r="AN485" s="1991"/>
      <c r="AO485" s="1991"/>
      <c r="AP485" s="1991"/>
      <c r="AQ485" s="1991"/>
      <c r="AR485" s="1991"/>
      <c r="AS485" s="1991"/>
      <c r="AT485" s="1991"/>
      <c r="AU485" s="1991"/>
      <c r="AV485" s="1991"/>
      <c r="AW485" s="1991"/>
      <c r="AX485" s="1991"/>
      <c r="AY485" s="1991"/>
    </row>
    <row r="486" spans="27:51" x14ac:dyDescent="0.25">
      <c r="AA486" s="1991"/>
      <c r="AB486" s="1991"/>
      <c r="AC486" s="1991"/>
      <c r="AD486" s="1991"/>
      <c r="AE486" s="1991"/>
      <c r="AF486" s="1991"/>
      <c r="AG486" s="1991"/>
      <c r="AH486" s="1991"/>
      <c r="AI486" s="1991"/>
      <c r="AJ486" s="1991"/>
      <c r="AK486" s="1991"/>
      <c r="AL486" s="1991"/>
      <c r="AM486" s="1991"/>
      <c r="AN486" s="1991"/>
      <c r="AO486" s="1991"/>
      <c r="AP486" s="1991"/>
      <c r="AQ486" s="1991"/>
      <c r="AR486" s="1991"/>
      <c r="AS486" s="1991"/>
      <c r="AT486" s="1991"/>
      <c r="AU486" s="1991"/>
      <c r="AV486" s="1991"/>
      <c r="AW486" s="1991"/>
      <c r="AX486" s="1991"/>
      <c r="AY486" s="1991"/>
    </row>
    <row r="487" spans="27:51" x14ac:dyDescent="0.25">
      <c r="AA487" s="1991"/>
      <c r="AB487" s="1991"/>
      <c r="AC487" s="1991"/>
      <c r="AD487" s="1991"/>
      <c r="AE487" s="1991"/>
      <c r="AF487" s="1991"/>
      <c r="AG487" s="1991"/>
      <c r="AH487" s="1991"/>
      <c r="AI487" s="1991"/>
      <c r="AJ487" s="1991"/>
      <c r="AK487" s="1991"/>
      <c r="AL487" s="1991"/>
      <c r="AM487" s="1991"/>
      <c r="AN487" s="1991"/>
      <c r="AO487" s="1991"/>
      <c r="AP487" s="1991"/>
      <c r="AQ487" s="1991"/>
      <c r="AR487" s="1991"/>
      <c r="AS487" s="1991"/>
      <c r="AT487" s="1991"/>
      <c r="AU487" s="1991"/>
      <c r="AV487" s="1991"/>
      <c r="AW487" s="1991"/>
      <c r="AX487" s="1991"/>
      <c r="AY487" s="1991"/>
    </row>
    <row r="488" spans="27:51" x14ac:dyDescent="0.25">
      <c r="AA488" s="1991"/>
      <c r="AB488" s="1991"/>
      <c r="AC488" s="1991"/>
      <c r="AD488" s="1991"/>
      <c r="AE488" s="1991"/>
      <c r="AF488" s="1991"/>
      <c r="AG488" s="1991"/>
      <c r="AH488" s="1991"/>
      <c r="AI488" s="1991"/>
      <c r="AJ488" s="1991"/>
      <c r="AK488" s="1991"/>
      <c r="AL488" s="1991"/>
      <c r="AM488" s="1991"/>
      <c r="AN488" s="1991"/>
      <c r="AO488" s="1991"/>
      <c r="AP488" s="1991"/>
      <c r="AQ488" s="1991"/>
      <c r="AR488" s="1991"/>
      <c r="AS488" s="1991"/>
      <c r="AT488" s="1991"/>
      <c r="AU488" s="1991"/>
      <c r="AV488" s="1991"/>
      <c r="AW488" s="1991"/>
      <c r="AX488" s="1991"/>
      <c r="AY488" s="1991"/>
    </row>
    <row r="489" spans="27:51" x14ac:dyDescent="0.25">
      <c r="AA489" s="1991"/>
      <c r="AB489" s="1991"/>
      <c r="AC489" s="1991"/>
      <c r="AD489" s="1991"/>
      <c r="AE489" s="1991"/>
      <c r="AF489" s="1991"/>
      <c r="AG489" s="1991"/>
      <c r="AH489" s="1991"/>
      <c r="AI489" s="1991"/>
      <c r="AJ489" s="1991"/>
      <c r="AK489" s="1991"/>
      <c r="AL489" s="1991"/>
      <c r="AM489" s="1991"/>
      <c r="AN489" s="1991"/>
      <c r="AO489" s="1991"/>
      <c r="AP489" s="1991"/>
      <c r="AQ489" s="1991"/>
      <c r="AR489" s="1991"/>
      <c r="AS489" s="1991"/>
      <c r="AT489" s="1991"/>
      <c r="AU489" s="1991"/>
      <c r="AV489" s="1991"/>
      <c r="AW489" s="1991"/>
      <c r="AX489" s="1991"/>
      <c r="AY489" s="1991"/>
    </row>
    <row r="490" spans="27:51" x14ac:dyDescent="0.25">
      <c r="AA490" s="1991"/>
      <c r="AB490" s="1991"/>
      <c r="AC490" s="1991"/>
      <c r="AD490" s="1991"/>
      <c r="AE490" s="1991"/>
      <c r="AF490" s="1991"/>
      <c r="AG490" s="1991"/>
      <c r="AH490" s="1991"/>
      <c r="AI490" s="1991"/>
      <c r="AJ490" s="1991"/>
      <c r="AK490" s="1991"/>
      <c r="AL490" s="1991"/>
      <c r="AM490" s="1991"/>
      <c r="AN490" s="1991"/>
      <c r="AO490" s="1991"/>
      <c r="AP490" s="1991"/>
      <c r="AQ490" s="1991"/>
      <c r="AR490" s="1991"/>
      <c r="AS490" s="1991"/>
      <c r="AT490" s="1991"/>
      <c r="AU490" s="1991"/>
      <c r="AV490" s="1991"/>
      <c r="AW490" s="1991"/>
      <c r="AX490" s="1991"/>
      <c r="AY490" s="1991"/>
    </row>
    <row r="491" spans="27:51" x14ac:dyDescent="0.25">
      <c r="AA491" s="1991"/>
      <c r="AB491" s="1991"/>
      <c r="AC491" s="1991"/>
      <c r="AD491" s="1991"/>
      <c r="AE491" s="1991"/>
      <c r="AF491" s="1991"/>
      <c r="AG491" s="1991"/>
      <c r="AH491" s="1991"/>
      <c r="AI491" s="1991"/>
      <c r="AJ491" s="1991"/>
      <c r="AK491" s="1991"/>
      <c r="AL491" s="1991"/>
      <c r="AM491" s="1991"/>
      <c r="AN491" s="1991"/>
      <c r="AO491" s="1991"/>
      <c r="AP491" s="1991"/>
      <c r="AQ491" s="1991"/>
      <c r="AR491" s="1991"/>
      <c r="AS491" s="1991"/>
      <c r="AT491" s="1991"/>
      <c r="AU491" s="1991"/>
      <c r="AV491" s="1991"/>
      <c r="AW491" s="1991"/>
      <c r="AX491" s="1991"/>
      <c r="AY491" s="1991"/>
    </row>
    <row r="492" spans="27:51" x14ac:dyDescent="0.25">
      <c r="AA492" s="1991"/>
      <c r="AB492" s="1991"/>
      <c r="AC492" s="1991"/>
      <c r="AD492" s="1991"/>
      <c r="AE492" s="1991"/>
      <c r="AF492" s="1991"/>
      <c r="AG492" s="1991"/>
      <c r="AH492" s="1991"/>
      <c r="AI492" s="1991"/>
      <c r="AJ492" s="1991"/>
      <c r="AK492" s="1991"/>
      <c r="AL492" s="1991"/>
      <c r="AM492" s="1991"/>
      <c r="AN492" s="1991"/>
      <c r="AO492" s="1991"/>
      <c r="AP492" s="1991"/>
      <c r="AQ492" s="1991"/>
      <c r="AR492" s="1991"/>
      <c r="AS492" s="1991"/>
      <c r="AT492" s="1991"/>
      <c r="AU492" s="1991"/>
      <c r="AV492" s="1991"/>
      <c r="AW492" s="1991"/>
      <c r="AX492" s="1991"/>
      <c r="AY492" s="1991"/>
    </row>
    <row r="493" spans="27:51" x14ac:dyDescent="0.25">
      <c r="AA493" s="1991"/>
      <c r="AB493" s="1991"/>
      <c r="AC493" s="1991"/>
      <c r="AD493" s="1991"/>
      <c r="AE493" s="1991"/>
      <c r="AF493" s="1991"/>
      <c r="AG493" s="1991"/>
      <c r="AH493" s="1991"/>
      <c r="AI493" s="1991"/>
      <c r="AJ493" s="1991"/>
      <c r="AK493" s="1991"/>
      <c r="AL493" s="1991"/>
      <c r="AM493" s="1991"/>
      <c r="AN493" s="1991"/>
      <c r="AO493" s="1991"/>
      <c r="AP493" s="1991"/>
      <c r="AQ493" s="1991"/>
      <c r="AR493" s="1991"/>
      <c r="AS493" s="1991"/>
      <c r="AT493" s="1991"/>
      <c r="AU493" s="1991"/>
      <c r="AV493" s="1991"/>
      <c r="AW493" s="1991"/>
      <c r="AX493" s="1991"/>
      <c r="AY493" s="1991"/>
    </row>
    <row r="494" spans="27:51" x14ac:dyDescent="0.25">
      <c r="AA494" s="1991"/>
      <c r="AB494" s="1991"/>
      <c r="AC494" s="1991"/>
      <c r="AD494" s="1991"/>
      <c r="AE494" s="1991"/>
      <c r="AF494" s="1991"/>
      <c r="AG494" s="1991"/>
      <c r="AH494" s="1991"/>
      <c r="AI494" s="1991"/>
      <c r="AJ494" s="1991"/>
      <c r="AK494" s="1991"/>
      <c r="AL494" s="1991"/>
      <c r="AM494" s="1991"/>
      <c r="AN494" s="1991"/>
      <c r="AO494" s="1991"/>
      <c r="AP494" s="1991"/>
      <c r="AQ494" s="1991"/>
      <c r="AR494" s="1991"/>
      <c r="AS494" s="1991"/>
      <c r="AT494" s="1991"/>
      <c r="AU494" s="1991"/>
      <c r="AV494" s="1991"/>
      <c r="AW494" s="1991"/>
      <c r="AX494" s="1991"/>
      <c r="AY494" s="1991"/>
    </row>
    <row r="495" spans="27:51" x14ac:dyDescent="0.25">
      <c r="AA495" s="1991"/>
      <c r="AB495" s="1991"/>
      <c r="AC495" s="1991"/>
      <c r="AD495" s="1991"/>
      <c r="AE495" s="1991"/>
      <c r="AF495" s="1991"/>
      <c r="AG495" s="1991"/>
      <c r="AH495" s="1991"/>
      <c r="AI495" s="1991"/>
      <c r="AJ495" s="1991"/>
      <c r="AK495" s="1991"/>
      <c r="AL495" s="1991"/>
      <c r="AM495" s="1991"/>
      <c r="AN495" s="1991"/>
      <c r="AO495" s="1991"/>
      <c r="AP495" s="1991"/>
      <c r="AQ495" s="1991"/>
      <c r="AR495" s="1991"/>
      <c r="AS495" s="1991"/>
      <c r="AT495" s="1991"/>
      <c r="AU495" s="1991"/>
      <c r="AV495" s="1991"/>
      <c r="AW495" s="1991"/>
      <c r="AX495" s="1991"/>
      <c r="AY495" s="1991"/>
    </row>
    <row r="496" spans="27:51" x14ac:dyDescent="0.25">
      <c r="AA496" s="1991"/>
      <c r="AB496" s="1991"/>
      <c r="AC496" s="1991"/>
      <c r="AD496" s="1991"/>
      <c r="AE496" s="1991"/>
      <c r="AF496" s="1991"/>
      <c r="AG496" s="1991"/>
      <c r="AH496" s="1991"/>
      <c r="AI496" s="1991"/>
      <c r="AJ496" s="1991"/>
      <c r="AK496" s="1991"/>
      <c r="AL496" s="1991"/>
      <c r="AM496" s="1991"/>
      <c r="AN496" s="1991"/>
      <c r="AO496" s="1991"/>
      <c r="AP496" s="1991"/>
      <c r="AQ496" s="1991"/>
      <c r="AR496" s="1991"/>
      <c r="AS496" s="1991"/>
      <c r="AT496" s="1991"/>
      <c r="AU496" s="1991"/>
      <c r="AV496" s="1991"/>
      <c r="AW496" s="1991"/>
      <c r="AX496" s="1991"/>
      <c r="AY496" s="1991"/>
    </row>
    <row r="497" spans="27:51" x14ac:dyDescent="0.25">
      <c r="AA497" s="1991"/>
      <c r="AB497" s="1991"/>
      <c r="AC497" s="1991"/>
      <c r="AD497" s="1991"/>
      <c r="AE497" s="1991"/>
      <c r="AF497" s="1991"/>
      <c r="AG497" s="1991"/>
      <c r="AH497" s="1991"/>
      <c r="AI497" s="1991"/>
      <c r="AJ497" s="1991"/>
      <c r="AK497" s="1991"/>
      <c r="AL497" s="1991"/>
      <c r="AM497" s="1991"/>
      <c r="AN497" s="1991"/>
      <c r="AO497" s="1991"/>
      <c r="AP497" s="1991"/>
      <c r="AQ497" s="1991"/>
      <c r="AR497" s="1991"/>
      <c r="AS497" s="1991"/>
      <c r="AT497" s="1991"/>
      <c r="AU497" s="1991"/>
      <c r="AV497" s="1991"/>
      <c r="AW497" s="1991"/>
      <c r="AX497" s="1991"/>
      <c r="AY497" s="1991"/>
    </row>
    <row r="498" spans="27:51" x14ac:dyDescent="0.25">
      <c r="AA498" s="1991"/>
      <c r="AB498" s="1991"/>
      <c r="AC498" s="1991"/>
      <c r="AD498" s="1991"/>
      <c r="AE498" s="1991"/>
      <c r="AF498" s="1991"/>
      <c r="AG498" s="1991"/>
      <c r="AH498" s="1991"/>
      <c r="AI498" s="1991"/>
      <c r="AJ498" s="1991"/>
      <c r="AK498" s="1991"/>
      <c r="AL498" s="1991"/>
      <c r="AM498" s="1991"/>
      <c r="AN498" s="1991"/>
      <c r="AO498" s="1991"/>
      <c r="AP498" s="1991"/>
      <c r="AQ498" s="1991"/>
      <c r="AR498" s="1991"/>
      <c r="AS498" s="1991"/>
      <c r="AT498" s="1991"/>
      <c r="AU498" s="1991"/>
      <c r="AV498" s="1991"/>
      <c r="AW498" s="1991"/>
      <c r="AX498" s="1991"/>
      <c r="AY498" s="1991"/>
    </row>
    <row r="499" spans="27:51" x14ac:dyDescent="0.25">
      <c r="AA499" s="1991"/>
      <c r="AB499" s="1991"/>
      <c r="AC499" s="1991"/>
      <c r="AD499" s="1991"/>
      <c r="AE499" s="1991"/>
      <c r="AF499" s="1991"/>
      <c r="AG499" s="1991"/>
      <c r="AH499" s="1991"/>
      <c r="AI499" s="1991"/>
      <c r="AJ499" s="1991"/>
      <c r="AK499" s="1991"/>
      <c r="AL499" s="1991"/>
      <c r="AM499" s="1991"/>
      <c r="AN499" s="1991"/>
      <c r="AO499" s="1991"/>
      <c r="AP499" s="1991"/>
      <c r="AQ499" s="1991"/>
      <c r="AR499" s="1991"/>
      <c r="AS499" s="1991"/>
      <c r="AT499" s="1991"/>
      <c r="AU499" s="1991"/>
      <c r="AV499" s="1991"/>
      <c r="AW499" s="1991"/>
      <c r="AX499" s="1991"/>
      <c r="AY499" s="1991"/>
    </row>
    <row r="500" spans="27:51" x14ac:dyDescent="0.25">
      <c r="AA500" s="1991"/>
      <c r="AB500" s="1991"/>
      <c r="AC500" s="1991"/>
      <c r="AD500" s="1991"/>
      <c r="AE500" s="1991"/>
      <c r="AF500" s="1991"/>
      <c r="AG500" s="1991"/>
      <c r="AH500" s="1991"/>
      <c r="AI500" s="1991"/>
      <c r="AJ500" s="1991"/>
      <c r="AK500" s="1991"/>
      <c r="AL500" s="1991"/>
      <c r="AM500" s="1991"/>
      <c r="AN500" s="1991"/>
      <c r="AO500" s="1991"/>
      <c r="AP500" s="1991"/>
      <c r="AQ500" s="1991"/>
      <c r="AR500" s="1991"/>
      <c r="AS500" s="1991"/>
      <c r="AT500" s="1991"/>
      <c r="AU500" s="1991"/>
      <c r="AV500" s="1991"/>
      <c r="AW500" s="1991"/>
      <c r="AX500" s="1991"/>
      <c r="AY500" s="1991"/>
    </row>
    <row r="501" spans="27:51" x14ac:dyDescent="0.25">
      <c r="AA501" s="1991"/>
      <c r="AB501" s="1991"/>
      <c r="AC501" s="1991"/>
      <c r="AD501" s="1991"/>
      <c r="AE501" s="1991"/>
      <c r="AF501" s="1991"/>
      <c r="AG501" s="1991"/>
      <c r="AH501" s="1991"/>
      <c r="AI501" s="1991"/>
      <c r="AJ501" s="1991"/>
      <c r="AK501" s="1991"/>
      <c r="AL501" s="1991"/>
      <c r="AM501" s="1991"/>
      <c r="AN501" s="1991"/>
      <c r="AO501" s="1991"/>
      <c r="AP501" s="1991"/>
      <c r="AQ501" s="1991"/>
      <c r="AR501" s="1991"/>
      <c r="AS501" s="1991"/>
      <c r="AT501" s="1991"/>
      <c r="AU501" s="1991"/>
      <c r="AV501" s="1991"/>
      <c r="AW501" s="1991"/>
      <c r="AX501" s="1991"/>
      <c r="AY501" s="1991"/>
    </row>
    <row r="502" spans="27:51" x14ac:dyDescent="0.25">
      <c r="AA502" s="1991"/>
      <c r="AB502" s="1991"/>
      <c r="AC502" s="1991"/>
      <c r="AD502" s="1991"/>
      <c r="AE502" s="1991"/>
      <c r="AF502" s="1991"/>
      <c r="AG502" s="1991"/>
      <c r="AH502" s="1991"/>
      <c r="AI502" s="1991"/>
      <c r="AJ502" s="1991"/>
      <c r="AK502" s="1991"/>
      <c r="AL502" s="1991"/>
      <c r="AM502" s="1991"/>
      <c r="AN502" s="1991"/>
      <c r="AO502" s="1991"/>
      <c r="AP502" s="1991"/>
      <c r="AQ502" s="1991"/>
      <c r="AR502" s="1991"/>
      <c r="AS502" s="1991"/>
      <c r="AT502" s="1991"/>
      <c r="AU502" s="1991"/>
      <c r="AV502" s="1991"/>
      <c r="AW502" s="1991"/>
      <c r="AX502" s="1991"/>
      <c r="AY502" s="1991"/>
    </row>
    <row r="503" spans="27:51" x14ac:dyDescent="0.25">
      <c r="AA503" s="1991"/>
      <c r="AB503" s="1991"/>
      <c r="AC503" s="1991"/>
      <c r="AD503" s="1991"/>
      <c r="AE503" s="1991"/>
      <c r="AF503" s="1991"/>
      <c r="AG503" s="1991"/>
      <c r="AH503" s="1991"/>
      <c r="AI503" s="1991"/>
      <c r="AJ503" s="1991"/>
      <c r="AK503" s="1991"/>
      <c r="AL503" s="1991"/>
      <c r="AM503" s="1991"/>
      <c r="AN503" s="1991"/>
      <c r="AO503" s="1991"/>
      <c r="AP503" s="1991"/>
      <c r="AQ503" s="1991"/>
      <c r="AR503" s="1991"/>
      <c r="AS503" s="1991"/>
      <c r="AT503" s="1991"/>
      <c r="AU503" s="1991"/>
      <c r="AV503" s="1991"/>
      <c r="AW503" s="1991"/>
      <c r="AX503" s="1991"/>
      <c r="AY503" s="1991"/>
    </row>
    <row r="504" spans="27:51" x14ac:dyDescent="0.25">
      <c r="AA504" s="1991"/>
      <c r="AB504" s="1991"/>
      <c r="AC504" s="1991"/>
      <c r="AD504" s="1991"/>
      <c r="AE504" s="1991"/>
      <c r="AF504" s="1991"/>
      <c r="AG504" s="1991"/>
      <c r="AH504" s="1991"/>
      <c r="AI504" s="1991"/>
      <c r="AJ504" s="1991"/>
      <c r="AK504" s="1991"/>
      <c r="AL504" s="1991"/>
      <c r="AM504" s="1991"/>
      <c r="AN504" s="1991"/>
      <c r="AO504" s="1991"/>
      <c r="AP504" s="1991"/>
      <c r="AQ504" s="1991"/>
      <c r="AR504" s="1991"/>
      <c r="AS504" s="1991"/>
      <c r="AT504" s="1991"/>
      <c r="AU504" s="1991"/>
      <c r="AV504" s="1991"/>
      <c r="AW504" s="1991"/>
      <c r="AX504" s="1991"/>
      <c r="AY504" s="1991"/>
    </row>
    <row r="505" spans="27:51" x14ac:dyDescent="0.25">
      <c r="AA505" s="1991"/>
      <c r="AB505" s="1991"/>
      <c r="AC505" s="1991"/>
      <c r="AD505" s="1991"/>
      <c r="AE505" s="1991"/>
      <c r="AF505" s="1991"/>
      <c r="AG505" s="1991"/>
      <c r="AH505" s="1991"/>
      <c r="AI505" s="1991"/>
      <c r="AJ505" s="1991"/>
      <c r="AK505" s="1991"/>
      <c r="AL505" s="1991"/>
      <c r="AM505" s="1991"/>
      <c r="AN505" s="1991"/>
      <c r="AO505" s="1991"/>
      <c r="AP505" s="1991"/>
      <c r="AQ505" s="1991"/>
      <c r="AR505" s="1991"/>
      <c r="AS505" s="1991"/>
      <c r="AT505" s="1991"/>
      <c r="AU505" s="1991"/>
      <c r="AV505" s="1991"/>
      <c r="AW505" s="1991"/>
      <c r="AX505" s="1991"/>
      <c r="AY505" s="1991"/>
    </row>
  </sheetData>
  <sheetProtection password="838D" sheet="1" objects="1" scenarios="1"/>
  <mergeCells count="79">
    <mergeCell ref="AA232:AD233"/>
    <mergeCell ref="AA291:AD292"/>
    <mergeCell ref="AW69:AW70"/>
    <mergeCell ref="AX69:AZ69"/>
    <mergeCell ref="BA69:BG69"/>
    <mergeCell ref="AC75:AD75"/>
    <mergeCell ref="CB7:CB8"/>
    <mergeCell ref="BQ41:BQ43"/>
    <mergeCell ref="AA113:AD114"/>
    <mergeCell ref="AX29:AZ29"/>
    <mergeCell ref="BA29:BG29"/>
    <mergeCell ref="AW29:AW30"/>
    <mergeCell ref="AC23:AD23"/>
    <mergeCell ref="AW48:AW49"/>
    <mergeCell ref="AX48:AZ48"/>
    <mergeCell ref="BA48:BG48"/>
    <mergeCell ref="AV13:BC14"/>
    <mergeCell ref="Y36:AA36"/>
    <mergeCell ref="AC34:AD34"/>
    <mergeCell ref="AC36:AD38"/>
    <mergeCell ref="Y57:Y58"/>
    <mergeCell ref="O28:O29"/>
    <mergeCell ref="J20:J21"/>
    <mergeCell ref="G19:I23"/>
    <mergeCell ref="AJ13:AN14"/>
    <mergeCell ref="AC15:AD17"/>
    <mergeCell ref="AC13:AE14"/>
    <mergeCell ref="Y13:AA14"/>
    <mergeCell ref="I7:K7"/>
    <mergeCell ref="G29:G30"/>
    <mergeCell ref="H29:H30"/>
    <mergeCell ref="J17:J19"/>
    <mergeCell ref="B36:C44"/>
    <mergeCell ref="B15:B21"/>
    <mergeCell ref="B23:B32"/>
    <mergeCell ref="B5:B7"/>
    <mergeCell ref="B9:B13"/>
    <mergeCell ref="B109:C109"/>
    <mergeCell ref="B106:C106"/>
    <mergeCell ref="B97:C97"/>
    <mergeCell ref="B96:C96"/>
    <mergeCell ref="B98:C98"/>
    <mergeCell ref="B108:C108"/>
    <mergeCell ref="B107:C107"/>
    <mergeCell ref="B99:C99"/>
    <mergeCell ref="D4:E4"/>
    <mergeCell ref="F29:F30"/>
    <mergeCell ref="D34:D35"/>
    <mergeCell ref="E34:F35"/>
    <mergeCell ref="E29:E30"/>
    <mergeCell ref="B95:C95"/>
    <mergeCell ref="J99:K99"/>
    <mergeCell ref="F48:F49"/>
    <mergeCell ref="J39:J41"/>
    <mergeCell ref="G41:I43"/>
    <mergeCell ref="G62:I64"/>
    <mergeCell ref="J63:J64"/>
    <mergeCell ref="J60:J62"/>
    <mergeCell ref="E53:F54"/>
    <mergeCell ref="E69:E70"/>
    <mergeCell ref="D74:D75"/>
    <mergeCell ref="F78:F79"/>
    <mergeCell ref="F69:F70"/>
    <mergeCell ref="G69:G70"/>
    <mergeCell ref="H69:H70"/>
    <mergeCell ref="G48:G49"/>
    <mergeCell ref="B78:C83"/>
    <mergeCell ref="E48:E49"/>
    <mergeCell ref="B58:C67"/>
    <mergeCell ref="E74:F75"/>
    <mergeCell ref="B69:B76"/>
    <mergeCell ref="B45:B55"/>
    <mergeCell ref="D53:D54"/>
    <mergeCell ref="O68:O69"/>
    <mergeCell ref="H48:H49"/>
    <mergeCell ref="AC44:AD44"/>
    <mergeCell ref="AC63:AD63"/>
    <mergeCell ref="AC57:AD59"/>
    <mergeCell ref="AC54:AD54"/>
  </mergeCells>
  <phoneticPr fontId="3" type="noConversion"/>
  <conditionalFormatting sqref="AI190:AK203 AF201:AG202 AH201:AH204 AC158:AS172 AS190:AU204 AR202:AR204">
    <cfRule type="cellIs" dxfId="7" priority="4" stopIfTrue="1" operator="notEqual">
      <formula>#REF!</formula>
    </cfRule>
  </conditionalFormatting>
  <conditionalFormatting sqref="H7">
    <cfRule type="cellIs" dxfId="6" priority="6" stopIfTrue="1" operator="equal">
      <formula>"NULL"</formula>
    </cfRule>
  </conditionalFormatting>
  <dataValidations xWindow="385" yWindow="285" count="35">
    <dataValidation type="list" allowBlank="1" showInputMessage="1" showErrorMessage="1" sqref="BS11 BQ17:BR17 AB151:AD151" xr:uid="{00000000-0002-0000-0400-000000000000}">
      <formula1>#REF!</formula1>
    </dataValidation>
    <dataValidation allowBlank="1" showInputMessage="1" showErrorMessage="1" prompt="Based on IPCC Equation 10.23" sqref="BN24" xr:uid="{00000000-0002-0000-0400-000001000000}"/>
    <dataValidation allowBlank="1" showInputMessage="1" showErrorMessage="1" prompt="Based on IPCC Equation 10.25" sqref="BO24" xr:uid="{00000000-0002-0000-0400-000002000000}"/>
    <dataValidation allowBlank="1" showInputMessage="1" showErrorMessage="1" prompt="If greater than 1 year enter 365" sqref="AM3:AM5" xr:uid="{00000000-0002-0000-0400-000003000000}"/>
    <dataValidation type="decimal" allowBlank="1" showInputMessage="1" showErrorMessage="1" errorTitle="Invalid percentage entered" error="Please enter decimal between 0 and 100" sqref="F50:F52 F31:F33 F71:F73" xr:uid="{00000000-0002-0000-0400-000004000000}">
      <formula1>0</formula1>
      <formula2>100</formula2>
    </dataValidation>
    <dataValidation type="list" allowBlank="1" showInputMessage="1" showErrorMessage="1" sqref="BP89:BP94" xr:uid="{00000000-0002-0000-0400-000005000000}">
      <formula1>$BZ$60:$BZ$78</formula1>
    </dataValidation>
    <dataValidation type="list" allowBlank="1" showInputMessage="1" showErrorMessage="1" sqref="D111:D112 AT92 D100:D104" xr:uid="{00000000-0002-0000-0400-000006000000}">
      <formula1>$CE$165:$CE$167</formula1>
    </dataValidation>
    <dataValidation type="list" allowBlank="1" showInputMessage="1" showErrorMessage="1" sqref="AS95:AS107" xr:uid="{00000000-0002-0000-0400-000007000000}">
      <formula1>$CC$187:$CC$189</formula1>
    </dataValidation>
    <dataValidation type="list" allowBlank="1" showInputMessage="1" showErrorMessage="1" sqref="J93:M93" xr:uid="{00000000-0002-0000-0400-000008000000}">
      <formula1>$CC$177:$CC$179</formula1>
    </dataValidation>
    <dataValidation type="list" allowBlank="1" showInputMessage="1" sqref="E80:E82" xr:uid="{00000000-0002-0000-0400-000009000000}">
      <formula1>$N$132:$N$134</formula1>
    </dataValidation>
    <dataValidation type="list" allowBlank="1" showInputMessage="1" showErrorMessage="1" sqref="AF201:AG202 AI190:AK203 AH201:AH204 AS190:AU204 AR202:AR204" xr:uid="{00000000-0002-0000-0400-00000A000000}">
      <formula1>$B$40:$B$56</formula1>
    </dataValidation>
    <dataValidation type="list" allowBlank="1" showInputMessage="1" sqref="H7" xr:uid="{00000000-0002-0000-0400-00000B000000}">
      <formula1>$AC$298:$AC$301</formula1>
    </dataValidation>
    <dataValidation type="list" allowBlank="1" showInputMessage="1" showErrorMessage="1" sqref="F10:F12" xr:uid="{00000000-0002-0000-0400-00000C000000}">
      <formula1>$AD$298:$AD$301</formula1>
    </dataValidation>
    <dataValidation allowBlank="1" showErrorMessage="1" sqref="H11" xr:uid="{00000000-0002-0000-0400-00000D000000}"/>
    <dataValidation type="textLength" allowBlank="1" showInputMessage="1" showErrorMessage="1" sqref="E20" xr:uid="{00000000-0002-0000-0400-00000E000000}">
      <formula1>1</formula1>
      <formula2>3</formula2>
    </dataValidation>
    <dataValidation allowBlank="1" showInputMessage="1" showErrorMessage="1" promptTitle="Make-up of ration" prompt="Enter the % of each feed component in your feed ration for this life phase." sqref="L22 L65 L44" xr:uid="{00000000-0002-0000-0400-00000F000000}"/>
    <dataValidation type="list" allowBlank="1" showInputMessage="1" sqref="F65 F23 F44" xr:uid="{00000000-0002-0000-0400-000010000000}">
      <formula1>$AE$268:$AE$270</formula1>
    </dataValidation>
    <dataValidation type="list" allowBlank="1" showInputMessage="1" showErrorMessage="1" sqref="I105 I94" xr:uid="{00000000-0002-0000-0400-000011000000}">
      <formula1>$AE$241:$AE$244</formula1>
    </dataValidation>
    <dataValidation allowBlank="1" showInputMessage="1" showErrorMessage="1" prompt="This the period spent in production" sqref="D11" xr:uid="{00000000-0002-0000-0400-000012000000}"/>
    <dataValidation allowBlank="1" showInputMessage="1" showErrorMessage="1" prompt="Choose snapshot if you want to evaluate the emissions of your present livestock. Choose Life Cycle if you wish to calculate the total emissions over the lifespan of your livestock." sqref="D5" xr:uid="{00000000-0002-0000-0400-000013000000}"/>
    <dataValidation allowBlank="1" showInputMessage="1" showErrorMessage="1" prompt="Enter the total time that adult livestock are non-productive. For example, if you raise dairy cows, enter the total time they are adults but non-lactating." sqref="D12" xr:uid="{00000000-0002-0000-0400-000014000000}"/>
    <dataValidation allowBlank="1" showInputMessage="1" showErrorMessage="1" prompt="HIGH quality is young (vegetative) legumes and grasses._x000d_MEDIUM quality is mid-season legumes and grasses._x000d_LOW quality is straws and mature grasses._x000d__x000d_If you have a range then pick the one which represents an average from the choices." sqref="D23 D65 D44" xr:uid="{00000000-0002-0000-0400-000015000000}"/>
    <dataValidation type="decimal" allowBlank="1" showInputMessage="1" errorTitle="Invalid percentage entered" error="Please enter decimal between 0 and 100" sqref="G50:G52" xr:uid="{00000000-0002-0000-0400-000016000000}">
      <formula1>0</formula1>
      <formula2>100</formula2>
    </dataValidation>
    <dataValidation allowBlank="1" showInputMessage="1" showErrorMessage="1" prompt="This question refers to dry matter intake as a percentage of total nutrition, not to time spent grazing or volume intake. If greater than zero then you should estimate dry matter intake per head and enter the feed components to the right_x000d_" sqref="D20 D41 D62" xr:uid="{00000000-0002-0000-0400-000017000000}"/>
    <dataValidation allowBlank="1" showInputMessage="1" showErrorMessage="1" prompt="This should be completed if emissions from feed are required. For livestock it can be estimated using the calculator to the right. Your own estimates may however be more reliable" sqref="J17:J19 J39:J41" xr:uid="{00000000-0002-0000-0400-000018000000}"/>
    <dataValidation allowBlank="1" showInputMessage="1" showErrorMessage="1" prompt="This should be completed if emissions from feed are required. _x000d_" sqref="J60:J62" xr:uid="{00000000-0002-0000-0400-000019000000}"/>
    <dataValidation type="list" allowBlank="1" showInputMessage="1" showErrorMessage="1" sqref="E50:E52 E71:E73 E31 E33" xr:uid="{00000000-0002-0000-0400-00001A000000}">
      <formula1>$AO$184:$AO$201</formula1>
    </dataValidation>
    <dataValidation type="list" allowBlank="1" showInputMessage="1" sqref="Q43" xr:uid="{00000000-0002-0000-0400-00001B000000}">
      <formula1>$AI$242:$AI$243</formula1>
    </dataValidation>
    <dataValidation type="list" allowBlank="1" showInputMessage="1" showErrorMessage="1" sqref="Q23:Q25" xr:uid="{00000000-0002-0000-0400-00001C000000}">
      <formula1>$AI$242:$AI$243</formula1>
    </dataValidation>
    <dataValidation type="list" allowBlank="1" showInputMessage="1" sqref="E65 E23 E44" xr:uid="{00000000-0002-0000-0400-00001D000000}">
      <formula1>$AB$268:$AB$271</formula1>
    </dataValidation>
    <dataValidation type="list" allowBlank="1" showInputMessage="1" showErrorMessage="1" sqref="K23:K32 K45:K54 K66:K75" xr:uid="{00000000-0002-0000-0400-00001E000000}">
      <formula1>$AB$313:$AB$349</formula1>
    </dataValidation>
    <dataValidation type="list" allowBlank="1" showInputMessage="1" sqref="E7" xr:uid="{00000000-0002-0000-0400-00001F000000}">
      <formula1>$AI$121:$AI$133</formula1>
    </dataValidation>
    <dataValidation type="list" errorStyle="information" allowBlank="1" showInputMessage="1" showErrorMessage="1" sqref="AC158:AT172" xr:uid="{00000000-0002-0000-0400-000020000000}">
      <formula1>$AI$204:$AI$223</formula1>
    </dataValidation>
    <dataValidation type="list" allowBlank="1" showInputMessage="1" sqref="E5" xr:uid="{00000000-0002-0000-0400-000021000000}">
      <formula1>$AB$139:$AB$140</formula1>
    </dataValidation>
    <dataValidation type="list" allowBlank="1" showInputMessage="1" sqref="E32" xr:uid="{00000000-0002-0000-0400-000022000000}">
      <formula1>$AO$184:$AO$201</formula1>
    </dataValidation>
  </dataValidations>
  <pageMargins left="0.75" right="0.75" top="1" bottom="1" header="0.5" footer="0.5"/>
  <pageSetup paperSize="9" orientation="portrait" horizontalDpi="429496729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BA237"/>
  <sheetViews>
    <sheetView workbookViewId="0">
      <pane ySplit="1" topLeftCell="A53" activePane="bottomLeft" state="frozen"/>
      <selection activeCell="E31" sqref="E31"/>
      <selection pane="bottomLeft" activeCell="E62" sqref="E62"/>
    </sheetView>
  </sheetViews>
  <sheetFormatPr defaultColWidth="8.77734375" defaultRowHeight="16.600000000000001" customHeight="1" x14ac:dyDescent="0.25"/>
  <cols>
    <col min="1" max="1" width="5.6640625" customWidth="1" collapsed="1"/>
    <col min="2" max="2" width="1.44140625" customWidth="1" collapsed="1"/>
    <col min="3" max="3" width="12.77734375" customWidth="1" collapsed="1"/>
    <col min="4" max="4" width="46.44140625" customWidth="1" collapsed="1"/>
    <col min="5" max="6" width="16.33203125" customWidth="1" collapsed="1"/>
    <col min="7" max="7" width="47.6640625" customWidth="1" collapsed="1"/>
    <col min="8" max="8" width="60.44140625" customWidth="1" collapsed="1"/>
    <col min="9" max="9" width="27.44140625" customWidth="1" collapsed="1"/>
    <col min="10" max="10" width="31" customWidth="1" collapsed="1"/>
    <col min="11" max="11" width="103" customWidth="1" collapsed="1"/>
    <col min="12" max="12" width="27.6640625" customWidth="1" collapsed="1"/>
    <col min="13" max="13" width="20" customWidth="1" collapsed="1"/>
    <col min="14" max="14" width="21.21875" customWidth="1" collapsed="1"/>
    <col min="15" max="17" width="20.44140625" customWidth="1" collapsed="1"/>
    <col min="18" max="18" width="31.6640625" customWidth="1" collapsed="1"/>
    <col min="19" max="19" width="35.21875" customWidth="1" collapsed="1"/>
    <col min="20" max="20" width="26.6640625" customWidth="1" collapsed="1"/>
    <col min="21" max="21" width="16" customWidth="1" collapsed="1"/>
    <col min="23" max="23" width="9.44140625" bestFit="1" customWidth="1" collapsed="1"/>
    <col min="24" max="24" width="13.77734375" customWidth="1" collapsed="1"/>
    <col min="28" max="30" width="9" bestFit="1" customWidth="1" collapsed="1"/>
    <col min="39" max="39" width="9" bestFit="1" customWidth="1" collapsed="1"/>
    <col min="46" max="47" width="9" bestFit="1" customWidth="1" collapsed="1"/>
  </cols>
  <sheetData>
    <row r="1" spans="1:53" ht="97.5" customHeight="1" x14ac:dyDescent="0.25">
      <c r="A1" s="434"/>
      <c r="B1" s="434"/>
      <c r="C1" s="434"/>
      <c r="D1" s="435"/>
      <c r="E1" s="173"/>
      <c r="F1" s="434"/>
      <c r="G1" s="434"/>
      <c r="H1" s="434"/>
      <c r="I1" s="434"/>
      <c r="J1" s="434"/>
      <c r="K1" s="293"/>
      <c r="L1" s="293"/>
      <c r="M1" s="293"/>
      <c r="N1" s="292"/>
      <c r="O1" s="292"/>
      <c r="P1" s="292"/>
      <c r="Q1" s="292"/>
      <c r="R1" s="292"/>
      <c r="S1" s="292"/>
      <c r="T1" s="292"/>
      <c r="U1" s="292"/>
      <c r="V1" s="293"/>
      <c r="W1" s="293"/>
      <c r="X1" s="293"/>
      <c r="Y1" s="293"/>
      <c r="Z1" s="293"/>
      <c r="AA1" s="293"/>
      <c r="AB1" s="292"/>
      <c r="AC1" s="292"/>
      <c r="AD1" s="292"/>
      <c r="AE1" s="292"/>
      <c r="AF1" s="292"/>
      <c r="AG1" s="292"/>
      <c r="AH1" s="292"/>
      <c r="AI1" s="292"/>
      <c r="AJ1" s="292"/>
      <c r="AK1" s="292"/>
      <c r="AL1" s="292"/>
      <c r="AM1" s="292"/>
      <c r="AN1" s="292"/>
      <c r="AO1" s="292"/>
      <c r="AP1" s="292"/>
      <c r="AQ1" s="292"/>
      <c r="AR1" s="292"/>
      <c r="AS1" s="292"/>
      <c r="AT1" s="292"/>
      <c r="AU1" s="292"/>
      <c r="AV1" s="292"/>
      <c r="AW1" s="1616"/>
      <c r="AX1" s="1616"/>
      <c r="AY1" s="1616"/>
      <c r="AZ1" s="1616"/>
      <c r="BA1" s="1616"/>
    </row>
    <row r="2" spans="1:53" ht="43.5" customHeight="1" x14ac:dyDescent="0.25">
      <c r="A2" s="436"/>
      <c r="B2" s="436"/>
      <c r="C2" s="2263"/>
      <c r="D2" s="2263"/>
      <c r="E2" s="2263"/>
      <c r="F2" s="849"/>
      <c r="G2" s="849"/>
      <c r="H2" s="436"/>
      <c r="I2" s="436"/>
      <c r="J2" s="2"/>
      <c r="K2" s="147" t="s">
        <v>650</v>
      </c>
      <c r="L2" s="147"/>
      <c r="M2" s="147"/>
      <c r="N2" s="436"/>
      <c r="O2" s="2"/>
      <c r="P2" s="147"/>
      <c r="Q2" s="437"/>
      <c r="R2" s="147"/>
      <c r="S2" s="436"/>
      <c r="T2" s="436"/>
      <c r="U2" s="436"/>
      <c r="V2" s="2"/>
      <c r="W2" s="2"/>
      <c r="X2" s="436"/>
      <c r="Y2" s="436"/>
      <c r="AB2" s="1616"/>
      <c r="AC2" s="1616"/>
      <c r="AD2" s="1616"/>
      <c r="AE2" s="1616"/>
      <c r="AF2" s="448"/>
      <c r="AG2" s="448"/>
      <c r="AH2" s="448"/>
      <c r="AI2" s="448"/>
      <c r="AJ2" s="448"/>
      <c r="AK2" s="448"/>
      <c r="AL2" s="448"/>
      <c r="AM2" s="448"/>
      <c r="AN2" s="448"/>
      <c r="AO2" s="448"/>
      <c r="AP2" s="448"/>
      <c r="AQ2" s="448"/>
      <c r="AR2" s="448"/>
      <c r="AS2" s="448"/>
      <c r="AT2" s="448"/>
      <c r="AU2" s="448"/>
      <c r="AV2" s="448"/>
      <c r="AW2" s="1616"/>
      <c r="AX2" s="1616"/>
      <c r="AY2" s="1616"/>
      <c r="AZ2" s="1616"/>
      <c r="BA2" s="1616"/>
    </row>
    <row r="3" spans="1:53" ht="7.5" customHeight="1" thickBot="1" x14ac:dyDescent="0.3">
      <c r="A3" s="436"/>
      <c r="B3" s="436"/>
      <c r="C3" s="2263"/>
      <c r="D3" s="2263"/>
      <c r="E3" s="2263"/>
      <c r="F3" s="436"/>
      <c r="G3" s="436"/>
      <c r="H3" s="436"/>
      <c r="I3" s="436"/>
      <c r="J3" s="2"/>
      <c r="K3" s="436"/>
      <c r="L3" s="436"/>
      <c r="M3" s="436"/>
      <c r="N3" s="436"/>
      <c r="O3" s="436"/>
      <c r="P3" s="436"/>
      <c r="Q3" s="436"/>
      <c r="R3" s="436"/>
      <c r="S3" s="436"/>
      <c r="T3" s="436"/>
      <c r="U3" s="436"/>
      <c r="V3" s="2"/>
      <c r="W3" s="2"/>
      <c r="X3" s="436"/>
      <c r="Y3" s="436"/>
      <c r="AB3" s="1616"/>
      <c r="AC3" s="1616"/>
      <c r="AD3" s="1616"/>
      <c r="AE3" s="1616"/>
      <c r="AF3" s="448"/>
      <c r="AG3" s="448"/>
      <c r="AH3" s="448"/>
      <c r="AI3" s="448"/>
      <c r="AJ3" s="448"/>
      <c r="AK3" s="448"/>
      <c r="AL3" s="448"/>
      <c r="AM3" s="448"/>
      <c r="AN3" s="448"/>
      <c r="AO3" s="448"/>
      <c r="AP3" s="448"/>
      <c r="AQ3" s="448"/>
      <c r="AR3" s="448"/>
      <c r="AS3" s="448"/>
      <c r="AT3" s="448"/>
      <c r="AU3" s="448"/>
      <c r="AV3" s="448"/>
      <c r="AW3" s="1616"/>
      <c r="AX3" s="1616"/>
      <c r="AY3" s="1616"/>
      <c r="AZ3" s="1616"/>
      <c r="BA3" s="1616"/>
    </row>
    <row r="4" spans="1:53" ht="21.75" customHeight="1" thickBot="1" x14ac:dyDescent="0.3">
      <c r="A4" s="434"/>
      <c r="B4" s="901"/>
      <c r="C4" s="2482" t="s">
        <v>633</v>
      </c>
      <c r="D4" s="850"/>
      <c r="E4" s="850"/>
      <c r="F4" s="484"/>
      <c r="G4" s="559"/>
      <c r="H4" s="436"/>
      <c r="I4" s="436"/>
      <c r="J4" s="2"/>
      <c r="K4" s="436"/>
      <c r="L4" s="436"/>
      <c r="M4" s="436"/>
      <c r="N4" s="436"/>
      <c r="O4" s="436"/>
      <c r="P4" s="436"/>
      <c r="Q4" s="436"/>
      <c r="R4" s="434"/>
      <c r="S4" s="434"/>
      <c r="T4" s="434"/>
      <c r="U4" s="434"/>
      <c r="V4" s="2"/>
      <c r="W4" s="2"/>
      <c r="X4" s="434"/>
      <c r="Y4" s="434"/>
      <c r="AB4" s="1616"/>
      <c r="AC4" s="1616"/>
      <c r="AD4" s="1616"/>
      <c r="AE4" s="1616"/>
      <c r="AF4" s="292"/>
      <c r="AG4" s="292"/>
      <c r="AH4" s="292"/>
      <c r="AI4" s="292"/>
      <c r="AJ4" s="292"/>
      <c r="AK4" s="292"/>
      <c r="AL4" s="292"/>
      <c r="AM4" s="292"/>
      <c r="AN4" s="292"/>
      <c r="AO4" s="292"/>
      <c r="AP4" s="292"/>
      <c r="AQ4" s="292"/>
      <c r="AR4" s="292"/>
      <c r="AS4" s="292"/>
      <c r="AT4" s="292"/>
      <c r="AU4" s="292"/>
      <c r="AV4" s="292"/>
      <c r="AW4" s="1616"/>
      <c r="AX4" s="1616"/>
      <c r="AY4" s="1616"/>
      <c r="AZ4" s="1616"/>
      <c r="BA4" s="1616"/>
    </row>
    <row r="5" spans="1:53" ht="45.1" customHeight="1" x14ac:dyDescent="0.25">
      <c r="A5" s="434"/>
      <c r="B5" s="902"/>
      <c r="C5" s="2483"/>
      <c r="D5" s="532"/>
      <c r="E5" s="463"/>
      <c r="F5" s="533"/>
      <c r="G5" s="464"/>
      <c r="H5" s="434"/>
      <c r="I5" s="434"/>
      <c r="J5" s="2"/>
      <c r="K5" s="1840" t="s">
        <v>602</v>
      </c>
      <c r="L5" s="1841" t="s">
        <v>604</v>
      </c>
      <c r="M5" s="1841" t="s">
        <v>1128</v>
      </c>
      <c r="N5" s="1841" t="s">
        <v>128</v>
      </c>
      <c r="O5" s="1867" t="s">
        <v>127</v>
      </c>
      <c r="P5" s="1842"/>
      <c r="Q5" s="1868"/>
      <c r="R5" s="2"/>
      <c r="S5" s="434"/>
      <c r="T5" s="434"/>
      <c r="U5" s="434"/>
      <c r="V5" s="2"/>
      <c r="W5" s="1916"/>
      <c r="X5" s="1917"/>
      <c r="Y5" s="2"/>
      <c r="AB5" s="1616"/>
      <c r="AC5" s="1616"/>
      <c r="AD5" s="1616"/>
      <c r="AE5" s="1616"/>
      <c r="AF5" s="292"/>
      <c r="AG5" s="292"/>
      <c r="AH5" s="292"/>
      <c r="AI5" s="292"/>
      <c r="AJ5" s="292"/>
      <c r="AK5" s="292"/>
      <c r="AL5" s="292"/>
      <c r="AM5" s="292"/>
      <c r="AN5" s="292"/>
      <c r="AO5" s="292"/>
      <c r="AP5" s="292"/>
      <c r="AQ5" s="292"/>
      <c r="AR5" s="292"/>
      <c r="AS5" s="292"/>
      <c r="AT5" s="292"/>
      <c r="AU5" s="292"/>
      <c r="AV5" s="292"/>
      <c r="AW5" s="1616"/>
      <c r="AX5" s="1616"/>
      <c r="AY5" s="1616"/>
      <c r="AZ5" s="1616"/>
      <c r="BA5" s="1616"/>
    </row>
    <row r="6" spans="1:53" ht="27.1" customHeight="1" x14ac:dyDescent="0.25">
      <c r="A6" s="434"/>
      <c r="B6" s="902"/>
      <c r="C6" s="2483"/>
      <c r="D6" s="532"/>
      <c r="E6" s="463" t="s">
        <v>652</v>
      </c>
      <c r="F6" s="463" t="s">
        <v>1945</v>
      </c>
      <c r="G6" s="464"/>
      <c r="H6" s="434"/>
      <c r="I6" s="434"/>
      <c r="J6" s="2"/>
      <c r="K6" s="1844"/>
      <c r="L6" s="1829"/>
      <c r="M6" s="1829"/>
      <c r="N6" s="296"/>
      <c r="O6" s="296"/>
      <c r="P6" s="296"/>
      <c r="Q6" s="1869"/>
      <c r="R6" s="2"/>
      <c r="S6" s="434"/>
      <c r="T6" s="434"/>
      <c r="U6" s="434"/>
      <c r="V6" s="2"/>
      <c r="W6" s="1918" t="s">
        <v>1232</v>
      </c>
      <c r="X6" s="1919" t="s">
        <v>1400</v>
      </c>
      <c r="Y6" s="2"/>
      <c r="AB6" s="1616"/>
      <c r="AC6" s="1616"/>
      <c r="AD6" s="1616"/>
      <c r="AE6" s="1616"/>
      <c r="AF6" s="292"/>
      <c r="AG6" s="292"/>
      <c r="AH6" s="292"/>
      <c r="AI6" s="292"/>
      <c r="AJ6" s="292"/>
      <c r="AK6" s="292"/>
      <c r="AL6" s="292"/>
      <c r="AM6" s="292"/>
      <c r="AN6" s="292"/>
      <c r="AO6" s="292"/>
      <c r="AP6" s="292"/>
      <c r="AQ6" s="292"/>
      <c r="AR6" s="292"/>
      <c r="AS6" s="292"/>
      <c r="AT6" s="292"/>
      <c r="AU6" s="292"/>
      <c r="AV6" s="292"/>
      <c r="AW6" s="1616"/>
      <c r="AX6" s="1616"/>
      <c r="AY6" s="1616"/>
      <c r="AZ6" s="1616"/>
      <c r="BA6" s="1616"/>
    </row>
    <row r="7" spans="1:53" ht="16.600000000000001" customHeight="1" x14ac:dyDescent="0.25">
      <c r="A7" s="434"/>
      <c r="B7" s="2480" t="s">
        <v>992</v>
      </c>
      <c r="C7" s="2481"/>
      <c r="D7" s="537" t="s">
        <v>712</v>
      </c>
      <c r="E7" s="1193">
        <f>IF(ISBLANK(Import!D105), "", Import!D105)</f>
        <v>0</v>
      </c>
      <c r="F7" s="1193" t="str">
        <f>IF(ISBLANK(Import!E105), "kWh", Import!E105)</f>
        <v>kWh</v>
      </c>
      <c r="G7" s="465"/>
      <c r="H7" s="434"/>
      <c r="I7" s="434"/>
      <c r="J7" s="2"/>
      <c r="K7" s="1845">
        <f>E7*N7</f>
        <v>0</v>
      </c>
      <c r="L7" s="296">
        <f>'9.DefaultFactors'!F25</f>
        <v>0.124511777</v>
      </c>
      <c r="M7" s="296">
        <f>L7*K7</f>
        <v>0</v>
      </c>
      <c r="N7" s="296">
        <f>SUMIF($O$139:$O$140,F7,$P$139:$P$140)</f>
        <v>3.6</v>
      </c>
      <c r="O7" s="1830">
        <f>K7*W7</f>
        <v>0</v>
      </c>
      <c r="P7" s="296"/>
      <c r="Q7" s="1869"/>
      <c r="R7" s="2"/>
      <c r="S7" s="434"/>
      <c r="T7" s="434"/>
      <c r="U7" s="434"/>
      <c r="V7" s="2"/>
      <c r="W7" s="1920">
        <f>L7</f>
        <v>0.124511777</v>
      </c>
      <c r="X7" s="1921">
        <f>K7*W7</f>
        <v>0</v>
      </c>
      <c r="Y7" s="2"/>
      <c r="AB7" s="1616"/>
      <c r="AC7" s="1616"/>
      <c r="AD7" s="1616"/>
      <c r="AE7" s="1616"/>
      <c r="AF7" s="292"/>
      <c r="AG7" s="292"/>
      <c r="AH7" s="292"/>
      <c r="AI7" s="292"/>
      <c r="AJ7" s="292"/>
      <c r="AK7" s="292"/>
      <c r="AL7" s="292"/>
      <c r="AM7" s="292"/>
      <c r="AN7" s="292"/>
      <c r="AO7" s="292"/>
      <c r="AP7" s="292"/>
      <c r="AQ7" s="292"/>
      <c r="AR7" s="292"/>
      <c r="AS7" s="292"/>
      <c r="AT7" s="292"/>
      <c r="AU7" s="292"/>
      <c r="AV7" s="292"/>
      <c r="AW7" s="1616"/>
      <c r="AX7" s="1616"/>
      <c r="AY7" s="1616"/>
      <c r="AZ7" s="1616"/>
      <c r="BA7" s="1616"/>
    </row>
    <row r="8" spans="1:53" ht="27.8" customHeight="1" x14ac:dyDescent="0.25">
      <c r="A8" s="434"/>
      <c r="B8" s="2480"/>
      <c r="C8" s="2481"/>
      <c r="D8" s="537" t="s">
        <v>621</v>
      </c>
      <c r="E8" s="1193">
        <f>IF(ISBLANK(Import!D106), "", Import!D106)</f>
        <v>0</v>
      </c>
      <c r="F8" s="1193" t="str">
        <f>IF(ISBLANK(Import!E106), "kWh", Import!E106)</f>
        <v>kWh</v>
      </c>
      <c r="G8" s="465"/>
      <c r="H8" s="434"/>
      <c r="I8" s="434"/>
      <c r="J8" s="2"/>
      <c r="K8" s="1845">
        <f>E8*N8</f>
        <v>0</v>
      </c>
      <c r="L8" s="296">
        <f>'9.DefaultFactors'!F26</f>
        <v>1.6666999999999999E-3</v>
      </c>
      <c r="M8" s="296">
        <f>L8*K8</f>
        <v>0</v>
      </c>
      <c r="N8" s="296">
        <f>SUMIF($O$139:$O$140,F8,$P$139:$P$140)</f>
        <v>3.6</v>
      </c>
      <c r="O8" s="1830">
        <f>K8*W8</f>
        <v>0</v>
      </c>
      <c r="P8" s="296"/>
      <c r="Q8" s="1870"/>
      <c r="R8" s="2"/>
      <c r="S8" s="434"/>
      <c r="T8" s="434"/>
      <c r="U8" s="442"/>
      <c r="V8" s="2"/>
      <c r="W8" s="1920">
        <f>L8</f>
        <v>1.6666999999999999E-3</v>
      </c>
      <c r="X8" s="1921">
        <f>K8*W8</f>
        <v>0</v>
      </c>
      <c r="Y8" s="2"/>
      <c r="AB8" s="1616"/>
      <c r="AC8" s="1616"/>
      <c r="AD8" s="1616"/>
      <c r="AE8" s="1616"/>
      <c r="AF8" s="292"/>
      <c r="AG8" s="292"/>
      <c r="AH8" s="292"/>
      <c r="AI8" s="292"/>
      <c r="AJ8" s="292"/>
      <c r="AK8" s="292"/>
      <c r="AL8" s="292"/>
      <c r="AM8" s="292"/>
      <c r="AN8" s="292"/>
      <c r="AO8" s="292"/>
      <c r="AP8" s="292"/>
      <c r="AQ8" s="292"/>
      <c r="AR8" s="292"/>
      <c r="AS8" s="292"/>
      <c r="AT8" s="292"/>
      <c r="AU8" s="292"/>
      <c r="AV8" s="292"/>
      <c r="AW8" s="1616"/>
      <c r="AX8" s="1616"/>
      <c r="AY8" s="1616"/>
      <c r="AZ8" s="1616"/>
      <c r="BA8" s="1616"/>
    </row>
    <row r="9" spans="1:53" ht="16.600000000000001" customHeight="1" x14ac:dyDescent="0.25">
      <c r="A9" s="434"/>
      <c r="B9" s="2480"/>
      <c r="C9" s="2481"/>
      <c r="D9" s="537" t="s">
        <v>622</v>
      </c>
      <c r="E9" s="1193">
        <f>IF(ISBLANK(Import!D107), "", Import!D107)</f>
        <v>0</v>
      </c>
      <c r="F9" s="1193" t="str">
        <f>IF(ISBLANK(Import!E107), "kWh", Import!E107)</f>
        <v>kWh</v>
      </c>
      <c r="G9" s="465"/>
      <c r="H9" s="434"/>
      <c r="I9" s="434"/>
      <c r="J9" s="2"/>
      <c r="K9" s="1845">
        <f>E9*N9</f>
        <v>0</v>
      </c>
      <c r="L9" s="296">
        <f>'9.DefaultFactors'!F27</f>
        <v>3.3333000000000002E-2</v>
      </c>
      <c r="M9" s="296">
        <f>L9*K9</f>
        <v>0</v>
      </c>
      <c r="N9" s="296">
        <f>SUMIF($O$139:$O$140,F9,$P$139:$P$140)</f>
        <v>3.6</v>
      </c>
      <c r="O9" s="1830">
        <f>K9*W9</f>
        <v>0</v>
      </c>
      <c r="P9" s="296"/>
      <c r="Q9" s="1837"/>
      <c r="R9" s="2"/>
      <c r="S9" s="434"/>
      <c r="T9" s="434"/>
      <c r="U9" s="442"/>
      <c r="V9" s="2"/>
      <c r="W9" s="1920">
        <f>L9</f>
        <v>3.3333000000000002E-2</v>
      </c>
      <c r="X9" s="1921">
        <f>K9*W9</f>
        <v>0</v>
      </c>
      <c r="Y9" s="2"/>
      <c r="AB9" s="1616"/>
      <c r="AC9" s="1616"/>
      <c r="AD9" s="1616"/>
      <c r="AE9" s="1616"/>
      <c r="AF9" s="292"/>
      <c r="AG9" s="292"/>
      <c r="AH9" s="292"/>
      <c r="AI9" s="292"/>
      <c r="AJ9" s="292"/>
      <c r="AK9" s="292"/>
      <c r="AL9" s="292"/>
      <c r="AM9" s="292"/>
      <c r="AN9" s="292"/>
      <c r="AO9" s="292"/>
      <c r="AP9" s="292"/>
      <c r="AQ9" s="292"/>
      <c r="AR9" s="292"/>
      <c r="AS9" s="292"/>
      <c r="AT9" s="292"/>
      <c r="AU9" s="292"/>
      <c r="AV9" s="292"/>
      <c r="AW9" s="1616"/>
      <c r="AX9" s="1616"/>
      <c r="AY9" s="1616"/>
      <c r="AZ9" s="1616"/>
      <c r="BA9" s="1616"/>
    </row>
    <row r="10" spans="1:53" ht="28.55" customHeight="1" thickBot="1" x14ac:dyDescent="0.3">
      <c r="A10" s="434"/>
      <c r="B10" s="2480"/>
      <c r="C10" s="2481"/>
      <c r="D10" s="537" t="s">
        <v>787</v>
      </c>
      <c r="E10" s="1193">
        <f>IF(ISBLANK(Import!D108), "", Import!D108)</f>
        <v>0</v>
      </c>
      <c r="F10" s="1193" t="str">
        <f>IF(ISBLANK(Import!E108), "kWh", Import!E108)</f>
        <v>kWh</v>
      </c>
      <c r="G10" s="465"/>
      <c r="H10" s="434"/>
      <c r="I10" s="434"/>
      <c r="J10" s="2"/>
      <c r="K10" s="1846">
        <f>E10*N10</f>
        <v>0</v>
      </c>
      <c r="L10" s="1838">
        <f>'9.DefaultFactors'!F28</f>
        <v>1.9722199999999999E-2</v>
      </c>
      <c r="M10" s="1838">
        <f>L10*K10</f>
        <v>0</v>
      </c>
      <c r="N10" s="1838">
        <f>SUMIF($O$139:$O$140,F10,$P$139:$P$140)</f>
        <v>3.6</v>
      </c>
      <c r="O10" s="1871">
        <f>K10*W10</f>
        <v>0</v>
      </c>
      <c r="P10" s="1838"/>
      <c r="Q10" s="1872"/>
      <c r="R10" s="2"/>
      <c r="S10" s="434"/>
      <c r="T10" s="434"/>
      <c r="U10" s="442"/>
      <c r="V10" s="2"/>
      <c r="W10" s="1920">
        <f>L10</f>
        <v>1.9722199999999999E-2</v>
      </c>
      <c r="X10" s="1921">
        <f>K10*W10</f>
        <v>0</v>
      </c>
      <c r="Y10" s="2"/>
      <c r="AB10" s="1616"/>
      <c r="AC10" s="1616"/>
      <c r="AD10" s="1616"/>
      <c r="AE10" s="1616"/>
      <c r="AF10" s="292"/>
      <c r="AG10" s="292"/>
      <c r="AH10" s="292"/>
      <c r="AI10" s="292"/>
      <c r="AJ10" s="292"/>
      <c r="AK10" s="292"/>
      <c r="AL10" s="292"/>
      <c r="AM10" s="292"/>
      <c r="AN10" s="292"/>
      <c r="AO10" s="292"/>
      <c r="AP10" s="292"/>
      <c r="AQ10" s="292"/>
      <c r="AR10" s="292"/>
      <c r="AS10" s="292"/>
      <c r="AT10" s="292"/>
      <c r="AU10" s="292"/>
      <c r="AV10" s="292"/>
      <c r="AW10" s="1616"/>
      <c r="AX10" s="1616"/>
      <c r="AY10" s="1616"/>
      <c r="AZ10" s="1616"/>
      <c r="BA10" s="1616"/>
    </row>
    <row r="11" spans="1:53" ht="8.25" customHeight="1" x14ac:dyDescent="0.25">
      <c r="A11" s="434"/>
      <c r="B11" s="902"/>
      <c r="C11" s="903"/>
      <c r="D11" s="245"/>
      <c r="E11" s="466"/>
      <c r="F11" s="467"/>
      <c r="G11" s="468"/>
      <c r="H11" s="434"/>
      <c r="I11" s="434"/>
      <c r="J11" s="2"/>
      <c r="K11" s="436"/>
      <c r="L11" s="436"/>
      <c r="M11" s="436"/>
      <c r="N11" s="436"/>
      <c r="O11" s="436"/>
      <c r="P11" s="436"/>
      <c r="Q11" s="441"/>
      <c r="R11" s="442"/>
      <c r="S11" s="434"/>
      <c r="T11" s="434"/>
      <c r="U11" s="442"/>
      <c r="V11" s="2"/>
      <c r="W11" s="1922"/>
      <c r="X11" s="1921"/>
      <c r="Y11" s="2"/>
      <c r="AB11" s="1616"/>
      <c r="AC11" s="1616"/>
      <c r="AD11" s="1616"/>
      <c r="AE11" s="1616"/>
      <c r="AF11" s="292"/>
      <c r="AG11" s="292"/>
      <c r="AH11" s="292"/>
      <c r="AI11" s="292"/>
      <c r="AJ11" s="292"/>
      <c r="AK11" s="292"/>
      <c r="AL11" s="292"/>
      <c r="AM11" s="292"/>
      <c r="AN11" s="292"/>
      <c r="AO11" s="292"/>
      <c r="AP11" s="292"/>
      <c r="AQ11" s="292"/>
      <c r="AR11" s="292"/>
      <c r="AS11" s="292"/>
      <c r="AT11" s="292"/>
      <c r="AU11" s="292"/>
      <c r="AV11" s="292"/>
      <c r="AW11" s="1616"/>
      <c r="AX11" s="1616"/>
      <c r="AY11" s="1616"/>
      <c r="AZ11" s="1616"/>
      <c r="BA11" s="1616"/>
    </row>
    <row r="12" spans="1:53" ht="8.25" customHeight="1" thickBot="1" x14ac:dyDescent="0.3">
      <c r="A12" s="442"/>
      <c r="B12" s="902"/>
      <c r="C12" s="904"/>
      <c r="D12" s="542"/>
      <c r="E12" s="469"/>
      <c r="F12" s="470"/>
      <c r="G12" s="471"/>
      <c r="H12" s="442"/>
      <c r="I12" s="442"/>
      <c r="J12" s="2"/>
      <c r="K12" s="439"/>
      <c r="L12" s="436"/>
      <c r="M12" s="436"/>
      <c r="N12" s="436"/>
      <c r="O12" s="297"/>
      <c r="P12" s="436"/>
      <c r="Q12" s="439"/>
      <c r="R12" s="434"/>
      <c r="S12" s="442"/>
      <c r="T12" s="442"/>
      <c r="U12" s="434"/>
      <c r="V12" s="2"/>
      <c r="W12" s="1923"/>
      <c r="X12" s="1921"/>
      <c r="Y12" s="2"/>
      <c r="AB12" s="1616"/>
      <c r="AC12" s="1616"/>
      <c r="AD12" s="1616"/>
      <c r="AE12" s="1616"/>
      <c r="AF12" s="443"/>
      <c r="AG12" s="443"/>
      <c r="AH12" s="443"/>
      <c r="AI12" s="443"/>
      <c r="AJ12" s="443"/>
      <c r="AK12" s="443"/>
      <c r="AL12" s="443"/>
      <c r="AM12" s="443"/>
      <c r="AN12" s="443"/>
      <c r="AO12" s="443"/>
      <c r="AP12" s="443"/>
      <c r="AQ12" s="443"/>
      <c r="AR12" s="443"/>
      <c r="AS12" s="443"/>
      <c r="AT12" s="443"/>
      <c r="AU12" s="443"/>
      <c r="AV12" s="443"/>
      <c r="AW12" s="1616"/>
      <c r="AX12" s="1616"/>
      <c r="AY12" s="1616"/>
      <c r="AZ12" s="1616"/>
      <c r="BA12" s="1616"/>
    </row>
    <row r="13" spans="1:53" ht="12.85" customHeight="1" x14ac:dyDescent="0.25">
      <c r="A13" s="434"/>
      <c r="B13" s="902"/>
      <c r="C13" s="905"/>
      <c r="D13" s="543"/>
      <c r="E13" s="463" t="s">
        <v>652</v>
      </c>
      <c r="F13" s="463" t="s">
        <v>1945</v>
      </c>
      <c r="G13" s="464"/>
      <c r="H13" s="434"/>
      <c r="I13" s="434"/>
      <c r="J13" s="2"/>
      <c r="K13" s="1832" t="s">
        <v>129</v>
      </c>
      <c r="L13" s="1833" t="s">
        <v>130</v>
      </c>
      <c r="M13" s="1834" t="s">
        <v>422</v>
      </c>
      <c r="N13" s="1835" t="s">
        <v>131</v>
      </c>
      <c r="O13" s="2"/>
      <c r="P13" s="519"/>
      <c r="Q13" s="439"/>
      <c r="R13" s="434"/>
      <c r="S13" s="434"/>
      <c r="T13" s="434"/>
      <c r="U13" s="446"/>
      <c r="V13" s="2"/>
      <c r="W13" s="1918" t="s">
        <v>65</v>
      </c>
      <c r="X13" s="1921"/>
      <c r="Y13" s="2"/>
      <c r="AB13" s="1616"/>
      <c r="AC13" s="1616"/>
      <c r="AD13" s="1616"/>
      <c r="AE13" s="1616"/>
      <c r="AF13" s="292"/>
      <c r="AG13" s="292"/>
      <c r="AH13" s="292"/>
      <c r="AI13" s="292"/>
      <c r="AJ13" s="292"/>
      <c r="AK13" s="292"/>
      <c r="AL13" s="292"/>
      <c r="AM13" s="292"/>
      <c r="AN13" s="292"/>
      <c r="AO13" s="292"/>
      <c r="AP13" s="292"/>
      <c r="AQ13" s="292"/>
      <c r="AR13" s="292"/>
      <c r="AS13" s="292"/>
      <c r="AT13" s="292"/>
      <c r="AU13" s="292"/>
      <c r="AV13" s="292"/>
      <c r="AW13" s="1616"/>
      <c r="AX13" s="1616"/>
      <c r="AY13" s="1616"/>
      <c r="AZ13" s="1616"/>
      <c r="BA13" s="1616"/>
    </row>
    <row r="14" spans="1:53" ht="14.25" customHeight="1" x14ac:dyDescent="0.25">
      <c r="A14" s="446"/>
      <c r="B14" s="902"/>
      <c r="C14" s="1144" t="s">
        <v>2072</v>
      </c>
      <c r="D14" s="245" t="s">
        <v>23</v>
      </c>
      <c r="E14" s="1193">
        <f>IF(ISBLANK(Import!D112),"",Import!D112)</f>
        <v>0</v>
      </c>
      <c r="F14" s="1193" t="str">
        <f ca="1">IF(ISBLANK(Import!E112),OFFSET('2.CropManagement'!AE$182,SUMIF('2.CropManagement'!W$183:W$184,'1.GeneralInfo'!$E$8,'2.CropManagement'!X$183:X$184),0), Import!E112)</f>
        <v>litres</v>
      </c>
      <c r="G14" s="472"/>
      <c r="H14" s="446"/>
      <c r="I14" s="446"/>
      <c r="J14" s="2"/>
      <c r="K14" s="1836">
        <f ca="1">SUMIF($O$148:$O$150,F14,$P$148:$P$150)*E14</f>
        <v>0</v>
      </c>
      <c r="L14" s="296">
        <f ca="1">'A1. Submodels &amp; data'!$C$356*K14</f>
        <v>0</v>
      </c>
      <c r="M14" s="1831">
        <f ca="1">'9.DefaultFactors'!R9</f>
        <v>2.68</v>
      </c>
      <c r="N14" s="1837">
        <f ca="1">M14*K14</f>
        <v>0</v>
      </c>
      <c r="O14" s="2"/>
      <c r="P14" s="439"/>
      <c r="Q14" s="436"/>
      <c r="R14" s="434"/>
      <c r="S14" s="446"/>
      <c r="T14" s="446"/>
      <c r="U14" s="434"/>
      <c r="V14" s="2"/>
      <c r="W14" s="1924">
        <f ca="1">'9.DefaultFactors'!R9</f>
        <v>2.68</v>
      </c>
      <c r="X14" s="1921">
        <f ca="1">N14</f>
        <v>0</v>
      </c>
      <c r="Y14" s="2"/>
      <c r="AB14" s="1616"/>
      <c r="AC14" s="1616"/>
      <c r="AD14" s="1616"/>
      <c r="AE14" s="1616"/>
      <c r="AF14" s="292"/>
      <c r="AG14" s="292"/>
      <c r="AH14" s="292"/>
      <c r="AI14" s="292"/>
      <c r="AJ14" s="292"/>
      <c r="AK14" s="292"/>
      <c r="AL14" s="292"/>
      <c r="AM14" s="292"/>
      <c r="AN14" s="292"/>
      <c r="AO14" s="292"/>
      <c r="AP14" s="292"/>
      <c r="AQ14" s="292"/>
      <c r="AR14" s="292"/>
      <c r="AS14" s="292"/>
      <c r="AT14" s="292"/>
      <c r="AU14" s="292"/>
      <c r="AV14" s="292"/>
      <c r="AW14" s="1616"/>
      <c r="AX14" s="1616"/>
      <c r="AY14" s="1616"/>
      <c r="AZ14" s="1616"/>
      <c r="BA14" s="1616"/>
    </row>
    <row r="15" spans="1:53" ht="14.25" customHeight="1" x14ac:dyDescent="0.25">
      <c r="A15" s="434"/>
      <c r="B15" s="902"/>
      <c r="C15" s="906"/>
      <c r="D15" s="245" t="s">
        <v>1788</v>
      </c>
      <c r="E15" s="1193">
        <f>IF(ISBLANK(Import!D115), "", Import!D115)</f>
        <v>0</v>
      </c>
      <c r="F15" s="1193" t="str">
        <f ca="1">IF(ISBLANK(Import!E115),OFFSET('2.CropManagement'!AE$182,SUMIF('2.CropManagement'!W$183:W$184,'1.GeneralInfo'!$E$8,'2.CropManagement'!X$183:X$184),0), Import!E115)</f>
        <v>litres</v>
      </c>
      <c r="G15" s="472"/>
      <c r="H15" s="434"/>
      <c r="I15" s="434"/>
      <c r="J15" s="2"/>
      <c r="K15" s="1836">
        <f ca="1">SUMIF($O$148:$O$150,F15,$P$148:$P$150)*E15</f>
        <v>0</v>
      </c>
      <c r="L15" s="296">
        <f ca="1">'A1. Submodels &amp; data'!$C$357*K15</f>
        <v>0</v>
      </c>
      <c r="M15" s="1831">
        <f ca="1">'9.DefaultFactors'!R$10</f>
        <v>2.3199999999999998</v>
      </c>
      <c r="N15" s="1837">
        <f ca="1">M15*K15</f>
        <v>0</v>
      </c>
      <c r="O15" s="2"/>
      <c r="P15" s="439"/>
      <c r="Q15" s="436"/>
      <c r="R15" s="434"/>
      <c r="S15" s="434"/>
      <c r="T15" s="434"/>
      <c r="U15" s="434"/>
      <c r="V15" s="2"/>
      <c r="W15" s="1925">
        <f ca="1">'9.DefaultFactors'!R$10</f>
        <v>2.3199999999999998</v>
      </c>
      <c r="X15" s="1921">
        <f ca="1">N15</f>
        <v>0</v>
      </c>
      <c r="Y15" s="2"/>
      <c r="AB15" s="1616"/>
      <c r="AC15" s="1616"/>
      <c r="AD15" s="1616"/>
      <c r="AE15" s="1616"/>
      <c r="AF15" s="292"/>
      <c r="AG15" s="292"/>
      <c r="AH15" s="292"/>
      <c r="AI15" s="292"/>
      <c r="AJ15" s="292"/>
      <c r="AK15" s="292"/>
      <c r="AL15" s="292"/>
      <c r="AM15" s="292"/>
      <c r="AN15" s="292"/>
      <c r="AO15" s="292"/>
      <c r="AP15" s="292"/>
      <c r="AQ15" s="292"/>
      <c r="AR15" s="292"/>
      <c r="AS15" s="292"/>
      <c r="AT15" s="292"/>
      <c r="AU15" s="292"/>
      <c r="AV15" s="292"/>
      <c r="AW15" s="1616"/>
      <c r="AX15" s="1616"/>
      <c r="AY15" s="1616"/>
      <c r="AZ15" s="1616"/>
      <c r="BA15" s="1616"/>
    </row>
    <row r="16" spans="1:53" ht="14.25" customHeight="1" x14ac:dyDescent="0.25">
      <c r="A16" s="434"/>
      <c r="B16" s="902"/>
      <c r="C16" s="907"/>
      <c r="D16" s="851" t="s">
        <v>1789</v>
      </c>
      <c r="E16" s="1193">
        <f>IF(ISBLANK(Import!D118), "", Import!D118)</f>
        <v>0</v>
      </c>
      <c r="F16" s="1193" t="str">
        <f ca="1">IF(ISBLANK(Import!E118),OFFSET('2.CropManagement'!AE$182,SUMIF('2.CropManagement'!W$183:W$184,'1.GeneralInfo'!$E$8,'2.CropManagement'!X$183:X$184),0), Import!E118)</f>
        <v>litres</v>
      </c>
      <c r="G16" s="472"/>
      <c r="H16" s="434"/>
      <c r="I16" s="434"/>
      <c r="J16" s="2"/>
      <c r="K16" s="1836">
        <f ca="1">SUMIF($O$148:$O$150,F16,$P$148:$P$150)*E16</f>
        <v>0</v>
      </c>
      <c r="L16" s="296">
        <f ca="1">'A1. Submodels &amp; data'!C$358*K16</f>
        <v>0</v>
      </c>
      <c r="M16" s="1831">
        <f ca="1">'9.DefaultFactors'!R12</f>
        <v>2.68</v>
      </c>
      <c r="N16" s="1837">
        <f ca="1">M16*K16</f>
        <v>0</v>
      </c>
      <c r="O16" s="2"/>
      <c r="P16" s="439"/>
      <c r="Q16" s="436"/>
      <c r="R16" s="434"/>
      <c r="S16" s="434"/>
      <c r="T16" s="434"/>
      <c r="U16" s="439"/>
      <c r="V16" s="2"/>
      <c r="W16" s="1925">
        <f ca="1">'9.DefaultFactors'!R12</f>
        <v>2.68</v>
      </c>
      <c r="X16" s="1921">
        <f ca="1">N16</f>
        <v>0</v>
      </c>
      <c r="Y16" s="2"/>
      <c r="AB16" s="1616"/>
      <c r="AC16" s="1616"/>
      <c r="AD16" s="1616"/>
      <c r="AE16" s="1616"/>
      <c r="AF16" s="292"/>
      <c r="AG16" s="292"/>
      <c r="AH16" s="292"/>
      <c r="AI16" s="292"/>
      <c r="AJ16" s="292"/>
      <c r="AK16" s="292"/>
      <c r="AL16" s="292"/>
      <c r="AM16" s="292"/>
      <c r="AN16" s="292"/>
      <c r="AO16" s="292"/>
      <c r="AP16" s="292"/>
      <c r="AQ16" s="292"/>
      <c r="AR16" s="292"/>
      <c r="AS16" s="292"/>
      <c r="AT16" s="292"/>
      <c r="AU16" s="292"/>
      <c r="AV16" s="292"/>
      <c r="AW16" s="1616"/>
      <c r="AX16" s="1616"/>
      <c r="AY16" s="1616"/>
      <c r="AZ16" s="1616"/>
      <c r="BA16" s="1616"/>
    </row>
    <row r="17" spans="1:53" ht="14.25" customHeight="1" thickBot="1" x14ac:dyDescent="0.3">
      <c r="A17" s="434"/>
      <c r="B17" s="902"/>
      <c r="C17" s="907"/>
      <c r="D17" s="851" t="s">
        <v>1543</v>
      </c>
      <c r="E17" s="1193">
        <f>IF(ISBLANK(Import!D121), "", Import!D121)</f>
        <v>0</v>
      </c>
      <c r="F17" s="1193" t="str">
        <f ca="1">IF(ISBLANK(Import!E121),OFFSET('2.CropManagement'!AE$182,SUMIF('2.CropManagement'!W$183:W$184,'1.GeneralInfo'!$E$8,'2.CropManagement'!X$183:X$184),0), Import!E121)</f>
        <v>litres</v>
      </c>
      <c r="G17" s="472"/>
      <c r="H17" s="434"/>
      <c r="I17" s="434"/>
      <c r="J17" s="2"/>
      <c r="K17" s="1848">
        <f ca="1">SUMIF($O$148:$O$150,F17,$P$148:$P$150)*E17</f>
        <v>0</v>
      </c>
      <c r="L17" s="1849">
        <f ca="1">'A1. Submodels &amp; data'!C$359*K17</f>
        <v>0</v>
      </c>
      <c r="M17" s="1850">
        <f ca="1">'9.DefaultFactors'!R11</f>
        <v>2.3199999999999998</v>
      </c>
      <c r="N17" s="1851">
        <f ca="1">M17*K17</f>
        <v>0</v>
      </c>
      <c r="O17" s="2"/>
      <c r="P17" s="439"/>
      <c r="Q17" s="2"/>
      <c r="R17" s="434"/>
      <c r="S17" s="434"/>
      <c r="T17" s="2"/>
      <c r="U17" s="449"/>
      <c r="V17" s="2"/>
      <c r="W17" s="1925">
        <f ca="1">'9.DefaultFactors'!R11</f>
        <v>2.3199999999999998</v>
      </c>
      <c r="X17" s="1921">
        <f ca="1">N17</f>
        <v>0</v>
      </c>
      <c r="Y17" s="2"/>
      <c r="AA17" s="293"/>
      <c r="AB17" s="292"/>
      <c r="AC17" s="292"/>
      <c r="AD17" s="292"/>
      <c r="AE17" s="292"/>
      <c r="AF17" s="292"/>
      <c r="AG17" s="292"/>
      <c r="AH17" s="292"/>
      <c r="AI17" s="292"/>
      <c r="AJ17" s="292"/>
      <c r="AK17" s="292"/>
      <c r="AL17" s="292"/>
      <c r="AM17" s="292"/>
      <c r="AN17" s="292"/>
      <c r="AO17" s="292"/>
      <c r="AP17" s="292"/>
      <c r="AQ17" s="292"/>
      <c r="AR17" s="292"/>
      <c r="AS17" s="292"/>
      <c r="AT17" s="292"/>
      <c r="AU17" s="292"/>
      <c r="AV17" s="292"/>
      <c r="AW17" s="1616"/>
      <c r="AX17" s="1616"/>
      <c r="AY17" s="1616"/>
      <c r="AZ17" s="1616"/>
      <c r="BA17" s="1616"/>
    </row>
    <row r="18" spans="1:53" ht="14.25" customHeight="1" x14ac:dyDescent="0.25">
      <c r="A18" s="434"/>
      <c r="B18" s="908"/>
      <c r="C18" s="909"/>
      <c r="D18" s="245" t="s">
        <v>674</v>
      </c>
      <c r="E18" s="1193">
        <f>IF(ISBLANK(Import!C378), "", Import!C378)</f>
        <v>0</v>
      </c>
      <c r="F18" s="1193" t="str">
        <f ca="1">IF(ISBLANK(Import!D378),OFFSET('2.CropManagement'!$AK$182,SUMIF('2.CropManagement'!$W$183:$W$184,'1.GeneralInfo'!$E$8,'2.CropManagement'!$X$183:$X$184),0), Import!D378)</f>
        <v>kg</v>
      </c>
      <c r="G18" s="473"/>
      <c r="H18" s="474"/>
      <c r="I18" s="436"/>
      <c r="J18" s="2"/>
      <c r="K18" s="1853">
        <f ca="1">SUMIF('5.FieldEnergyUse'!$O$128:$O$131,F18,'5.FieldEnergyUse'!$P$128:$P$131)*E18</f>
        <v>0</v>
      </c>
      <c r="L18" s="1854">
        <f>'9.DefaultFactors'!R17</f>
        <v>20.084045618247298</v>
      </c>
      <c r="M18" s="1855">
        <f t="shared" ref="M18:M23" ca="1" si="0">K18*L18</f>
        <v>0</v>
      </c>
      <c r="N18" s="1856">
        <f>'9.DefaultFactors'!F23</f>
        <v>0</v>
      </c>
      <c r="O18" s="1857">
        <f t="shared" ref="O18:O23" ca="1" si="1">N18*M18</f>
        <v>0</v>
      </c>
      <c r="P18" s="436"/>
      <c r="Q18" s="2"/>
      <c r="R18" s="2"/>
      <c r="S18" s="434"/>
      <c r="T18" s="2"/>
      <c r="U18" s="452"/>
      <c r="V18" s="2"/>
      <c r="W18" s="1926">
        <f t="shared" ref="W18:X23" si="2">N18</f>
        <v>0</v>
      </c>
      <c r="X18" s="1921">
        <f t="shared" ca="1" si="2"/>
        <v>0</v>
      </c>
      <c r="Y18" s="2"/>
      <c r="AA18" s="293"/>
      <c r="AB18" s="292"/>
      <c r="AC18" s="292"/>
      <c r="AD18" s="292"/>
      <c r="AE18" s="292"/>
      <c r="AF18" s="292"/>
      <c r="AG18" s="292"/>
      <c r="AH18" s="292"/>
      <c r="AI18" s="292"/>
      <c r="AJ18" s="292"/>
      <c r="AK18" s="292"/>
      <c r="AL18" s="292"/>
      <c r="AM18" s="292"/>
      <c r="AN18" s="292"/>
      <c r="AO18" s="292"/>
      <c r="AP18" s="292"/>
      <c r="AQ18" s="292"/>
      <c r="AR18" s="292"/>
      <c r="AS18" s="292"/>
      <c r="AT18" s="292"/>
      <c r="AU18" s="292"/>
      <c r="AV18" s="292"/>
      <c r="AW18" s="1616"/>
      <c r="AX18" s="1616"/>
      <c r="AY18" s="1616"/>
      <c r="AZ18" s="1616"/>
      <c r="BA18" s="1616"/>
    </row>
    <row r="19" spans="1:53" ht="14.25" customHeight="1" x14ac:dyDescent="0.25">
      <c r="A19" s="434"/>
      <c r="B19" s="902"/>
      <c r="C19" s="910"/>
      <c r="D19" s="549" t="s">
        <v>788</v>
      </c>
      <c r="E19" s="1193">
        <f>IF(ISBLANK(Import!C379), "", Import!C379)</f>
        <v>0</v>
      </c>
      <c r="F19" s="1193" t="str">
        <f ca="1">IF(ISBLANK(Import!D379),OFFSET('2.CropManagement'!$AK$182,SUMIF('2.CropManagement'!$W$183:$W$184,'1.GeneralInfo'!$E$8,'2.CropManagement'!$X$183:$X$184),0), Import!D379)</f>
        <v>kg</v>
      </c>
      <c r="G19" s="473"/>
      <c r="H19" s="474"/>
      <c r="I19" s="436"/>
      <c r="J19" s="2"/>
      <c r="K19" s="1858">
        <f ca="1">SUMIF('5.FieldEnergyUse'!$O$128:$O$131,F19,'5.FieldEnergyUse'!$P$128:$P$131)*E19</f>
        <v>0</v>
      </c>
      <c r="L19" s="1859">
        <f>'9.DefaultFactors'!R18</f>
        <v>12.993399999999999</v>
      </c>
      <c r="M19" s="1860">
        <f t="shared" ca="1" si="0"/>
        <v>0</v>
      </c>
      <c r="N19" s="1861">
        <f>'9.DefaultFactors'!F24</f>
        <v>0</v>
      </c>
      <c r="O19" s="1862">
        <f t="shared" ca="1" si="1"/>
        <v>0</v>
      </c>
      <c r="P19" s="436"/>
      <c r="Q19" s="2"/>
      <c r="R19" s="2"/>
      <c r="S19" s="434"/>
      <c r="T19" s="2"/>
      <c r="U19" s="452"/>
      <c r="V19" s="2"/>
      <c r="W19" s="1926">
        <f t="shared" si="2"/>
        <v>0</v>
      </c>
      <c r="X19" s="1921">
        <f t="shared" ca="1" si="2"/>
        <v>0</v>
      </c>
      <c r="Y19" s="2"/>
      <c r="AA19" s="293"/>
      <c r="AB19" s="292"/>
      <c r="AC19" s="292"/>
      <c r="AD19" s="292"/>
      <c r="AE19" s="292"/>
      <c r="AF19" s="292"/>
      <c r="AG19" s="292"/>
      <c r="AH19" s="292"/>
      <c r="AI19" s="292"/>
      <c r="AJ19" s="292"/>
      <c r="AK19" s="292"/>
      <c r="AL19" s="292"/>
      <c r="AM19" s="292"/>
      <c r="AN19" s="292"/>
      <c r="AO19" s="292"/>
      <c r="AP19" s="292"/>
      <c r="AQ19" s="292"/>
      <c r="AR19" s="292"/>
      <c r="AS19" s="292"/>
      <c r="AT19" s="292"/>
      <c r="AU19" s="292"/>
      <c r="AV19" s="292"/>
      <c r="AW19" s="1616"/>
      <c r="AX19" s="1616"/>
      <c r="AY19" s="1616"/>
      <c r="AZ19" s="1616"/>
      <c r="BA19" s="1616"/>
    </row>
    <row r="20" spans="1:53" ht="14.25" customHeight="1" x14ac:dyDescent="0.25">
      <c r="A20" s="434"/>
      <c r="B20" s="902"/>
      <c r="C20" s="905"/>
      <c r="D20" s="245" t="s">
        <v>811</v>
      </c>
      <c r="E20" s="1193">
        <f>IF(ISBLANK(Import!C380),"",Import!C380)</f>
        <v>0</v>
      </c>
      <c r="F20" s="1193" t="str">
        <f ca="1">IF(ISBLANK(Import!D380),OFFSET('2.CropManagement'!$AK$182,SUMIF('2.CropManagement'!$W$183:$W$184,'1.GeneralInfo'!$E$8,'2.CropManagement'!$X$183:$X$184),0), Import!D380)</f>
        <v>kg</v>
      </c>
      <c r="G20" s="473"/>
      <c r="H20" s="474"/>
      <c r="I20" s="436"/>
      <c r="J20" s="2"/>
      <c r="K20" s="1858">
        <f ca="1">SUMIF('5.FieldEnergyUse'!$O$128:$O$131,F20,'5.FieldEnergyUse'!$P$128:$P$131)*E20</f>
        <v>0</v>
      </c>
      <c r="L20" s="1859">
        <f>'9.DefaultFactors'!R13</f>
        <v>31.5</v>
      </c>
      <c r="M20" s="1860">
        <f t="shared" ca="1" si="0"/>
        <v>0</v>
      </c>
      <c r="N20" s="1861">
        <f>'9.DefaultFactors'!F19</f>
        <v>9.2700000000000005E-2</v>
      </c>
      <c r="O20" s="1862">
        <f t="shared" ca="1" si="1"/>
        <v>0</v>
      </c>
      <c r="P20" s="436"/>
      <c r="Q20" s="2"/>
      <c r="R20" s="2"/>
      <c r="S20" s="434"/>
      <c r="T20" s="2"/>
      <c r="U20" s="452"/>
      <c r="V20" s="2"/>
      <c r="W20" s="1926">
        <f t="shared" si="2"/>
        <v>9.2700000000000005E-2</v>
      </c>
      <c r="X20" s="1921">
        <f t="shared" ca="1" si="2"/>
        <v>0</v>
      </c>
      <c r="Y20" s="2"/>
      <c r="AA20" s="293"/>
      <c r="AB20" s="292"/>
      <c r="AC20" s="292"/>
      <c r="AD20" s="292"/>
      <c r="AE20" s="292"/>
      <c r="AF20" s="292"/>
      <c r="AG20" s="292"/>
      <c r="AH20" s="292"/>
      <c r="AI20" s="292"/>
      <c r="AJ20" s="292"/>
      <c r="AK20" s="292"/>
      <c r="AL20" s="292"/>
      <c r="AM20" s="292"/>
      <c r="AN20" s="292"/>
      <c r="AO20" s="292"/>
      <c r="AP20" s="292"/>
      <c r="AQ20" s="292"/>
      <c r="AR20" s="292"/>
      <c r="AS20" s="292"/>
      <c r="AT20" s="292"/>
      <c r="AU20" s="292"/>
      <c r="AV20" s="292"/>
      <c r="AW20" s="1616"/>
      <c r="AX20" s="1616"/>
      <c r="AY20" s="1616"/>
      <c r="AZ20" s="1616"/>
      <c r="BA20" s="1616"/>
    </row>
    <row r="21" spans="1:53" ht="14.25" customHeight="1" x14ac:dyDescent="0.25">
      <c r="A21" s="434"/>
      <c r="B21" s="902"/>
      <c r="C21" s="907"/>
      <c r="D21" s="245" t="s">
        <v>677</v>
      </c>
      <c r="E21" s="1193">
        <f>IF(ISBLANK(Import!C381),"",Import!C381)</f>
        <v>0</v>
      </c>
      <c r="F21" s="1193" t="str">
        <f>IF(ISBLANK(Import!D381),"therms", Import!D381)</f>
        <v>therms</v>
      </c>
      <c r="G21" s="473"/>
      <c r="H21" s="474"/>
      <c r="I21" s="436"/>
      <c r="J21" s="2"/>
      <c r="K21" s="1858">
        <f>SUMIF('5.FieldEnergyUse'!$O$113:$O$118,F21,'5.FieldEnergyUse'!$P$113:$P$118)*E21</f>
        <v>0</v>
      </c>
      <c r="L21" s="1859">
        <f ca="1">'9.DefaultFactors'!R14</f>
        <v>47.5</v>
      </c>
      <c r="M21" s="1860">
        <f t="shared" ca="1" si="0"/>
        <v>0</v>
      </c>
      <c r="N21" s="1861">
        <f>'9.DefaultFactors'!F20</f>
        <v>6.2799999999999995E-2</v>
      </c>
      <c r="O21" s="1862">
        <f t="shared" ca="1" si="1"/>
        <v>0</v>
      </c>
      <c r="P21" s="436"/>
      <c r="Q21" s="2"/>
      <c r="R21" s="2"/>
      <c r="S21" s="434"/>
      <c r="T21" s="2"/>
      <c r="U21" s="452"/>
      <c r="V21" s="2"/>
      <c r="W21" s="1926">
        <f t="shared" si="2"/>
        <v>6.2799999999999995E-2</v>
      </c>
      <c r="X21" s="1921">
        <f t="shared" ca="1" si="2"/>
        <v>0</v>
      </c>
      <c r="Y21" s="2"/>
      <c r="AA21" s="293"/>
      <c r="AB21" s="292"/>
      <c r="AC21" s="292"/>
      <c r="AD21" s="292"/>
      <c r="AE21" s="292"/>
      <c r="AF21" s="292"/>
      <c r="AG21" s="292"/>
      <c r="AH21" s="292"/>
      <c r="AI21" s="292"/>
      <c r="AJ21" s="292"/>
      <c r="AK21" s="292"/>
      <c r="AL21" s="292"/>
      <c r="AM21" s="292"/>
      <c r="AN21" s="292"/>
      <c r="AO21" s="292"/>
      <c r="AP21" s="292"/>
      <c r="AQ21" s="292"/>
      <c r="AR21" s="292"/>
      <c r="AS21" s="292"/>
      <c r="AT21" s="292"/>
      <c r="AU21" s="292"/>
      <c r="AV21" s="292"/>
      <c r="AW21" s="1616"/>
      <c r="AX21" s="1616"/>
      <c r="AY21" s="1616"/>
      <c r="AZ21" s="1616"/>
      <c r="BA21" s="1616"/>
    </row>
    <row r="22" spans="1:53" ht="14.25" customHeight="1" x14ac:dyDescent="0.25">
      <c r="A22" s="434"/>
      <c r="B22" s="902"/>
      <c r="C22" s="907"/>
      <c r="D22" s="550" t="s">
        <v>678</v>
      </c>
      <c r="E22" s="1193">
        <f>IF(ISBLANK(Import!C382),"",Import!C382)</f>
        <v>0</v>
      </c>
      <c r="F22" s="1193" t="str">
        <f ca="1">IF(ISBLANK(Import!D382),OFFSET('2.CropManagement'!AE$182,SUMIF('2.CropManagement'!W$183:W$184,'1.GeneralInfo'!$E$8,'2.CropManagement'!X$183:X$184),0), Import!D382)</f>
        <v>litres</v>
      </c>
      <c r="G22" s="473"/>
      <c r="H22" s="474"/>
      <c r="I22" s="436"/>
      <c r="J22" s="2"/>
      <c r="K22" s="1858">
        <f ca="1">SUMIF('5.FieldEnergyUse'!$O$119:$O$122,F22,'5.FieldEnergyUse'!$Q$119:$Q$122)*E22</f>
        <v>0</v>
      </c>
      <c r="L22" s="1859">
        <f ca="1">'9.DefaultFactors'!R15</f>
        <v>40.333333333333336</v>
      </c>
      <c r="M22" s="1860">
        <f t="shared" ca="1" si="0"/>
        <v>0</v>
      </c>
      <c r="N22" s="1861">
        <f>'9.DefaultFactors'!F21</f>
        <v>7.8400000000000011E-2</v>
      </c>
      <c r="O22" s="1862">
        <f t="shared" ca="1" si="1"/>
        <v>0</v>
      </c>
      <c r="P22" s="436"/>
      <c r="Q22" s="2"/>
      <c r="R22" s="2"/>
      <c r="S22" s="434"/>
      <c r="T22" s="2"/>
      <c r="U22" s="452"/>
      <c r="V22" s="2"/>
      <c r="W22" s="1926">
        <f t="shared" si="2"/>
        <v>7.8400000000000011E-2</v>
      </c>
      <c r="X22" s="1921">
        <f t="shared" ca="1" si="2"/>
        <v>0</v>
      </c>
      <c r="Y22" s="2"/>
      <c r="AA22" s="293"/>
      <c r="AB22" s="292"/>
      <c r="AC22" s="292"/>
      <c r="AD22" s="292"/>
      <c r="AE22" s="292"/>
      <c r="AF22" s="292"/>
      <c r="AG22" s="292"/>
      <c r="AH22" s="292"/>
      <c r="AI22" s="292"/>
      <c r="AJ22" s="292"/>
      <c r="AK22" s="292"/>
      <c r="AL22" s="292"/>
      <c r="AM22" s="292"/>
      <c r="AN22" s="292"/>
      <c r="AO22" s="292"/>
      <c r="AP22" s="292"/>
      <c r="AQ22" s="292"/>
      <c r="AR22" s="292"/>
      <c r="AS22" s="292"/>
      <c r="AT22" s="292"/>
      <c r="AU22" s="292"/>
      <c r="AV22" s="292"/>
      <c r="AW22" s="1616"/>
      <c r="AX22" s="1616"/>
      <c r="AY22" s="1616"/>
      <c r="AZ22" s="1616"/>
      <c r="BA22" s="1616"/>
    </row>
    <row r="23" spans="1:53" ht="16.600000000000001" customHeight="1" x14ac:dyDescent="0.25">
      <c r="A23" s="434"/>
      <c r="B23" s="902"/>
      <c r="C23" s="905"/>
      <c r="D23" s="550" t="s">
        <v>67</v>
      </c>
      <c r="E23" s="1193">
        <f>IF(ISBLANK(Import!C383),"",Import!C383)</f>
        <v>0</v>
      </c>
      <c r="F23" s="1193" t="str">
        <f ca="1">IF(ISBLANK(Import!D383),OFFSET('2.CropManagement'!AE$182,SUMIF('2.CropManagement'!W$183:W$184,'1.GeneralInfo'!$E$8,'2.CropManagement'!X$183:X$184),0), Import!D383)</f>
        <v>litres</v>
      </c>
      <c r="G23" s="473"/>
      <c r="H23" s="474"/>
      <c r="I23" s="436"/>
      <c r="J23" s="2"/>
      <c r="K23" s="1858">
        <f ca="1">SUMIF('5.FieldEnergyUse'!$O$119:$O$122,F23,'5.FieldEnergyUse'!$R$119:$R$122)*E23</f>
        <v>0</v>
      </c>
      <c r="L23" s="1859">
        <f ca="1">'9.DefaultFactors'!R14</f>
        <v>47.5</v>
      </c>
      <c r="M23" s="1860">
        <f t="shared" ca="1" si="0"/>
        <v>0</v>
      </c>
      <c r="N23" s="1861">
        <f>'9.DefaultFactors'!F20</f>
        <v>6.2799999999999995E-2</v>
      </c>
      <c r="O23" s="1862">
        <f t="shared" ca="1" si="1"/>
        <v>0</v>
      </c>
      <c r="P23" s="2"/>
      <c r="Q23" s="2"/>
      <c r="R23" s="2"/>
      <c r="S23" s="434"/>
      <c r="T23" s="2"/>
      <c r="U23" s="452"/>
      <c r="V23" s="2"/>
      <c r="W23" s="1926">
        <f t="shared" si="2"/>
        <v>6.2799999999999995E-2</v>
      </c>
      <c r="X23" s="1921">
        <f t="shared" ca="1" si="2"/>
        <v>0</v>
      </c>
      <c r="Y23" s="2"/>
      <c r="AA23" s="293"/>
      <c r="AB23" s="292"/>
      <c r="AC23" s="292"/>
      <c r="AD23" s="292"/>
      <c r="AE23" s="292"/>
      <c r="AF23" s="292"/>
      <c r="AG23" s="292"/>
      <c r="AH23" s="292"/>
      <c r="AI23" s="292"/>
      <c r="AJ23" s="292"/>
      <c r="AK23" s="292"/>
      <c r="AL23" s="292"/>
      <c r="AM23" s="292"/>
      <c r="AN23" s="292"/>
      <c r="AO23" s="292"/>
      <c r="AP23" s="292"/>
      <c r="AQ23" s="292"/>
      <c r="AR23" s="292"/>
      <c r="AS23" s="292"/>
      <c r="AT23" s="292"/>
      <c r="AU23" s="292"/>
      <c r="AV23" s="292"/>
      <c r="AW23" s="1616"/>
      <c r="AX23" s="1616"/>
      <c r="AY23" s="1616"/>
      <c r="AZ23" s="1616"/>
      <c r="BA23" s="1616"/>
    </row>
    <row r="24" spans="1:53" ht="16.600000000000001" customHeight="1" thickBot="1" x14ac:dyDescent="0.3">
      <c r="A24" s="434"/>
      <c r="B24" s="902"/>
      <c r="C24" s="907"/>
      <c r="D24" s="245"/>
      <c r="E24" s="172"/>
      <c r="F24" s="172"/>
      <c r="G24" s="472"/>
      <c r="H24" s="434"/>
      <c r="I24" s="434"/>
      <c r="J24" s="2"/>
      <c r="K24" s="1863" t="s">
        <v>766</v>
      </c>
      <c r="L24" s="1864" t="s">
        <v>132</v>
      </c>
      <c r="M24" s="1864" t="s">
        <v>66</v>
      </c>
      <c r="N24" s="1865" t="s">
        <v>64</v>
      </c>
      <c r="O24" s="1866" t="s">
        <v>133</v>
      </c>
      <c r="P24" s="439"/>
      <c r="Q24" s="436"/>
      <c r="R24" s="434"/>
      <c r="S24" s="434"/>
      <c r="T24" s="434"/>
      <c r="U24" s="453"/>
      <c r="V24" s="2"/>
      <c r="W24" s="1925"/>
      <c r="X24" s="1921"/>
      <c r="Y24" s="2"/>
      <c r="AA24" s="293"/>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1616"/>
      <c r="AX24" s="1616"/>
      <c r="AY24" s="1616"/>
      <c r="AZ24" s="1616"/>
      <c r="BA24" s="1616"/>
    </row>
    <row r="25" spans="1:53" ht="9.8000000000000007" customHeight="1" thickBot="1" x14ac:dyDescent="0.3">
      <c r="A25" s="434"/>
      <c r="B25" s="911"/>
      <c r="C25" s="912"/>
      <c r="D25" s="852"/>
      <c r="E25" s="184"/>
      <c r="F25" s="475"/>
      <c r="G25" s="476"/>
      <c r="H25" s="434"/>
      <c r="I25" s="434"/>
      <c r="J25" s="2"/>
      <c r="K25" s="436"/>
      <c r="L25" s="524"/>
      <c r="M25" s="436"/>
      <c r="N25" s="436"/>
      <c r="O25" s="519"/>
      <c r="P25" s="439"/>
      <c r="Q25" s="436"/>
      <c r="R25" s="434"/>
      <c r="S25" s="434"/>
      <c r="T25" s="434"/>
      <c r="U25" s="453"/>
      <c r="V25" s="2"/>
      <c r="W25" s="1927"/>
      <c r="X25" s="1928"/>
      <c r="Y25" s="2"/>
      <c r="AA25" s="293"/>
      <c r="AB25" s="292"/>
      <c r="AC25" s="292"/>
      <c r="AD25" s="292"/>
      <c r="AE25" s="292"/>
      <c r="AF25" s="292"/>
      <c r="AG25" s="292"/>
      <c r="AH25" s="292"/>
      <c r="AI25" s="292"/>
      <c r="AJ25" s="292"/>
      <c r="AK25" s="292"/>
      <c r="AL25" s="292"/>
      <c r="AM25" s="292"/>
      <c r="AN25" s="292"/>
      <c r="AO25" s="292"/>
      <c r="AP25" s="292"/>
      <c r="AQ25" s="292"/>
      <c r="AR25" s="292"/>
      <c r="AS25" s="292"/>
      <c r="AT25" s="292"/>
      <c r="AU25" s="292"/>
      <c r="AV25" s="292"/>
      <c r="AW25" s="1616"/>
      <c r="AX25" s="1616"/>
      <c r="AY25" s="1616"/>
      <c r="AZ25" s="1616"/>
      <c r="BA25" s="1616"/>
    </row>
    <row r="26" spans="1:53" ht="18.75" customHeight="1" x14ac:dyDescent="0.25">
      <c r="A26" s="436"/>
      <c r="B26" s="436"/>
      <c r="C26" s="436"/>
      <c r="D26" s="435"/>
      <c r="E26" s="173"/>
      <c r="F26" s="434"/>
      <c r="G26" s="434"/>
      <c r="H26" s="436"/>
      <c r="I26" s="436"/>
      <c r="J26" s="434"/>
      <c r="K26" s="434"/>
      <c r="L26" s="434"/>
      <c r="M26" s="434"/>
      <c r="N26" s="434"/>
      <c r="O26" s="434"/>
      <c r="P26" s="434"/>
      <c r="Q26" s="434"/>
      <c r="R26" s="436"/>
      <c r="S26" s="434"/>
      <c r="T26" s="434"/>
      <c r="U26" s="434"/>
      <c r="V26" s="453"/>
      <c r="W26" s="434"/>
      <c r="X26" s="166"/>
      <c r="Y26" s="434"/>
      <c r="AB26" s="1616"/>
      <c r="AC26" s="292"/>
      <c r="AD26" s="292"/>
      <c r="AE26" s="292"/>
      <c r="AF26" s="292"/>
      <c r="AG26" s="292"/>
      <c r="AH26" s="292"/>
      <c r="AI26" s="292"/>
      <c r="AJ26" s="292"/>
      <c r="AK26" s="292"/>
      <c r="AL26" s="292"/>
      <c r="AM26" s="292"/>
      <c r="AN26" s="292"/>
      <c r="AO26" s="292"/>
      <c r="AP26" s="292"/>
      <c r="AQ26" s="292"/>
      <c r="AR26" s="292"/>
      <c r="AS26" s="292"/>
      <c r="AT26" s="292"/>
      <c r="AU26" s="292"/>
      <c r="AV26" s="292"/>
      <c r="AW26" s="1616"/>
      <c r="AX26" s="1616"/>
      <c r="AY26" s="1616"/>
      <c r="AZ26" s="1616"/>
      <c r="BA26" s="1616"/>
    </row>
    <row r="27" spans="1:53" ht="18.75" customHeight="1" x14ac:dyDescent="0.25">
      <c r="A27" s="436"/>
      <c r="B27" s="2478"/>
      <c r="C27" s="2478"/>
      <c r="D27" s="2478"/>
      <c r="E27" s="478"/>
      <c r="F27" s="479"/>
      <c r="G27" s="479"/>
      <c r="H27" s="436"/>
      <c r="I27" s="436"/>
      <c r="J27" s="436"/>
      <c r="K27" s="436"/>
      <c r="L27" s="436"/>
      <c r="M27" s="436"/>
      <c r="N27" s="436"/>
      <c r="O27" s="436"/>
      <c r="P27" s="436"/>
      <c r="Q27" s="436"/>
      <c r="R27" s="436"/>
      <c r="S27" s="436"/>
      <c r="T27" s="436"/>
      <c r="U27" s="436"/>
      <c r="V27" s="436"/>
      <c r="W27" s="436"/>
      <c r="X27" s="149"/>
      <c r="Y27" s="436"/>
      <c r="AB27" s="1616"/>
      <c r="AC27" s="448"/>
      <c r="AD27" s="448"/>
      <c r="AE27" s="448"/>
      <c r="AF27" s="448"/>
      <c r="AG27" s="448"/>
      <c r="AH27" s="448"/>
      <c r="AI27" s="448"/>
      <c r="AJ27" s="448"/>
      <c r="AK27" s="448"/>
      <c r="AL27" s="448"/>
      <c r="AM27" s="448"/>
      <c r="AN27" s="448"/>
      <c r="AO27" s="448"/>
      <c r="AP27" s="448"/>
      <c r="AQ27" s="448"/>
      <c r="AR27" s="448"/>
      <c r="AS27" s="448"/>
      <c r="AT27" s="448"/>
      <c r="AU27" s="448"/>
      <c r="AV27" s="448"/>
      <c r="AW27" s="1616"/>
      <c r="AX27" s="1616"/>
      <c r="AY27" s="1616"/>
      <c r="AZ27" s="1616"/>
      <c r="BA27" s="1616"/>
    </row>
    <row r="28" spans="1:53" ht="18.75" customHeight="1" thickBot="1" x14ac:dyDescent="0.3">
      <c r="A28" s="436"/>
      <c r="B28" s="479"/>
      <c r="C28" s="479"/>
      <c r="D28" s="480"/>
      <c r="E28" s="478"/>
      <c r="F28" s="479"/>
      <c r="G28" s="479"/>
      <c r="H28" s="436"/>
      <c r="I28" s="436"/>
      <c r="J28" s="436"/>
      <c r="K28" s="436"/>
      <c r="L28" s="436"/>
      <c r="M28" s="436"/>
      <c r="N28" s="436"/>
      <c r="O28" s="436"/>
      <c r="P28" s="436"/>
      <c r="Q28" s="436"/>
      <c r="R28" s="436"/>
      <c r="S28" s="436"/>
      <c r="T28" s="436"/>
      <c r="U28" s="436"/>
      <c r="V28" s="436"/>
      <c r="W28" s="436"/>
      <c r="X28" s="436"/>
      <c r="Y28" s="436"/>
      <c r="AB28" s="1616"/>
      <c r="AC28" s="448"/>
      <c r="AD28" s="448"/>
      <c r="AE28" s="448"/>
      <c r="AF28" s="448"/>
      <c r="AG28" s="448"/>
      <c r="AH28" s="448"/>
      <c r="AI28" s="448"/>
      <c r="AJ28" s="448"/>
      <c r="AK28" s="448"/>
      <c r="AL28" s="448"/>
      <c r="AM28" s="448"/>
      <c r="AN28" s="448"/>
      <c r="AO28" s="448"/>
      <c r="AP28" s="448"/>
      <c r="AQ28" s="448"/>
      <c r="AR28" s="448"/>
      <c r="AS28" s="448"/>
      <c r="AT28" s="448"/>
      <c r="AU28" s="448"/>
      <c r="AV28" s="448"/>
      <c r="AW28" s="1616"/>
      <c r="AX28" s="1616"/>
      <c r="AY28" s="1616"/>
      <c r="AZ28" s="1616"/>
      <c r="BA28" s="1616"/>
    </row>
    <row r="29" spans="1:53" ht="36" customHeight="1" x14ac:dyDescent="0.25">
      <c r="A29" s="436"/>
      <c r="B29" s="913"/>
      <c r="C29" s="2479" t="s">
        <v>794</v>
      </c>
      <c r="D29" s="2479"/>
      <c r="E29" s="2479"/>
      <c r="F29" s="2479"/>
      <c r="G29" s="2479"/>
      <c r="H29" s="434"/>
      <c r="I29" s="434"/>
      <c r="J29" s="434"/>
      <c r="K29" s="434"/>
      <c r="L29" s="434"/>
      <c r="M29" s="434"/>
      <c r="N29" s="434"/>
      <c r="O29" s="434"/>
      <c r="P29" s="434"/>
      <c r="Q29" s="434"/>
      <c r="R29" s="436"/>
      <c r="S29" s="436"/>
      <c r="T29" s="434"/>
      <c r="U29" s="434"/>
      <c r="V29" s="436"/>
      <c r="W29" s="436"/>
      <c r="X29" s="436"/>
      <c r="Y29" s="436"/>
      <c r="AB29" s="1616"/>
      <c r="AC29" s="448"/>
      <c r="AD29" s="448"/>
      <c r="AE29" s="448"/>
      <c r="AF29" s="448"/>
      <c r="AG29" s="448"/>
      <c r="AH29" s="448"/>
      <c r="AI29" s="448"/>
      <c r="AJ29" s="448"/>
      <c r="AK29" s="448"/>
      <c r="AL29" s="448"/>
      <c r="AM29" s="448"/>
      <c r="AN29" s="448"/>
      <c r="AO29" s="448"/>
      <c r="AP29" s="448"/>
      <c r="AQ29" s="448"/>
      <c r="AR29" s="448"/>
      <c r="AS29" s="448"/>
      <c r="AT29" s="448"/>
      <c r="AU29" s="448"/>
      <c r="AV29" s="448"/>
      <c r="AW29" s="1616"/>
      <c r="AX29" s="1616"/>
      <c r="AY29" s="1616"/>
      <c r="AZ29" s="1616"/>
      <c r="BA29" s="1616"/>
    </row>
    <row r="30" spans="1:53" ht="18" customHeight="1" thickBot="1" x14ac:dyDescent="0.35">
      <c r="A30" s="436"/>
      <c r="B30" s="1240"/>
      <c r="C30" s="1239" t="s">
        <v>38</v>
      </c>
      <c r="D30" s="914"/>
      <c r="E30" s="914"/>
      <c r="F30" s="915"/>
      <c r="G30" s="915"/>
      <c r="H30" s="166"/>
      <c r="I30" s="436"/>
      <c r="J30" s="436"/>
      <c r="K30" s="1911" t="s">
        <v>21</v>
      </c>
      <c r="L30" s="192"/>
      <c r="M30" s="192"/>
      <c r="N30" s="192"/>
      <c r="O30" s="192"/>
      <c r="P30" s="192"/>
      <c r="Q30" s="192"/>
      <c r="R30" s="436"/>
      <c r="S30" s="436"/>
      <c r="T30" s="436"/>
      <c r="U30" s="434"/>
      <c r="V30" s="434"/>
      <c r="W30" s="436"/>
      <c r="X30" s="436"/>
      <c r="Y30" s="436"/>
      <c r="AB30" s="1616"/>
      <c r="AC30" s="448"/>
      <c r="AD30" s="448"/>
      <c r="AE30" s="448"/>
      <c r="AF30" s="448"/>
      <c r="AG30" s="448"/>
      <c r="AH30" s="448"/>
      <c r="AI30" s="448"/>
      <c r="AJ30" s="448"/>
      <c r="AK30" s="448"/>
      <c r="AL30" s="448"/>
      <c r="AM30" s="448"/>
      <c r="AN30" s="448"/>
      <c r="AO30" s="448"/>
      <c r="AP30" s="448"/>
      <c r="AQ30" s="448"/>
      <c r="AR30" s="448"/>
      <c r="AS30" s="448"/>
      <c r="AT30" s="448"/>
      <c r="AU30" s="448"/>
      <c r="AV30" s="448"/>
      <c r="AW30" s="1616"/>
      <c r="AX30" s="1616"/>
      <c r="AY30" s="1616"/>
      <c r="AZ30" s="1616"/>
      <c r="BA30" s="1616"/>
    </row>
    <row r="31" spans="1:53" ht="10.55" customHeight="1" x14ac:dyDescent="0.25">
      <c r="A31" s="436"/>
      <c r="B31" s="920"/>
      <c r="C31" s="1241"/>
      <c r="D31" s="456"/>
      <c r="E31" s="456"/>
      <c r="F31" s="456"/>
      <c r="G31" s="481"/>
      <c r="H31" s="482"/>
      <c r="I31" s="436"/>
      <c r="J31" s="436"/>
      <c r="K31" s="188"/>
      <c r="L31" s="235" t="s">
        <v>142</v>
      </c>
      <c r="M31" s="192"/>
      <c r="N31" s="192"/>
      <c r="O31" s="192"/>
      <c r="P31" s="235" t="s">
        <v>141</v>
      </c>
      <c r="Q31" s="192"/>
      <c r="R31" s="436"/>
      <c r="S31" s="436"/>
      <c r="T31" s="436"/>
      <c r="U31" s="436"/>
      <c r="V31" s="434"/>
      <c r="W31" s="434"/>
      <c r="X31" s="436"/>
      <c r="Y31" s="436"/>
      <c r="AB31" s="1616"/>
      <c r="AC31" s="448"/>
      <c r="AD31" s="448"/>
      <c r="AE31" s="448"/>
      <c r="AF31" s="448"/>
      <c r="AG31" s="448"/>
      <c r="AH31" s="448"/>
      <c r="AI31" s="448"/>
      <c r="AJ31" s="448"/>
      <c r="AK31" s="448"/>
      <c r="AL31" s="448"/>
      <c r="AM31" s="448"/>
      <c r="AN31" s="448"/>
      <c r="AO31" s="448"/>
      <c r="AP31" s="448"/>
      <c r="AQ31" s="448"/>
      <c r="AR31" s="448"/>
      <c r="AS31" s="448"/>
      <c r="AT31" s="448"/>
      <c r="AU31" s="448"/>
      <c r="AV31" s="448"/>
      <c r="AW31" s="1616"/>
      <c r="AX31" s="1616"/>
      <c r="AY31" s="1616"/>
      <c r="AZ31" s="1616"/>
      <c r="BA31" s="1616"/>
    </row>
    <row r="32" spans="1:53" ht="16.600000000000001" customHeight="1" x14ac:dyDescent="0.25">
      <c r="A32" s="436"/>
      <c r="B32" s="916"/>
      <c r="C32" s="917" t="s">
        <v>22</v>
      </c>
      <c r="D32" s="186"/>
      <c r="E32" s="1193" t="str">
        <f>IF(ISBLANK(Import!D125), "Diesel", Import!D125)</f>
        <v>Diesel</v>
      </c>
      <c r="F32" s="456"/>
      <c r="G32" s="481"/>
      <c r="H32" s="482"/>
      <c r="I32" s="436"/>
      <c r="J32" s="436"/>
      <c r="K32" s="188"/>
      <c r="L32" s="1912">
        <f>IF(E32="Diesel",1,2)</f>
        <v>1</v>
      </c>
      <c r="M32" s="192"/>
      <c r="N32" s="192"/>
      <c r="O32" s="192"/>
      <c r="P32" s="229">
        <f>'1.GeneralInfo'!S12</f>
        <v>7.2</v>
      </c>
      <c r="Q32" s="192"/>
      <c r="R32" s="436"/>
      <c r="S32" s="436"/>
      <c r="T32" s="438" t="s">
        <v>143</v>
      </c>
      <c r="U32" s="436"/>
      <c r="V32" s="434"/>
      <c r="W32" s="434"/>
      <c r="X32" s="436"/>
      <c r="Y32" s="436"/>
      <c r="Z32" s="455"/>
      <c r="AA32" s="455"/>
      <c r="AB32" s="448"/>
      <c r="AC32" s="448"/>
      <c r="AD32" s="448"/>
      <c r="AE32" s="448"/>
      <c r="AF32" s="448"/>
      <c r="AG32" s="448"/>
      <c r="AH32" s="448"/>
      <c r="AI32" s="448"/>
      <c r="AJ32" s="448"/>
      <c r="AK32" s="448"/>
      <c r="AL32" s="448"/>
      <c r="AM32" s="448"/>
      <c r="AN32" s="448"/>
      <c r="AO32" s="448"/>
      <c r="AP32" s="448"/>
      <c r="AQ32" s="448"/>
      <c r="AR32" s="448"/>
      <c r="AS32" s="448"/>
      <c r="AT32" s="448"/>
      <c r="AU32" s="448"/>
      <c r="AV32" s="448"/>
      <c r="AW32" s="1616"/>
      <c r="AX32" s="1616"/>
      <c r="AY32" s="1616"/>
      <c r="AZ32" s="1616"/>
      <c r="BA32" s="1616"/>
    </row>
    <row r="33" spans="1:53" ht="10.55" customHeight="1" thickBot="1" x14ac:dyDescent="0.3">
      <c r="A33" s="436"/>
      <c r="B33" s="918"/>
      <c r="C33" s="919"/>
      <c r="D33" s="456"/>
      <c r="E33" s="456"/>
      <c r="F33" s="456"/>
      <c r="G33" s="481"/>
      <c r="H33" s="482"/>
      <c r="I33" s="436"/>
      <c r="J33" s="436"/>
      <c r="K33" s="188"/>
      <c r="L33" s="192"/>
      <c r="M33" s="192"/>
      <c r="N33" s="192"/>
      <c r="O33" s="192"/>
      <c r="P33" s="192"/>
      <c r="Q33" s="192"/>
      <c r="R33" s="436"/>
      <c r="S33" s="436"/>
      <c r="T33" s="438" t="str">
        <f ca="1">OFFSET('2.CropManagement'!AE$182,SUMIF('2.CropManagement'!W$183:W$184,'1.GeneralInfo'!$E$8,'2.CropManagement'!X$183:X$184),0)</f>
        <v>litres</v>
      </c>
      <c r="U33" s="436"/>
      <c r="V33" s="434"/>
      <c r="W33" s="434"/>
      <c r="X33" s="436"/>
      <c r="Y33" s="436"/>
      <c r="Z33" s="455"/>
      <c r="AA33" s="455"/>
      <c r="AB33" s="448"/>
      <c r="AC33" s="448"/>
      <c r="AD33" s="448"/>
      <c r="AE33" s="448"/>
      <c r="AF33" s="448"/>
      <c r="AG33" s="448"/>
      <c r="AH33" s="448"/>
      <c r="AI33" s="448"/>
      <c r="AJ33" s="448"/>
      <c r="AK33" s="448"/>
      <c r="AL33" s="448"/>
      <c r="AM33" s="448"/>
      <c r="AN33" s="448"/>
      <c r="AO33" s="448"/>
      <c r="AP33" s="448"/>
      <c r="AQ33" s="448"/>
      <c r="AR33" s="448"/>
      <c r="AS33" s="448"/>
      <c r="AT33" s="448"/>
      <c r="AU33" s="448"/>
      <c r="AV33" s="448"/>
      <c r="AW33" s="1616"/>
      <c r="AX33" s="1616"/>
      <c r="AY33" s="1616"/>
      <c r="AZ33" s="1616"/>
      <c r="BA33" s="1616"/>
    </row>
    <row r="34" spans="1:53" ht="10.55" customHeight="1" thickBot="1" x14ac:dyDescent="0.3">
      <c r="A34" s="436"/>
      <c r="B34" s="920"/>
      <c r="C34" s="921"/>
      <c r="D34" s="483"/>
      <c r="E34" s="346"/>
      <c r="F34" s="484"/>
      <c r="G34" s="347"/>
      <c r="H34" s="149"/>
      <c r="I34" s="436"/>
      <c r="J34" s="436"/>
      <c r="K34" s="188"/>
      <c r="L34" s="192"/>
      <c r="M34" s="192"/>
      <c r="N34" s="192"/>
      <c r="O34" s="192"/>
      <c r="P34" s="192"/>
      <c r="Q34" s="192"/>
      <c r="R34" s="436"/>
      <c r="S34" s="436"/>
      <c r="T34" s="436"/>
      <c r="U34" s="436"/>
      <c r="V34" s="434"/>
      <c r="W34" s="434"/>
      <c r="X34" s="436"/>
      <c r="Y34" s="436"/>
      <c r="Z34" s="455"/>
      <c r="AA34" s="455"/>
      <c r="AB34" s="448"/>
      <c r="AC34" s="448"/>
      <c r="AD34" s="448"/>
      <c r="AE34" s="448"/>
      <c r="AF34" s="448"/>
      <c r="AG34" s="448"/>
      <c r="AH34" s="448"/>
      <c r="AI34" s="448"/>
      <c r="AJ34" s="448"/>
      <c r="AK34" s="448"/>
      <c r="AL34" s="448"/>
      <c r="AM34" s="448"/>
      <c r="AN34" s="448"/>
      <c r="AO34" s="448"/>
      <c r="AP34" s="448"/>
      <c r="AQ34" s="448"/>
      <c r="AR34" s="448"/>
      <c r="AS34" s="448"/>
      <c r="AT34" s="448"/>
      <c r="AU34" s="448"/>
      <c r="AV34" s="448"/>
      <c r="AW34" s="1616"/>
      <c r="AX34" s="1616"/>
      <c r="AY34" s="1616"/>
      <c r="AZ34" s="1616"/>
      <c r="BA34" s="1616"/>
    </row>
    <row r="35" spans="1:53" ht="29.25" customHeight="1" thickBot="1" x14ac:dyDescent="0.3">
      <c r="A35" s="436"/>
      <c r="B35" s="916"/>
      <c r="C35" s="922"/>
      <c r="D35" s="485"/>
      <c r="E35" s="486" t="s">
        <v>24</v>
      </c>
      <c r="F35" s="2197" t="str">
        <f ca="1">T33&amp;" fuel used"</f>
        <v>litres fuel used</v>
      </c>
      <c r="G35" s="487"/>
      <c r="H35" s="488"/>
      <c r="I35" s="436"/>
      <c r="J35" s="436"/>
      <c r="K35" s="1906" t="s">
        <v>134</v>
      </c>
      <c r="L35" s="1899" t="s">
        <v>135</v>
      </c>
      <c r="M35" s="1900" t="s">
        <v>136</v>
      </c>
      <c r="N35" s="1900" t="s">
        <v>137</v>
      </c>
      <c r="O35" s="1900" t="s">
        <v>138</v>
      </c>
      <c r="P35" s="1900" t="s">
        <v>139</v>
      </c>
      <c r="Q35" s="1913" t="s">
        <v>140</v>
      </c>
      <c r="R35" s="436"/>
      <c r="S35" s="436"/>
      <c r="T35" s="436"/>
      <c r="U35" s="436"/>
      <c r="V35" s="434"/>
      <c r="W35" s="1914" t="s">
        <v>144</v>
      </c>
      <c r="X35" s="1843" t="s">
        <v>1432</v>
      </c>
      <c r="Y35" s="436"/>
      <c r="Z35" s="455"/>
      <c r="AA35" s="455"/>
      <c r="AB35" s="448"/>
      <c r="AC35" s="448"/>
      <c r="AD35" s="448"/>
      <c r="AE35" s="448"/>
      <c r="AF35" s="448"/>
      <c r="AG35" s="448"/>
      <c r="AH35" s="448"/>
      <c r="AI35" s="448"/>
      <c r="AJ35" s="448"/>
      <c r="AK35" s="448"/>
      <c r="AL35" s="448"/>
      <c r="AM35" s="448"/>
      <c r="AN35" s="448"/>
      <c r="AO35" s="448"/>
      <c r="AP35" s="448"/>
      <c r="AQ35" s="448"/>
      <c r="AR35" s="1616"/>
      <c r="AS35" s="1616"/>
      <c r="AT35" s="1616"/>
      <c r="AU35" s="1616"/>
      <c r="AV35" s="1616"/>
      <c r="AW35" s="1616"/>
      <c r="AX35" s="1616"/>
      <c r="AY35" s="1616"/>
      <c r="AZ35" s="1616"/>
      <c r="BA35" s="1616"/>
    </row>
    <row r="36" spans="1:53" ht="16.600000000000001" customHeight="1" x14ac:dyDescent="0.25">
      <c r="A36" s="434"/>
      <c r="B36" s="916"/>
      <c r="C36" s="922" t="s">
        <v>1462</v>
      </c>
      <c r="D36" s="489" t="s">
        <v>1463</v>
      </c>
      <c r="E36" s="1193">
        <v>0</v>
      </c>
      <c r="F36" s="1193">
        <f ca="1">IF(ISERROR(W36/X36),"",(W36/X36))</f>
        <v>0</v>
      </c>
      <c r="G36" s="490" t="str">
        <f t="shared" ref="G36:G62" si="3">IF($E36&gt;0,IF($F36=0,"This will not work unless crop area(GeneralInfo), harvested product(GeneralInfo), and soil texture(CropManagement) are completed",""),"")</f>
        <v/>
      </c>
      <c r="H36" s="488"/>
      <c r="I36" s="434"/>
      <c r="J36" s="434"/>
      <c r="K36" s="1883" t="s">
        <v>1463</v>
      </c>
      <c r="L36" s="1879">
        <v>4.2768620045484083</v>
      </c>
      <c r="M36" s="1877">
        <v>3.5284111537524354</v>
      </c>
      <c r="N36" s="1877">
        <v>2.7799603029564648</v>
      </c>
      <c r="O36" s="1877">
        <v>5.8587150747238468</v>
      </c>
      <c r="P36" s="1877">
        <v>4.8334399366471725</v>
      </c>
      <c r="Q36" s="1878">
        <v>3.8081647985705001</v>
      </c>
      <c r="R36" s="436"/>
      <c r="S36" s="436"/>
      <c r="T36" s="297"/>
      <c r="U36" s="434"/>
      <c r="V36" s="434"/>
      <c r="W36" s="2026">
        <f ca="1">IF('2.CropManagement'!Y$12&gt;0,IF(P$32&lt;&gt;0,IF(E36&lt;&gt;"",E36*OFFSET(K36,0,3*($L$32-1)+'2.CropManagement'!$Y$12)*$P$32,0),0),0)</f>
        <v>0</v>
      </c>
      <c r="X36" s="1837">
        <f t="shared" ref="X36:X57" ca="1" si="4">IF(T$33&lt;&gt;O$148,SUMIF(O$148:O$150,T$33,P$148:P$150),1)</f>
        <v>1</v>
      </c>
      <c r="Y36" s="434"/>
      <c r="Z36" s="293"/>
      <c r="AA36" s="293"/>
      <c r="AB36" s="292"/>
      <c r="AC36" s="292"/>
      <c r="AD36" s="292"/>
      <c r="AE36" s="292"/>
      <c r="AF36" s="292"/>
      <c r="AG36" s="292"/>
      <c r="AH36" s="292"/>
      <c r="AI36" s="292"/>
      <c r="AJ36" s="292"/>
      <c r="AK36" s="1616"/>
      <c r="AL36" s="1616"/>
      <c r="AM36" s="1616"/>
      <c r="AN36" s="292"/>
      <c r="AO36" s="292"/>
      <c r="AP36" s="292"/>
      <c r="AQ36" s="292"/>
      <c r="AR36" s="1616"/>
      <c r="AS36" s="1616"/>
      <c r="AT36" s="1616"/>
      <c r="AU36" s="1616"/>
      <c r="AV36" s="1616"/>
      <c r="AW36" s="1616"/>
      <c r="AX36" s="1616"/>
      <c r="AY36" s="1616"/>
      <c r="AZ36" s="1616"/>
      <c r="BA36" s="1616"/>
    </row>
    <row r="37" spans="1:53" ht="16.600000000000001" customHeight="1" x14ac:dyDescent="0.25">
      <c r="A37" s="434"/>
      <c r="B37" s="916"/>
      <c r="C37" s="922" t="s">
        <v>1462</v>
      </c>
      <c r="D37" s="489" t="s">
        <v>27</v>
      </c>
      <c r="E37" s="1193">
        <f>IF(ISBLANK(Import!D130), "", Import!D130)</f>
        <v>0</v>
      </c>
      <c r="F37" s="1193">
        <f t="shared" ref="F37:F57" ca="1" si="5">IF(ISERROR(W37/X37),"",(W37/X37))</f>
        <v>0</v>
      </c>
      <c r="G37" s="490" t="str">
        <f t="shared" si="3"/>
        <v/>
      </c>
      <c r="H37" s="488"/>
      <c r="I37" s="434"/>
      <c r="J37" s="434"/>
      <c r="K37" s="1884" t="s">
        <v>27</v>
      </c>
      <c r="L37" s="1880">
        <v>3.820241431124106</v>
      </c>
      <c r="M37" s="290">
        <v>3.4000148737004547</v>
      </c>
      <c r="N37" s="290">
        <v>2.9797883162768031</v>
      </c>
      <c r="O37" s="290">
        <v>5.2332074398960344</v>
      </c>
      <c r="P37" s="290">
        <v>4.6575546215074723</v>
      </c>
      <c r="Q37" s="382">
        <v>4.0819018031189085</v>
      </c>
      <c r="R37" s="436"/>
      <c r="S37" s="436"/>
      <c r="T37" s="436"/>
      <c r="U37" s="434"/>
      <c r="V37" s="434"/>
      <c r="W37" s="2026">
        <f ca="1">IF('2.CropManagement'!Y$12&gt;0,IF(P$32&lt;&gt;0,IF(E37&lt;&gt;"",E37*OFFSET(K37,0,3*($L$32-1)+'2.CropManagement'!$Y$12)*$P$32,0),0),0)</f>
        <v>0</v>
      </c>
      <c r="X37" s="1837">
        <f t="shared" ca="1" si="4"/>
        <v>1</v>
      </c>
      <c r="Y37" s="434"/>
      <c r="Z37" s="293"/>
      <c r="AA37" s="293"/>
      <c r="AB37" s="292"/>
      <c r="AC37" s="292"/>
      <c r="AD37" s="292"/>
      <c r="AE37" s="292"/>
      <c r="AF37" s="292"/>
      <c r="AG37" s="292"/>
      <c r="AH37" s="292"/>
      <c r="AI37" s="292"/>
      <c r="AJ37" s="292"/>
      <c r="AK37" s="1616"/>
      <c r="AL37" s="1616"/>
      <c r="AM37" s="1616"/>
      <c r="AN37" s="292"/>
      <c r="AO37" s="292"/>
      <c r="AP37" s="292"/>
      <c r="AQ37" s="292"/>
      <c r="AR37" s="1616"/>
      <c r="AS37" s="1616"/>
      <c r="AT37" s="1616"/>
      <c r="AU37" s="1616"/>
      <c r="AV37" s="1616"/>
      <c r="AW37" s="1616"/>
      <c r="AX37" s="1616"/>
      <c r="AY37" s="1616"/>
      <c r="AZ37" s="1616"/>
      <c r="BA37" s="1616"/>
    </row>
    <row r="38" spans="1:53" ht="16.600000000000001" customHeight="1" x14ac:dyDescent="0.25">
      <c r="A38" s="434"/>
      <c r="B38" s="916"/>
      <c r="C38" s="922" t="s">
        <v>1462</v>
      </c>
      <c r="D38" s="489" t="s">
        <v>28</v>
      </c>
      <c r="E38" s="1193">
        <v>0</v>
      </c>
      <c r="F38" s="1193">
        <f t="shared" ca="1" si="5"/>
        <v>0</v>
      </c>
      <c r="G38" s="490" t="str">
        <f t="shared" si="3"/>
        <v/>
      </c>
      <c r="H38" s="488"/>
      <c r="I38" s="434"/>
      <c r="J38" s="434"/>
      <c r="K38" s="1884" t="s">
        <v>28</v>
      </c>
      <c r="L38" s="1880">
        <v>2.1632964790448339</v>
      </c>
      <c r="M38" s="290">
        <v>1.9253338663499022</v>
      </c>
      <c r="N38" s="290">
        <v>1.6873712536549708</v>
      </c>
      <c r="O38" s="290">
        <v>2.9634198343079925</v>
      </c>
      <c r="P38" s="290">
        <v>2.6374436525341127</v>
      </c>
      <c r="Q38" s="382">
        <v>2.3114674707602338</v>
      </c>
      <c r="R38" s="436"/>
      <c r="S38" s="436"/>
      <c r="T38" s="436"/>
      <c r="U38" s="434"/>
      <c r="V38" s="434"/>
      <c r="W38" s="2026">
        <f ca="1">IF('2.CropManagement'!Y$12&gt;0,IF(P$32&lt;&gt;0,IF(E38&lt;&gt;"",E38*OFFSET(K38,0,3*($L$32-1)+'2.CropManagement'!$Y$12)*$P$32,0),0),0)</f>
        <v>0</v>
      </c>
      <c r="X38" s="1837">
        <f t="shared" ca="1" si="4"/>
        <v>1</v>
      </c>
      <c r="Y38" s="434"/>
      <c r="Z38" s="293"/>
      <c r="AA38" s="293"/>
      <c r="AB38" s="292"/>
      <c r="AC38" s="292"/>
      <c r="AD38" s="292"/>
      <c r="AE38" s="292"/>
      <c r="AF38" s="292"/>
      <c r="AG38" s="292"/>
      <c r="AH38" s="292"/>
      <c r="AI38" s="292"/>
      <c r="AJ38" s="292"/>
      <c r="AK38" s="1616"/>
      <c r="AL38" s="1616"/>
      <c r="AM38" s="1616"/>
      <c r="AN38" s="292"/>
      <c r="AO38" s="292"/>
      <c r="AP38" s="292"/>
      <c r="AQ38" s="292"/>
      <c r="AR38" s="1616"/>
      <c r="AS38" s="1616"/>
      <c r="AT38" s="1616"/>
      <c r="AU38" s="1616"/>
      <c r="AV38" s="1616"/>
      <c r="AW38" s="1616"/>
      <c r="AX38" s="1616"/>
      <c r="AY38" s="1616"/>
      <c r="AZ38" s="1616"/>
      <c r="BA38" s="1616"/>
    </row>
    <row r="39" spans="1:53" ht="16.600000000000001" customHeight="1" x14ac:dyDescent="0.25">
      <c r="A39" s="446"/>
      <c r="B39" s="916"/>
      <c r="C39" s="922" t="s">
        <v>1462</v>
      </c>
      <c r="D39" s="489" t="s">
        <v>1737</v>
      </c>
      <c r="E39" s="1193">
        <v>1</v>
      </c>
      <c r="F39" s="1193">
        <f t="shared" ca="1" si="5"/>
        <v>37.69791639254386</v>
      </c>
      <c r="G39" s="490" t="str">
        <f t="shared" ca="1" si="3"/>
        <v/>
      </c>
      <c r="H39" s="488"/>
      <c r="I39" s="446"/>
      <c r="J39" s="446"/>
      <c r="K39" s="1884" t="s">
        <v>1737</v>
      </c>
      <c r="L39" s="1880">
        <v>5.8829457541423</v>
      </c>
      <c r="M39" s="290">
        <v>5.2358217211866469</v>
      </c>
      <c r="N39" s="290">
        <v>4.5886976882309938</v>
      </c>
      <c r="O39" s="290">
        <v>8.0588298001949319</v>
      </c>
      <c r="P39" s="290">
        <v>7.1723585221734893</v>
      </c>
      <c r="Q39" s="382">
        <v>6.2858872441520468</v>
      </c>
      <c r="R39" s="436"/>
      <c r="S39" s="436"/>
      <c r="T39" s="436"/>
      <c r="U39" s="434"/>
      <c r="V39" s="434"/>
      <c r="W39" s="2026">
        <f ca="1">IF('2.CropManagement'!Y$12&gt;0,IF(P$32&lt;&gt;0,IF(E39&lt;&gt;"",E39*OFFSET(K39,0,3*($L$32-1)+'2.CropManagement'!$Y$12)*$P$32,0),0),0)</f>
        <v>37.69791639254386</v>
      </c>
      <c r="X39" s="1837">
        <f t="shared" ca="1" si="4"/>
        <v>1</v>
      </c>
      <c r="Y39" s="434"/>
      <c r="Z39" s="447"/>
      <c r="AA39" s="447"/>
      <c r="AB39" s="292"/>
      <c r="AC39" s="292"/>
      <c r="AD39" s="292"/>
      <c r="AE39" s="292"/>
      <c r="AF39" s="292"/>
      <c r="AG39" s="292"/>
      <c r="AH39" s="292"/>
      <c r="AI39" s="292"/>
      <c r="AJ39" s="292"/>
      <c r="AK39" s="1616"/>
      <c r="AL39" s="1616"/>
      <c r="AM39" s="1616"/>
      <c r="AN39" s="292"/>
      <c r="AO39" s="292"/>
      <c r="AP39" s="292"/>
      <c r="AQ39" s="292"/>
      <c r="AR39" s="1616"/>
      <c r="AS39" s="1616"/>
      <c r="AT39" s="1616"/>
      <c r="AU39" s="1616"/>
      <c r="AV39" s="1616"/>
      <c r="AW39" s="1616"/>
      <c r="AX39" s="1616"/>
      <c r="AY39" s="1616"/>
      <c r="AZ39" s="1616"/>
      <c r="BA39" s="1616"/>
    </row>
    <row r="40" spans="1:53" ht="16.600000000000001" customHeight="1" x14ac:dyDescent="0.25">
      <c r="A40" s="446"/>
      <c r="B40" s="916"/>
      <c r="C40" s="922" t="s">
        <v>1462</v>
      </c>
      <c r="D40" s="489" t="s">
        <v>1738</v>
      </c>
      <c r="E40" s="1193">
        <f>IF(ISBLANK(Import!D133), "", Import!D133)</f>
        <v>0</v>
      </c>
      <c r="F40" s="1193">
        <f t="shared" ca="1" si="5"/>
        <v>0</v>
      </c>
      <c r="G40" s="490" t="str">
        <f t="shared" si="3"/>
        <v/>
      </c>
      <c r="H40" s="488"/>
      <c r="I40" s="446"/>
      <c r="J40" s="446"/>
      <c r="K40" s="1884" t="s">
        <v>1738</v>
      </c>
      <c r="L40" s="1880">
        <v>4.2479276315789471</v>
      </c>
      <c r="M40" s="290">
        <v>3.7806555921052629</v>
      </c>
      <c r="N40" s="290">
        <v>3.3133835526315787</v>
      </c>
      <c r="O40" s="290">
        <v>5.8190789473684212</v>
      </c>
      <c r="P40" s="290">
        <v>5.1789802631578947</v>
      </c>
      <c r="Q40" s="382">
        <v>4.5388815789473682</v>
      </c>
      <c r="R40" s="436"/>
      <c r="S40" s="436"/>
      <c r="T40" s="436"/>
      <c r="U40" s="434"/>
      <c r="V40" s="434"/>
      <c r="W40" s="2026">
        <f ca="1">IF('2.CropManagement'!Y$12&gt;0,IF(P$32&lt;&gt;0,IF(E40&lt;&gt;"",E40*OFFSET(K40,0,3*($L$32-1)+'2.CropManagement'!$Y$12)*$P$32,0),0),0)</f>
        <v>0</v>
      </c>
      <c r="X40" s="1837">
        <f t="shared" ca="1" si="4"/>
        <v>1</v>
      </c>
      <c r="Y40" s="434"/>
      <c r="Z40" s="447"/>
      <c r="AA40" s="447"/>
      <c r="AB40" s="292"/>
      <c r="AC40" s="292"/>
      <c r="AD40" s="292"/>
      <c r="AE40" s="292"/>
      <c r="AF40" s="292"/>
      <c r="AG40" s="292"/>
      <c r="AH40" s="292"/>
      <c r="AI40" s="292"/>
      <c r="AJ40" s="292"/>
      <c r="AK40" s="1616"/>
      <c r="AL40" s="1616"/>
      <c r="AM40" s="1616"/>
      <c r="AN40" s="292"/>
      <c r="AO40" s="292"/>
      <c r="AP40" s="292"/>
      <c r="AQ40" s="292"/>
      <c r="AR40" s="1616"/>
      <c r="AS40" s="1616"/>
      <c r="AT40" s="1616"/>
      <c r="AU40" s="1616"/>
      <c r="AV40" s="1616"/>
      <c r="AW40" s="1616"/>
      <c r="AX40" s="1616"/>
      <c r="AY40" s="1616"/>
      <c r="AZ40" s="1616"/>
      <c r="BA40" s="1616"/>
    </row>
    <row r="41" spans="1:53" ht="16.600000000000001" customHeight="1" x14ac:dyDescent="0.25">
      <c r="A41" s="434"/>
      <c r="B41" s="916"/>
      <c r="C41" s="922" t="s">
        <v>1462</v>
      </c>
      <c r="D41" s="489" t="s">
        <v>1228</v>
      </c>
      <c r="E41" s="1193">
        <v>0</v>
      </c>
      <c r="F41" s="1193">
        <f t="shared" ca="1" si="5"/>
        <v>0</v>
      </c>
      <c r="G41" s="490" t="str">
        <f t="shared" si="3"/>
        <v/>
      </c>
      <c r="H41" s="488"/>
      <c r="I41" s="434"/>
      <c r="J41" s="434"/>
      <c r="K41" s="1884" t="s">
        <v>1228</v>
      </c>
      <c r="L41" s="1880">
        <v>0.58637315220922659</v>
      </c>
      <c r="M41" s="290">
        <v>0.483757850572612</v>
      </c>
      <c r="N41" s="290">
        <v>0.38114254893599742</v>
      </c>
      <c r="O41" s="290">
        <v>0.80325089343729683</v>
      </c>
      <c r="P41" s="290">
        <v>0.66268198708576986</v>
      </c>
      <c r="Q41" s="382">
        <v>0.52211308073424312</v>
      </c>
      <c r="R41" s="436"/>
      <c r="S41" s="436"/>
      <c r="T41" s="436"/>
      <c r="U41" s="434"/>
      <c r="V41" s="434"/>
      <c r="W41" s="2026">
        <f ca="1">IF('2.CropManagement'!Y$12&gt;0,IF(P$32&lt;&gt;0,IF(E41&lt;&gt;"",E41*OFFSET(K41,0,3*($L$32-1)+'2.CropManagement'!$Y$12)*$P$32,0),0),0)</f>
        <v>0</v>
      </c>
      <c r="X41" s="1837">
        <f t="shared" ca="1" si="4"/>
        <v>1</v>
      </c>
      <c r="Y41" s="434"/>
      <c r="Z41" s="293"/>
      <c r="AA41" s="293"/>
      <c r="AB41" s="292"/>
      <c r="AC41" s="292"/>
      <c r="AD41" s="292"/>
      <c r="AE41" s="292"/>
      <c r="AF41" s="292"/>
      <c r="AG41" s="292"/>
      <c r="AH41" s="292"/>
      <c r="AI41" s="292"/>
      <c r="AJ41" s="292"/>
      <c r="AK41" s="1616"/>
      <c r="AL41" s="1616"/>
      <c r="AM41" s="1616"/>
      <c r="AN41" s="292"/>
      <c r="AO41" s="292"/>
      <c r="AP41" s="292"/>
      <c r="AQ41" s="292"/>
      <c r="AR41" s="1616"/>
      <c r="AS41" s="1616"/>
      <c r="AT41" s="1616"/>
      <c r="AU41" s="1616"/>
      <c r="AV41" s="1616"/>
      <c r="AW41" s="1616"/>
      <c r="AX41" s="1616"/>
      <c r="AY41" s="1616"/>
      <c r="AZ41" s="1616"/>
      <c r="BA41" s="1616"/>
    </row>
    <row r="42" spans="1:53" ht="16.600000000000001" customHeight="1" x14ac:dyDescent="0.25">
      <c r="A42" s="434"/>
      <c r="B42" s="916"/>
      <c r="C42" s="922" t="s">
        <v>1462</v>
      </c>
      <c r="D42" s="489" t="s">
        <v>1739</v>
      </c>
      <c r="E42" s="1193">
        <v>0</v>
      </c>
      <c r="F42" s="1193">
        <f t="shared" ca="1" si="5"/>
        <v>0</v>
      </c>
      <c r="G42" s="490" t="str">
        <f t="shared" si="3"/>
        <v/>
      </c>
      <c r="H42" s="488"/>
      <c r="I42" s="434"/>
      <c r="J42" s="434"/>
      <c r="K42" s="1884" t="s">
        <v>1739</v>
      </c>
      <c r="L42" s="1880">
        <v>0.2712597465886939</v>
      </c>
      <c r="M42" s="290">
        <v>0.35073885233918123</v>
      </c>
      <c r="N42" s="290">
        <v>0.33527704678362569</v>
      </c>
      <c r="O42" s="290">
        <v>0.50164473684210531</v>
      </c>
      <c r="P42" s="290">
        <v>0.48046418128654966</v>
      </c>
      <c r="Q42" s="382">
        <v>0.45928362573099413</v>
      </c>
      <c r="R42" s="436"/>
      <c r="S42" s="436"/>
      <c r="T42" s="436"/>
      <c r="U42" s="434"/>
      <c r="V42" s="434"/>
      <c r="W42" s="2026">
        <f ca="1">IF('2.CropManagement'!Y$12&gt;0,IF(P$32&lt;&gt;0,IF(E42&lt;&gt;"",E42*OFFSET(K42,0,3*($L$32-1)+'2.CropManagement'!$Y$12)*$P$32,0),0),0)</f>
        <v>0</v>
      </c>
      <c r="X42" s="1837">
        <f t="shared" ca="1" si="4"/>
        <v>1</v>
      </c>
      <c r="Y42" s="434"/>
      <c r="Z42" s="293"/>
      <c r="AA42" s="293"/>
      <c r="AB42" s="292"/>
      <c r="AC42" s="292"/>
      <c r="AD42" s="292"/>
      <c r="AE42" s="292"/>
      <c r="AF42" s="292"/>
      <c r="AG42" s="292"/>
      <c r="AH42" s="292"/>
      <c r="AI42" s="292"/>
      <c r="AJ42" s="292"/>
      <c r="AK42" s="1616"/>
      <c r="AL42" s="1616"/>
      <c r="AM42" s="1616"/>
      <c r="AN42" s="292"/>
      <c r="AO42" s="292"/>
      <c r="AP42" s="292"/>
      <c r="AQ42" s="292"/>
      <c r="AR42" s="1616"/>
      <c r="AS42" s="1616"/>
      <c r="AT42" s="1616"/>
      <c r="AU42" s="1616"/>
      <c r="AV42" s="1616"/>
      <c r="AW42" s="1616"/>
      <c r="AX42" s="1616"/>
      <c r="AY42" s="1616"/>
      <c r="AZ42" s="1616"/>
      <c r="BA42" s="1616"/>
    </row>
    <row r="43" spans="1:53" ht="16.600000000000001" customHeight="1" x14ac:dyDescent="0.25">
      <c r="A43" s="434"/>
      <c r="B43" s="916"/>
      <c r="C43" s="922" t="s">
        <v>1462</v>
      </c>
      <c r="D43" s="489" t="s">
        <v>1740</v>
      </c>
      <c r="E43" s="1193">
        <v>1</v>
      </c>
      <c r="F43" s="1193">
        <f t="shared" ca="1" si="5"/>
        <v>4.2420684210526316</v>
      </c>
      <c r="G43" s="490" t="str">
        <f t="shared" ca="1" si="3"/>
        <v/>
      </c>
      <c r="H43" s="488"/>
      <c r="I43" s="434"/>
      <c r="J43" s="434"/>
      <c r="K43" s="1884" t="s">
        <v>1740</v>
      </c>
      <c r="L43" s="1880">
        <v>0.6510233918128655</v>
      </c>
      <c r="M43" s="290">
        <v>0.58917616959064323</v>
      </c>
      <c r="N43" s="290">
        <v>0.52732894736842095</v>
      </c>
      <c r="O43" s="290">
        <v>0.89181286549707617</v>
      </c>
      <c r="P43" s="290">
        <v>0.80709064327485369</v>
      </c>
      <c r="Q43" s="382">
        <v>0.72236842105263155</v>
      </c>
      <c r="R43" s="436"/>
      <c r="S43" s="436"/>
      <c r="T43" s="436"/>
      <c r="U43" s="434"/>
      <c r="V43" s="434"/>
      <c r="W43" s="2026">
        <f ca="1">IF('2.CropManagement'!Y$12&gt;0,IF(P$32&lt;&gt;0,IF(E43&lt;&gt;"",E43*OFFSET(K43,0,3*($L$32-1)+'2.CropManagement'!$Y$12)*$P$32,0),0),0)</f>
        <v>4.2420684210526316</v>
      </c>
      <c r="X43" s="1837">
        <f t="shared" ca="1" si="4"/>
        <v>1</v>
      </c>
      <c r="Y43" s="446"/>
      <c r="Z43" s="293"/>
      <c r="AA43" s="293"/>
      <c r="AB43" s="292"/>
      <c r="AC43" s="292"/>
      <c r="AD43" s="292"/>
      <c r="AE43" s="292"/>
      <c r="AF43" s="292"/>
      <c r="AG43" s="292"/>
      <c r="AH43" s="292"/>
      <c r="AI43" s="292"/>
      <c r="AJ43" s="292"/>
      <c r="AK43" s="1616"/>
      <c r="AL43" s="1616"/>
      <c r="AM43" s="1616"/>
      <c r="AN43" s="292"/>
      <c r="AO43" s="292"/>
      <c r="AP43" s="292"/>
      <c r="AQ43" s="292"/>
      <c r="AR43" s="1616"/>
      <c r="AS43" s="1616"/>
      <c r="AT43" s="1616"/>
      <c r="AU43" s="1616"/>
      <c r="AV43" s="1616"/>
      <c r="AW43" s="1616"/>
      <c r="AX43" s="1616"/>
      <c r="AY43" s="1616"/>
      <c r="AZ43" s="1616"/>
      <c r="BA43" s="1616"/>
    </row>
    <row r="44" spans="1:53" ht="16.600000000000001" customHeight="1" x14ac:dyDescent="0.25">
      <c r="A44" s="446"/>
      <c r="B44" s="916"/>
      <c r="C44" s="922" t="s">
        <v>1462</v>
      </c>
      <c r="D44" s="489" t="s">
        <v>1741</v>
      </c>
      <c r="E44" s="1193">
        <f>IF(ISBLANK(Import!D137), "", Import!D137)</f>
        <v>0</v>
      </c>
      <c r="F44" s="1193">
        <f t="shared" ca="1" si="5"/>
        <v>0</v>
      </c>
      <c r="G44" s="490" t="str">
        <f t="shared" si="3"/>
        <v/>
      </c>
      <c r="H44" s="488"/>
      <c r="I44" s="446"/>
      <c r="J44" s="446"/>
      <c r="K44" s="1884" t="s">
        <v>1741</v>
      </c>
      <c r="L44" s="1880">
        <v>4.0688961988304095</v>
      </c>
      <c r="M44" s="290">
        <v>4.0688961988304095</v>
      </c>
      <c r="N44" s="290">
        <v>4.0688961988304095</v>
      </c>
      <c r="O44" s="290">
        <v>5.5738304093567255</v>
      </c>
      <c r="P44" s="290">
        <v>5.5738304093567255</v>
      </c>
      <c r="Q44" s="382">
        <v>5.5738304093567255</v>
      </c>
      <c r="R44" s="436"/>
      <c r="S44" s="436"/>
      <c r="T44" s="436"/>
      <c r="U44" s="434"/>
      <c r="V44" s="434"/>
      <c r="W44" s="2026">
        <f ca="1">IF('2.CropManagement'!Y$12&gt;0,IF(P$32&lt;&gt;0,IF(E44&lt;&gt;"",E44*OFFSET(K44,0,3*($L$32-1)+'2.CropManagement'!$Y$12)*$P$32,0),0),0)</f>
        <v>0</v>
      </c>
      <c r="X44" s="1837">
        <f t="shared" ca="1" si="4"/>
        <v>1</v>
      </c>
      <c r="Y44" s="446"/>
      <c r="Z44" s="447"/>
      <c r="AA44" s="447"/>
      <c r="AB44" s="292"/>
      <c r="AC44" s="292"/>
      <c r="AD44" s="292"/>
      <c r="AE44" s="292"/>
      <c r="AF44" s="292"/>
      <c r="AG44" s="292"/>
      <c r="AH44" s="292"/>
      <c r="AI44" s="292"/>
      <c r="AJ44" s="292"/>
      <c r="AK44" s="1616"/>
      <c r="AL44" s="1616"/>
      <c r="AM44" s="1616"/>
      <c r="AN44" s="292"/>
      <c r="AO44" s="292"/>
      <c r="AP44" s="292"/>
      <c r="AQ44" s="292"/>
      <c r="AR44" s="1616"/>
      <c r="AS44" s="1616"/>
      <c r="AT44" s="1616"/>
      <c r="AU44" s="1616"/>
      <c r="AV44" s="1616"/>
      <c r="AW44" s="1616"/>
      <c r="AX44" s="1616"/>
      <c r="AY44" s="1616"/>
      <c r="AZ44" s="1616"/>
      <c r="BA44" s="1616"/>
    </row>
    <row r="45" spans="1:53" ht="16.600000000000001" customHeight="1" x14ac:dyDescent="0.25">
      <c r="A45" s="446"/>
      <c r="B45" s="916"/>
      <c r="C45" s="922" t="s">
        <v>1462</v>
      </c>
      <c r="D45" s="489" t="s">
        <v>1229</v>
      </c>
      <c r="E45" s="1193">
        <f>IF(ISBLANK(Import!D138), "", Import!D138)</f>
        <v>0</v>
      </c>
      <c r="F45" s="1193">
        <f t="shared" ca="1" si="5"/>
        <v>0</v>
      </c>
      <c r="G45" s="490" t="str">
        <f t="shared" si="3"/>
        <v/>
      </c>
      <c r="H45" s="488"/>
      <c r="I45" s="446"/>
      <c r="J45" s="446"/>
      <c r="K45" s="1884" t="s">
        <v>1229</v>
      </c>
      <c r="L45" s="1880">
        <v>7.2335932423651714</v>
      </c>
      <c r="M45" s="290">
        <v>7.2335932423651714</v>
      </c>
      <c r="N45" s="290">
        <v>7.2335932423651714</v>
      </c>
      <c r="O45" s="290">
        <v>9.9090318388564</v>
      </c>
      <c r="P45" s="290">
        <v>9.9090318388564</v>
      </c>
      <c r="Q45" s="382">
        <v>9.9090318388564</v>
      </c>
      <c r="R45" s="436"/>
      <c r="S45" s="436"/>
      <c r="T45" s="436"/>
      <c r="U45" s="434"/>
      <c r="V45" s="434"/>
      <c r="W45" s="2026">
        <f ca="1">IF('2.CropManagement'!Y$12&gt;0,IF(P$32&lt;&gt;0,IF(E45&lt;&gt;"",E45*OFFSET(K45,0,3*($L$32-1)+'2.CropManagement'!$Y$12)*$P$32,0),0),0)</f>
        <v>0</v>
      </c>
      <c r="X45" s="1837">
        <f t="shared" ca="1" si="4"/>
        <v>1</v>
      </c>
      <c r="Y45" s="434"/>
      <c r="Z45" s="447"/>
      <c r="AA45" s="447"/>
      <c r="AB45" s="292"/>
      <c r="AC45" s="292"/>
      <c r="AD45" s="292"/>
      <c r="AE45" s="292"/>
      <c r="AF45" s="292"/>
      <c r="AG45" s="292"/>
      <c r="AH45" s="292"/>
      <c r="AI45" s="292"/>
      <c r="AJ45" s="292"/>
      <c r="AK45" s="1616"/>
      <c r="AL45" s="1616"/>
      <c r="AM45" s="1616"/>
      <c r="AN45" s="292"/>
      <c r="AO45" s="292"/>
      <c r="AP45" s="292"/>
      <c r="AQ45" s="292"/>
      <c r="AR45" s="1616"/>
      <c r="AS45" s="1616"/>
      <c r="AT45" s="1616"/>
      <c r="AU45" s="1616"/>
      <c r="AV45" s="1616"/>
      <c r="AW45" s="1616"/>
      <c r="AX45" s="1616"/>
      <c r="AY45" s="1616"/>
      <c r="AZ45" s="1616"/>
      <c r="BA45" s="1616"/>
    </row>
    <row r="46" spans="1:53" ht="16.600000000000001" customHeight="1" x14ac:dyDescent="0.25">
      <c r="A46" s="434"/>
      <c r="B46" s="916"/>
      <c r="C46" s="922" t="s">
        <v>1462</v>
      </c>
      <c r="D46" s="489" t="s">
        <v>1289</v>
      </c>
      <c r="E46" s="1193">
        <v>0</v>
      </c>
      <c r="F46" s="1193">
        <f t="shared" ca="1" si="5"/>
        <v>0</v>
      </c>
      <c r="G46" s="490" t="str">
        <f t="shared" si="3"/>
        <v/>
      </c>
      <c r="H46" s="488"/>
      <c r="I46" s="434"/>
      <c r="J46" s="434"/>
      <c r="K46" s="1884" t="s">
        <v>1289</v>
      </c>
      <c r="L46" s="1880">
        <v>20.387430454028589</v>
      </c>
      <c r="M46" s="290">
        <v>14.780887079170725</v>
      </c>
      <c r="N46" s="290">
        <v>9.1743437043128626</v>
      </c>
      <c r="O46" s="290">
        <v>27.927986923326834</v>
      </c>
      <c r="P46" s="290">
        <v>20.247790519411954</v>
      </c>
      <c r="Q46" s="382">
        <v>12.567594115497071</v>
      </c>
      <c r="R46" s="436"/>
      <c r="S46" s="436"/>
      <c r="T46" s="436"/>
      <c r="U46" s="434"/>
      <c r="V46" s="434"/>
      <c r="W46" s="2026">
        <f ca="1">IF('2.CropManagement'!Y$12&gt;0,IF(P$32&lt;&gt;0,IF(E46&lt;&gt;"",E46*OFFSET(K46,0,3*($L$32-1)+'2.CropManagement'!$Y$12)*$P$32,0),0),0)</f>
        <v>0</v>
      </c>
      <c r="X46" s="1837">
        <f t="shared" ca="1" si="4"/>
        <v>1</v>
      </c>
      <c r="Y46" s="434"/>
      <c r="Z46" s="293"/>
      <c r="AA46" s="293"/>
      <c r="AB46" s="292"/>
      <c r="AC46" s="292"/>
      <c r="AD46" s="292"/>
      <c r="AE46" s="292"/>
      <c r="AF46" s="292"/>
      <c r="AG46" s="292"/>
      <c r="AH46" s="292"/>
      <c r="AI46" s="292"/>
      <c r="AJ46" s="292"/>
      <c r="AK46" s="1616"/>
      <c r="AL46" s="1616"/>
      <c r="AM46" s="1616"/>
      <c r="AN46" s="292"/>
      <c r="AO46" s="292"/>
      <c r="AP46" s="292"/>
      <c r="AQ46" s="292"/>
      <c r="AR46" s="1616"/>
      <c r="AS46" s="1616"/>
      <c r="AT46" s="1616"/>
      <c r="AU46" s="1616"/>
      <c r="AV46" s="1616"/>
      <c r="AW46" s="1616"/>
      <c r="AX46" s="1616"/>
      <c r="AY46" s="1616"/>
      <c r="AZ46" s="1616"/>
      <c r="BA46" s="1616"/>
    </row>
    <row r="47" spans="1:53" ht="16.600000000000001" customHeight="1" x14ac:dyDescent="0.25">
      <c r="A47" s="434"/>
      <c r="B47" s="916"/>
      <c r="C47" s="922" t="s">
        <v>1462</v>
      </c>
      <c r="D47" s="489" t="s">
        <v>1965</v>
      </c>
      <c r="E47" s="1193">
        <v>0</v>
      </c>
      <c r="F47" s="1193">
        <f t="shared" ca="1" si="5"/>
        <v>0</v>
      </c>
      <c r="G47" s="490" t="str">
        <f t="shared" si="3"/>
        <v/>
      </c>
      <c r="H47" s="488"/>
      <c r="I47" s="434"/>
      <c r="J47" s="434"/>
      <c r="K47" s="1884" t="s">
        <v>1965</v>
      </c>
      <c r="L47" s="1880">
        <v>3.345536874593892</v>
      </c>
      <c r="M47" s="290">
        <v>3.345536874593892</v>
      </c>
      <c r="N47" s="290">
        <v>3.345536874593892</v>
      </c>
      <c r="O47" s="290">
        <v>4.5829272254710851</v>
      </c>
      <c r="P47" s="290">
        <v>4.5829272254710851</v>
      </c>
      <c r="Q47" s="382">
        <v>4.5829272254710851</v>
      </c>
      <c r="R47" s="436"/>
      <c r="S47" s="436"/>
      <c r="T47" s="436"/>
      <c r="U47" s="434"/>
      <c r="V47" s="434"/>
      <c r="W47" s="2026">
        <f ca="1">IF('2.CropManagement'!Y$12&gt;0,IF(P$32&lt;&gt;0,IF(E47&lt;&gt;"",E47*OFFSET(K47,0,3*($L$32-1)+'2.CropManagement'!$Y$12)*$P$32,0),0),0)</f>
        <v>0</v>
      </c>
      <c r="X47" s="1837">
        <f t="shared" ca="1" si="4"/>
        <v>1</v>
      </c>
      <c r="Y47" s="434"/>
      <c r="Z47" s="293"/>
      <c r="AA47" s="293"/>
      <c r="AB47" s="292"/>
      <c r="AC47" s="292"/>
      <c r="AD47" s="292"/>
      <c r="AE47" s="292"/>
      <c r="AF47" s="292"/>
      <c r="AG47" s="292"/>
      <c r="AH47" s="292"/>
      <c r="AI47" s="292"/>
      <c r="AJ47" s="292"/>
      <c r="AK47" s="1616"/>
      <c r="AL47" s="1616"/>
      <c r="AM47" s="1616"/>
      <c r="AN47" s="292"/>
      <c r="AO47" s="292"/>
      <c r="AP47" s="292"/>
      <c r="AQ47" s="292"/>
      <c r="AR47" s="1616"/>
      <c r="AS47" s="1616"/>
      <c r="AT47" s="1616"/>
      <c r="AU47" s="1616"/>
      <c r="AV47" s="1616"/>
      <c r="AW47" s="1616"/>
      <c r="AX47" s="1616"/>
      <c r="AY47" s="1616"/>
      <c r="AZ47" s="1616"/>
      <c r="BA47" s="1616"/>
    </row>
    <row r="48" spans="1:53" ht="16.600000000000001" customHeight="1" x14ac:dyDescent="0.25">
      <c r="A48" s="434"/>
      <c r="B48" s="916"/>
      <c r="C48" s="922" t="s">
        <v>1462</v>
      </c>
      <c r="D48" s="489" t="s">
        <v>1966</v>
      </c>
      <c r="E48" s="1193">
        <f>IF(ISBLANK(Import!D141), "", Import!D141)</f>
        <v>0</v>
      </c>
      <c r="F48" s="1193">
        <f t="shared" ca="1" si="5"/>
        <v>0</v>
      </c>
      <c r="G48" s="490" t="str">
        <f t="shared" si="3"/>
        <v/>
      </c>
      <c r="H48" s="488"/>
      <c r="I48" s="434"/>
      <c r="J48" s="434"/>
      <c r="K48" s="1884" t="s">
        <v>1966</v>
      </c>
      <c r="L48" s="1880">
        <v>2.0046095272904481</v>
      </c>
      <c r="M48" s="290">
        <v>1.6538028600146195</v>
      </c>
      <c r="N48" s="290">
        <v>1.3029961927387912</v>
      </c>
      <c r="O48" s="290">
        <v>2.7460404483430798</v>
      </c>
      <c r="P48" s="290">
        <v>2.2654833698830408</v>
      </c>
      <c r="Q48" s="382">
        <v>1.7849262914230017</v>
      </c>
      <c r="R48" s="436"/>
      <c r="S48" s="436"/>
      <c r="T48" s="436"/>
      <c r="U48" s="434"/>
      <c r="V48" s="434"/>
      <c r="W48" s="2026">
        <f ca="1">IF('2.CropManagement'!Y$12&gt;0,IF(P$32&lt;&gt;0,IF(E48&lt;&gt;"",E48*OFFSET(K48,0,3*($L$32-1)+'2.CropManagement'!$Y$12)*$P$32,0),0),0)</f>
        <v>0</v>
      </c>
      <c r="X48" s="1837">
        <f t="shared" ca="1" si="4"/>
        <v>1</v>
      </c>
      <c r="Y48" s="434"/>
      <c r="Z48" s="293"/>
      <c r="AA48" s="293"/>
      <c r="AB48" s="292"/>
      <c r="AC48" s="292"/>
      <c r="AD48" s="292"/>
      <c r="AE48" s="292"/>
      <c r="AF48" s="292"/>
      <c r="AG48" s="292"/>
      <c r="AH48" s="292"/>
      <c r="AI48" s="292"/>
      <c r="AJ48" s="292"/>
      <c r="AK48" s="1616"/>
      <c r="AL48" s="1616"/>
      <c r="AM48" s="1616"/>
      <c r="AN48" s="292"/>
      <c r="AO48" s="292"/>
      <c r="AP48" s="292"/>
      <c r="AQ48" s="292"/>
      <c r="AR48" s="1616"/>
      <c r="AS48" s="1616"/>
      <c r="AT48" s="1616"/>
      <c r="AU48" s="1616"/>
      <c r="AV48" s="1616"/>
      <c r="AW48" s="1616"/>
      <c r="AX48" s="1616"/>
      <c r="AY48" s="1616"/>
      <c r="AZ48" s="1616"/>
      <c r="BA48" s="1616"/>
    </row>
    <row r="49" spans="1:53" ht="16.600000000000001" customHeight="1" x14ac:dyDescent="0.25">
      <c r="A49" s="434"/>
      <c r="B49" s="916"/>
      <c r="C49" s="922" t="s">
        <v>1462</v>
      </c>
      <c r="D49" s="489" t="s">
        <v>1967</v>
      </c>
      <c r="E49" s="1193">
        <v>0</v>
      </c>
      <c r="F49" s="1193">
        <f t="shared" ca="1" si="5"/>
        <v>0</v>
      </c>
      <c r="G49" s="490" t="str">
        <f t="shared" si="3"/>
        <v/>
      </c>
      <c r="H49" s="488"/>
      <c r="I49" s="434"/>
      <c r="J49" s="434"/>
      <c r="K49" s="1884" t="s">
        <v>1967</v>
      </c>
      <c r="L49" s="1880">
        <v>2.3509178037686809</v>
      </c>
      <c r="M49" s="290">
        <v>2.3509178037686809</v>
      </c>
      <c r="N49" s="290">
        <v>2.3509178037686809</v>
      </c>
      <c r="O49" s="290">
        <v>3.2204353476283303</v>
      </c>
      <c r="P49" s="290">
        <v>3.2204353476283303</v>
      </c>
      <c r="Q49" s="382">
        <v>3.2204353476283303</v>
      </c>
      <c r="R49" s="436"/>
      <c r="S49" s="436"/>
      <c r="T49" s="436"/>
      <c r="U49" s="434"/>
      <c r="V49" s="434"/>
      <c r="W49" s="2026">
        <f ca="1">IF('2.CropManagement'!Y$12&gt;0,IF(P$32&lt;&gt;0,IF(E49&lt;&gt;"",E49*OFFSET(K49,0,3*($L$32-1)+'2.CropManagement'!$Y$12)*$P$32,0),0),0)</f>
        <v>0</v>
      </c>
      <c r="X49" s="1837">
        <f t="shared" ca="1" si="4"/>
        <v>1</v>
      </c>
      <c r="Y49" s="434"/>
      <c r="Z49" s="293"/>
      <c r="AA49" s="293"/>
      <c r="AB49" s="292"/>
      <c r="AC49" s="292"/>
      <c r="AD49" s="292"/>
      <c r="AE49" s="292"/>
      <c r="AF49" s="292"/>
      <c r="AG49" s="292"/>
      <c r="AH49" s="292"/>
      <c r="AI49" s="292"/>
      <c r="AJ49" s="292"/>
      <c r="AK49" s="1616"/>
      <c r="AL49" s="1616"/>
      <c r="AM49" s="1616"/>
      <c r="AN49" s="292"/>
      <c r="AO49" s="292"/>
      <c r="AP49" s="292"/>
      <c r="AQ49" s="292"/>
      <c r="AR49" s="1616"/>
      <c r="AS49" s="1616"/>
      <c r="AT49" s="1616"/>
      <c r="AU49" s="1616"/>
      <c r="AV49" s="1616"/>
      <c r="AW49" s="1616"/>
      <c r="AX49" s="1616"/>
      <c r="AY49" s="1616"/>
      <c r="AZ49" s="1616"/>
      <c r="BA49" s="1616"/>
    </row>
    <row r="50" spans="1:53" ht="16.600000000000001" customHeight="1" x14ac:dyDescent="0.25">
      <c r="A50" s="434"/>
      <c r="B50" s="916"/>
      <c r="C50" s="922" t="s">
        <v>1462</v>
      </c>
      <c r="D50" s="489" t="s">
        <v>1616</v>
      </c>
      <c r="E50" s="1193">
        <v>2</v>
      </c>
      <c r="F50" s="1193">
        <f t="shared" ca="1" si="5"/>
        <v>7.8122807017543847</v>
      </c>
      <c r="G50" s="490" t="str">
        <f t="shared" ca="1" si="3"/>
        <v/>
      </c>
      <c r="H50" s="488"/>
      <c r="I50" s="434"/>
      <c r="J50" s="434"/>
      <c r="K50" s="1884" t="s">
        <v>1616</v>
      </c>
      <c r="L50" s="1880">
        <v>0.54251949317738779</v>
      </c>
      <c r="M50" s="290">
        <v>0.54251949317738779</v>
      </c>
      <c r="N50" s="290">
        <v>0.54251949317738779</v>
      </c>
      <c r="O50" s="290">
        <v>0.74317738791422983</v>
      </c>
      <c r="P50" s="290">
        <v>0.74317738791422983</v>
      </c>
      <c r="Q50" s="382">
        <v>0.74317738791422983</v>
      </c>
      <c r="R50" s="436"/>
      <c r="S50" s="436"/>
      <c r="T50" s="436"/>
      <c r="U50" s="434"/>
      <c r="V50" s="434"/>
      <c r="W50" s="2026">
        <f ca="1">IF('2.CropManagement'!Y$12&gt;0,IF(P$32&lt;&gt;0,IF(E50&lt;&gt;"",E50*OFFSET(K50,0,3*($L$32-1)+'2.CropManagement'!$Y$12)*$P$32,0),0),0)</f>
        <v>7.8122807017543847</v>
      </c>
      <c r="X50" s="1837">
        <f t="shared" ca="1" si="4"/>
        <v>1</v>
      </c>
      <c r="Y50" s="434"/>
      <c r="Z50" s="293"/>
      <c r="AA50" s="293"/>
      <c r="AB50" s="292"/>
      <c r="AC50" s="292"/>
      <c r="AD50" s="292"/>
      <c r="AE50" s="292"/>
      <c r="AF50" s="292"/>
      <c r="AG50" s="292"/>
      <c r="AH50" s="292"/>
      <c r="AI50" s="292"/>
      <c r="AJ50" s="292"/>
      <c r="AK50" s="1616"/>
      <c r="AL50" s="1616"/>
      <c r="AM50" s="1616"/>
      <c r="AN50" s="292"/>
      <c r="AO50" s="292"/>
      <c r="AP50" s="292"/>
      <c r="AQ50" s="292"/>
      <c r="AR50" s="1616"/>
      <c r="AS50" s="1616"/>
      <c r="AT50" s="1616"/>
      <c r="AU50" s="1616"/>
      <c r="AV50" s="1616"/>
      <c r="AW50" s="1616"/>
      <c r="AX50" s="1616"/>
      <c r="AY50" s="1616"/>
      <c r="AZ50" s="1616"/>
      <c r="BA50" s="1616"/>
    </row>
    <row r="51" spans="1:53" ht="16.600000000000001" customHeight="1" x14ac:dyDescent="0.25">
      <c r="A51" s="434"/>
      <c r="B51" s="916"/>
      <c r="C51" s="922" t="s">
        <v>1462</v>
      </c>
      <c r="D51" s="489" t="s">
        <v>1230</v>
      </c>
      <c r="E51" s="1193" t="s">
        <v>2104</v>
      </c>
      <c r="F51" s="1193">
        <f t="shared" ca="1" si="5"/>
        <v>0</v>
      </c>
      <c r="G51" s="490" t="str">
        <f t="shared" ca="1" si="3"/>
        <v>This will not work unless crop area(GeneralInfo), harvested product(GeneralInfo), and soil texture(CropManagement) are completed</v>
      </c>
      <c r="H51" s="488"/>
      <c r="I51" s="434"/>
      <c r="J51" s="434"/>
      <c r="K51" s="1884" t="s">
        <v>1230</v>
      </c>
      <c r="L51" s="1880">
        <v>0.54251949317738779</v>
      </c>
      <c r="M51" s="290">
        <v>0.54251949317738779</v>
      </c>
      <c r="N51" s="290">
        <v>0.54251949317738779</v>
      </c>
      <c r="O51" s="290">
        <v>0.74317738791422983</v>
      </c>
      <c r="P51" s="290">
        <v>0.74317738791422983</v>
      </c>
      <c r="Q51" s="382">
        <v>0.74317738791422983</v>
      </c>
      <c r="R51" s="436"/>
      <c r="S51" s="436"/>
      <c r="T51" s="436"/>
      <c r="U51" s="434"/>
      <c r="V51" s="434"/>
      <c r="W51" s="2026">
        <f ca="1">IF('2.CropManagement'!Y$12&gt;0,IF(P$32&lt;&gt;0,IF(E51&lt;&gt;"",E51*OFFSET(K51,0,3*($L$32-1)+'2.CropManagement'!$Y$12)*$P$32,0),0),0)</f>
        <v>0</v>
      </c>
      <c r="X51" s="1837">
        <f t="shared" ca="1" si="4"/>
        <v>1</v>
      </c>
      <c r="Y51" s="434"/>
      <c r="Z51" s="293"/>
      <c r="AA51" s="293"/>
      <c r="AB51" s="292"/>
      <c r="AC51" s="292"/>
      <c r="AD51" s="292"/>
      <c r="AE51" s="292"/>
      <c r="AF51" s="292"/>
      <c r="AG51" s="292"/>
      <c r="AH51" s="292"/>
      <c r="AI51" s="292"/>
      <c r="AJ51" s="292"/>
      <c r="AK51" s="1616"/>
      <c r="AL51" s="1616"/>
      <c r="AM51" s="1616"/>
      <c r="AN51" s="292"/>
      <c r="AO51" s="292"/>
      <c r="AP51" s="292"/>
      <c r="AQ51" s="292"/>
      <c r="AR51" s="1616"/>
      <c r="AS51" s="1616"/>
      <c r="AT51" s="1616"/>
      <c r="AU51" s="1616"/>
      <c r="AV51" s="1616"/>
      <c r="AW51" s="1616"/>
      <c r="AX51" s="1616"/>
      <c r="AY51" s="1616"/>
      <c r="AZ51" s="1616"/>
      <c r="BA51" s="1616"/>
    </row>
    <row r="52" spans="1:53" ht="16.600000000000001" customHeight="1" x14ac:dyDescent="0.25">
      <c r="A52" s="434"/>
      <c r="B52" s="916"/>
      <c r="C52" s="922" t="s">
        <v>1462</v>
      </c>
      <c r="D52" s="489" t="s">
        <v>29</v>
      </c>
      <c r="E52" s="1193">
        <f>IF(ISBLANK(Import!D145), "", Import!D145)</f>
        <v>0</v>
      </c>
      <c r="F52" s="1193">
        <f t="shared" ca="1" si="5"/>
        <v>0</v>
      </c>
      <c r="G52" s="490" t="str">
        <f t="shared" si="3"/>
        <v/>
      </c>
      <c r="H52" s="488"/>
      <c r="I52" s="434"/>
      <c r="J52" s="434"/>
      <c r="K52" s="1884" t="s">
        <v>29</v>
      </c>
      <c r="L52" s="1880">
        <v>3.5245683073424305</v>
      </c>
      <c r="M52" s="290">
        <v>2.907768853557505</v>
      </c>
      <c r="N52" s="290">
        <v>2.2909693997725795</v>
      </c>
      <c r="O52" s="290">
        <v>4.8281757634827818</v>
      </c>
      <c r="P52" s="290">
        <v>3.9832450048732944</v>
      </c>
      <c r="Q52" s="382">
        <v>3.138314246263807</v>
      </c>
      <c r="R52" s="436"/>
      <c r="S52" s="436"/>
      <c r="T52" s="436"/>
      <c r="U52" s="434"/>
      <c r="V52" s="434"/>
      <c r="W52" s="2026">
        <f ca="1">IF('2.CropManagement'!Y$12&gt;0,IF(P$32&lt;&gt;0,IF(E52&lt;&gt;"",E52*OFFSET(K52,0,3*($L$32-1)+'2.CropManagement'!$Y$12)*$P$32,0),0),0)</f>
        <v>0</v>
      </c>
      <c r="X52" s="1837">
        <f t="shared" ca="1" si="4"/>
        <v>1</v>
      </c>
      <c r="Y52" s="434"/>
      <c r="Z52" s="293"/>
      <c r="AA52" s="293"/>
      <c r="AB52" s="292"/>
      <c r="AC52" s="292"/>
      <c r="AD52" s="292"/>
      <c r="AE52" s="292"/>
      <c r="AF52" s="292"/>
      <c r="AG52" s="292"/>
      <c r="AH52" s="292"/>
      <c r="AI52" s="292"/>
      <c r="AJ52" s="292"/>
      <c r="AK52" s="1616"/>
      <c r="AL52" s="1616"/>
      <c r="AM52" s="1616"/>
      <c r="AN52" s="292"/>
      <c r="AO52" s="292"/>
      <c r="AP52" s="292"/>
      <c r="AQ52" s="292"/>
      <c r="AR52" s="1616"/>
      <c r="AS52" s="1616"/>
      <c r="AT52" s="1616"/>
      <c r="AU52" s="1616"/>
      <c r="AV52" s="1616"/>
      <c r="AW52" s="1616"/>
      <c r="AX52" s="1616"/>
      <c r="AY52" s="1616"/>
      <c r="AZ52" s="1616"/>
      <c r="BA52" s="1616"/>
    </row>
    <row r="53" spans="1:53" ht="16.600000000000001" customHeight="1" x14ac:dyDescent="0.25">
      <c r="A53" s="434"/>
      <c r="B53" s="916"/>
      <c r="C53" s="922" t="s">
        <v>1462</v>
      </c>
      <c r="D53" s="489" t="s">
        <v>30</v>
      </c>
      <c r="E53" s="1193">
        <f>IF(ISBLANK(Import!D146), "", Import!D146)</f>
        <v>0</v>
      </c>
      <c r="F53" s="1193">
        <f t="shared" ca="1" si="5"/>
        <v>0</v>
      </c>
      <c r="G53" s="490" t="str">
        <f t="shared" si="3"/>
        <v/>
      </c>
      <c r="H53" s="488"/>
      <c r="I53" s="434"/>
      <c r="J53" s="434"/>
      <c r="K53" s="1884" t="s">
        <v>30</v>
      </c>
      <c r="L53" s="1880">
        <v>1.4774614197530862</v>
      </c>
      <c r="M53" s="290">
        <v>1.4243306773879141</v>
      </c>
      <c r="N53" s="290">
        <v>1.371199935022742</v>
      </c>
      <c r="O53" s="290">
        <v>2.0239197530864197</v>
      </c>
      <c r="P53" s="290">
        <v>1.9511379142300194</v>
      </c>
      <c r="Q53" s="382">
        <v>1.878356075373619</v>
      </c>
      <c r="R53" s="436"/>
      <c r="S53" s="436"/>
      <c r="T53" s="436"/>
      <c r="U53" s="434"/>
      <c r="V53" s="434"/>
      <c r="W53" s="2026">
        <f ca="1">IF('2.CropManagement'!Y$12&gt;0,IF(P$32&lt;&gt;0,IF(E53&lt;&gt;"",E53*OFFSET(K53,0,3*($L$32-1)+'2.CropManagement'!$Y$12)*$P$32,0),0),0)</f>
        <v>0</v>
      </c>
      <c r="X53" s="1837">
        <f t="shared" ca="1" si="4"/>
        <v>1</v>
      </c>
      <c r="Y53" s="434"/>
      <c r="Z53" s="293"/>
      <c r="AA53" s="293"/>
      <c r="AB53" s="292"/>
      <c r="AC53" s="292"/>
      <c r="AD53" s="292"/>
      <c r="AE53" s="292"/>
      <c r="AF53" s="292"/>
      <c r="AG53" s="292"/>
      <c r="AH53" s="292"/>
      <c r="AI53" s="292"/>
      <c r="AJ53" s="292"/>
      <c r="AK53" s="1616"/>
      <c r="AL53" s="1616"/>
      <c r="AM53" s="1616"/>
      <c r="AN53" s="292"/>
      <c r="AO53" s="292"/>
      <c r="AP53" s="292"/>
      <c r="AQ53" s="292"/>
      <c r="AR53" s="1616"/>
      <c r="AS53" s="1616"/>
      <c r="AT53" s="1616"/>
      <c r="AU53" s="1616"/>
      <c r="AV53" s="1616"/>
      <c r="AW53" s="1616"/>
      <c r="AX53" s="1616"/>
      <c r="AY53" s="1616"/>
      <c r="AZ53" s="1616"/>
      <c r="BA53" s="1616"/>
    </row>
    <row r="54" spans="1:53" ht="16.600000000000001" customHeight="1" x14ac:dyDescent="0.25">
      <c r="A54" s="434"/>
      <c r="B54" s="916"/>
      <c r="C54" s="922" t="s">
        <v>1462</v>
      </c>
      <c r="D54" s="489" t="s">
        <v>31</v>
      </c>
      <c r="E54" s="1193">
        <v>0</v>
      </c>
      <c r="F54" s="1193">
        <f t="shared" ca="1" si="5"/>
        <v>0</v>
      </c>
      <c r="G54" s="490" t="str">
        <f t="shared" si="3"/>
        <v/>
      </c>
      <c r="H54" s="488"/>
      <c r="I54" s="434"/>
      <c r="J54" s="434"/>
      <c r="K54" s="1884" t="s">
        <v>31</v>
      </c>
      <c r="L54" s="1880">
        <v>13.125354938271602</v>
      </c>
      <c r="M54" s="290">
        <v>9.5158823302469102</v>
      </c>
      <c r="N54" s="290">
        <v>5.9064097222222198</v>
      </c>
      <c r="O54" s="290">
        <v>17.979938271604937</v>
      </c>
      <c r="P54" s="290">
        <v>13.03545524691358</v>
      </c>
      <c r="Q54" s="382">
        <v>8.09097222222222</v>
      </c>
      <c r="R54" s="436"/>
      <c r="S54" s="436"/>
      <c r="T54" s="436"/>
      <c r="U54" s="434"/>
      <c r="V54" s="434"/>
      <c r="W54" s="2026">
        <f ca="1">IF('2.CropManagement'!Y$12&gt;0,IF(P$32&lt;&gt;0,IF(E54&lt;&gt;"",E54*OFFSET(K54,0,3*($L$32-1)+'2.CropManagement'!$Y$12)*$P$32,0),0),0)</f>
        <v>0</v>
      </c>
      <c r="X54" s="1837">
        <f t="shared" ca="1" si="4"/>
        <v>1</v>
      </c>
      <c r="Y54" s="434"/>
      <c r="Z54" s="293"/>
      <c r="AA54" s="293"/>
      <c r="AB54" s="292"/>
      <c r="AC54" s="292"/>
      <c r="AD54" s="292"/>
      <c r="AE54" s="292"/>
      <c r="AF54" s="292"/>
      <c r="AG54" s="292"/>
      <c r="AH54" s="292"/>
      <c r="AI54" s="292"/>
      <c r="AJ54" s="292"/>
      <c r="AK54" s="1616"/>
      <c r="AL54" s="1616"/>
      <c r="AM54" s="1616"/>
      <c r="AN54" s="292"/>
      <c r="AO54" s="292"/>
      <c r="AP54" s="292"/>
      <c r="AQ54" s="292"/>
      <c r="AR54" s="1616"/>
      <c r="AS54" s="1616"/>
      <c r="AT54" s="1616"/>
      <c r="AU54" s="1616"/>
      <c r="AV54" s="1616"/>
      <c r="AW54" s="1616"/>
      <c r="AX54" s="1616"/>
      <c r="AY54" s="1616"/>
      <c r="AZ54" s="1616"/>
      <c r="BA54" s="1616"/>
    </row>
    <row r="55" spans="1:53" ht="16.600000000000001" customHeight="1" x14ac:dyDescent="0.25">
      <c r="A55" s="434"/>
      <c r="B55" s="916"/>
      <c r="C55" s="922" t="s">
        <v>1462</v>
      </c>
      <c r="D55" s="489" t="s">
        <v>1810</v>
      </c>
      <c r="E55" s="1193">
        <f>IF(ISBLANK(Import!D148), "", Import!D148)</f>
        <v>0</v>
      </c>
      <c r="F55" s="1193">
        <f t="shared" ca="1" si="5"/>
        <v>0</v>
      </c>
      <c r="G55" s="490" t="str">
        <f t="shared" si="3"/>
        <v/>
      </c>
      <c r="H55" s="488"/>
      <c r="I55" s="434"/>
      <c r="J55" s="434"/>
      <c r="K55" s="1884" t="s">
        <v>1810</v>
      </c>
      <c r="L55" s="1880">
        <v>12.49693652534113</v>
      </c>
      <c r="M55" s="290">
        <v>10.309972633406431</v>
      </c>
      <c r="N55" s="290">
        <v>8.1230087414717325</v>
      </c>
      <c r="O55" s="290">
        <v>17.119091130604289</v>
      </c>
      <c r="P55" s="290">
        <v>14.123250182748537</v>
      </c>
      <c r="Q55" s="382">
        <v>11.127409234892786</v>
      </c>
      <c r="R55" s="436"/>
      <c r="S55" s="436"/>
      <c r="T55" s="436"/>
      <c r="U55" s="434"/>
      <c r="V55" s="434"/>
      <c r="W55" s="2026">
        <f ca="1">IF('2.CropManagement'!Y$12&gt;0,IF(P$32&lt;&gt;0,IF(E55&lt;&gt;"",E55*OFFSET(K55,0,3*($L$32-1)+'2.CropManagement'!$Y$12)*$P$32,0),0),0)</f>
        <v>0</v>
      </c>
      <c r="X55" s="1837">
        <f t="shared" ca="1" si="4"/>
        <v>1</v>
      </c>
      <c r="Y55" s="434"/>
      <c r="Z55" s="293"/>
      <c r="AA55" s="293"/>
      <c r="AB55" s="292"/>
      <c r="AC55" s="292"/>
      <c r="AD55" s="292"/>
      <c r="AE55" s="292"/>
      <c r="AF55" s="292"/>
      <c r="AG55" s="292"/>
      <c r="AH55" s="292"/>
      <c r="AI55" s="292"/>
      <c r="AJ55" s="292"/>
      <c r="AK55" s="1616"/>
      <c r="AL55" s="1616"/>
      <c r="AM55" s="1616"/>
      <c r="AN55" s="292"/>
      <c r="AO55" s="292"/>
      <c r="AP55" s="292"/>
      <c r="AQ55" s="292"/>
      <c r="AR55" s="1616"/>
      <c r="AS55" s="1616"/>
      <c r="AT55" s="1616"/>
      <c r="AU55" s="1616"/>
      <c r="AV55" s="1616"/>
      <c r="AW55" s="1616"/>
      <c r="AX55" s="1616"/>
      <c r="AY55" s="1616"/>
      <c r="AZ55" s="1616"/>
      <c r="BA55" s="1616"/>
    </row>
    <row r="56" spans="1:53" ht="16.600000000000001" customHeight="1" x14ac:dyDescent="0.25">
      <c r="A56" s="434"/>
      <c r="B56" s="916"/>
      <c r="C56" s="922" t="s">
        <v>1462</v>
      </c>
      <c r="D56" s="489" t="s">
        <v>1231</v>
      </c>
      <c r="E56" s="1193">
        <v>0</v>
      </c>
      <c r="F56" s="1193">
        <f t="shared" ca="1" si="5"/>
        <v>0</v>
      </c>
      <c r="G56" s="490" t="str">
        <f t="shared" si="3"/>
        <v/>
      </c>
      <c r="H56" s="488"/>
      <c r="I56" s="434"/>
      <c r="J56" s="434"/>
      <c r="K56" s="1884" t="s">
        <v>1231</v>
      </c>
      <c r="L56" s="1880">
        <v>0.22604978882391158</v>
      </c>
      <c r="M56" s="290">
        <v>0.22604978882391158</v>
      </c>
      <c r="N56" s="290">
        <v>0.22604978882391158</v>
      </c>
      <c r="O56" s="290">
        <v>0.3096572449642625</v>
      </c>
      <c r="P56" s="290">
        <v>0.3096572449642625</v>
      </c>
      <c r="Q56" s="382">
        <v>0.3096572449642625</v>
      </c>
      <c r="R56" s="436"/>
      <c r="S56" s="436"/>
      <c r="T56" s="436"/>
      <c r="U56" s="434"/>
      <c r="V56" s="434"/>
      <c r="W56" s="2026">
        <f ca="1">IF('2.CropManagement'!Y$12&gt;0,IF(P$32&lt;&gt;0,IF(E56&lt;&gt;"",E56*OFFSET(K56,0,3*($L$32-1)+'2.CropManagement'!$Y$12)*$P$32,0),0),0)</f>
        <v>0</v>
      </c>
      <c r="X56" s="1837">
        <f t="shared" ca="1" si="4"/>
        <v>1</v>
      </c>
      <c r="Y56" s="434"/>
      <c r="Z56" s="293"/>
      <c r="AA56" s="293"/>
      <c r="AB56" s="292"/>
      <c r="AC56" s="292"/>
      <c r="AD56" s="292"/>
      <c r="AE56" s="292"/>
      <c r="AF56" s="292"/>
      <c r="AG56" s="292"/>
      <c r="AH56" s="292"/>
      <c r="AI56" s="292"/>
      <c r="AJ56" s="292"/>
      <c r="AK56" s="1616"/>
      <c r="AL56" s="1616"/>
      <c r="AM56" s="1616"/>
      <c r="AN56" s="292"/>
      <c r="AO56" s="292"/>
      <c r="AP56" s="292"/>
      <c r="AQ56" s="292"/>
      <c r="AR56" s="1616"/>
      <c r="AS56" s="1616"/>
      <c r="AT56" s="1616"/>
      <c r="AU56" s="1616"/>
      <c r="AV56" s="1616"/>
      <c r="AW56" s="1616"/>
      <c r="AX56" s="1616"/>
      <c r="AY56" s="1616"/>
      <c r="AZ56" s="1616"/>
      <c r="BA56" s="1616"/>
    </row>
    <row r="57" spans="1:53" ht="16.600000000000001" customHeight="1" x14ac:dyDescent="0.25">
      <c r="A57" s="434"/>
      <c r="B57" s="916"/>
      <c r="C57" s="922" t="s">
        <v>1462</v>
      </c>
      <c r="D57" s="489" t="s">
        <v>125</v>
      </c>
      <c r="E57" s="1193">
        <f>IF(ISBLANK(Import!D150), "", Import!D150)</f>
        <v>0</v>
      </c>
      <c r="F57" s="1193">
        <f t="shared" ca="1" si="5"/>
        <v>0</v>
      </c>
      <c r="G57" s="490" t="str">
        <f t="shared" si="3"/>
        <v/>
      </c>
      <c r="H57" s="488"/>
      <c r="I57" s="434"/>
      <c r="J57" s="434"/>
      <c r="K57" s="1884" t="s">
        <v>125</v>
      </c>
      <c r="L57" s="1880">
        <v>1.1754589018843402</v>
      </c>
      <c r="M57" s="290">
        <v>1.1754589018843402</v>
      </c>
      <c r="N57" s="290">
        <v>1.1754589018843402</v>
      </c>
      <c r="O57" s="290">
        <v>1.6102176738141649</v>
      </c>
      <c r="P57" s="290">
        <v>1.6102176738141649</v>
      </c>
      <c r="Q57" s="382">
        <v>1.6102176738141649</v>
      </c>
      <c r="R57" s="436"/>
      <c r="S57" s="436"/>
      <c r="T57" s="436"/>
      <c r="U57" s="434"/>
      <c r="V57" s="434"/>
      <c r="W57" s="2026">
        <f ca="1">IF('2.CropManagement'!Y$12&gt;0,IF(P$32&lt;&gt;0,IF(E57&lt;&gt;"",E57*OFFSET(K57,0,3*($L$32-1)+'2.CropManagement'!$Y$12)*$P$32,0),0),0)</f>
        <v>0</v>
      </c>
      <c r="X57" s="1837">
        <f t="shared" ca="1" si="4"/>
        <v>1</v>
      </c>
      <c r="Y57" s="434"/>
      <c r="Z57" s="293"/>
      <c r="AA57" s="293"/>
      <c r="AB57" s="292"/>
      <c r="AC57" s="292"/>
      <c r="AD57" s="292"/>
      <c r="AE57" s="292"/>
      <c r="AF57" s="292"/>
      <c r="AG57" s="292"/>
      <c r="AH57" s="292"/>
      <c r="AI57" s="292"/>
      <c r="AJ57" s="292"/>
      <c r="AK57" s="1616"/>
      <c r="AL57" s="1616"/>
      <c r="AM57" s="1616"/>
      <c r="AN57" s="292"/>
      <c r="AO57" s="292"/>
      <c r="AP57" s="292"/>
      <c r="AQ57" s="292"/>
      <c r="AR57" s="1616"/>
      <c r="AS57" s="1616"/>
      <c r="AT57" s="1616"/>
      <c r="AU57" s="1616"/>
      <c r="AV57" s="1616"/>
      <c r="AW57" s="1616"/>
      <c r="AX57" s="1616"/>
      <c r="AY57" s="1616"/>
      <c r="AZ57" s="1616"/>
      <c r="BA57" s="1616"/>
    </row>
    <row r="58" spans="1:53" ht="9.8000000000000007" customHeight="1" thickBot="1" x14ac:dyDescent="0.3">
      <c r="A58" s="434"/>
      <c r="B58" s="918"/>
      <c r="C58" s="923"/>
      <c r="D58" s="492"/>
      <c r="E58" s="493"/>
      <c r="F58" s="494"/>
      <c r="G58" s="495"/>
      <c r="H58" s="488"/>
      <c r="I58" s="434"/>
      <c r="J58" s="434"/>
      <c r="K58" s="1907"/>
      <c r="L58" s="1908"/>
      <c r="M58" s="1909"/>
      <c r="N58" s="1909"/>
      <c r="O58" s="1909"/>
      <c r="P58" s="1909"/>
      <c r="Q58" s="1910"/>
      <c r="R58" s="436"/>
      <c r="S58" s="436"/>
      <c r="T58" s="436"/>
      <c r="U58" s="434"/>
      <c r="V58" s="434"/>
      <c r="W58" s="1915"/>
      <c r="X58" s="1837"/>
      <c r="Y58" s="434"/>
      <c r="Z58" s="293"/>
      <c r="AA58" s="293"/>
      <c r="AB58" s="292"/>
      <c r="AC58" s="292"/>
      <c r="AD58" s="292"/>
      <c r="AE58" s="292"/>
      <c r="AF58" s="292"/>
      <c r="AG58" s="292"/>
      <c r="AH58" s="292"/>
      <c r="AI58" s="292"/>
      <c r="AJ58" s="292"/>
      <c r="AK58" s="1616"/>
      <c r="AL58" s="1616"/>
      <c r="AM58" s="1616"/>
      <c r="AN58" s="292"/>
      <c r="AO58" s="292"/>
      <c r="AP58" s="292"/>
      <c r="AQ58" s="292"/>
      <c r="AR58" s="1616"/>
      <c r="AS58" s="1616"/>
      <c r="AT58" s="1616"/>
      <c r="AU58" s="1616"/>
      <c r="AV58" s="1616"/>
      <c r="AW58" s="1616"/>
      <c r="AX58" s="1616"/>
      <c r="AY58" s="1616"/>
      <c r="AZ58" s="1616"/>
      <c r="BA58" s="1616"/>
    </row>
    <row r="59" spans="1:53" ht="10.55" customHeight="1" x14ac:dyDescent="0.25">
      <c r="A59" s="434"/>
      <c r="B59" s="916"/>
      <c r="C59" s="922"/>
      <c r="D59" s="496"/>
      <c r="E59" s="186"/>
      <c r="F59" s="491"/>
      <c r="G59" s="487"/>
      <c r="H59" s="488"/>
      <c r="I59" s="434"/>
      <c r="J59" s="434"/>
      <c r="K59" s="1907"/>
      <c r="L59" s="1908"/>
      <c r="M59" s="1909"/>
      <c r="N59" s="1909"/>
      <c r="O59" s="1909"/>
      <c r="P59" s="1909"/>
      <c r="Q59" s="1910"/>
      <c r="R59" s="436"/>
      <c r="S59" s="436"/>
      <c r="T59" s="436"/>
      <c r="U59" s="434"/>
      <c r="V59" s="434"/>
      <c r="W59" s="1915"/>
      <c r="X59" s="1837"/>
      <c r="Y59" s="434"/>
      <c r="Z59" s="293"/>
      <c r="AA59" s="293"/>
      <c r="AB59" s="292"/>
      <c r="AC59" s="292"/>
      <c r="AD59" s="292"/>
      <c r="AE59" s="292"/>
      <c r="AF59" s="292"/>
      <c r="AG59" s="292"/>
      <c r="AH59" s="292"/>
      <c r="AI59" s="292"/>
      <c r="AJ59" s="292"/>
      <c r="AK59" s="1616"/>
      <c r="AL59" s="1616"/>
      <c r="AM59" s="1616"/>
      <c r="AN59" s="292"/>
      <c r="AO59" s="292"/>
      <c r="AP59" s="292"/>
      <c r="AQ59" s="292"/>
      <c r="AR59" s="1616"/>
      <c r="AS59" s="1616"/>
      <c r="AT59" s="1616"/>
      <c r="AU59" s="1616"/>
      <c r="AV59" s="1616"/>
      <c r="AW59" s="1616"/>
      <c r="AX59" s="1616"/>
      <c r="AY59" s="1616"/>
      <c r="AZ59" s="1616"/>
      <c r="BA59" s="1616"/>
    </row>
    <row r="60" spans="1:53" ht="28.55" customHeight="1" x14ac:dyDescent="0.25">
      <c r="A60" s="434"/>
      <c r="B60" s="916"/>
      <c r="C60" s="993" t="s">
        <v>1198</v>
      </c>
      <c r="D60" s="497" t="s">
        <v>809</v>
      </c>
      <c r="E60" s="1193">
        <v>4</v>
      </c>
      <c r="F60" s="1193">
        <f ca="1">IF(ISERROR(W60/X60),"",(W60/X60))</f>
        <v>40.32</v>
      </c>
      <c r="G60" s="490" t="str">
        <f t="shared" ca="1" si="3"/>
        <v/>
      </c>
      <c r="H60" s="488"/>
      <c r="I60" s="434"/>
      <c r="J60" s="434"/>
      <c r="K60" s="1884" t="s">
        <v>809</v>
      </c>
      <c r="L60" s="1881">
        <v>1.4</v>
      </c>
      <c r="M60" s="329">
        <v>1.4</v>
      </c>
      <c r="N60" s="329">
        <v>1.4</v>
      </c>
      <c r="O60" s="329">
        <f t="shared" ref="O60:Q62" si="6">$L60*O$57/$L$57</f>
        <v>1.9178082191780825</v>
      </c>
      <c r="P60" s="329">
        <f t="shared" si="6"/>
        <v>1.9178082191780825</v>
      </c>
      <c r="Q60" s="1874">
        <f t="shared" si="6"/>
        <v>1.9178082191780825</v>
      </c>
      <c r="R60" s="436"/>
      <c r="S60" s="436"/>
      <c r="T60" s="436"/>
      <c r="U60" s="434"/>
      <c r="V60" s="434"/>
      <c r="W60" s="2026">
        <f ca="1">IF('2.CropManagement'!Y$12&gt;0,IF(P$32&lt;&gt;0,IF(E60&lt;&gt;"",E60*OFFSET(K60,0,3*($L$32-1)+'2.CropManagement'!$Y$12)*$P$32,0),0),0)</f>
        <v>40.32</v>
      </c>
      <c r="X60" s="1837">
        <f ca="1">IF(T$33&lt;&gt;O$148,SUMIF(O$148:O$150,T$33,P$148:P$150),1)</f>
        <v>1</v>
      </c>
      <c r="Y60" s="434"/>
      <c r="Z60" s="293"/>
      <c r="AA60" s="293"/>
      <c r="AB60" s="292"/>
      <c r="AC60" s="292"/>
      <c r="AD60" s="292"/>
      <c r="AE60" s="292"/>
      <c r="AF60" s="292"/>
      <c r="AG60" s="292"/>
      <c r="AH60" s="292"/>
      <c r="AI60" s="292"/>
      <c r="AJ60" s="292"/>
      <c r="AK60" s="1616"/>
      <c r="AL60" s="1616"/>
      <c r="AM60" s="1616"/>
      <c r="AN60" s="292"/>
      <c r="AO60" s="292"/>
      <c r="AP60" s="292"/>
      <c r="AQ60" s="292"/>
      <c r="AR60" s="1616"/>
      <c r="AS60" s="1616"/>
      <c r="AT60" s="1616"/>
      <c r="AU60" s="1616"/>
      <c r="AV60" s="1616"/>
      <c r="AW60" s="1616"/>
      <c r="AX60" s="1616"/>
      <c r="AY60" s="1616"/>
      <c r="AZ60" s="1616"/>
      <c r="BA60" s="1616"/>
    </row>
    <row r="61" spans="1:53" ht="28.55" customHeight="1" x14ac:dyDescent="0.25">
      <c r="A61" s="434"/>
      <c r="B61" s="916"/>
      <c r="C61" s="993" t="s">
        <v>1198</v>
      </c>
      <c r="D61" s="497" t="s">
        <v>810</v>
      </c>
      <c r="E61" s="1193">
        <v>3</v>
      </c>
      <c r="F61" s="1193">
        <f ca="1">IF(ISERROR(W61/X61),"",(W61/X61))</f>
        <v>21.6</v>
      </c>
      <c r="G61" s="490" t="str">
        <f t="shared" ca="1" si="3"/>
        <v/>
      </c>
      <c r="H61" s="488"/>
      <c r="I61" s="434"/>
      <c r="J61" s="434"/>
      <c r="K61" s="1884" t="s">
        <v>810</v>
      </c>
      <c r="L61" s="1881">
        <v>1</v>
      </c>
      <c r="M61" s="329">
        <v>1</v>
      </c>
      <c r="N61" s="329">
        <v>1</v>
      </c>
      <c r="O61" s="329">
        <f t="shared" si="6"/>
        <v>1.3698630136986303</v>
      </c>
      <c r="P61" s="329">
        <f t="shared" si="6"/>
        <v>1.3698630136986303</v>
      </c>
      <c r="Q61" s="1874">
        <f t="shared" si="6"/>
        <v>1.3698630136986303</v>
      </c>
      <c r="R61" s="436"/>
      <c r="S61" s="436"/>
      <c r="T61" s="436"/>
      <c r="U61" s="434"/>
      <c r="V61" s="434"/>
      <c r="W61" s="2026">
        <f ca="1">IF('2.CropManagement'!Y$12&gt;0,IF(P$32&lt;&gt;0,IF(E61&lt;&gt;"",E61*OFFSET(K61,0,3*($L$32-1)+'2.CropManagement'!$Y$12)*$P$32,0),0),0)</f>
        <v>21.6</v>
      </c>
      <c r="X61" s="1837">
        <f ca="1">IF(T$33&lt;&gt;O$148,SUMIF(O$148:O$150,T$33,P$148:P$150),1)</f>
        <v>1</v>
      </c>
      <c r="Y61" s="434"/>
      <c r="Z61" s="293"/>
      <c r="AA61" s="293"/>
      <c r="AB61" s="292"/>
      <c r="AC61" s="292"/>
      <c r="AD61" s="292"/>
      <c r="AE61" s="292"/>
      <c r="AF61" s="292"/>
      <c r="AG61" s="292"/>
      <c r="AH61" s="292"/>
      <c r="AI61" s="292"/>
      <c r="AJ61" s="292"/>
      <c r="AK61" s="1616"/>
      <c r="AL61" s="1616"/>
      <c r="AM61" s="1616"/>
      <c r="AN61" s="292"/>
      <c r="AO61" s="292"/>
      <c r="AP61" s="292"/>
      <c r="AQ61" s="292"/>
      <c r="AR61" s="1616"/>
      <c r="AS61" s="1616"/>
      <c r="AT61" s="1616"/>
      <c r="AU61" s="1616"/>
      <c r="AV61" s="1616"/>
      <c r="AW61" s="1616"/>
      <c r="AX61" s="1616"/>
      <c r="AY61" s="1616"/>
      <c r="AZ61" s="1616"/>
      <c r="BA61" s="1616"/>
    </row>
    <row r="62" spans="1:53" ht="28.55" customHeight="1" thickBot="1" x14ac:dyDescent="0.3">
      <c r="A62" s="434"/>
      <c r="B62" s="916"/>
      <c r="C62" s="993" t="s">
        <v>1198</v>
      </c>
      <c r="D62" s="497" t="s">
        <v>812</v>
      </c>
      <c r="E62" s="1193">
        <f>IF(ISBLANK(Import!D155), "", Import!D155)</f>
        <v>0</v>
      </c>
      <c r="F62" s="1193">
        <f ca="1">IF(ISERROR(W62/X62),"",(W62/X62))</f>
        <v>0</v>
      </c>
      <c r="G62" s="490" t="str">
        <f t="shared" si="3"/>
        <v/>
      </c>
      <c r="H62" s="488"/>
      <c r="I62" s="434"/>
      <c r="J62" s="434"/>
      <c r="K62" s="1885" t="s">
        <v>812</v>
      </c>
      <c r="L62" s="1882">
        <v>7.6</v>
      </c>
      <c r="M62" s="1875">
        <v>7.6</v>
      </c>
      <c r="N62" s="1875">
        <v>7.6</v>
      </c>
      <c r="O62" s="1875">
        <f t="shared" si="6"/>
        <v>10.41095890410959</v>
      </c>
      <c r="P62" s="1875">
        <f t="shared" si="6"/>
        <v>10.41095890410959</v>
      </c>
      <c r="Q62" s="1876">
        <f>$L62*Q$57/$L$57</f>
        <v>10.41095890410959</v>
      </c>
      <c r="R62" s="436"/>
      <c r="S62" s="436"/>
      <c r="T62" s="436"/>
      <c r="U62" s="434"/>
      <c r="V62" s="434"/>
      <c r="W62" s="2026">
        <f ca="1">IF('2.CropManagement'!Y$12&gt;0,IF(P$32&lt;&gt;0,IF(E62&lt;&gt;"",E62*OFFSET(K62,0,3*($L$32-1)+'2.CropManagement'!$Y$12)*$P$32,0),0),0)</f>
        <v>0</v>
      </c>
      <c r="X62" s="1837">
        <f ca="1">IF(T$33&lt;&gt;O$148,SUMIF(O$148:O$150,T$33,P$148:P$150),1)</f>
        <v>1</v>
      </c>
      <c r="Y62" s="434"/>
      <c r="Z62" s="293"/>
      <c r="AA62" s="293"/>
      <c r="AB62" s="292"/>
      <c r="AC62" s="292"/>
      <c r="AD62" s="292"/>
      <c r="AE62" s="292"/>
      <c r="AF62" s="292"/>
      <c r="AG62" s="292"/>
      <c r="AH62" s="292"/>
      <c r="AI62" s="292"/>
      <c r="AJ62" s="292"/>
      <c r="AK62" s="292"/>
      <c r="AL62" s="292"/>
      <c r="AM62" s="292"/>
      <c r="AN62" s="292"/>
      <c r="AO62" s="292"/>
      <c r="AP62" s="292"/>
      <c r="AQ62" s="292"/>
      <c r="AR62" s="1616"/>
      <c r="AS62" s="1616"/>
      <c r="AT62" s="1616"/>
      <c r="AU62" s="1616"/>
      <c r="AV62" s="1616"/>
      <c r="AW62" s="1616"/>
      <c r="AX62" s="1616"/>
      <c r="AY62" s="1616"/>
      <c r="AZ62" s="1616"/>
      <c r="BA62" s="1616"/>
    </row>
    <row r="63" spans="1:53" ht="9.8000000000000007" customHeight="1" x14ac:dyDescent="0.25">
      <c r="A63" s="434"/>
      <c r="B63" s="916"/>
      <c r="C63" s="993"/>
      <c r="D63" s="497"/>
      <c r="E63" s="186"/>
      <c r="F63" s="491"/>
      <c r="G63" s="487"/>
      <c r="H63" s="488"/>
      <c r="I63" s="434"/>
      <c r="J63" s="434"/>
      <c r="K63" s="488"/>
      <c r="L63" s="1905"/>
      <c r="M63" s="1905"/>
      <c r="N63" s="1905"/>
      <c r="O63" s="1905"/>
      <c r="P63" s="1905"/>
      <c r="Q63" s="1905"/>
      <c r="R63" s="436"/>
      <c r="S63" s="436"/>
      <c r="T63" s="436"/>
      <c r="U63" s="434"/>
      <c r="V63" s="434"/>
      <c r="W63" s="1845"/>
      <c r="X63" s="1837"/>
      <c r="Y63" s="434"/>
      <c r="Z63" s="293"/>
      <c r="AA63" s="293"/>
      <c r="AB63" s="292"/>
      <c r="AC63" s="292"/>
      <c r="AD63" s="292"/>
      <c r="AE63" s="292"/>
      <c r="AF63" s="292"/>
      <c r="AG63" s="292"/>
      <c r="AH63" s="292"/>
      <c r="AI63" s="292"/>
      <c r="AJ63" s="292"/>
      <c r="AK63" s="292"/>
      <c r="AL63" s="292"/>
      <c r="AM63" s="292"/>
      <c r="AN63" s="292"/>
      <c r="AO63" s="292"/>
      <c r="AP63" s="292"/>
      <c r="AQ63" s="292"/>
      <c r="AR63" s="1616"/>
      <c r="AS63" s="1616"/>
      <c r="AT63" s="1616"/>
      <c r="AU63" s="1616"/>
      <c r="AV63" s="1616"/>
      <c r="AW63" s="1616"/>
      <c r="AX63" s="1616"/>
      <c r="AY63" s="1616"/>
      <c r="AZ63" s="1616"/>
      <c r="BA63" s="1616"/>
    </row>
    <row r="64" spans="1:53" ht="3.05" customHeight="1" x14ac:dyDescent="0.25">
      <c r="A64" s="434"/>
      <c r="B64" s="916"/>
      <c r="C64" s="922"/>
      <c r="D64" s="497"/>
      <c r="E64" s="496"/>
      <c r="F64" s="491"/>
      <c r="G64" s="487"/>
      <c r="H64" s="488"/>
      <c r="I64" s="434"/>
      <c r="J64" s="434"/>
      <c r="K64" s="488"/>
      <c r="L64" s="1905"/>
      <c r="M64" s="1905"/>
      <c r="N64" s="1905"/>
      <c r="O64" s="1905"/>
      <c r="P64" s="1905"/>
      <c r="Q64" s="1905"/>
      <c r="R64" s="436"/>
      <c r="S64" s="436"/>
      <c r="T64" s="436"/>
      <c r="U64" s="434"/>
      <c r="V64" s="434"/>
      <c r="W64" s="1845"/>
      <c r="X64" s="1837"/>
      <c r="Y64" s="434"/>
      <c r="Z64" s="293"/>
      <c r="AA64" s="293"/>
      <c r="AB64" s="292"/>
      <c r="AC64" s="292"/>
      <c r="AD64" s="292"/>
      <c r="AE64" s="292"/>
      <c r="AF64" s="292"/>
      <c r="AG64" s="292"/>
      <c r="AH64" s="292"/>
      <c r="AI64" s="292"/>
      <c r="AJ64" s="292"/>
      <c r="AK64" s="292"/>
      <c r="AL64" s="292"/>
      <c r="AM64" s="292"/>
      <c r="AN64" s="292"/>
      <c r="AO64" s="292"/>
      <c r="AP64" s="292"/>
      <c r="AQ64" s="292"/>
      <c r="AR64" s="1616"/>
      <c r="AS64" s="1616"/>
      <c r="AT64" s="1616"/>
      <c r="AU64" s="1616"/>
      <c r="AV64" s="1616"/>
      <c r="AW64" s="1616"/>
      <c r="AX64" s="1616"/>
      <c r="AY64" s="1616"/>
      <c r="AZ64" s="1616"/>
      <c r="BA64" s="1616"/>
    </row>
    <row r="65" spans="1:53" ht="3.05" customHeight="1" thickBot="1" x14ac:dyDescent="0.3">
      <c r="A65" s="434"/>
      <c r="B65" s="916"/>
      <c r="C65" s="924"/>
      <c r="D65" s="238"/>
      <c r="E65" s="186"/>
      <c r="F65" s="498"/>
      <c r="G65" s="499"/>
      <c r="H65" s="149"/>
      <c r="I65" s="434"/>
      <c r="J65" s="434"/>
      <c r="K65" s="149"/>
      <c r="L65" s="1905"/>
      <c r="M65" s="1905"/>
      <c r="N65" s="1905"/>
      <c r="O65" s="1905"/>
      <c r="P65" s="1905"/>
      <c r="Q65" s="1905"/>
      <c r="R65" s="436"/>
      <c r="S65" s="436"/>
      <c r="T65" s="436"/>
      <c r="U65" s="434"/>
      <c r="V65" s="434"/>
      <c r="W65" s="1845"/>
      <c r="X65" s="1837"/>
      <c r="Y65" s="434"/>
      <c r="Z65" s="293"/>
      <c r="AA65" s="293"/>
      <c r="AB65" s="292"/>
      <c r="AC65" s="292"/>
      <c r="AD65" s="292"/>
      <c r="AE65" s="292"/>
      <c r="AF65" s="292"/>
      <c r="AG65" s="292"/>
      <c r="AH65" s="292"/>
      <c r="AI65" s="292"/>
      <c r="AJ65" s="292"/>
      <c r="AK65" s="292"/>
      <c r="AL65" s="292"/>
      <c r="AM65" s="292"/>
      <c r="AN65" s="292"/>
      <c r="AO65" s="292"/>
      <c r="AP65" s="292"/>
      <c r="AQ65" s="292"/>
      <c r="AR65" s="1616"/>
      <c r="AS65" s="1616"/>
      <c r="AT65" s="1616"/>
      <c r="AU65" s="1616"/>
      <c r="AV65" s="1616"/>
      <c r="AW65" s="1616"/>
      <c r="AX65" s="1616"/>
      <c r="AY65" s="1616"/>
      <c r="AZ65" s="1616"/>
      <c r="BA65" s="1616"/>
    </row>
    <row r="66" spans="1:53" ht="9.8000000000000007" customHeight="1" thickBot="1" x14ac:dyDescent="0.3">
      <c r="A66" s="434"/>
      <c r="B66" s="920"/>
      <c r="C66" s="925"/>
      <c r="D66" s="500"/>
      <c r="E66" s="501"/>
      <c r="F66" s="502"/>
      <c r="G66" s="503"/>
      <c r="H66" s="504"/>
      <c r="I66" s="434"/>
      <c r="J66" s="434"/>
      <c r="K66" s="1898"/>
      <c r="L66" s="1899" t="s">
        <v>1505</v>
      </c>
      <c r="M66" s="1900" t="s">
        <v>1506</v>
      </c>
      <c r="N66" s="1900" t="s">
        <v>1507</v>
      </c>
      <c r="O66" s="1900" t="s">
        <v>1626</v>
      </c>
      <c r="P66" s="1901" t="s">
        <v>1956</v>
      </c>
      <c r="Q66" s="1901" t="s">
        <v>1358</v>
      </c>
      <c r="R66" s="1902" t="s">
        <v>1405</v>
      </c>
      <c r="S66" s="1902" t="s">
        <v>1406</v>
      </c>
      <c r="T66" s="1903" t="s">
        <v>1407</v>
      </c>
      <c r="U66" s="434"/>
      <c r="V66" s="434"/>
      <c r="W66" s="1845"/>
      <c r="X66" s="1837"/>
      <c r="Y66" s="434"/>
      <c r="Z66" s="293"/>
      <c r="AA66" s="293"/>
      <c r="AB66" s="292"/>
      <c r="AC66" s="292"/>
      <c r="AD66" s="292"/>
      <c r="AE66" s="292"/>
      <c r="AF66" s="292"/>
      <c r="AG66" s="292"/>
      <c r="AH66" s="292"/>
      <c r="AI66" s="292"/>
      <c r="AJ66" s="292"/>
      <c r="AK66" s="292"/>
      <c r="AL66" s="292"/>
      <c r="AM66" s="292"/>
      <c r="AN66" s="292"/>
      <c r="AO66" s="292"/>
      <c r="AP66" s="292"/>
      <c r="AQ66" s="292"/>
      <c r="AR66" s="1616"/>
      <c r="AS66" s="1616"/>
      <c r="AT66" s="1616"/>
      <c r="AU66" s="1616"/>
      <c r="AV66" s="1616"/>
      <c r="AW66" s="1616"/>
      <c r="AX66" s="1616"/>
      <c r="AY66" s="1616"/>
      <c r="AZ66" s="1616"/>
      <c r="BA66" s="1616"/>
    </row>
    <row r="67" spans="1:53" ht="16.600000000000001" customHeight="1" x14ac:dyDescent="0.25">
      <c r="A67" s="434"/>
      <c r="B67" s="916"/>
      <c r="C67" s="926" t="s">
        <v>150</v>
      </c>
      <c r="D67" s="505" t="s">
        <v>151</v>
      </c>
      <c r="E67" s="1193">
        <f>IF(ISBLANK(Import!D160), "", Import!D160)</f>
        <v>0</v>
      </c>
      <c r="F67" s="1193">
        <f ca="1">IF(ISERROR(W67/X67),"",(W67/X67))</f>
        <v>0</v>
      </c>
      <c r="G67" s="490" t="str">
        <f t="shared" ref="G67:G82" si="7">IF($E67&gt;0,IF($F67=0,"This will not work unless crop area(GeneralInfo), harvested product(GeneralInfo), and soil texture(CropManagement) are completed",""),"")</f>
        <v/>
      </c>
      <c r="H67" s="504"/>
      <c r="I67" s="434"/>
      <c r="J67" s="166"/>
      <c r="K67" s="1894" t="s">
        <v>151</v>
      </c>
      <c r="L67" s="1895">
        <v>3.125</v>
      </c>
      <c r="M67" s="1896">
        <v>0.76249999999999996</v>
      </c>
      <c r="N67" s="1896">
        <v>1.3</v>
      </c>
      <c r="O67" s="1896">
        <v>0.49562499999999998</v>
      </c>
      <c r="P67" s="1896">
        <f>'1.GeneralInfo'!S$13/'1.GeneralInfo'!S$12*O67+L67</f>
        <v>3.125</v>
      </c>
      <c r="Q67" s="1877">
        <f>IF(P67&gt;75,2.64+3.91-0.203*(SQRT(738+173)),2.64*MAX(0.2,(P67/75))+3.91-0.203*(SQRT(738*MAX(0.2,P67/75)+173)))</f>
        <v>0.80322278536909542</v>
      </c>
      <c r="R67" s="1877">
        <f>IF(P67&gt;75,2.74+3.15-0.203*(SQRT(697)),2.64*MAX(0.2,(P67/75))+3.15-0.203*(SQRT(697*MAX(0.2,P67/75))))</f>
        <v>1.2812241239531801</v>
      </c>
      <c r="S67" s="1877">
        <f>P67*Q67</f>
        <v>2.510071204278423</v>
      </c>
      <c r="T67" s="1897">
        <f>P67*R67</f>
        <v>4.0038253873536878</v>
      </c>
      <c r="U67" s="434"/>
      <c r="V67" s="434"/>
      <c r="W67" s="2027">
        <f ca="1">IF('2.CropManagement'!Y$12&gt;0,IF(P$32&lt;&gt;0,IF(E67&lt;&gt;"",E67*(OFFSET(S67,0,$L$32-1))*$P$32,0),0),0)</f>
        <v>0</v>
      </c>
      <c r="X67" s="1837">
        <f t="shared" ref="X67:X82" ca="1" si="8">IF(T$33&lt;&gt;O$148,SUMIF(O$148:O$150,T$33,P$148:P$150),1)</f>
        <v>1</v>
      </c>
      <c r="Y67" s="434"/>
      <c r="Z67" s="293"/>
      <c r="AA67" s="293"/>
      <c r="AB67" s="292"/>
      <c r="AC67" s="292"/>
      <c r="AD67" s="292"/>
      <c r="AE67" s="292"/>
      <c r="AF67" s="292"/>
      <c r="AG67" s="292"/>
      <c r="AH67" s="292"/>
      <c r="AI67" s="292"/>
      <c r="AJ67" s="292"/>
      <c r="AK67" s="292"/>
      <c r="AL67" s="292"/>
      <c r="AM67" s="292"/>
      <c r="AN67" s="292"/>
      <c r="AO67" s="292"/>
      <c r="AP67" s="292"/>
      <c r="AQ67" s="292"/>
      <c r="AR67" s="1616"/>
      <c r="AS67" s="1616"/>
      <c r="AT67" s="1616"/>
      <c r="AU67" s="1616"/>
      <c r="AV67" s="1616"/>
      <c r="AW67" s="1616"/>
      <c r="AX67" s="1616"/>
      <c r="AY67" s="1616"/>
      <c r="AZ67" s="1616"/>
      <c r="BA67" s="1616"/>
    </row>
    <row r="68" spans="1:53" ht="16.600000000000001" customHeight="1" x14ac:dyDescent="0.25">
      <c r="A68" s="434"/>
      <c r="B68" s="916"/>
      <c r="C68" s="926" t="s">
        <v>150</v>
      </c>
      <c r="D68" s="505" t="s">
        <v>152</v>
      </c>
      <c r="E68" s="1193">
        <f>IF(ISBLANK(Import!D161), "", Import!D161)</f>
        <v>0</v>
      </c>
      <c r="F68" s="1193">
        <f t="shared" ref="F68:F82" ca="1" si="9">IF(ISERROR(W68/X68),"",(W68/X68))</f>
        <v>0</v>
      </c>
      <c r="G68" s="490" t="str">
        <f t="shared" si="7"/>
        <v/>
      </c>
      <c r="H68" s="504"/>
      <c r="I68" s="434"/>
      <c r="J68" s="166"/>
      <c r="K68" s="1892" t="s">
        <v>152</v>
      </c>
      <c r="L68" s="1890">
        <v>13.296816114359974</v>
      </c>
      <c r="M68" s="180">
        <v>0.4</v>
      </c>
      <c r="N68" s="180">
        <v>0</v>
      </c>
      <c r="O68" s="180">
        <v>0</v>
      </c>
      <c r="P68" s="180">
        <f>'1.GeneralInfo'!S$13/'1.GeneralInfo'!S$12*O68+L68</f>
        <v>13.296816114359974</v>
      </c>
      <c r="Q68" s="290">
        <f>IF(P68&gt;75,2.64+3.91-0.203*(SQRT(738+173)),2.64*MAX(0.2,(P68/75))+3.91-0.203*(SQRT(738*MAX(0.2,P68/75)+173)))</f>
        <v>0.80322278536909542</v>
      </c>
      <c r="R68" s="290">
        <f>IF(P68&gt;75,2.74+3.15-0.203*(SQRT(697)),2.64*MAX(0.2,(P68/75))+3.15-0.203*(SQRT(697*MAX(0.2,P68/75))))</f>
        <v>1.2812241239531801</v>
      </c>
      <c r="S68" s="290">
        <f>P68*Q68</f>
        <v>10.680305675916891</v>
      </c>
      <c r="T68" s="1887">
        <f>P68*R68</f>
        <v>17.036201577487386</v>
      </c>
      <c r="U68" s="434"/>
      <c r="V68" s="434"/>
      <c r="W68" s="2027">
        <f ca="1">IF('2.CropManagement'!Y$12&gt;0,IF(P$32&lt;&gt;0,IF(E68&lt;&gt;"",E68*(OFFSET(S68,0,$L$32-1))*$P$32,0),0),0)</f>
        <v>0</v>
      </c>
      <c r="X68" s="1837">
        <f t="shared" ca="1" si="8"/>
        <v>1</v>
      </c>
      <c r="Y68" s="434"/>
      <c r="Z68" s="293"/>
      <c r="AA68" s="293"/>
      <c r="AB68" s="292"/>
      <c r="AC68" s="292"/>
      <c r="AD68" s="292"/>
      <c r="AE68" s="292"/>
      <c r="AF68" s="292"/>
      <c r="AG68" s="292"/>
      <c r="AH68" s="292"/>
      <c r="AI68" s="292"/>
      <c r="AJ68" s="292"/>
      <c r="AK68" s="292"/>
      <c r="AL68" s="292"/>
      <c r="AM68" s="292"/>
      <c r="AN68" s="292"/>
      <c r="AO68" s="292"/>
      <c r="AP68" s="292"/>
      <c r="AQ68" s="292"/>
      <c r="AR68" s="1616"/>
      <c r="AS68" s="1616"/>
      <c r="AT68" s="1616"/>
      <c r="AU68" s="1616"/>
      <c r="AV68" s="1616"/>
      <c r="AW68" s="1616"/>
      <c r="AX68" s="1616"/>
      <c r="AY68" s="1616"/>
      <c r="AZ68" s="1616"/>
      <c r="BA68" s="1616"/>
    </row>
    <row r="69" spans="1:53" ht="16.600000000000001" customHeight="1" x14ac:dyDescent="0.25">
      <c r="A69" s="434"/>
      <c r="B69" s="916"/>
      <c r="C69" s="926" t="s">
        <v>150</v>
      </c>
      <c r="D69" s="505" t="s">
        <v>153</v>
      </c>
      <c r="E69" s="1193">
        <f>IF(ISBLANK(Import!D162), "", Import!D162)</f>
        <v>0</v>
      </c>
      <c r="F69" s="1193">
        <f t="shared" ca="1" si="9"/>
        <v>0</v>
      </c>
      <c r="G69" s="490" t="str">
        <f t="shared" si="7"/>
        <v/>
      </c>
      <c r="H69" s="504"/>
      <c r="I69" s="434"/>
      <c r="J69" s="166"/>
      <c r="K69" s="1892" t="s">
        <v>153</v>
      </c>
      <c r="L69" s="1890">
        <v>20</v>
      </c>
      <c r="M69" s="180">
        <v>4</v>
      </c>
      <c r="N69" s="180">
        <v>3.6</v>
      </c>
      <c r="O69" s="180">
        <v>14.4</v>
      </c>
      <c r="P69" s="180">
        <f>'1.GeneralInfo'!S$13/'1.GeneralInfo'!S$12*O69+L69</f>
        <v>20</v>
      </c>
      <c r="Q69" s="290">
        <f t="shared" ref="Q69:Q82" si="10">IF(P69&gt;75,2.64+3.91-0.203*(SQRT(738+173)),2.64*MAX(0.2,(P69/75))+3.91-0.203*(SQRT(738*MAX(0.2,P69/75)+173)))</f>
        <v>0.71027252488086656</v>
      </c>
      <c r="R69" s="290">
        <f>IF(P69&gt;75,2.74+3.15-0.203*(SQRT(697)),2.64*MAX(0.2,(P69/75))+3.15-0.203*(SQRT(697*MAX(0.2,P69/75))))</f>
        <v>1.0864416055543349</v>
      </c>
      <c r="S69" s="290">
        <f t="shared" ref="S69:S82" si="11">P69*Q69</f>
        <v>14.205450497617331</v>
      </c>
      <c r="T69" s="1887">
        <f t="shared" ref="T69:T82" si="12">P69*R69</f>
        <v>21.728832111086696</v>
      </c>
      <c r="U69" s="434"/>
      <c r="V69" s="434"/>
      <c r="W69" s="2027">
        <f ca="1">IF('2.CropManagement'!Y$12&gt;0,IF(P$32&lt;&gt;0,IF(E69&lt;&gt;"",E69*(OFFSET(S69,0,$L$32-1))*$P$32,0),0),0)</f>
        <v>0</v>
      </c>
      <c r="X69" s="1837">
        <f t="shared" ca="1" si="8"/>
        <v>1</v>
      </c>
      <c r="Y69" s="434"/>
      <c r="Z69" s="293"/>
      <c r="AA69" s="293"/>
      <c r="AB69" s="292"/>
      <c r="AC69" s="292"/>
      <c r="AD69" s="292"/>
      <c r="AE69" s="292"/>
      <c r="AF69" s="292"/>
      <c r="AG69" s="292"/>
      <c r="AH69" s="292"/>
      <c r="AI69" s="292"/>
      <c r="AJ69" s="292"/>
      <c r="AK69" s="292"/>
      <c r="AL69" s="292"/>
      <c r="AM69" s="292"/>
      <c r="AN69" s="292"/>
      <c r="AO69" s="292"/>
      <c r="AP69" s="292"/>
      <c r="AQ69" s="292"/>
      <c r="AR69" s="1616"/>
      <c r="AS69" s="1616"/>
      <c r="AT69" s="1616"/>
      <c r="AU69" s="1616"/>
      <c r="AV69" s="1616"/>
      <c r="AW69" s="1616"/>
      <c r="AX69" s="1616"/>
      <c r="AY69" s="1616"/>
      <c r="AZ69" s="1616"/>
      <c r="BA69" s="1616"/>
    </row>
    <row r="70" spans="1:53" ht="16.600000000000001" customHeight="1" x14ac:dyDescent="0.25">
      <c r="A70" s="434"/>
      <c r="B70" s="916"/>
      <c r="C70" s="926" t="s">
        <v>150</v>
      </c>
      <c r="D70" s="505" t="s">
        <v>905</v>
      </c>
      <c r="E70" s="1193">
        <f>IF(ISBLANK(Import!D163), "", Import!D163)</f>
        <v>0</v>
      </c>
      <c r="F70" s="1193">
        <f t="shared" ca="1" si="9"/>
        <v>0</v>
      </c>
      <c r="G70" s="490" t="str">
        <f t="shared" si="7"/>
        <v/>
      </c>
      <c r="H70" s="504"/>
      <c r="I70" s="434"/>
      <c r="J70" s="166"/>
      <c r="K70" s="1892" t="s">
        <v>905</v>
      </c>
      <c r="L70" s="1890">
        <v>35</v>
      </c>
      <c r="M70" s="180">
        <v>2.8</v>
      </c>
      <c r="N70" s="180">
        <v>1.6</v>
      </c>
      <c r="O70" s="180">
        <v>4.4800000000000004</v>
      </c>
      <c r="P70" s="180">
        <f>'1.GeneralInfo'!S$13/'1.GeneralInfo'!S$12*O70+L70</f>
        <v>35</v>
      </c>
      <c r="Q70" s="290">
        <f t="shared" si="10"/>
        <v>0.52447505691631413</v>
      </c>
      <c r="R70" s="290">
        <f t="shared" ref="R70:R82" si="13">IF(P70&gt;75,2.74+3.15-0.203*(SQRT(697)),2.64*MAX(0.2,(P70/75))+3.15-0.203*(SQRT(697*MAX(0.2,P70/75))))</f>
        <v>0.72086437472378329</v>
      </c>
      <c r="S70" s="290">
        <f t="shared" si="11"/>
        <v>18.356626992070993</v>
      </c>
      <c r="T70" s="1887">
        <f t="shared" si="12"/>
        <v>25.230253115332417</v>
      </c>
      <c r="U70" s="434"/>
      <c r="V70" s="434"/>
      <c r="W70" s="2027">
        <f ca="1">IF('2.CropManagement'!Y$12&gt;0,IF(P$32&lt;&gt;0,IF(E70&lt;&gt;"",E70*(OFFSET(S70,0,$L$32-1))*$P$32,0),0),0)</f>
        <v>0</v>
      </c>
      <c r="X70" s="1837">
        <f t="shared" ca="1" si="8"/>
        <v>1</v>
      </c>
      <c r="Y70" s="434"/>
      <c r="Z70" s="293"/>
      <c r="AA70" s="293"/>
      <c r="AB70" s="292"/>
      <c r="AC70" s="292"/>
      <c r="AD70" s="292"/>
      <c r="AE70" s="292"/>
      <c r="AF70" s="292"/>
      <c r="AG70" s="292"/>
      <c r="AH70" s="292"/>
      <c r="AI70" s="292"/>
      <c r="AJ70" s="292"/>
      <c r="AK70" s="292"/>
      <c r="AL70" s="292"/>
      <c r="AM70" s="292"/>
      <c r="AN70" s="292"/>
      <c r="AO70" s="292"/>
      <c r="AP70" s="292"/>
      <c r="AQ70" s="292"/>
      <c r="AR70" s="1616"/>
      <c r="AS70" s="1616"/>
      <c r="AT70" s="1616"/>
      <c r="AU70" s="1616"/>
      <c r="AV70" s="1616"/>
      <c r="AW70" s="1616"/>
      <c r="AX70" s="1616"/>
      <c r="AY70" s="1616"/>
      <c r="AZ70" s="1616"/>
      <c r="BA70" s="1616"/>
    </row>
    <row r="71" spans="1:53" ht="16.600000000000001" customHeight="1" x14ac:dyDescent="0.25">
      <c r="A71" s="434"/>
      <c r="B71" s="916"/>
      <c r="C71" s="926" t="s">
        <v>150</v>
      </c>
      <c r="D71" s="505" t="s">
        <v>154</v>
      </c>
      <c r="E71" s="1193">
        <f>IF(ISBLANK(Import!D164), "", Import!D164)</f>
        <v>0</v>
      </c>
      <c r="F71" s="1193">
        <f t="shared" ca="1" si="9"/>
        <v>0</v>
      </c>
      <c r="G71" s="490" t="str">
        <f t="shared" si="7"/>
        <v/>
      </c>
      <c r="H71" s="504"/>
      <c r="I71" s="434"/>
      <c r="J71" s="166"/>
      <c r="K71" s="1892" t="s">
        <v>154</v>
      </c>
      <c r="L71" s="1890">
        <v>9.3000000000000007</v>
      </c>
      <c r="M71" s="180">
        <v>2.7</v>
      </c>
      <c r="N71" s="180">
        <v>0</v>
      </c>
      <c r="O71" s="180">
        <v>0</v>
      </c>
      <c r="P71" s="180">
        <f>'1.GeneralInfo'!S$13/'1.GeneralInfo'!S$12*O71+L71</f>
        <v>9.3000000000000007</v>
      </c>
      <c r="Q71" s="290">
        <f t="shared" si="10"/>
        <v>0.80322278536909542</v>
      </c>
      <c r="R71" s="290">
        <f t="shared" si="13"/>
        <v>1.2812241239531801</v>
      </c>
      <c r="S71" s="290">
        <f t="shared" si="11"/>
        <v>7.4699719039325876</v>
      </c>
      <c r="T71" s="1887">
        <f t="shared" si="12"/>
        <v>11.915384352764576</v>
      </c>
      <c r="U71" s="434"/>
      <c r="V71" s="434"/>
      <c r="W71" s="2027">
        <f ca="1">IF('2.CropManagement'!Y$12&gt;0,IF(P$32&lt;&gt;0,IF(E71&lt;&gt;"",E71*(OFFSET(S71,0,$L$32-1))*$P$32,0),0),0)</f>
        <v>0</v>
      </c>
      <c r="X71" s="1837">
        <f t="shared" ca="1" si="8"/>
        <v>1</v>
      </c>
      <c r="Y71" s="434"/>
      <c r="Z71" s="293"/>
      <c r="AA71" s="293"/>
      <c r="AB71" s="292"/>
      <c r="AC71" s="292"/>
      <c r="AD71" s="292"/>
      <c r="AE71" s="292"/>
      <c r="AF71" s="292"/>
      <c r="AG71" s="292"/>
      <c r="AH71" s="292"/>
      <c r="AI71" s="292"/>
      <c r="AJ71" s="292"/>
      <c r="AK71" s="292"/>
      <c r="AL71" s="292"/>
      <c r="AM71" s="292"/>
      <c r="AN71" s="292"/>
      <c r="AO71" s="292"/>
      <c r="AP71" s="292"/>
      <c r="AQ71" s="292"/>
      <c r="AR71" s="1616"/>
      <c r="AS71" s="1616"/>
      <c r="AT71" s="1616"/>
      <c r="AU71" s="1616"/>
      <c r="AV71" s="1616"/>
      <c r="AW71" s="1616"/>
      <c r="AX71" s="1616"/>
      <c r="AY71" s="1616"/>
      <c r="AZ71" s="1616"/>
      <c r="BA71" s="1616"/>
    </row>
    <row r="72" spans="1:53" ht="16.600000000000001" customHeight="1" x14ac:dyDescent="0.25">
      <c r="A72" s="434"/>
      <c r="B72" s="916"/>
      <c r="C72" s="926" t="s">
        <v>150</v>
      </c>
      <c r="D72" s="505" t="s">
        <v>1312</v>
      </c>
      <c r="E72" s="1193">
        <f>IF(ISBLANK(Import!D165), "", Import!D165)</f>
        <v>0</v>
      </c>
      <c r="F72" s="1193">
        <f t="shared" ca="1" si="9"/>
        <v>0</v>
      </c>
      <c r="G72" s="490" t="str">
        <f t="shared" si="7"/>
        <v/>
      </c>
      <c r="H72" s="504"/>
      <c r="I72" s="434"/>
      <c r="J72" s="166"/>
      <c r="K72" s="1892" t="s">
        <v>1312</v>
      </c>
      <c r="L72" s="1890">
        <v>1.9</v>
      </c>
      <c r="M72" s="180">
        <v>2.7</v>
      </c>
      <c r="N72" s="180">
        <v>0</v>
      </c>
      <c r="O72" s="180">
        <v>0</v>
      </c>
      <c r="P72" s="180">
        <f>'1.GeneralInfo'!S$13/'1.GeneralInfo'!S$12*O72+L72</f>
        <v>1.9</v>
      </c>
      <c r="Q72" s="290">
        <f t="shared" si="10"/>
        <v>0.80322278536909542</v>
      </c>
      <c r="R72" s="290">
        <f t="shared" si="13"/>
        <v>1.2812241239531801</v>
      </c>
      <c r="S72" s="290">
        <f t="shared" si="11"/>
        <v>1.5261232922012813</v>
      </c>
      <c r="T72" s="1887">
        <f t="shared" si="12"/>
        <v>2.434325835511042</v>
      </c>
      <c r="U72" s="434"/>
      <c r="V72" s="434"/>
      <c r="W72" s="2027">
        <f ca="1">IF('2.CropManagement'!Y$12&gt;0,IF(P$32&lt;&gt;0,IF(E72&lt;&gt;"",E72*(OFFSET(S72,0,$L$32-1))*$P$32,0),0),0)</f>
        <v>0</v>
      </c>
      <c r="X72" s="1837">
        <f t="shared" ca="1" si="8"/>
        <v>1</v>
      </c>
      <c r="Y72" s="434"/>
      <c r="Z72" s="293"/>
      <c r="AA72" s="293"/>
      <c r="AB72" s="292"/>
      <c r="AC72" s="292"/>
      <c r="AD72" s="292"/>
      <c r="AE72" s="292"/>
      <c r="AF72" s="292"/>
      <c r="AG72" s="292"/>
      <c r="AH72" s="292"/>
      <c r="AI72" s="292"/>
      <c r="AJ72" s="292"/>
      <c r="AK72" s="292"/>
      <c r="AL72" s="292"/>
      <c r="AM72" s="292"/>
      <c r="AN72" s="292"/>
      <c r="AO72" s="292"/>
      <c r="AP72" s="292"/>
      <c r="AQ72" s="292"/>
      <c r="AR72" s="1616"/>
      <c r="AS72" s="1616"/>
      <c r="AT72" s="1616"/>
      <c r="AU72" s="1616"/>
      <c r="AV72" s="1616"/>
      <c r="AW72" s="1616"/>
      <c r="AX72" s="1616"/>
      <c r="AY72" s="1616"/>
      <c r="AZ72" s="1616"/>
      <c r="BA72" s="1616"/>
    </row>
    <row r="73" spans="1:53" ht="16.600000000000001" customHeight="1" x14ac:dyDescent="0.25">
      <c r="A73" s="434"/>
      <c r="B73" s="916"/>
      <c r="C73" s="926" t="s">
        <v>150</v>
      </c>
      <c r="D73" s="505" t="s">
        <v>1310</v>
      </c>
      <c r="E73" s="1193">
        <f>IF(ISBLANK(Import!D166), "", Import!D166)</f>
        <v>0</v>
      </c>
      <c r="F73" s="1193">
        <f t="shared" ca="1" si="9"/>
        <v>0</v>
      </c>
      <c r="G73" s="490" t="str">
        <f t="shared" si="7"/>
        <v/>
      </c>
      <c r="H73" s="504"/>
      <c r="I73" s="434"/>
      <c r="J73" s="166"/>
      <c r="K73" s="1892" t="s">
        <v>1310</v>
      </c>
      <c r="L73" s="1890">
        <v>0</v>
      </c>
      <c r="M73" s="180">
        <v>0.5</v>
      </c>
      <c r="N73" s="180">
        <v>0.9</v>
      </c>
      <c r="O73" s="180">
        <v>0.45</v>
      </c>
      <c r="P73" s="180">
        <f>'1.GeneralInfo'!S$13/'1.GeneralInfo'!S$12*O73+L73</f>
        <v>0</v>
      </c>
      <c r="Q73" s="290">
        <f t="shared" si="10"/>
        <v>0.80322278536909542</v>
      </c>
      <c r="R73" s="290">
        <f t="shared" si="13"/>
        <v>1.2812241239531801</v>
      </c>
      <c r="S73" s="290">
        <f t="shared" si="11"/>
        <v>0</v>
      </c>
      <c r="T73" s="1887">
        <f t="shared" si="12"/>
        <v>0</v>
      </c>
      <c r="U73" s="434"/>
      <c r="V73" s="434"/>
      <c r="W73" s="2027">
        <f ca="1">IF('2.CropManagement'!Y$12&gt;0,IF(P$32&lt;&gt;0,IF(E73&lt;&gt;"",E73*(OFFSET(S73,0,$L$32-1))*$P$32,0),0),0)</f>
        <v>0</v>
      </c>
      <c r="X73" s="1837">
        <f t="shared" ca="1" si="8"/>
        <v>1</v>
      </c>
      <c r="Y73" s="434"/>
      <c r="Z73" s="293"/>
      <c r="AA73" s="293"/>
      <c r="AB73" s="292"/>
      <c r="AC73" s="292"/>
      <c r="AD73" s="292"/>
      <c r="AE73" s="292"/>
      <c r="AF73" s="292"/>
      <c r="AG73" s="292"/>
      <c r="AH73" s="292"/>
      <c r="AI73" s="292"/>
      <c r="AJ73" s="292"/>
      <c r="AK73" s="292"/>
      <c r="AL73" s="292"/>
      <c r="AM73" s="292"/>
      <c r="AN73" s="292"/>
      <c r="AO73" s="292"/>
      <c r="AP73" s="292"/>
      <c r="AQ73" s="292"/>
      <c r="AR73" s="1616"/>
      <c r="AS73" s="1616"/>
      <c r="AT73" s="1616"/>
      <c r="AU73" s="1616"/>
      <c r="AV73" s="1616"/>
      <c r="AW73" s="1616"/>
      <c r="AX73" s="1616"/>
      <c r="AY73" s="1616"/>
      <c r="AZ73" s="1616"/>
      <c r="BA73" s="1616"/>
    </row>
    <row r="74" spans="1:53" ht="16.600000000000001" customHeight="1" x14ac:dyDescent="0.25">
      <c r="A74" s="434"/>
      <c r="B74" s="916"/>
      <c r="C74" s="926" t="s">
        <v>150</v>
      </c>
      <c r="D74" s="505" t="s">
        <v>155</v>
      </c>
      <c r="E74" s="1193">
        <f>IF(ISBLANK(Import!D167), "", Import!D167)</f>
        <v>0</v>
      </c>
      <c r="F74" s="1193">
        <f t="shared" ca="1" si="9"/>
        <v>0</v>
      </c>
      <c r="G74" s="490" t="str">
        <f t="shared" si="7"/>
        <v/>
      </c>
      <c r="H74" s="504"/>
      <c r="I74" s="434"/>
      <c r="J74" s="166"/>
      <c r="K74" s="1892" t="s">
        <v>155</v>
      </c>
      <c r="L74" s="1890">
        <v>6</v>
      </c>
      <c r="M74" s="180">
        <v>1.5</v>
      </c>
      <c r="N74" s="180">
        <v>4.333333333333333</v>
      </c>
      <c r="O74" s="180">
        <v>6.5</v>
      </c>
      <c r="P74" s="180">
        <f>'1.GeneralInfo'!S$13/'1.GeneralInfo'!S$12*O74+L74</f>
        <v>6</v>
      </c>
      <c r="Q74" s="290">
        <f t="shared" si="10"/>
        <v>0.80322278536909542</v>
      </c>
      <c r="R74" s="290">
        <f t="shared" si="13"/>
        <v>1.2812241239531801</v>
      </c>
      <c r="S74" s="290">
        <f t="shared" si="11"/>
        <v>4.8193367122145725</v>
      </c>
      <c r="T74" s="1887">
        <f t="shared" si="12"/>
        <v>7.6873447437190805</v>
      </c>
      <c r="U74" s="434"/>
      <c r="V74" s="434"/>
      <c r="W74" s="2027">
        <f ca="1">IF('2.CropManagement'!Y$12&gt;0,IF(P$32&lt;&gt;0,IF(E74&lt;&gt;"",E74*(OFFSET(S74,0,$L$32-1))*$P$32,0),0),0)</f>
        <v>0</v>
      </c>
      <c r="X74" s="1837">
        <f t="shared" ca="1" si="8"/>
        <v>1</v>
      </c>
      <c r="Y74" s="434"/>
      <c r="Z74" s="293"/>
      <c r="AA74" s="293"/>
      <c r="AB74" s="292"/>
      <c r="AC74" s="292"/>
      <c r="AD74" s="292"/>
      <c r="AE74" s="292"/>
      <c r="AF74" s="292"/>
      <c r="AG74" s="292"/>
      <c r="AH74" s="292"/>
      <c r="AI74" s="292"/>
      <c r="AJ74" s="292"/>
      <c r="AK74" s="292"/>
      <c r="AL74" s="292"/>
      <c r="AM74" s="292"/>
      <c r="AN74" s="292"/>
      <c r="AO74" s="292"/>
      <c r="AP74" s="292"/>
      <c r="AQ74" s="292"/>
      <c r="AR74" s="1616"/>
      <c r="AS74" s="1616"/>
      <c r="AT74" s="1616"/>
      <c r="AU74" s="1616"/>
      <c r="AV74" s="1616"/>
      <c r="AW74" s="1616"/>
      <c r="AX74" s="1616"/>
      <c r="AY74" s="1616"/>
      <c r="AZ74" s="1616"/>
      <c r="BA74" s="1616"/>
    </row>
    <row r="75" spans="1:53" ht="16.600000000000001" customHeight="1" x14ac:dyDescent="0.25">
      <c r="A75" s="434"/>
      <c r="B75" s="916"/>
      <c r="C75" s="926" t="s">
        <v>150</v>
      </c>
      <c r="D75" s="505" t="s">
        <v>1585</v>
      </c>
      <c r="E75" s="1193">
        <f>IF(ISBLANK(Import!D168), "", Import!D168)</f>
        <v>0</v>
      </c>
      <c r="F75" s="1193">
        <f t="shared" ca="1" si="9"/>
        <v>0</v>
      </c>
      <c r="G75" s="490" t="str">
        <f t="shared" si="7"/>
        <v/>
      </c>
      <c r="H75" s="504"/>
      <c r="I75" s="434"/>
      <c r="J75" s="166"/>
      <c r="K75" s="1892" t="s">
        <v>1585</v>
      </c>
      <c r="L75" s="1890">
        <v>0</v>
      </c>
      <c r="M75" s="180">
        <v>0.2</v>
      </c>
      <c r="N75" s="180">
        <v>0.2</v>
      </c>
      <c r="O75" s="180">
        <v>0.04</v>
      </c>
      <c r="P75" s="180">
        <f>'1.GeneralInfo'!S$13/'1.GeneralInfo'!S$12*O75+L75</f>
        <v>0</v>
      </c>
      <c r="Q75" s="290">
        <f t="shared" si="10"/>
        <v>0.80322278536909542</v>
      </c>
      <c r="R75" s="290">
        <f t="shared" si="13"/>
        <v>1.2812241239531801</v>
      </c>
      <c r="S75" s="290">
        <f t="shared" si="11"/>
        <v>0</v>
      </c>
      <c r="T75" s="1887">
        <f t="shared" si="12"/>
        <v>0</v>
      </c>
      <c r="U75" s="434"/>
      <c r="V75" s="434"/>
      <c r="W75" s="2027">
        <f ca="1">IF('2.CropManagement'!Y$12&gt;0,IF(P$32&lt;&gt;0,IF(E75&lt;&gt;"",E75*(OFFSET(S75,0,$L$32-1))*$P$32,0),0),0)</f>
        <v>0</v>
      </c>
      <c r="X75" s="1837">
        <f t="shared" ca="1" si="8"/>
        <v>1</v>
      </c>
      <c r="Y75" s="434"/>
      <c r="Z75" s="293"/>
      <c r="AA75" s="293"/>
      <c r="AB75" s="292"/>
      <c r="AC75" s="292"/>
      <c r="AD75" s="292"/>
      <c r="AE75" s="292"/>
      <c r="AF75" s="292"/>
      <c r="AG75" s="292"/>
      <c r="AH75" s="292"/>
      <c r="AI75" s="292"/>
      <c r="AJ75" s="292"/>
      <c r="AK75" s="292"/>
      <c r="AL75" s="292"/>
      <c r="AM75" s="292"/>
      <c r="AN75" s="292"/>
      <c r="AO75" s="292"/>
      <c r="AP75" s="292"/>
      <c r="AQ75" s="292"/>
      <c r="AR75" s="1616"/>
      <c r="AS75" s="1616"/>
      <c r="AT75" s="1616"/>
      <c r="AU75" s="1616"/>
      <c r="AV75" s="1616"/>
      <c r="AW75" s="1616"/>
      <c r="AX75" s="1616"/>
      <c r="AY75" s="1616"/>
      <c r="AZ75" s="1616"/>
      <c r="BA75" s="1616"/>
    </row>
    <row r="76" spans="1:53" ht="16.600000000000001" customHeight="1" x14ac:dyDescent="0.25">
      <c r="A76" s="434"/>
      <c r="B76" s="916"/>
      <c r="C76" s="926" t="s">
        <v>150</v>
      </c>
      <c r="D76" s="505" t="s">
        <v>1311</v>
      </c>
      <c r="E76" s="1193">
        <f>IF(ISBLANK(Import!D169), "", Import!D169)</f>
        <v>0</v>
      </c>
      <c r="F76" s="1193">
        <f t="shared" ca="1" si="9"/>
        <v>0</v>
      </c>
      <c r="G76" s="490" t="str">
        <f t="shared" si="7"/>
        <v/>
      </c>
      <c r="H76" s="504"/>
      <c r="I76" s="434"/>
      <c r="J76" s="166"/>
      <c r="K76" s="1892" t="s">
        <v>1311</v>
      </c>
      <c r="L76" s="1890">
        <v>2.0666666666666669</v>
      </c>
      <c r="M76" s="180">
        <v>3.5666666666666664</v>
      </c>
      <c r="N76" s="180">
        <v>0</v>
      </c>
      <c r="O76" s="180">
        <v>0</v>
      </c>
      <c r="P76" s="180">
        <f>'1.GeneralInfo'!S$13/'1.GeneralInfo'!S$12*O76+L76</f>
        <v>2.0666666666666669</v>
      </c>
      <c r="Q76" s="290">
        <f t="shared" si="10"/>
        <v>0.80322278536909542</v>
      </c>
      <c r="R76" s="290">
        <f t="shared" si="13"/>
        <v>1.2812241239531801</v>
      </c>
      <c r="S76" s="290">
        <f t="shared" si="11"/>
        <v>1.659993756429464</v>
      </c>
      <c r="T76" s="1887">
        <f t="shared" si="12"/>
        <v>2.647863189503239</v>
      </c>
      <c r="U76" s="434"/>
      <c r="V76" s="434"/>
      <c r="W76" s="2027">
        <f ca="1">IF('2.CropManagement'!Y$12&gt;0,IF(P$32&lt;&gt;0,IF(E76&lt;&gt;"",E76*(OFFSET(S76,0,$L$32-1))*$P$32,0),0),0)</f>
        <v>0</v>
      </c>
      <c r="X76" s="1837">
        <f t="shared" ca="1" si="8"/>
        <v>1</v>
      </c>
      <c r="Y76" s="434"/>
      <c r="Z76" s="293"/>
      <c r="AA76" s="293"/>
      <c r="AB76" s="292"/>
      <c r="AC76" s="292"/>
      <c r="AD76" s="292"/>
      <c r="AE76" s="292"/>
      <c r="AF76" s="292"/>
      <c r="AG76" s="292"/>
      <c r="AH76" s="292"/>
      <c r="AI76" s="292"/>
      <c r="AJ76" s="292"/>
      <c r="AK76" s="292"/>
      <c r="AL76" s="292"/>
      <c r="AM76" s="292"/>
      <c r="AN76" s="292"/>
      <c r="AO76" s="292"/>
      <c r="AP76" s="292"/>
      <c r="AQ76" s="292"/>
      <c r="AR76" s="1616"/>
      <c r="AS76" s="1616"/>
      <c r="AT76" s="1616"/>
      <c r="AU76" s="1616"/>
      <c r="AV76" s="1616"/>
      <c r="AW76" s="1616"/>
      <c r="AX76" s="1616"/>
      <c r="AY76" s="1616"/>
      <c r="AZ76" s="1616"/>
      <c r="BA76" s="1616"/>
    </row>
    <row r="77" spans="1:53" ht="16.600000000000001" customHeight="1" x14ac:dyDescent="0.25">
      <c r="A77" s="434"/>
      <c r="B77" s="916"/>
      <c r="C77" s="926" t="s">
        <v>150</v>
      </c>
      <c r="D77" s="505" t="s">
        <v>308</v>
      </c>
      <c r="E77" s="1193">
        <f>IF(ISBLANK(Import!D170), "", Import!D170)</f>
        <v>0</v>
      </c>
      <c r="F77" s="1193">
        <f t="shared" ca="1" si="9"/>
        <v>0</v>
      </c>
      <c r="G77" s="490" t="str">
        <f t="shared" si="7"/>
        <v/>
      </c>
      <c r="H77" s="504"/>
      <c r="I77" s="434"/>
      <c r="J77" s="166"/>
      <c r="K77" s="1892" t="s">
        <v>308</v>
      </c>
      <c r="L77" s="1890">
        <v>7.25</v>
      </c>
      <c r="M77" s="180">
        <v>3.8</v>
      </c>
      <c r="N77" s="180">
        <v>0</v>
      </c>
      <c r="O77" s="180">
        <v>0</v>
      </c>
      <c r="P77" s="180">
        <f>'1.GeneralInfo'!S$13/'1.GeneralInfo'!S$12*O77+L77</f>
        <v>7.25</v>
      </c>
      <c r="Q77" s="290">
        <f t="shared" si="10"/>
        <v>0.80322278536909542</v>
      </c>
      <c r="R77" s="290">
        <f t="shared" si="13"/>
        <v>1.2812241239531801</v>
      </c>
      <c r="S77" s="290">
        <f t="shared" si="11"/>
        <v>5.8233651939259419</v>
      </c>
      <c r="T77" s="1887">
        <f t="shared" si="12"/>
        <v>9.2888748986605556</v>
      </c>
      <c r="U77" s="434"/>
      <c r="V77" s="434"/>
      <c r="W77" s="2027">
        <f ca="1">IF('2.CropManagement'!Y$12&gt;0,IF(P$32&lt;&gt;0,IF(E77&lt;&gt;"",E77*(OFFSET(S77,0,$L$32-1))*$P$32,0),0),0)</f>
        <v>0</v>
      </c>
      <c r="X77" s="1837">
        <f t="shared" ca="1" si="8"/>
        <v>1</v>
      </c>
      <c r="Y77" s="434"/>
      <c r="Z77" s="293"/>
      <c r="AA77" s="293"/>
      <c r="AB77" s="292"/>
      <c r="AC77" s="292"/>
      <c r="AD77" s="292"/>
      <c r="AE77" s="292"/>
      <c r="AF77" s="292"/>
      <c r="AG77" s="292"/>
      <c r="AH77" s="292"/>
      <c r="AI77" s="292"/>
      <c r="AJ77" s="292"/>
      <c r="AK77" s="292"/>
      <c r="AL77" s="292"/>
      <c r="AM77" s="292"/>
      <c r="AN77" s="292"/>
      <c r="AO77" s="292"/>
      <c r="AP77" s="292"/>
      <c r="AQ77" s="292"/>
      <c r="AR77" s="1616"/>
      <c r="AS77" s="1616"/>
      <c r="AT77" s="1616"/>
      <c r="AU77" s="1616"/>
      <c r="AV77" s="1616"/>
      <c r="AW77" s="1616"/>
      <c r="AX77" s="1616"/>
      <c r="AY77" s="1616"/>
      <c r="AZ77" s="1616"/>
      <c r="BA77" s="1616"/>
    </row>
    <row r="78" spans="1:53" ht="16.600000000000001" customHeight="1" x14ac:dyDescent="0.25">
      <c r="A78" s="434"/>
      <c r="B78" s="916"/>
      <c r="C78" s="926" t="s">
        <v>150</v>
      </c>
      <c r="D78" s="505" t="s">
        <v>491</v>
      </c>
      <c r="E78" s="1193">
        <f>IF(ISBLANK(Import!D171), "", Import!D171)</f>
        <v>0</v>
      </c>
      <c r="F78" s="1193">
        <f t="shared" ca="1" si="9"/>
        <v>0</v>
      </c>
      <c r="G78" s="490" t="str">
        <f t="shared" si="7"/>
        <v/>
      </c>
      <c r="H78" s="504"/>
      <c r="I78" s="434"/>
      <c r="J78" s="166"/>
      <c r="K78" s="1892" t="s">
        <v>491</v>
      </c>
      <c r="L78" s="1890">
        <v>55.108512020792716</v>
      </c>
      <c r="M78" s="180">
        <v>1</v>
      </c>
      <c r="N78" s="180">
        <v>0</v>
      </c>
      <c r="O78" s="180">
        <v>0</v>
      </c>
      <c r="P78" s="180">
        <f>'1.GeneralInfo'!S$13/'1.GeneralInfo'!S$12*O78+L78</f>
        <v>55.108512020792716</v>
      </c>
      <c r="Q78" s="290">
        <f t="shared" si="10"/>
        <v>0.4206881040811723</v>
      </c>
      <c r="R78" s="290">
        <f t="shared" si="13"/>
        <v>0.49581806996165589</v>
      </c>
      <c r="S78" s="290">
        <f t="shared" si="11"/>
        <v>23.183495440761781</v>
      </c>
      <c r="T78" s="1887">
        <f t="shared" si="12"/>
        <v>27.323796068608157</v>
      </c>
      <c r="U78" s="434"/>
      <c r="V78" s="434"/>
      <c r="W78" s="2027">
        <f ca="1">IF('2.CropManagement'!Y$12&gt;0,IF(P$32&lt;&gt;0,IF(E78&lt;&gt;"",E78*(OFFSET(S78,0,$L$32-1))*$P$32,0),0),0)</f>
        <v>0</v>
      </c>
      <c r="X78" s="1837">
        <f t="shared" ca="1" si="8"/>
        <v>1</v>
      </c>
      <c r="Y78" s="434"/>
      <c r="Z78" s="293"/>
      <c r="AA78" s="293"/>
      <c r="AB78" s="292"/>
      <c r="AC78" s="292"/>
      <c r="AD78" s="292"/>
      <c r="AE78" s="292"/>
      <c r="AF78" s="292"/>
      <c r="AG78" s="292"/>
      <c r="AH78" s="292"/>
      <c r="AI78" s="292"/>
      <c r="AJ78" s="292"/>
      <c r="AK78" s="292"/>
      <c r="AL78" s="292"/>
      <c r="AM78" s="292"/>
      <c r="AN78" s="292"/>
      <c r="AO78" s="292"/>
      <c r="AP78" s="292"/>
      <c r="AQ78" s="292"/>
      <c r="AR78" s="1616"/>
      <c r="AS78" s="1616"/>
      <c r="AT78" s="1616"/>
      <c r="AU78" s="1616"/>
      <c r="AV78" s="1616"/>
      <c r="AW78" s="1616"/>
      <c r="AX78" s="1616"/>
      <c r="AY78" s="1616"/>
      <c r="AZ78" s="1616"/>
      <c r="BA78" s="1616"/>
    </row>
    <row r="79" spans="1:53" ht="16.600000000000001" customHeight="1" x14ac:dyDescent="0.25">
      <c r="A79" s="434"/>
      <c r="B79" s="916"/>
      <c r="C79" s="926" t="s">
        <v>150</v>
      </c>
      <c r="D79" s="505" t="s">
        <v>314</v>
      </c>
      <c r="E79" s="1193">
        <f>IF(ISBLANK(Import!D172), "", Import!D172)</f>
        <v>0</v>
      </c>
      <c r="F79" s="1193">
        <f t="shared" ca="1" si="9"/>
        <v>0</v>
      </c>
      <c r="G79" s="490" t="str">
        <f t="shared" si="7"/>
        <v/>
      </c>
      <c r="H79" s="504"/>
      <c r="I79" s="434"/>
      <c r="J79" s="166"/>
      <c r="K79" s="1892" t="s">
        <v>314</v>
      </c>
      <c r="L79" s="1890">
        <v>10.7</v>
      </c>
      <c r="M79" s="180">
        <v>0.9</v>
      </c>
      <c r="N79" s="180">
        <v>0</v>
      </c>
      <c r="O79" s="180">
        <v>0</v>
      </c>
      <c r="P79" s="180">
        <f>'1.GeneralInfo'!S$13/'1.GeneralInfo'!S$12*O79+L79</f>
        <v>10.7</v>
      </c>
      <c r="Q79" s="290">
        <f t="shared" si="10"/>
        <v>0.80322278536909542</v>
      </c>
      <c r="R79" s="290">
        <f t="shared" si="13"/>
        <v>1.2812241239531801</v>
      </c>
      <c r="S79" s="290">
        <f t="shared" si="11"/>
        <v>8.5944838034493198</v>
      </c>
      <c r="T79" s="1887">
        <f t="shared" si="12"/>
        <v>13.709098126299025</v>
      </c>
      <c r="U79" s="434"/>
      <c r="V79" s="434"/>
      <c r="W79" s="2027">
        <f ca="1">IF('2.CropManagement'!Y$12&gt;0,IF(P$32&lt;&gt;0,IF(E79&lt;&gt;"",E79*(OFFSET(S79,0,$L$32-1))*$P$32,0),0),0)</f>
        <v>0</v>
      </c>
      <c r="X79" s="1837">
        <f t="shared" ca="1" si="8"/>
        <v>1</v>
      </c>
      <c r="Y79" s="434"/>
      <c r="Z79" s="293"/>
      <c r="AA79" s="293"/>
      <c r="AB79" s="292"/>
      <c r="AC79" s="292"/>
      <c r="AD79" s="292"/>
      <c r="AE79" s="292"/>
      <c r="AF79" s="292"/>
      <c r="AG79" s="292"/>
      <c r="AH79" s="292"/>
      <c r="AI79" s="292"/>
      <c r="AJ79" s="292"/>
      <c r="AK79" s="292"/>
      <c r="AL79" s="292"/>
      <c r="AM79" s="292"/>
      <c r="AN79" s="292"/>
      <c r="AO79" s="292"/>
      <c r="AP79" s="292"/>
      <c r="AQ79" s="292"/>
      <c r="AR79" s="1616"/>
      <c r="AS79" s="1616"/>
      <c r="AT79" s="1616"/>
      <c r="AU79" s="1616"/>
      <c r="AV79" s="1616"/>
      <c r="AW79" s="1616"/>
      <c r="AX79" s="1616"/>
      <c r="AY79" s="1616"/>
      <c r="AZ79" s="1616"/>
      <c r="BA79" s="1616"/>
    </row>
    <row r="80" spans="1:53" ht="16.600000000000001" customHeight="1" x14ac:dyDescent="0.25">
      <c r="A80" s="434"/>
      <c r="B80" s="916"/>
      <c r="C80" s="926" t="s">
        <v>150</v>
      </c>
      <c r="D80" s="505" t="s">
        <v>310</v>
      </c>
      <c r="E80" s="1193">
        <f>IF(ISBLANK(Import!D173), "", Import!D173)</f>
        <v>0</v>
      </c>
      <c r="F80" s="1193">
        <f t="shared" ca="1" si="9"/>
        <v>0</v>
      </c>
      <c r="G80" s="490" t="str">
        <f t="shared" si="7"/>
        <v/>
      </c>
      <c r="H80" s="504"/>
      <c r="I80" s="434"/>
      <c r="J80" s="166"/>
      <c r="K80" s="1892" t="s">
        <v>310</v>
      </c>
      <c r="L80" s="1890">
        <v>2.75</v>
      </c>
      <c r="M80" s="180">
        <v>2.7</v>
      </c>
      <c r="N80" s="180">
        <v>0</v>
      </c>
      <c r="O80" s="180">
        <v>0</v>
      </c>
      <c r="P80" s="180">
        <f>'1.GeneralInfo'!S$13/'1.GeneralInfo'!S$12*O80+L80</f>
        <v>2.75</v>
      </c>
      <c r="Q80" s="290">
        <f t="shared" si="10"/>
        <v>0.80322278536909542</v>
      </c>
      <c r="R80" s="290">
        <f t="shared" si="13"/>
        <v>1.2812241239531801</v>
      </c>
      <c r="S80" s="290">
        <f t="shared" si="11"/>
        <v>2.2088626597650123</v>
      </c>
      <c r="T80" s="1887">
        <f t="shared" si="12"/>
        <v>3.5233663408712452</v>
      </c>
      <c r="U80" s="434"/>
      <c r="V80" s="434"/>
      <c r="W80" s="2027">
        <f ca="1">IF('2.CropManagement'!Y$12&gt;0,IF(P$32&lt;&gt;0,IF(E80&lt;&gt;"",E80*(OFFSET(S80,0,$L$32-1))*$P$32,0),0),0)</f>
        <v>0</v>
      </c>
      <c r="X80" s="1837">
        <f t="shared" ca="1" si="8"/>
        <v>1</v>
      </c>
      <c r="Y80" s="434"/>
      <c r="Z80" s="293"/>
      <c r="AA80" s="293"/>
      <c r="AB80" s="292"/>
      <c r="AC80" s="292"/>
      <c r="AD80" s="292"/>
      <c r="AE80" s="292"/>
      <c r="AF80" s="292"/>
      <c r="AG80" s="292"/>
      <c r="AH80" s="292"/>
      <c r="AI80" s="292"/>
      <c r="AJ80" s="292"/>
      <c r="AK80" s="292"/>
      <c r="AL80" s="292"/>
      <c r="AM80" s="292"/>
      <c r="AN80" s="292"/>
      <c r="AO80" s="292"/>
      <c r="AP80" s="292"/>
      <c r="AQ80" s="292"/>
      <c r="AR80" s="1616"/>
      <c r="AS80" s="1616"/>
      <c r="AT80" s="1616"/>
      <c r="AU80" s="1616"/>
      <c r="AV80" s="1616"/>
      <c r="AW80" s="1616"/>
      <c r="AX80" s="1616"/>
      <c r="AY80" s="1616"/>
      <c r="AZ80" s="1616"/>
      <c r="BA80" s="1616"/>
    </row>
    <row r="81" spans="1:53" ht="16.600000000000001" customHeight="1" x14ac:dyDescent="0.25">
      <c r="A81" s="434"/>
      <c r="B81" s="916"/>
      <c r="C81" s="926" t="s">
        <v>150</v>
      </c>
      <c r="D81" s="505" t="s">
        <v>1530</v>
      </c>
      <c r="E81" s="1193">
        <f>IF(ISBLANK(Import!D175), "", Import!D175)</f>
        <v>0</v>
      </c>
      <c r="F81" s="1193">
        <f t="shared" ca="1" si="9"/>
        <v>0</v>
      </c>
      <c r="G81" s="490" t="str">
        <f t="shared" si="7"/>
        <v/>
      </c>
      <c r="H81" s="504"/>
      <c r="I81" s="434"/>
      <c r="J81" s="166"/>
      <c r="K81" s="1892" t="str">
        <f>D81</f>
        <v>tomato harvester</v>
      </c>
      <c r="L81" s="1890"/>
      <c r="M81" s="180"/>
      <c r="N81" s="180"/>
      <c r="O81" s="180"/>
      <c r="P81" s="180"/>
      <c r="Q81" s="290"/>
      <c r="R81" s="290"/>
      <c r="S81" s="1886">
        <f>0.23356*P122</f>
        <v>1.0617847804</v>
      </c>
      <c r="T81" s="1888">
        <f>S81</f>
        <v>1.0617847804</v>
      </c>
      <c r="U81" s="434"/>
      <c r="V81" s="434"/>
      <c r="W81" s="2027">
        <f>T81*'1.GeneralInfo'!S13*'2.CropManagement'!Y159*E81</f>
        <v>0</v>
      </c>
      <c r="X81" s="1837">
        <f t="shared" ca="1" si="8"/>
        <v>1</v>
      </c>
      <c r="Y81" s="434"/>
      <c r="Z81" s="293"/>
      <c r="AA81" s="293"/>
      <c r="AB81" s="292"/>
      <c r="AC81" s="292"/>
      <c r="AD81" s="292"/>
      <c r="AE81" s="292"/>
      <c r="AF81" s="292"/>
      <c r="AG81" s="292"/>
      <c r="AH81" s="292"/>
      <c r="AI81" s="292"/>
      <c r="AJ81" s="292"/>
      <c r="AK81" s="292"/>
      <c r="AL81" s="292"/>
      <c r="AM81" s="292"/>
      <c r="AN81" s="292"/>
      <c r="AO81" s="292"/>
      <c r="AP81" s="292"/>
      <c r="AQ81" s="292"/>
      <c r="AR81" s="1616"/>
      <c r="AS81" s="1616"/>
      <c r="AT81" s="1616"/>
      <c r="AU81" s="1616"/>
      <c r="AV81" s="1616"/>
      <c r="AW81" s="1616"/>
      <c r="AX81" s="1616"/>
      <c r="AY81" s="1616"/>
      <c r="AZ81" s="1616"/>
      <c r="BA81" s="1616"/>
    </row>
    <row r="82" spans="1:53" ht="10.55" customHeight="1" thickBot="1" x14ac:dyDescent="0.3">
      <c r="A82" s="434"/>
      <c r="B82" s="916"/>
      <c r="C82" s="926" t="s">
        <v>150</v>
      </c>
      <c r="D82" s="505" t="s">
        <v>311</v>
      </c>
      <c r="E82" s="1193">
        <f>IF(ISBLANK(Import!D174), "", Import!D174)</f>
        <v>0</v>
      </c>
      <c r="F82" s="1193">
        <f t="shared" ca="1" si="9"/>
        <v>0</v>
      </c>
      <c r="G82" s="490" t="str">
        <f t="shared" si="7"/>
        <v/>
      </c>
      <c r="H82" s="504"/>
      <c r="I82" s="434"/>
      <c r="J82" s="166"/>
      <c r="K82" s="1893" t="s">
        <v>311</v>
      </c>
      <c r="L82" s="1891">
        <v>2</v>
      </c>
      <c r="M82" s="1703">
        <v>2</v>
      </c>
      <c r="N82" s="1703">
        <v>0</v>
      </c>
      <c r="O82" s="1703">
        <v>0</v>
      </c>
      <c r="P82" s="1703">
        <f>'1.GeneralInfo'!S$13/'1.GeneralInfo'!S$12*O82+L82</f>
        <v>2</v>
      </c>
      <c r="Q82" s="1873">
        <f t="shared" si="10"/>
        <v>0.80322278536909542</v>
      </c>
      <c r="R82" s="1873">
        <f t="shared" si="13"/>
        <v>1.2812241239531801</v>
      </c>
      <c r="S82" s="1873">
        <f t="shared" si="11"/>
        <v>1.6064455707381908</v>
      </c>
      <c r="T82" s="1889">
        <f t="shared" si="12"/>
        <v>2.5624482479063602</v>
      </c>
      <c r="U82" s="434"/>
      <c r="V82" s="434"/>
      <c r="W82" s="2028">
        <f ca="1">IF('2.CropManagement'!Y$12&gt;0,IF(P$32&lt;&gt;0,IF(E82&lt;&gt;"",E82*(OFFSET(S82,0,$L$32-1))*$P$32,0),0),0)</f>
        <v>0</v>
      </c>
      <c r="X82" s="1839">
        <f t="shared" ca="1" si="8"/>
        <v>1</v>
      </c>
      <c r="Y82" s="434"/>
      <c r="Z82" s="293"/>
      <c r="AA82" s="293"/>
      <c r="AB82" s="292"/>
      <c r="AC82" s="292"/>
      <c r="AD82" s="292"/>
      <c r="AE82" s="292"/>
      <c r="AF82" s="292"/>
      <c r="AG82" s="292"/>
      <c r="AH82" s="292"/>
      <c r="AI82" s="292"/>
      <c r="AJ82" s="292"/>
      <c r="AK82" s="292"/>
      <c r="AL82" s="292"/>
      <c r="AM82" s="292"/>
      <c r="AN82" s="292"/>
      <c r="AO82" s="292"/>
      <c r="AP82" s="292"/>
      <c r="AQ82" s="292"/>
      <c r="AR82" s="1616"/>
      <c r="AS82" s="1616"/>
      <c r="AT82" s="1616"/>
      <c r="AU82" s="1616"/>
      <c r="AV82" s="1616"/>
      <c r="AW82" s="1616"/>
      <c r="AX82" s="1616"/>
      <c r="AY82" s="1616"/>
      <c r="AZ82" s="1616"/>
      <c r="BA82" s="1616"/>
    </row>
    <row r="83" spans="1:53" ht="4.5" customHeight="1" thickBot="1" x14ac:dyDescent="0.3">
      <c r="A83" s="434"/>
      <c r="B83" s="918"/>
      <c r="C83" s="927"/>
      <c r="D83" s="506"/>
      <c r="E83" s="506"/>
      <c r="F83" s="507"/>
      <c r="G83" s="508"/>
      <c r="H83" s="504"/>
      <c r="I83" s="434"/>
      <c r="J83" s="434"/>
      <c r="K83" s="149"/>
      <c r="L83" s="149"/>
      <c r="M83" s="149"/>
      <c r="N83" s="149"/>
      <c r="O83" s="149"/>
      <c r="P83" s="149"/>
      <c r="Q83" s="149"/>
      <c r="R83" s="149"/>
      <c r="S83" s="149"/>
      <c r="T83" s="149"/>
      <c r="U83" s="434"/>
      <c r="V83" s="434"/>
      <c r="W83" s="434"/>
      <c r="X83" s="434"/>
      <c r="Y83" s="434"/>
      <c r="Z83" s="293"/>
      <c r="AA83" s="293"/>
      <c r="AB83" s="292"/>
      <c r="AC83" s="292"/>
      <c r="AD83" s="292"/>
      <c r="AE83" s="292"/>
      <c r="AF83" s="292"/>
      <c r="AG83" s="292"/>
      <c r="AH83" s="292"/>
      <c r="AI83" s="292"/>
      <c r="AJ83" s="292"/>
      <c r="AK83" s="292"/>
      <c r="AL83" s="292"/>
      <c r="AM83" s="292"/>
      <c r="AN83" s="292"/>
      <c r="AO83" s="292"/>
      <c r="AP83" s="292"/>
      <c r="AQ83" s="292"/>
      <c r="AR83" s="1616"/>
      <c r="AS83" s="1616"/>
      <c r="AT83" s="1616"/>
      <c r="AU83" s="1616"/>
      <c r="AV83" s="1616"/>
      <c r="AW83" s="1616"/>
      <c r="AX83" s="1616"/>
      <c r="AY83" s="1616"/>
      <c r="AZ83" s="1616"/>
      <c r="BA83" s="1616"/>
    </row>
    <row r="84" spans="1:53" ht="33.700000000000003" customHeight="1" x14ac:dyDescent="0.35">
      <c r="A84" s="434"/>
      <c r="B84" s="858"/>
      <c r="C84" s="859"/>
      <c r="D84" s="860"/>
      <c r="E84" s="860"/>
      <c r="F84" s="861"/>
      <c r="G84" s="860"/>
      <c r="H84" s="149"/>
      <c r="I84" s="434"/>
      <c r="J84" s="434"/>
      <c r="K84" s="149"/>
      <c r="L84" s="149"/>
      <c r="M84" s="149"/>
      <c r="N84" s="149"/>
      <c r="O84" s="149"/>
      <c r="P84" s="149"/>
      <c r="Q84" s="149"/>
      <c r="R84" s="436"/>
      <c r="S84" s="436"/>
      <c r="T84" s="436"/>
      <c r="U84" s="434"/>
      <c r="V84" s="434"/>
      <c r="W84" s="434"/>
      <c r="X84" s="434"/>
      <c r="Y84" s="434"/>
      <c r="Z84" s="293"/>
      <c r="AA84" s="293"/>
      <c r="AB84" s="292"/>
      <c r="AC84" s="292"/>
      <c r="AD84" s="292"/>
      <c r="AE84" s="292"/>
      <c r="AF84" s="292"/>
      <c r="AG84" s="292"/>
      <c r="AH84" s="292"/>
      <c r="AI84" s="292"/>
      <c r="AJ84" s="292"/>
      <c r="AK84" s="292"/>
      <c r="AL84" s="292"/>
      <c r="AM84" s="292"/>
      <c r="AN84" s="292"/>
      <c r="AO84" s="292"/>
      <c r="AP84" s="292"/>
      <c r="AQ84" s="292"/>
      <c r="AR84" s="1616"/>
      <c r="AS84" s="1616"/>
      <c r="AT84" s="1616"/>
      <c r="AU84" s="1616"/>
      <c r="AV84" s="1616"/>
      <c r="AW84" s="1616"/>
      <c r="AX84" s="1616"/>
      <c r="AY84" s="1616"/>
      <c r="AZ84" s="1616"/>
      <c r="BA84" s="1616"/>
    </row>
    <row r="85" spans="1:53" ht="36.75" customHeight="1" x14ac:dyDescent="0.35">
      <c r="A85" s="434"/>
      <c r="B85" s="862"/>
      <c r="C85" s="1017" t="s">
        <v>312</v>
      </c>
      <c r="D85" s="863"/>
      <c r="E85" s="1461">
        <f ca="1">SUM(F36:F82)</f>
        <v>111.67226551535086</v>
      </c>
      <c r="F85" s="864"/>
      <c r="G85" s="863"/>
      <c r="H85" s="149"/>
      <c r="I85" s="434"/>
      <c r="J85" s="434"/>
      <c r="K85" s="166"/>
      <c r="L85" s="166"/>
      <c r="M85" s="166"/>
      <c r="N85" s="166"/>
      <c r="O85" s="166"/>
      <c r="P85" s="166"/>
      <c r="Q85" s="166"/>
      <c r="R85" s="434"/>
      <c r="S85" s="434"/>
      <c r="T85" s="434"/>
      <c r="U85" s="434"/>
      <c r="V85" s="434"/>
      <c r="W85" s="434"/>
      <c r="X85" s="434"/>
      <c r="Y85" s="434"/>
      <c r="Z85" s="293"/>
      <c r="AA85" s="293"/>
      <c r="AB85" s="292"/>
      <c r="AC85" s="292"/>
      <c r="AD85" s="292"/>
      <c r="AE85" s="292"/>
      <c r="AF85" s="292"/>
      <c r="AG85" s="292"/>
      <c r="AH85" s="292"/>
      <c r="AI85" s="292"/>
      <c r="AJ85" s="292"/>
      <c r="AK85" s="292"/>
      <c r="AL85" s="292"/>
      <c r="AM85" s="292"/>
      <c r="AN85" s="292"/>
      <c r="AO85" s="292"/>
      <c r="AP85" s="292"/>
      <c r="AQ85" s="292"/>
      <c r="AR85" s="1616"/>
      <c r="AS85" s="1616"/>
      <c r="AT85" s="1616"/>
      <c r="AU85" s="1616"/>
      <c r="AV85" s="1616"/>
      <c r="AW85" s="1616"/>
      <c r="AX85" s="1616"/>
      <c r="AY85" s="1616"/>
      <c r="AZ85" s="1616"/>
      <c r="BA85" s="1616"/>
    </row>
    <row r="86" spans="1:53" ht="2.2999999999999998" customHeight="1" thickBot="1" x14ac:dyDescent="0.4">
      <c r="A86" s="434"/>
      <c r="B86" s="865"/>
      <c r="C86" s="1018" t="s">
        <v>2074</v>
      </c>
      <c r="D86" s="867"/>
      <c r="E86" s="868">
        <f ca="1">SUMIF('9.DefaultFactors'!C9:C10,E32,'9.DefaultFactors'!R9:R10)*E85</f>
        <v>299.2816715811403</v>
      </c>
      <c r="F86" s="869"/>
      <c r="G86" s="867"/>
      <c r="H86" s="149"/>
      <c r="I86" s="434"/>
      <c r="J86" s="434"/>
      <c r="K86" s="166"/>
      <c r="L86" s="166"/>
      <c r="M86" s="166"/>
      <c r="N86" s="166"/>
      <c r="O86" s="166"/>
      <c r="P86" s="166"/>
      <c r="Q86" s="166"/>
      <c r="R86" s="434"/>
      <c r="S86" s="434"/>
      <c r="T86" s="434"/>
      <c r="U86" s="434"/>
      <c r="V86" s="434"/>
      <c r="W86" s="434"/>
      <c r="X86" s="434"/>
      <c r="Y86" s="434"/>
      <c r="Z86" s="434"/>
      <c r="AA86" s="434"/>
      <c r="AB86" s="292"/>
      <c r="AC86" s="292"/>
      <c r="AD86" s="292"/>
      <c r="AE86" s="292"/>
      <c r="AF86" s="292"/>
      <c r="AG86" s="292"/>
      <c r="AH86" s="292"/>
      <c r="AI86" s="292"/>
      <c r="AJ86" s="292"/>
      <c r="AK86" s="292"/>
      <c r="AL86" s="292"/>
      <c r="AM86" s="292"/>
      <c r="AN86" s="292"/>
      <c r="AO86" s="292"/>
      <c r="AP86" s="292"/>
      <c r="AQ86" s="292"/>
      <c r="AR86" s="1616"/>
      <c r="AS86" s="1616"/>
      <c r="AT86" s="1616"/>
      <c r="AU86" s="1616"/>
      <c r="AV86" s="1616"/>
      <c r="AW86" s="1616"/>
      <c r="AX86" s="1616"/>
      <c r="AY86" s="1616"/>
      <c r="AZ86" s="1616"/>
      <c r="BA86" s="1616"/>
    </row>
    <row r="87" spans="1:53" ht="4.5" customHeight="1" x14ac:dyDescent="0.25">
      <c r="A87" s="434"/>
      <c r="B87" s="149"/>
      <c r="C87" s="504"/>
      <c r="D87" s="149"/>
      <c r="E87" s="149"/>
      <c r="F87" s="149"/>
      <c r="G87" s="149"/>
      <c r="H87" s="166"/>
      <c r="I87" s="166"/>
      <c r="J87" s="166"/>
      <c r="K87" s="166"/>
      <c r="L87" s="166"/>
      <c r="M87" s="166"/>
      <c r="N87" s="166"/>
      <c r="O87" s="434"/>
      <c r="P87" s="434"/>
      <c r="Q87" s="434"/>
      <c r="R87" s="434"/>
      <c r="S87" s="434"/>
      <c r="T87" s="434"/>
      <c r="U87" s="434"/>
      <c r="V87" s="434"/>
      <c r="W87" s="434"/>
      <c r="X87" s="434"/>
      <c r="Y87" s="434"/>
      <c r="Z87" s="434"/>
      <c r="AA87" s="434"/>
      <c r="AB87" s="292"/>
      <c r="AC87" s="292"/>
      <c r="AD87" s="292"/>
      <c r="AE87" s="292"/>
      <c r="AF87" s="292"/>
      <c r="AG87" s="292"/>
      <c r="AH87" s="292"/>
      <c r="AI87" s="292"/>
      <c r="AJ87" s="292"/>
      <c r="AK87" s="292"/>
      <c r="AL87" s="292"/>
      <c r="AM87" s="292"/>
      <c r="AN87" s="292"/>
      <c r="AO87" s="292"/>
      <c r="AP87" s="292"/>
      <c r="AQ87" s="292"/>
      <c r="AR87" s="1616"/>
      <c r="AS87" s="1616"/>
      <c r="AT87" s="1616"/>
      <c r="AU87" s="1616"/>
      <c r="AV87" s="1616"/>
      <c r="AW87" s="1616"/>
      <c r="AX87" s="1616"/>
      <c r="AY87" s="1616"/>
      <c r="AZ87" s="1616"/>
      <c r="BA87" s="1616"/>
    </row>
    <row r="88" spans="1:53" ht="4.5" customHeight="1" x14ac:dyDescent="0.25">
      <c r="A88" s="434"/>
      <c r="B88" s="149"/>
      <c r="C88" s="149"/>
      <c r="D88" s="149"/>
      <c r="E88" s="149"/>
      <c r="F88" s="509"/>
      <c r="G88" s="149"/>
      <c r="H88" s="149"/>
      <c r="I88" s="166"/>
      <c r="J88" s="166"/>
      <c r="K88" s="166"/>
      <c r="L88" s="166"/>
      <c r="M88" s="166"/>
      <c r="N88" s="166"/>
      <c r="O88" s="434"/>
      <c r="P88" s="434"/>
      <c r="Q88" s="434"/>
      <c r="R88" s="434"/>
      <c r="S88" s="434"/>
      <c r="T88" s="434"/>
      <c r="U88" s="434"/>
      <c r="V88" s="434"/>
      <c r="W88" s="434"/>
      <c r="X88" s="434"/>
      <c r="Y88" s="434"/>
      <c r="Z88" s="434"/>
      <c r="AA88" s="434"/>
      <c r="AB88" s="292"/>
      <c r="AC88" s="292"/>
      <c r="AD88" s="292"/>
      <c r="AE88" s="292"/>
      <c r="AF88" s="292"/>
      <c r="AG88" s="292"/>
      <c r="AH88" s="292"/>
      <c r="AI88" s="292"/>
      <c r="AJ88" s="292"/>
      <c r="AK88" s="292"/>
      <c r="AL88" s="292"/>
      <c r="AM88" s="292"/>
      <c r="AN88" s="292"/>
      <c r="AO88" s="292"/>
      <c r="AP88" s="292"/>
      <c r="AQ88" s="292"/>
      <c r="AR88" s="1616"/>
      <c r="AS88" s="1616"/>
      <c r="AT88" s="1616"/>
      <c r="AU88" s="1616"/>
      <c r="AV88" s="1616"/>
      <c r="AW88" s="1616"/>
      <c r="AX88" s="1616"/>
      <c r="AY88" s="1616"/>
      <c r="AZ88" s="1616"/>
      <c r="BA88" s="1616"/>
    </row>
    <row r="89" spans="1:53" ht="4.5" customHeight="1" x14ac:dyDescent="0.25">
      <c r="A89" s="434"/>
      <c r="B89" s="149"/>
      <c r="C89" s="149"/>
      <c r="D89" s="149"/>
      <c r="E89" s="149"/>
      <c r="F89" s="149"/>
      <c r="G89" s="149"/>
      <c r="H89" s="166"/>
      <c r="I89" s="166"/>
      <c r="J89" s="166"/>
      <c r="K89" s="166"/>
      <c r="L89" s="166"/>
      <c r="M89" s="166"/>
      <c r="N89" s="166"/>
      <c r="O89" s="434"/>
      <c r="P89" s="434"/>
      <c r="Q89" s="434"/>
      <c r="R89" s="434"/>
      <c r="S89" s="434"/>
      <c r="T89" s="434"/>
      <c r="U89" s="434"/>
      <c r="V89" s="434"/>
      <c r="W89" s="434"/>
      <c r="X89" s="434"/>
      <c r="Y89" s="434"/>
      <c r="Z89" s="434"/>
      <c r="AA89" s="434"/>
      <c r="AB89" s="292"/>
      <c r="AC89" s="292"/>
      <c r="AD89" s="292"/>
      <c r="AE89" s="292"/>
      <c r="AF89" s="292"/>
      <c r="AG89" s="292"/>
      <c r="AH89" s="292"/>
      <c r="AI89" s="292"/>
      <c r="AJ89" s="292"/>
      <c r="AK89" s="292"/>
      <c r="AL89" s="292"/>
      <c r="AM89" s="292"/>
      <c r="AN89" s="292"/>
      <c r="AO89" s="292"/>
      <c r="AP89" s="292"/>
      <c r="AQ89" s="292"/>
      <c r="AR89" s="1616"/>
      <c r="AS89" s="1616"/>
      <c r="AT89" s="1616"/>
      <c r="AU89" s="1616"/>
      <c r="AV89" s="1616"/>
      <c r="AW89" s="1616"/>
      <c r="AX89" s="1616"/>
      <c r="AY89" s="1616"/>
      <c r="AZ89" s="1616"/>
      <c r="BA89" s="1616"/>
    </row>
    <row r="90" spans="1:53" ht="4.5" customHeight="1" x14ac:dyDescent="0.25">
      <c r="A90" s="434"/>
      <c r="B90" s="149"/>
      <c r="C90" s="149"/>
      <c r="D90" s="149"/>
      <c r="E90" s="149"/>
      <c r="F90" s="149"/>
      <c r="G90" s="149"/>
      <c r="H90" s="166"/>
      <c r="I90" s="166"/>
      <c r="J90" s="166"/>
      <c r="K90" s="166"/>
      <c r="L90" s="166"/>
      <c r="M90" s="166"/>
      <c r="N90" s="166"/>
      <c r="O90" s="434"/>
      <c r="P90" s="434"/>
      <c r="Q90" s="434"/>
      <c r="R90" s="434"/>
      <c r="S90" s="434"/>
      <c r="T90" s="434"/>
      <c r="U90" s="434"/>
      <c r="V90" s="434"/>
      <c r="W90" s="434"/>
      <c r="X90" s="434"/>
      <c r="Y90" s="434"/>
      <c r="Z90" s="434"/>
      <c r="AA90" s="434"/>
      <c r="AB90" s="292"/>
      <c r="AC90" s="292"/>
      <c r="AD90" s="292"/>
      <c r="AE90" s="292"/>
      <c r="AF90" s="292"/>
      <c r="AG90" s="292"/>
      <c r="AH90" s="292"/>
      <c r="AI90" s="292"/>
      <c r="AJ90" s="292"/>
      <c r="AK90" s="292"/>
      <c r="AL90" s="292"/>
      <c r="AM90" s="292"/>
      <c r="AN90" s="292"/>
      <c r="AO90" s="292"/>
      <c r="AP90" s="292"/>
      <c r="AQ90" s="292"/>
      <c r="AR90" s="1616"/>
      <c r="AS90" s="1616"/>
      <c r="AT90" s="1616"/>
      <c r="AU90" s="1616"/>
      <c r="AV90" s="1616"/>
      <c r="AW90" s="1616"/>
      <c r="AX90" s="1616"/>
      <c r="AY90" s="1616"/>
      <c r="AZ90" s="1616"/>
      <c r="BA90" s="1616"/>
    </row>
    <row r="91" spans="1:53" ht="4.5" customHeight="1" x14ac:dyDescent="0.25">
      <c r="A91" s="434"/>
      <c r="B91" s="149"/>
      <c r="C91" s="149"/>
      <c r="D91" s="149"/>
      <c r="E91" s="149"/>
      <c r="F91" s="149"/>
      <c r="G91" s="149"/>
      <c r="H91" s="166"/>
      <c r="I91" s="166"/>
      <c r="J91" s="166"/>
      <c r="K91" s="166"/>
      <c r="L91" s="166"/>
      <c r="M91" s="166"/>
      <c r="N91" s="166"/>
      <c r="O91" s="166"/>
      <c r="P91" s="434"/>
      <c r="Q91" s="434"/>
      <c r="R91" s="434"/>
      <c r="S91" s="434"/>
      <c r="T91" s="434"/>
      <c r="U91" s="434"/>
      <c r="V91" s="434"/>
      <c r="W91" s="434"/>
      <c r="X91" s="434"/>
      <c r="Y91" s="434"/>
      <c r="Z91" s="434"/>
      <c r="AA91" s="434"/>
      <c r="AB91" s="292"/>
      <c r="AC91" s="292"/>
      <c r="AD91" s="292"/>
      <c r="AE91" s="292"/>
      <c r="AF91" s="292"/>
      <c r="AG91" s="292"/>
      <c r="AH91" s="292"/>
      <c r="AI91" s="292"/>
      <c r="AJ91" s="292"/>
      <c r="AK91" s="292"/>
      <c r="AL91" s="292"/>
      <c r="AM91" s="292"/>
      <c r="AN91" s="292"/>
      <c r="AO91" s="292"/>
      <c r="AP91" s="292"/>
      <c r="AQ91" s="292"/>
      <c r="AR91" s="1616"/>
      <c r="AS91" s="1616"/>
      <c r="AT91" s="1616"/>
      <c r="AU91" s="1616"/>
      <c r="AV91" s="1616"/>
      <c r="AW91" s="1616"/>
      <c r="AX91" s="1616"/>
      <c r="AY91" s="1616"/>
      <c r="AZ91" s="1616"/>
      <c r="BA91" s="1616"/>
    </row>
    <row r="92" spans="1:53" ht="4.5" customHeight="1" x14ac:dyDescent="0.25">
      <c r="A92" s="434"/>
      <c r="B92" s="149"/>
      <c r="C92" s="149"/>
      <c r="D92" s="149"/>
      <c r="E92" s="149"/>
      <c r="F92" s="149"/>
      <c r="G92" s="149"/>
      <c r="H92" s="166"/>
      <c r="I92" s="166"/>
      <c r="J92" s="166"/>
      <c r="K92" s="166"/>
      <c r="L92" s="166"/>
      <c r="M92" s="166"/>
      <c r="N92" s="166"/>
      <c r="O92" s="166"/>
      <c r="P92" s="434"/>
      <c r="Q92" s="434"/>
      <c r="R92" s="434"/>
      <c r="S92" s="434"/>
      <c r="T92" s="434"/>
      <c r="U92" s="434"/>
      <c r="V92" s="434"/>
      <c r="W92" s="434"/>
      <c r="X92" s="434"/>
      <c r="Y92" s="434"/>
      <c r="Z92" s="434"/>
      <c r="AA92" s="434"/>
      <c r="AB92" s="292"/>
      <c r="AC92" s="292"/>
      <c r="AD92" s="292"/>
      <c r="AE92" s="292"/>
      <c r="AF92" s="292"/>
      <c r="AG92" s="292"/>
      <c r="AH92" s="292"/>
      <c r="AI92" s="292"/>
      <c r="AJ92" s="292"/>
      <c r="AK92" s="292"/>
      <c r="AL92" s="292"/>
      <c r="AM92" s="292"/>
      <c r="AN92" s="292"/>
      <c r="AO92" s="292"/>
      <c r="AP92" s="292"/>
      <c r="AQ92" s="292"/>
      <c r="AR92" s="292"/>
      <c r="AS92" s="292"/>
      <c r="AT92" s="292"/>
      <c r="AU92" s="292"/>
      <c r="AV92" s="292"/>
      <c r="AW92" s="1616"/>
      <c r="AX92" s="1616"/>
      <c r="AY92" s="1616"/>
      <c r="AZ92" s="1616"/>
      <c r="BA92" s="1616"/>
    </row>
    <row r="93" spans="1:53" ht="3.75" customHeight="1" x14ac:dyDescent="0.25">
      <c r="A93" s="434"/>
      <c r="B93" s="434"/>
      <c r="C93" s="434"/>
      <c r="D93" s="435"/>
      <c r="E93" s="173"/>
      <c r="F93" s="434"/>
      <c r="G93" s="434"/>
      <c r="H93" s="434"/>
      <c r="I93" s="434"/>
      <c r="J93" s="434"/>
      <c r="K93" s="434"/>
      <c r="L93" s="434"/>
      <c r="M93" s="434"/>
      <c r="N93" s="434"/>
      <c r="O93" s="434"/>
      <c r="P93" s="434"/>
      <c r="Q93" s="434"/>
      <c r="R93" s="434"/>
      <c r="S93" s="434"/>
      <c r="T93" s="434"/>
      <c r="U93" s="434"/>
      <c r="V93" s="434"/>
      <c r="W93" s="434"/>
      <c r="X93" s="434"/>
      <c r="Y93" s="434"/>
      <c r="Z93" s="434"/>
      <c r="AA93" s="434"/>
      <c r="AB93" s="292"/>
      <c r="AC93" s="292"/>
      <c r="AD93" s="292"/>
      <c r="AE93" s="292"/>
      <c r="AF93" s="292"/>
      <c r="AG93" s="292"/>
      <c r="AH93" s="292"/>
      <c r="AI93" s="292"/>
      <c r="AJ93" s="292"/>
      <c r="AK93" s="292"/>
      <c r="AL93" s="292"/>
      <c r="AM93" s="292"/>
      <c r="AN93" s="292"/>
      <c r="AO93" s="292"/>
      <c r="AP93" s="292"/>
      <c r="AQ93" s="292"/>
      <c r="AR93" s="292"/>
      <c r="AS93" s="292"/>
      <c r="AT93" s="292"/>
      <c r="AU93" s="292"/>
      <c r="AV93" s="292"/>
      <c r="AW93" s="1616"/>
      <c r="AX93" s="1616"/>
      <c r="AY93" s="1616"/>
      <c r="AZ93" s="1616"/>
      <c r="BA93" s="1616"/>
    </row>
    <row r="94" spans="1:53" ht="30.85" customHeight="1" thickBot="1" x14ac:dyDescent="0.3">
      <c r="A94" s="434"/>
      <c r="B94" s="434"/>
      <c r="C94" s="510"/>
      <c r="D94" s="435"/>
      <c r="E94" s="173"/>
      <c r="F94" s="434"/>
      <c r="G94" s="434"/>
      <c r="H94" s="434"/>
      <c r="I94" s="434"/>
      <c r="J94" s="434"/>
      <c r="K94" s="434"/>
      <c r="L94" s="434"/>
      <c r="M94" s="434"/>
      <c r="N94" s="434"/>
      <c r="O94" s="434"/>
      <c r="P94" s="434"/>
      <c r="Q94" s="434"/>
      <c r="R94" s="434"/>
      <c r="S94" s="434"/>
      <c r="T94" s="434"/>
      <c r="U94" s="434"/>
      <c r="V94" s="434"/>
      <c r="W94" s="434"/>
      <c r="X94" s="434"/>
      <c r="Y94" s="434"/>
      <c r="Z94" s="293"/>
      <c r="AA94" s="293"/>
      <c r="AB94" s="292"/>
      <c r="AC94" s="292"/>
      <c r="AD94" s="292"/>
      <c r="AE94" s="292"/>
      <c r="AF94" s="292"/>
      <c r="AG94" s="292"/>
      <c r="AH94" s="292"/>
      <c r="AI94" s="292"/>
      <c r="AJ94" s="292"/>
      <c r="AK94" s="292"/>
      <c r="AL94" s="292"/>
      <c r="AM94" s="292"/>
      <c r="AN94" s="292"/>
      <c r="AO94" s="292"/>
      <c r="AP94" s="292"/>
      <c r="AQ94" s="292"/>
      <c r="AR94" s="292"/>
      <c r="AS94" s="292"/>
      <c r="AT94" s="292"/>
      <c r="AU94" s="292"/>
      <c r="AV94" s="292"/>
      <c r="AW94" s="1616"/>
      <c r="AX94" s="1616"/>
      <c r="AY94" s="1616"/>
      <c r="AZ94" s="1616"/>
      <c r="BA94" s="1616"/>
    </row>
    <row r="95" spans="1:53" ht="31.55" customHeight="1" thickBot="1" x14ac:dyDescent="0.3">
      <c r="A95" s="434"/>
      <c r="B95" s="434"/>
      <c r="C95" s="436"/>
      <c r="D95" s="928"/>
      <c r="E95" s="1462" t="s">
        <v>1127</v>
      </c>
      <c r="F95" s="1463" t="str">
        <f>'2.CropManagement'!$G$35</f>
        <v>kg CO2 eq</v>
      </c>
      <c r="G95" s="436"/>
      <c r="H95" s="434"/>
      <c r="I95" s="434"/>
      <c r="J95" s="434"/>
      <c r="K95" s="434"/>
      <c r="L95" s="434"/>
      <c r="M95" s="1822" t="s">
        <v>1361</v>
      </c>
      <c r="N95" s="2"/>
      <c r="O95" s="2"/>
      <c r="P95" s="434"/>
      <c r="Q95" s="434"/>
      <c r="R95" s="434"/>
      <c r="S95" s="434"/>
      <c r="T95" s="434"/>
      <c r="U95" s="434"/>
      <c r="V95" s="434"/>
      <c r="W95" s="434"/>
      <c r="X95" s="434"/>
      <c r="Y95" s="434"/>
      <c r="Z95" s="293"/>
      <c r="AA95" s="293"/>
      <c r="AB95" s="292"/>
      <c r="AC95" s="292"/>
      <c r="AD95" s="292"/>
      <c r="AE95" s="292"/>
      <c r="AF95" s="292"/>
      <c r="AG95" s="292"/>
      <c r="AH95" s="292"/>
      <c r="AI95" s="292"/>
      <c r="AJ95" s="292"/>
      <c r="AK95" s="292"/>
      <c r="AL95" s="292"/>
      <c r="AM95" s="292"/>
      <c r="AN95" s="292"/>
      <c r="AO95" s="292"/>
      <c r="AP95" s="292"/>
      <c r="AQ95" s="292"/>
      <c r="AR95" s="292"/>
      <c r="AS95" s="292"/>
      <c r="AT95" s="292"/>
      <c r="AU95" s="292"/>
      <c r="AV95" s="292"/>
      <c r="AW95" s="1616"/>
      <c r="AX95" s="1616"/>
      <c r="AY95" s="1616"/>
      <c r="AZ95" s="1616"/>
      <c r="BA95" s="1616"/>
    </row>
    <row r="96" spans="1:53" ht="16.600000000000001" customHeight="1" x14ac:dyDescent="0.25">
      <c r="A96" s="434"/>
      <c r="B96" s="434"/>
      <c r="C96" s="436"/>
      <c r="D96" s="1105" t="s">
        <v>536</v>
      </c>
      <c r="E96" s="1498">
        <f>SUM(K7)</f>
        <v>0</v>
      </c>
      <c r="F96" s="1431">
        <f t="shared" ref="F96:F104" si="14">SUMIF(O$156:O$159,F$95,P$156:P$159)*M96</f>
        <v>0</v>
      </c>
      <c r="G96" s="512"/>
      <c r="H96" s="512"/>
      <c r="I96" s="434"/>
      <c r="J96" s="434"/>
      <c r="K96" s="434"/>
      <c r="L96" s="434"/>
      <c r="M96" s="1826">
        <f>X7</f>
        <v>0</v>
      </c>
      <c r="N96" s="2"/>
      <c r="O96" s="2"/>
      <c r="P96" s="434"/>
      <c r="Q96" s="434"/>
      <c r="R96" s="434"/>
      <c r="S96" s="434"/>
      <c r="T96" s="434"/>
      <c r="U96" s="434"/>
      <c r="V96" s="434"/>
      <c r="W96" s="434"/>
      <c r="X96" s="434"/>
      <c r="Y96" s="434"/>
      <c r="Z96" s="293"/>
      <c r="AA96" s="293"/>
      <c r="AB96" s="292"/>
      <c r="AC96" s="292"/>
      <c r="AD96" s="292"/>
      <c r="AE96" s="292"/>
      <c r="AF96" s="292"/>
      <c r="AG96" s="292"/>
      <c r="AH96" s="292"/>
      <c r="AI96" s="292"/>
      <c r="AJ96" s="292"/>
      <c r="AK96" s="292"/>
      <c r="AL96" s="292"/>
      <c r="AM96" s="292"/>
      <c r="AN96" s="292"/>
      <c r="AO96" s="292"/>
      <c r="AP96" s="292"/>
      <c r="AQ96" s="292"/>
      <c r="AR96" s="292"/>
      <c r="AS96" s="292"/>
      <c r="AT96" s="292"/>
      <c r="AU96" s="292"/>
      <c r="AV96" s="292"/>
      <c r="AW96" s="1616"/>
      <c r="AX96" s="1616"/>
      <c r="AY96" s="1616"/>
      <c r="AZ96" s="1616"/>
      <c r="BA96" s="1616"/>
    </row>
    <row r="97" spans="1:53" ht="16.600000000000001" customHeight="1" x14ac:dyDescent="0.25">
      <c r="A97" s="434"/>
      <c r="B97" s="434"/>
      <c r="C97" s="436"/>
      <c r="D97" s="1047" t="s">
        <v>537</v>
      </c>
      <c r="E97" s="1499">
        <f>SUM(K8:K10)</f>
        <v>0</v>
      </c>
      <c r="F97" s="1437">
        <f t="shared" si="14"/>
        <v>0</v>
      </c>
      <c r="G97" s="512"/>
      <c r="H97" s="512"/>
      <c r="I97" s="434"/>
      <c r="J97" s="434"/>
      <c r="K97" s="434"/>
      <c r="L97" s="434"/>
      <c r="M97" s="1826">
        <f>SUM(X8:X10)</f>
        <v>0</v>
      </c>
      <c r="N97" s="2"/>
      <c r="O97" s="2"/>
      <c r="P97" s="434"/>
      <c r="Q97" s="434"/>
      <c r="R97" s="434"/>
      <c r="S97" s="434"/>
      <c r="T97" s="434"/>
      <c r="U97" s="434"/>
      <c r="V97" s="434"/>
      <c r="W97" s="434"/>
      <c r="X97" s="434"/>
      <c r="Y97" s="434"/>
      <c r="Z97" s="293"/>
      <c r="AA97" s="293"/>
      <c r="AB97" s="292"/>
      <c r="AC97" s="292"/>
      <c r="AD97" s="292"/>
      <c r="AE97" s="292"/>
      <c r="AF97" s="292"/>
      <c r="AG97" s="292"/>
      <c r="AH97" s="292"/>
      <c r="AI97" s="292"/>
      <c r="AJ97" s="292"/>
      <c r="AK97" s="292"/>
      <c r="AL97" s="292"/>
      <c r="AM97" s="292"/>
      <c r="AN97" s="292"/>
      <c r="AO97" s="292"/>
      <c r="AP97" s="292"/>
      <c r="AQ97" s="292"/>
      <c r="AR97" s="292"/>
      <c r="AS97" s="292"/>
      <c r="AT97" s="292"/>
      <c r="AU97" s="292"/>
      <c r="AV97" s="292"/>
      <c r="AW97" s="1616"/>
      <c r="AX97" s="1616"/>
      <c r="AY97" s="1616"/>
      <c r="AZ97" s="1616"/>
      <c r="BA97" s="1616"/>
    </row>
    <row r="98" spans="1:53" ht="16.600000000000001" customHeight="1" x14ac:dyDescent="0.25">
      <c r="A98" s="434"/>
      <c r="B98" s="434"/>
      <c r="C98" s="436"/>
      <c r="D98" s="1047" t="s">
        <v>23</v>
      </c>
      <c r="E98" s="1499">
        <f ca="1">M98*'A1. Submodels &amp; data'!C356/'9.DefaultFactors'!R9</f>
        <v>4232.3788630317968</v>
      </c>
      <c r="F98" s="1437">
        <f t="shared" ca="1" si="14"/>
        <v>299.2816715811403</v>
      </c>
      <c r="G98" s="512"/>
      <c r="H98" s="512"/>
      <c r="I98" s="434"/>
      <c r="J98" s="434"/>
      <c r="K98" s="434"/>
      <c r="L98" s="434"/>
      <c r="M98" s="1826">
        <f ca="1">IF(E32="Diesel",SUM(X14,E86),X14)</f>
        <v>299.2816715811403</v>
      </c>
      <c r="N98" s="2"/>
      <c r="O98" s="2"/>
      <c r="P98" s="434"/>
      <c r="Q98" s="434"/>
      <c r="R98" s="434"/>
      <c r="S98" s="434"/>
      <c r="T98" s="434"/>
      <c r="U98" s="434"/>
      <c r="V98" s="434"/>
      <c r="W98" s="434"/>
      <c r="X98" s="434"/>
      <c r="Y98" s="434"/>
      <c r="Z98" s="293"/>
      <c r="AA98" s="293"/>
      <c r="AB98" s="292"/>
      <c r="AC98" s="292"/>
      <c r="AD98" s="292"/>
      <c r="AE98" s="292"/>
      <c r="AF98" s="292"/>
      <c r="AG98" s="292"/>
      <c r="AH98" s="292"/>
      <c r="AI98" s="292"/>
      <c r="AJ98" s="292"/>
      <c r="AK98" s="292"/>
      <c r="AL98" s="292"/>
      <c r="AM98" s="292"/>
      <c r="AN98" s="292"/>
      <c r="AO98" s="292"/>
      <c r="AP98" s="292"/>
      <c r="AQ98" s="292"/>
      <c r="AR98" s="292"/>
      <c r="AS98" s="292"/>
      <c r="AT98" s="292"/>
      <c r="AU98" s="292"/>
      <c r="AV98" s="292"/>
      <c r="AW98" s="1616"/>
      <c r="AX98" s="1616"/>
      <c r="AY98" s="1616"/>
      <c r="AZ98" s="1616"/>
      <c r="BA98" s="1616"/>
    </row>
    <row r="99" spans="1:53" ht="16.600000000000001" customHeight="1" x14ac:dyDescent="0.25">
      <c r="A99" s="434"/>
      <c r="B99" s="434"/>
      <c r="C99" s="436"/>
      <c r="D99" s="1047" t="s">
        <v>1788</v>
      </c>
      <c r="E99" s="1499">
        <f ca="1">M99*'A1. Submodels &amp; data'!C357/'9.DefaultFactors'!R10</f>
        <v>0</v>
      </c>
      <c r="F99" s="1437">
        <f t="shared" ca="1" si="14"/>
        <v>0</v>
      </c>
      <c r="G99" s="512"/>
      <c r="H99" s="512"/>
      <c r="I99" s="434"/>
      <c r="J99" s="434"/>
      <c r="K99" s="434"/>
      <c r="L99" s="434"/>
      <c r="M99" s="1826">
        <f ca="1">IF(E32&lt;&gt;"Diesel",SUM(X15,E86),X15)</f>
        <v>0</v>
      </c>
      <c r="N99" s="2"/>
      <c r="O99" s="2"/>
      <c r="P99" s="434"/>
      <c r="Q99" s="434"/>
      <c r="R99" s="434"/>
      <c r="S99" s="434"/>
      <c r="T99" s="434"/>
      <c r="U99" s="434"/>
      <c r="V99" s="434"/>
      <c r="W99" s="434"/>
      <c r="X99" s="434"/>
      <c r="Y99" s="434"/>
      <c r="Z99" s="293"/>
      <c r="AA99" s="293"/>
      <c r="AB99" s="292"/>
      <c r="AC99" s="292"/>
      <c r="AD99" s="292"/>
      <c r="AE99" s="292"/>
      <c r="AF99" s="292"/>
      <c r="AG99" s="292"/>
      <c r="AH99" s="292"/>
      <c r="AI99" s="292"/>
      <c r="AJ99" s="292"/>
      <c r="AK99" s="292"/>
      <c r="AL99" s="292"/>
      <c r="AM99" s="292"/>
      <c r="AN99" s="292"/>
      <c r="AO99" s="292"/>
      <c r="AP99" s="292"/>
      <c r="AQ99" s="292"/>
      <c r="AR99" s="292"/>
      <c r="AS99" s="292"/>
      <c r="AT99" s="292"/>
      <c r="AU99" s="292"/>
      <c r="AV99" s="292"/>
      <c r="AW99" s="1616"/>
      <c r="AX99" s="1616"/>
      <c r="AY99" s="1616"/>
      <c r="AZ99" s="1616"/>
      <c r="BA99" s="1616"/>
    </row>
    <row r="100" spans="1:53" ht="16.600000000000001" customHeight="1" x14ac:dyDescent="0.25">
      <c r="A100" s="434"/>
      <c r="B100" s="434"/>
      <c r="C100" s="436"/>
      <c r="D100" s="1047" t="s">
        <v>1789</v>
      </c>
      <c r="E100" s="1499">
        <f ca="1">L16</f>
        <v>0</v>
      </c>
      <c r="F100" s="1437">
        <f t="shared" ca="1" si="14"/>
        <v>0</v>
      </c>
      <c r="G100" s="512"/>
      <c r="H100" s="512"/>
      <c r="I100" s="434"/>
      <c r="J100" s="434"/>
      <c r="K100" s="434"/>
      <c r="L100" s="434"/>
      <c r="M100" s="1826">
        <f ca="1">X16</f>
        <v>0</v>
      </c>
      <c r="N100" s="434"/>
      <c r="O100" s="434"/>
      <c r="P100" s="434"/>
      <c r="Q100" s="434"/>
      <c r="R100" s="434"/>
      <c r="S100" s="434"/>
      <c r="T100" s="434"/>
      <c r="U100" s="434"/>
      <c r="V100" s="434"/>
      <c r="W100" s="434"/>
      <c r="X100" s="434"/>
      <c r="Y100" s="434"/>
      <c r="Z100" s="293"/>
      <c r="AA100" s="293"/>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c r="AW100" s="1616"/>
      <c r="AX100" s="1616"/>
      <c r="AY100" s="1616"/>
      <c r="AZ100" s="1616"/>
      <c r="BA100" s="1616"/>
    </row>
    <row r="101" spans="1:53" ht="20.3" customHeight="1" x14ac:dyDescent="0.25">
      <c r="A101" s="434"/>
      <c r="B101" s="434"/>
      <c r="C101" s="436"/>
      <c r="D101" s="1047" t="s">
        <v>1543</v>
      </c>
      <c r="E101" s="1499">
        <f ca="1">L17</f>
        <v>0</v>
      </c>
      <c r="F101" s="1437">
        <f t="shared" ca="1" si="14"/>
        <v>0</v>
      </c>
      <c r="G101" s="512"/>
      <c r="H101" s="512"/>
      <c r="I101" s="434"/>
      <c r="J101" s="434"/>
      <c r="K101" s="434"/>
      <c r="L101" s="434"/>
      <c r="M101" s="1826">
        <f ca="1">SUM(X17)</f>
        <v>0</v>
      </c>
      <c r="N101" s="434"/>
      <c r="O101" s="434"/>
      <c r="P101" s="434"/>
      <c r="Q101" s="434"/>
      <c r="R101" s="434"/>
      <c r="S101" s="434"/>
      <c r="T101" s="434"/>
      <c r="U101" s="434"/>
      <c r="V101" s="434"/>
      <c r="W101" s="434"/>
      <c r="X101" s="434"/>
      <c r="Y101" s="434"/>
      <c r="Z101" s="293"/>
      <c r="AA101" s="293"/>
      <c r="AB101" s="292"/>
      <c r="AC101" s="292"/>
      <c r="AD101" s="292"/>
      <c r="AE101" s="292"/>
      <c r="AF101" s="292"/>
      <c r="AG101" s="292"/>
      <c r="AH101" s="292"/>
      <c r="AI101" s="292"/>
      <c r="AJ101" s="292"/>
      <c r="AK101" s="292"/>
      <c r="AL101" s="292"/>
      <c r="AM101" s="292"/>
      <c r="AN101" s="292"/>
      <c r="AO101" s="292"/>
      <c r="AP101" s="292"/>
      <c r="AQ101" s="292"/>
      <c r="AR101" s="292"/>
      <c r="AS101" s="292"/>
      <c r="AT101" s="292"/>
      <c r="AU101" s="292"/>
      <c r="AV101" s="292"/>
      <c r="AW101" s="1616"/>
      <c r="AX101" s="1616"/>
      <c r="AY101" s="1616"/>
      <c r="AZ101" s="1616"/>
      <c r="BA101" s="1616"/>
    </row>
    <row r="102" spans="1:53" ht="32.25" customHeight="1" thickBot="1" x14ac:dyDescent="0.3">
      <c r="A102" s="434"/>
      <c r="B102" s="434"/>
      <c r="C102" s="436"/>
      <c r="D102" s="1106" t="s">
        <v>2072</v>
      </c>
      <c r="E102" s="1500">
        <f ca="1">SUM(M18:M23)</f>
        <v>0</v>
      </c>
      <c r="F102" s="1437">
        <f t="shared" ca="1" si="14"/>
        <v>0</v>
      </c>
      <c r="G102" s="514"/>
      <c r="H102" s="514"/>
      <c r="I102" s="434"/>
      <c r="J102" s="434"/>
      <c r="K102" s="434"/>
      <c r="L102" s="434"/>
      <c r="M102" s="1827">
        <f ca="1">SUM(X18:X23)</f>
        <v>0</v>
      </c>
      <c r="N102" s="434"/>
      <c r="O102" s="434"/>
      <c r="P102" s="434"/>
      <c r="Q102" s="434"/>
      <c r="R102" s="434"/>
      <c r="S102" s="434"/>
      <c r="T102" s="434"/>
      <c r="U102" s="434"/>
      <c r="V102" s="434"/>
      <c r="W102" s="434"/>
      <c r="X102" s="434"/>
      <c r="Y102" s="434"/>
      <c r="Z102" s="293"/>
      <c r="AA102" s="293"/>
      <c r="AB102" s="292"/>
      <c r="AC102" s="292"/>
      <c r="AD102" s="292"/>
      <c r="AE102" s="292"/>
      <c r="AF102" s="292"/>
      <c r="AG102" s="292"/>
      <c r="AH102" s="292"/>
      <c r="AI102" s="292"/>
      <c r="AJ102" s="292"/>
      <c r="AK102" s="292"/>
      <c r="AL102" s="292"/>
      <c r="AM102" s="292"/>
      <c r="AN102" s="292"/>
      <c r="AO102" s="292"/>
      <c r="AP102" s="292"/>
      <c r="AQ102" s="292"/>
      <c r="AR102" s="292"/>
      <c r="AS102" s="292"/>
      <c r="AT102" s="292"/>
      <c r="AU102" s="292"/>
      <c r="AV102" s="292"/>
      <c r="AW102" s="1616"/>
      <c r="AX102" s="1616"/>
      <c r="AY102" s="1616"/>
      <c r="AZ102" s="1616"/>
      <c r="BA102" s="1616"/>
    </row>
    <row r="103" spans="1:53" ht="33.700000000000003" customHeight="1" thickBot="1" x14ac:dyDescent="0.4">
      <c r="A103" s="434"/>
      <c r="B103" s="434"/>
      <c r="C103" s="436"/>
      <c r="D103" s="866" t="s">
        <v>1362</v>
      </c>
      <c r="E103" s="1501">
        <f ca="1">SUM(E96:E102)</f>
        <v>4232.3788630317968</v>
      </c>
      <c r="F103" s="1502">
        <f t="shared" ca="1" si="14"/>
        <v>299.2816715811403</v>
      </c>
      <c r="G103" s="515"/>
      <c r="H103" s="515"/>
      <c r="I103" s="434"/>
      <c r="J103" s="434"/>
      <c r="K103" s="434"/>
      <c r="L103" s="434"/>
      <c r="M103" s="1904">
        <f ca="1">SUM(M96:M102)</f>
        <v>299.2816715811403</v>
      </c>
      <c r="N103" s="434"/>
      <c r="O103" s="434"/>
      <c r="P103" s="434"/>
      <c r="Q103" s="434"/>
      <c r="R103" s="434"/>
      <c r="S103" s="434"/>
      <c r="T103" s="434"/>
      <c r="U103" s="434"/>
      <c r="V103" s="434"/>
      <c r="W103" s="434"/>
      <c r="X103" s="434"/>
      <c r="Y103" s="434"/>
      <c r="Z103" s="434"/>
      <c r="AA103" s="434"/>
      <c r="AB103" s="292"/>
      <c r="AC103" s="292"/>
      <c r="AD103" s="292"/>
      <c r="AE103" s="292"/>
      <c r="AF103" s="292"/>
      <c r="AG103" s="292"/>
      <c r="AH103" s="292"/>
      <c r="AI103" s="292"/>
      <c r="AJ103" s="292"/>
      <c r="AK103" s="292"/>
      <c r="AL103" s="292"/>
      <c r="AM103" s="292"/>
      <c r="AN103" s="292"/>
      <c r="AO103" s="292"/>
      <c r="AP103" s="292"/>
      <c r="AQ103" s="292"/>
      <c r="AR103" s="292"/>
      <c r="AS103" s="292"/>
      <c r="AT103" s="292"/>
      <c r="AU103" s="292"/>
      <c r="AV103" s="292"/>
      <c r="AW103" s="1616"/>
      <c r="AX103" s="1616"/>
      <c r="AY103" s="1616"/>
      <c r="AZ103" s="1616"/>
      <c r="BA103" s="1616"/>
    </row>
    <row r="104" spans="1:53" ht="16.600000000000001" customHeight="1" thickBot="1" x14ac:dyDescent="0.4">
      <c r="A104" s="434"/>
      <c r="B104" s="434"/>
      <c r="C104" s="434"/>
      <c r="D104" s="866" t="s">
        <v>1363</v>
      </c>
      <c r="E104" s="1503">
        <f ca="1">E103/'1.GeneralInfo'!S12</f>
        <v>587.8303976433051</v>
      </c>
      <c r="F104" s="1504">
        <f t="shared" ca="1" si="14"/>
        <v>41.566898830713932</v>
      </c>
      <c r="G104" s="434"/>
      <c r="H104" s="434"/>
      <c r="I104" s="434"/>
      <c r="J104" s="434"/>
      <c r="K104" s="434"/>
      <c r="L104" s="434"/>
      <c r="M104" s="1904">
        <f ca="1">M103/'1.GeneralInfo'!S12</f>
        <v>41.566898830713932</v>
      </c>
      <c r="N104" s="434"/>
      <c r="O104" s="434"/>
      <c r="P104" s="434"/>
      <c r="Q104" s="434"/>
      <c r="R104" s="434"/>
      <c r="S104" s="434"/>
      <c r="T104" s="434"/>
      <c r="U104" s="434"/>
      <c r="V104" s="434"/>
      <c r="W104" s="434"/>
      <c r="X104" s="434"/>
      <c r="Y104" s="434"/>
      <c r="Z104" s="434"/>
      <c r="AA104" s="434"/>
      <c r="AB104" s="292"/>
      <c r="AC104" s="292"/>
      <c r="AD104" s="292"/>
      <c r="AE104" s="292"/>
      <c r="AF104" s="292"/>
      <c r="AG104" s="292"/>
      <c r="AH104" s="292"/>
      <c r="AI104" s="292"/>
      <c r="AJ104" s="292"/>
      <c r="AK104" s="292"/>
      <c r="AL104" s="292"/>
      <c r="AM104" s="292"/>
      <c r="AN104" s="292"/>
      <c r="AO104" s="292"/>
      <c r="AP104" s="292"/>
      <c r="AQ104" s="292"/>
      <c r="AR104" s="292"/>
      <c r="AS104" s="292"/>
      <c r="AT104" s="292"/>
      <c r="AU104" s="292"/>
      <c r="AV104" s="292"/>
      <c r="AW104" s="1616"/>
      <c r="AX104" s="1616"/>
      <c r="AY104" s="1616"/>
      <c r="AZ104" s="1616"/>
      <c r="BA104" s="1616"/>
    </row>
    <row r="105" spans="1:53" ht="16.600000000000001" customHeight="1" x14ac:dyDescent="0.25">
      <c r="A105" s="434"/>
      <c r="B105" s="434"/>
      <c r="C105" s="434"/>
      <c r="D105" s="435"/>
      <c r="E105" s="173"/>
      <c r="F105" s="434"/>
      <c r="G105" s="434"/>
      <c r="H105" s="434"/>
      <c r="I105" s="434"/>
      <c r="J105" s="434"/>
      <c r="K105" s="434"/>
      <c r="L105" s="434"/>
      <c r="M105" s="434"/>
      <c r="N105" s="434"/>
      <c r="O105" s="434"/>
      <c r="P105" s="434"/>
      <c r="Q105" s="434"/>
      <c r="R105" s="434"/>
      <c r="S105" s="434"/>
      <c r="T105" s="434"/>
      <c r="U105" s="434"/>
      <c r="V105" s="434"/>
      <c r="W105" s="434"/>
      <c r="X105" s="434"/>
      <c r="Y105" s="434"/>
      <c r="AB105" s="1616"/>
      <c r="AC105" s="1616"/>
      <c r="AD105" s="1616"/>
      <c r="AE105" s="1616"/>
      <c r="AF105" s="1616"/>
      <c r="AG105" s="1616"/>
      <c r="AH105" s="1616"/>
      <c r="AI105" s="1616"/>
      <c r="AJ105" s="1616"/>
      <c r="AK105" s="1616"/>
      <c r="AL105" s="1616"/>
      <c r="AM105" s="1616"/>
      <c r="AN105" s="1616"/>
      <c r="AO105" s="1616"/>
      <c r="AP105" s="1616"/>
      <c r="AQ105" s="1616"/>
      <c r="AR105" s="1616"/>
      <c r="AS105" s="1616"/>
      <c r="AT105" s="1616"/>
      <c r="AU105" s="1616"/>
      <c r="AV105" s="1616"/>
      <c r="AW105" s="1616"/>
      <c r="AX105" s="1616"/>
      <c r="AY105" s="1616"/>
      <c r="AZ105" s="1616"/>
      <c r="BA105" s="1616"/>
    </row>
    <row r="106" spans="1:53" ht="16.600000000000001" customHeight="1" x14ac:dyDescent="0.25">
      <c r="AB106" s="1616"/>
      <c r="AC106" s="1616"/>
      <c r="AD106" s="1616"/>
      <c r="AE106" s="1616"/>
      <c r="AF106" s="1616"/>
      <c r="AG106" s="1616"/>
      <c r="AH106" s="1616"/>
      <c r="AI106" s="1616"/>
      <c r="AJ106" s="1616"/>
      <c r="AK106" s="1616"/>
      <c r="AL106" s="1616"/>
      <c r="AM106" s="1616"/>
      <c r="AN106" s="1616"/>
      <c r="AO106" s="1616"/>
      <c r="AP106" s="1616"/>
      <c r="AQ106" s="1616"/>
      <c r="AR106" s="1616"/>
      <c r="AS106" s="1616"/>
      <c r="AT106" s="1616"/>
      <c r="AU106" s="1616"/>
      <c r="AV106" s="1616"/>
      <c r="AW106" s="1616"/>
      <c r="AX106" s="1616"/>
      <c r="AY106" s="1616"/>
      <c r="AZ106" s="1616"/>
      <c r="BA106" s="1616"/>
    </row>
    <row r="107" spans="1:53" ht="16.600000000000001" customHeight="1" x14ac:dyDescent="0.25">
      <c r="AB107" s="1616"/>
      <c r="AC107" s="1616"/>
      <c r="AD107" s="1616"/>
      <c r="AE107" s="1616"/>
      <c r="AF107" s="1616"/>
      <c r="AG107" s="1616"/>
      <c r="AH107" s="1616"/>
      <c r="AI107" s="1616"/>
      <c r="AJ107" s="1616"/>
      <c r="AK107" s="1616"/>
      <c r="AL107" s="1616"/>
      <c r="AM107" s="1616"/>
      <c r="AN107" s="1616"/>
      <c r="AO107" s="1616"/>
      <c r="AP107" s="1616"/>
      <c r="AQ107" s="1616"/>
      <c r="AR107" s="1616"/>
      <c r="AS107" s="1616"/>
      <c r="AT107" s="1616"/>
      <c r="AU107" s="1616"/>
      <c r="AV107" s="1616"/>
      <c r="AW107" s="1616"/>
      <c r="AX107" s="1616"/>
      <c r="AY107" s="1616"/>
      <c r="AZ107" s="1616"/>
      <c r="BA107" s="1616"/>
    </row>
    <row r="108" spans="1:53" ht="16.600000000000001" customHeight="1" x14ac:dyDescent="0.25">
      <c r="AB108" s="1616"/>
      <c r="AC108" s="1616"/>
      <c r="AD108" s="1616"/>
      <c r="AE108" s="1616"/>
      <c r="AF108" s="1616"/>
      <c r="AG108" s="1616"/>
      <c r="AH108" s="1616"/>
      <c r="AI108" s="1616"/>
      <c r="AJ108" s="1616"/>
      <c r="AK108" s="1616"/>
      <c r="AL108" s="1616"/>
      <c r="AM108" s="1616"/>
      <c r="AN108" s="1616"/>
      <c r="AO108" s="1616"/>
      <c r="AP108" s="1616"/>
      <c r="AQ108" s="1616"/>
      <c r="AR108" s="1616"/>
      <c r="AS108" s="1616"/>
      <c r="AT108" s="1616"/>
      <c r="AU108" s="1616"/>
      <c r="AV108" s="1616"/>
      <c r="AW108" s="1616"/>
      <c r="AX108" s="1616"/>
      <c r="AY108" s="1616"/>
      <c r="AZ108" s="1616"/>
      <c r="BA108" s="1616"/>
    </row>
    <row r="109" spans="1:53" ht="16.600000000000001" customHeight="1" x14ac:dyDescent="0.25">
      <c r="AB109" s="1616"/>
      <c r="AC109" s="1616"/>
      <c r="AD109" s="1616"/>
      <c r="AE109" s="1616"/>
      <c r="AF109" s="1616"/>
      <c r="AG109" s="1616"/>
      <c r="AH109" s="1616"/>
      <c r="AI109" s="1616"/>
      <c r="AJ109" s="1616"/>
      <c r="AK109" s="1616"/>
      <c r="AL109" s="1616"/>
      <c r="AM109" s="1616"/>
      <c r="AN109" s="1616"/>
      <c r="AO109" s="1616"/>
      <c r="AP109" s="1616"/>
      <c r="AQ109" s="1616"/>
      <c r="AR109" s="1616"/>
      <c r="AS109" s="1616"/>
      <c r="AT109" s="1616"/>
      <c r="AU109" s="1616"/>
      <c r="AV109" s="1616"/>
      <c r="AW109" s="1616"/>
      <c r="AX109" s="1616"/>
      <c r="AY109" s="1616"/>
      <c r="AZ109" s="1616"/>
      <c r="BA109" s="1616"/>
    </row>
    <row r="110" spans="1:53" ht="16.600000000000001" customHeight="1" x14ac:dyDescent="0.25">
      <c r="AB110" s="1616"/>
      <c r="AC110" s="1616"/>
      <c r="AD110" s="1616"/>
      <c r="AE110" s="1616"/>
      <c r="AF110" s="1616"/>
      <c r="AG110" s="1616"/>
      <c r="AH110" s="1616"/>
      <c r="AI110" s="1616"/>
      <c r="AJ110" s="1616"/>
      <c r="AK110" s="1616"/>
      <c r="AL110" s="1616"/>
      <c r="AM110" s="1616"/>
      <c r="AN110" s="1616"/>
      <c r="AO110" s="1616"/>
      <c r="AP110" s="1616"/>
      <c r="AQ110" s="1616"/>
      <c r="AR110" s="1616"/>
      <c r="AS110" s="1616"/>
      <c r="AT110" s="1616"/>
      <c r="AU110" s="1616"/>
      <c r="AV110" s="1616"/>
      <c r="AW110" s="1616"/>
      <c r="AX110" s="1616"/>
      <c r="AY110" s="1616"/>
      <c r="AZ110" s="1616"/>
      <c r="BA110" s="1616"/>
    </row>
    <row r="111" spans="1:53" ht="49.55" customHeight="1" x14ac:dyDescent="0.5">
      <c r="N111" s="1825" t="s">
        <v>1141</v>
      </c>
      <c r="O111" s="436"/>
      <c r="P111" s="436"/>
      <c r="Q111" s="436"/>
      <c r="R111" s="436"/>
      <c r="T111" s="1825" t="s">
        <v>126</v>
      </c>
      <c r="U111" s="2"/>
      <c r="V111" s="2"/>
      <c r="W111" s="2"/>
      <c r="X111" s="2"/>
      <c r="AB111" s="1616"/>
      <c r="AC111" s="1616"/>
      <c r="AD111" s="1616"/>
      <c r="AE111" s="1616"/>
      <c r="AF111" s="1616"/>
      <c r="AG111" s="1616"/>
      <c r="AH111" s="1616"/>
      <c r="AI111" s="1616"/>
      <c r="AJ111" s="1616"/>
      <c r="AK111" s="1616"/>
      <c r="AL111" s="1616"/>
      <c r="AM111" s="1616"/>
      <c r="AN111" s="1616"/>
      <c r="AO111" s="1616"/>
      <c r="AP111" s="1616"/>
      <c r="AQ111" s="1616"/>
      <c r="AR111" s="1616"/>
      <c r="AS111" s="1616"/>
      <c r="AT111" s="1616"/>
      <c r="AU111" s="1616"/>
      <c r="AV111" s="1616"/>
      <c r="AW111" s="1616"/>
      <c r="AX111" s="1616"/>
      <c r="AY111" s="1616"/>
      <c r="AZ111" s="1616"/>
      <c r="BA111" s="1616"/>
    </row>
    <row r="112" spans="1:53" ht="16.600000000000001" customHeight="1" x14ac:dyDescent="0.25">
      <c r="N112" s="436"/>
      <c r="O112" s="296" t="str">
        <f>'A3. UnitConversions'!A45</f>
        <v>[Select]</v>
      </c>
      <c r="P112" s="296" t="str">
        <f>'A3. UnitConversions'!B45</f>
        <v>conversion to kgs</v>
      </c>
      <c r="Q112" s="436"/>
      <c r="R112" s="436"/>
      <c r="T112" s="434"/>
      <c r="U112" s="296" t="s">
        <v>1816</v>
      </c>
      <c r="V112" s="296" t="s">
        <v>1693</v>
      </c>
      <c r="W112" s="296" t="s">
        <v>1607</v>
      </c>
      <c r="X112" s="2"/>
      <c r="AB112" s="1616"/>
      <c r="AC112" s="1616"/>
      <c r="AD112" s="1616"/>
      <c r="AE112" s="1616"/>
      <c r="AF112" s="1616"/>
      <c r="AG112" s="1616"/>
      <c r="AH112" s="1616"/>
      <c r="AI112" s="1616"/>
      <c r="AJ112" s="1616"/>
      <c r="AK112" s="1616"/>
      <c r="AL112" s="1616"/>
      <c r="AM112" s="1616"/>
      <c r="AN112" s="1616"/>
      <c r="AO112" s="1616"/>
      <c r="AP112" s="1616"/>
      <c r="AQ112" s="1616"/>
      <c r="AR112" s="1616"/>
      <c r="AS112" s="1616"/>
      <c r="AT112" s="1616"/>
      <c r="AU112" s="1616"/>
      <c r="AV112" s="1616"/>
      <c r="AW112" s="1616"/>
      <c r="AX112" s="1616"/>
      <c r="AY112" s="1616"/>
      <c r="AZ112" s="1616"/>
      <c r="BA112" s="1616"/>
    </row>
    <row r="113" spans="14:53" ht="16.600000000000001" customHeight="1" x14ac:dyDescent="0.25">
      <c r="N113" s="434"/>
      <c r="O113" s="1824" t="str">
        <f>'A3. UnitConversions'!A46</f>
        <v>kWh</v>
      </c>
      <c r="P113" s="1824">
        <f>'A3. UnitConversions'!B46</f>
        <v>7.5789473684210532E-2</v>
      </c>
      <c r="Q113" s="434"/>
      <c r="R113" s="434"/>
      <c r="T113" s="434"/>
      <c r="U113" s="296"/>
      <c r="V113" s="296"/>
      <c r="W113" s="296"/>
      <c r="X113" s="2"/>
      <c r="AB113" s="1616"/>
      <c r="AC113" s="1616"/>
      <c r="AD113" s="1616"/>
      <c r="AE113" s="1616"/>
      <c r="AF113" s="1616"/>
      <c r="AG113" s="1616"/>
      <c r="AH113" s="1616"/>
      <c r="AI113" s="1616"/>
      <c r="AJ113" s="1616"/>
      <c r="AK113" s="1616"/>
      <c r="AL113" s="1616"/>
      <c r="AM113" s="1616"/>
      <c r="AN113" s="1616"/>
      <c r="AO113" s="1616"/>
      <c r="AP113" s="1616"/>
      <c r="AQ113" s="1616"/>
      <c r="AR113" s="1616"/>
      <c r="AS113" s="1616"/>
      <c r="AT113" s="1616"/>
      <c r="AU113" s="1616"/>
      <c r="AV113" s="1616"/>
      <c r="AW113" s="1616"/>
      <c r="AX113" s="1616"/>
      <c r="AY113" s="1616"/>
      <c r="AZ113" s="1616"/>
      <c r="BA113" s="1616"/>
    </row>
    <row r="114" spans="14:53" ht="16.600000000000001" customHeight="1" x14ac:dyDescent="0.25">
      <c r="N114" s="434"/>
      <c r="O114" s="1824" t="str">
        <f>'A3. UnitConversions'!A47</f>
        <v>MJ</v>
      </c>
      <c r="P114" s="1824">
        <f>'A3. UnitConversions'!B47</f>
        <v>2.1052631578947368E-2</v>
      </c>
      <c r="Q114" s="434"/>
      <c r="R114" s="434"/>
      <c r="T114" s="434"/>
      <c r="U114" s="296"/>
      <c r="V114" s="296"/>
      <c r="W114" s="296"/>
      <c r="X114" s="2"/>
      <c r="AB114" s="1616"/>
      <c r="AC114" s="1616"/>
      <c r="AD114" s="1616"/>
      <c r="AE114" s="1616"/>
      <c r="AF114" s="1616"/>
      <c r="AG114" s="1616"/>
      <c r="AH114" s="1616"/>
      <c r="AI114" s="1616"/>
      <c r="AJ114" s="1616"/>
      <c r="AK114" s="1616"/>
      <c r="AL114" s="1616"/>
      <c r="AM114" s="1616"/>
      <c r="AN114" s="1616"/>
      <c r="AO114" s="1616"/>
      <c r="AP114" s="1616"/>
      <c r="AQ114" s="1616"/>
      <c r="AR114" s="1616"/>
      <c r="AS114" s="1616"/>
      <c r="AT114" s="1616"/>
      <c r="AU114" s="1616"/>
      <c r="AV114" s="1616"/>
      <c r="AW114" s="1616"/>
      <c r="AX114" s="1616"/>
      <c r="AY114" s="1616"/>
      <c r="AZ114" s="1616"/>
      <c r="BA114" s="1616"/>
    </row>
    <row r="115" spans="14:53" ht="16.600000000000001" customHeight="1" x14ac:dyDescent="0.25">
      <c r="N115" s="434"/>
      <c r="O115" s="1824" t="str">
        <f>'A3. UnitConversions'!A48</f>
        <v>therms</v>
      </c>
      <c r="P115" s="1824">
        <f>'A3. UnitConversions'!B48</f>
        <v>2.2210526315789472</v>
      </c>
      <c r="Q115" s="434"/>
      <c r="R115" s="434"/>
      <c r="T115" s="446"/>
      <c r="U115" s="296"/>
      <c r="V115" s="296"/>
      <c r="W115" s="296"/>
      <c r="X115" s="2"/>
      <c r="AB115" s="1616"/>
      <c r="AC115" s="1616"/>
      <c r="AD115" s="1616"/>
      <c r="AE115" s="1616"/>
      <c r="AF115" s="1616"/>
      <c r="AG115" s="1616"/>
      <c r="AH115" s="1616"/>
      <c r="AI115" s="1616"/>
      <c r="AJ115" s="1616"/>
      <c r="AK115" s="1616"/>
      <c r="AL115" s="1616"/>
      <c r="AM115" s="1616"/>
      <c r="AN115" s="1616"/>
      <c r="AO115" s="1616"/>
      <c r="AP115" s="1616"/>
      <c r="AQ115" s="1616"/>
      <c r="AR115" s="1616"/>
      <c r="AS115" s="1616"/>
      <c r="AT115" s="1616"/>
      <c r="AU115" s="1616"/>
      <c r="AV115" s="1616"/>
      <c r="AW115" s="1616"/>
      <c r="AX115" s="1616"/>
      <c r="AY115" s="1616"/>
      <c r="AZ115" s="1616"/>
      <c r="BA115" s="1616"/>
    </row>
    <row r="116" spans="14:53" ht="16.600000000000001" customHeight="1" x14ac:dyDescent="0.25">
      <c r="N116" s="434"/>
      <c r="O116" s="1824" t="str">
        <f>'A3. UnitConversions'!A49</f>
        <v>Btu</v>
      </c>
      <c r="P116" s="1824">
        <f>'A3. UnitConversions'!B49</f>
        <v>2.2210526315789473E-5</v>
      </c>
      <c r="Q116" s="434"/>
      <c r="R116" s="434"/>
      <c r="T116" s="446"/>
      <c r="U116" s="1822" t="s">
        <v>1608</v>
      </c>
      <c r="V116" s="296">
        <v>1.3479891799999999</v>
      </c>
      <c r="W116" s="296">
        <v>0.6114376068905566</v>
      </c>
      <c r="X116" s="2"/>
      <c r="AB116" s="1616"/>
      <c r="AC116" s="1616"/>
      <c r="AD116" s="1616"/>
      <c r="AE116" s="1616"/>
      <c r="AF116" s="1616"/>
      <c r="AG116" s="1616"/>
      <c r="AH116" s="1616"/>
      <c r="AI116" s="1616"/>
      <c r="AJ116" s="1616"/>
      <c r="AK116" s="1616"/>
      <c r="AL116" s="1616"/>
      <c r="AM116" s="1616"/>
      <c r="AN116" s="1616"/>
      <c r="AO116" s="1616"/>
      <c r="AP116" s="1616"/>
      <c r="AQ116" s="1616"/>
      <c r="AR116" s="1616"/>
      <c r="AS116" s="1616"/>
      <c r="AT116" s="1616"/>
      <c r="AU116" s="1616"/>
      <c r="AV116" s="1616"/>
      <c r="AW116" s="1616"/>
      <c r="AX116" s="1616"/>
      <c r="AY116" s="1616"/>
      <c r="AZ116" s="1616"/>
      <c r="BA116" s="1616"/>
    </row>
    <row r="117" spans="14:53" ht="16.600000000000001" customHeight="1" x14ac:dyDescent="0.25">
      <c r="N117" s="434"/>
      <c r="O117" s="1824" t="str">
        <f>'A3. UnitConversions'!A50</f>
        <v>kg</v>
      </c>
      <c r="P117" s="1824">
        <f>'A3. UnitConversions'!B50</f>
        <v>1</v>
      </c>
      <c r="Q117" s="434"/>
      <c r="R117" s="434"/>
      <c r="T117" s="434"/>
      <c r="U117" s="1822" t="s">
        <v>1609</v>
      </c>
      <c r="V117" s="1823">
        <v>1.09219434</v>
      </c>
      <c r="W117" s="296">
        <v>0.49541101918118585</v>
      </c>
      <c r="X117" s="2"/>
      <c r="AB117" s="1616"/>
      <c r="AC117" s="1616"/>
      <c r="AD117" s="1616"/>
      <c r="AE117" s="1616"/>
      <c r="AF117" s="1616"/>
      <c r="AG117" s="1616"/>
      <c r="AH117" s="1616"/>
      <c r="AI117" s="1616"/>
      <c r="AJ117" s="1616"/>
      <c r="AK117" s="1616"/>
      <c r="AL117" s="1616"/>
      <c r="AM117" s="1616"/>
      <c r="AN117" s="1616"/>
      <c r="AO117" s="1616"/>
      <c r="AP117" s="1616"/>
      <c r="AQ117" s="1616"/>
      <c r="AR117" s="1616"/>
      <c r="AS117" s="1616"/>
      <c r="AT117" s="1616"/>
      <c r="AU117" s="1616"/>
      <c r="AV117" s="1616"/>
      <c r="AW117" s="1616"/>
      <c r="AX117" s="1616"/>
      <c r="AY117" s="1616"/>
      <c r="AZ117" s="1616"/>
      <c r="BA117" s="1616"/>
    </row>
    <row r="118" spans="14:53" ht="16.600000000000001" customHeight="1" x14ac:dyDescent="0.25">
      <c r="N118" s="434"/>
      <c r="O118" s="1824" t="str">
        <f>'A3. UnitConversions'!A51</f>
        <v>cubic metres</v>
      </c>
      <c r="P118" s="1824">
        <f>'A3. UnitConversions'!B51</f>
        <v>0.71399999999999997</v>
      </c>
      <c r="Q118" s="296" t="s">
        <v>678</v>
      </c>
      <c r="R118" s="296" t="s">
        <v>63</v>
      </c>
      <c r="T118" s="434"/>
      <c r="U118" s="1822" t="s">
        <v>1610</v>
      </c>
      <c r="V118" s="1823">
        <v>1.1636835300000001</v>
      </c>
      <c r="W118" s="296">
        <v>0.52783797030266622</v>
      </c>
      <c r="X118" s="2"/>
      <c r="AB118" s="1616"/>
      <c r="AC118" s="1616"/>
      <c r="AD118" s="1616"/>
      <c r="AE118" s="1616"/>
      <c r="AF118" s="1616"/>
      <c r="AG118" s="1616"/>
      <c r="AH118" s="1616"/>
      <c r="AI118" s="1616"/>
      <c r="AJ118" s="1616"/>
      <c r="AK118" s="1616"/>
      <c r="AL118" s="1616"/>
      <c r="AM118" s="1616"/>
      <c r="AN118" s="1616"/>
      <c r="AO118" s="1616"/>
      <c r="AP118" s="1616"/>
      <c r="AQ118" s="1616"/>
      <c r="AR118" s="1616"/>
      <c r="AS118" s="1616"/>
      <c r="AT118" s="1616"/>
      <c r="AU118" s="1616"/>
      <c r="AV118" s="1616"/>
      <c r="AW118" s="1616"/>
      <c r="AX118" s="1616"/>
      <c r="AY118" s="1616"/>
      <c r="AZ118" s="1616"/>
      <c r="BA118" s="1616"/>
    </row>
    <row r="119" spans="14:53" ht="16.600000000000001" customHeight="1" x14ac:dyDescent="0.25">
      <c r="N119" s="434"/>
      <c r="O119" s="1823" t="str">
        <f>'A3. UnitConversions'!A53</f>
        <v>[Select]</v>
      </c>
      <c r="P119" s="1823">
        <f>'A3. UnitConversions'!B53</f>
        <v>0</v>
      </c>
      <c r="Q119" s="296"/>
      <c r="R119" s="296"/>
      <c r="T119" s="434"/>
      <c r="U119" s="1822" t="s">
        <v>1611</v>
      </c>
      <c r="V119" s="1823">
        <v>1.2366303000000001</v>
      </c>
      <c r="W119" s="296">
        <v>0.56092606859081107</v>
      </c>
      <c r="X119" s="2"/>
      <c r="AB119" s="1616"/>
      <c r="AC119" s="1616"/>
      <c r="AD119" s="1616"/>
      <c r="AE119" s="1616"/>
      <c r="AF119" s="1616"/>
      <c r="AG119" s="1616"/>
      <c r="AH119" s="1616"/>
      <c r="AI119" s="1616"/>
      <c r="AJ119" s="1616"/>
      <c r="AK119" s="1616"/>
      <c r="AL119" s="1616"/>
      <c r="AM119" s="1616"/>
      <c r="AN119" s="1616"/>
      <c r="AO119" s="1616"/>
      <c r="AP119" s="1616"/>
      <c r="AQ119" s="1616"/>
      <c r="AR119" s="1616"/>
      <c r="AS119" s="1616"/>
      <c r="AT119" s="1616"/>
      <c r="AU119" s="1616"/>
      <c r="AV119" s="1616"/>
      <c r="AW119" s="1616"/>
      <c r="AX119" s="1616"/>
      <c r="AY119" s="1616"/>
      <c r="AZ119" s="1616"/>
      <c r="BA119" s="1616"/>
    </row>
    <row r="120" spans="14:53" ht="16.600000000000001" customHeight="1" x14ac:dyDescent="0.25">
      <c r="N120" s="434"/>
      <c r="O120" s="1823" t="s">
        <v>444</v>
      </c>
      <c r="P120" s="1823">
        <f>'A3. UnitConversions'!B54</f>
        <v>1</v>
      </c>
      <c r="Q120" s="296">
        <v>0.8</v>
      </c>
      <c r="R120" s="296">
        <v>0.58199999999999996</v>
      </c>
      <c r="T120" s="446"/>
      <c r="U120" s="1822" t="s">
        <v>1565</v>
      </c>
      <c r="V120" s="1823">
        <v>0.542157</v>
      </c>
      <c r="W120" s="296">
        <v>0.24591827854209003</v>
      </c>
      <c r="X120" s="2"/>
      <c r="AB120" s="1616"/>
      <c r="AC120" s="1616"/>
      <c r="AD120" s="1616"/>
      <c r="AE120" s="1616"/>
      <c r="AF120" s="1616"/>
      <c r="AG120" s="1616"/>
      <c r="AH120" s="1616"/>
      <c r="AI120" s="1616"/>
      <c r="AJ120" s="1616"/>
      <c r="AK120" s="1616"/>
      <c r="AL120" s="1616"/>
      <c r="AM120" s="1616"/>
      <c r="AN120" s="1616"/>
      <c r="AO120" s="1616"/>
      <c r="AP120" s="1616"/>
      <c r="AQ120" s="1616"/>
      <c r="AR120" s="1616"/>
      <c r="AS120" s="1616"/>
      <c r="AT120" s="1616"/>
      <c r="AU120" s="1616"/>
      <c r="AV120" s="1616"/>
      <c r="AW120" s="1616"/>
      <c r="AX120" s="1616"/>
      <c r="AY120" s="1616"/>
      <c r="AZ120" s="1616"/>
      <c r="BA120" s="1616"/>
    </row>
    <row r="121" spans="14:53" ht="16.600000000000001" customHeight="1" x14ac:dyDescent="0.25">
      <c r="N121" s="442"/>
      <c r="O121" s="1823" t="str">
        <f>'A3. UnitConversions'!A55</f>
        <v>US Gallons</v>
      </c>
      <c r="P121" s="1823">
        <f>'A3. UnitConversions'!B55</f>
        <v>3.785412</v>
      </c>
      <c r="Q121" s="1823">
        <f>Q120*P121</f>
        <v>3.0283296000000002</v>
      </c>
      <c r="R121" s="1823">
        <f>R120*P121</f>
        <v>2.203109784</v>
      </c>
      <c r="T121" s="446"/>
      <c r="U121" s="1822" t="s">
        <v>1566</v>
      </c>
      <c r="V121" s="1823">
        <v>1.9201279600000001</v>
      </c>
      <c r="W121" s="1823">
        <v>0.87095539207966532</v>
      </c>
      <c r="X121" s="2"/>
      <c r="AB121" s="1616"/>
      <c r="AC121" s="1616"/>
      <c r="AD121" s="1616"/>
      <c r="AE121" s="1616"/>
      <c r="AF121" s="1616"/>
      <c r="AG121" s="1616"/>
      <c r="AH121" s="1616"/>
      <c r="AI121" s="1616"/>
      <c r="AJ121" s="1616"/>
      <c r="AK121" s="1616"/>
      <c r="AL121" s="1616"/>
      <c r="AM121" s="1616"/>
      <c r="AN121" s="1616"/>
      <c r="AO121" s="1616"/>
      <c r="AP121" s="1616"/>
      <c r="AQ121" s="1616"/>
      <c r="AR121" s="1616"/>
      <c r="AS121" s="1616"/>
      <c r="AT121" s="1616"/>
      <c r="AU121" s="1616"/>
      <c r="AV121" s="1616"/>
      <c r="AW121" s="1616"/>
      <c r="AX121" s="1616"/>
      <c r="AY121" s="1616"/>
      <c r="AZ121" s="1616"/>
      <c r="BA121" s="1616"/>
    </row>
    <row r="122" spans="14:53" ht="16.600000000000001" customHeight="1" x14ac:dyDescent="0.25">
      <c r="N122" s="434"/>
      <c r="O122" s="1823" t="str">
        <f>'A3. UnitConversions'!A56</f>
        <v>Imperial Gallons</v>
      </c>
      <c r="P122" s="1823">
        <f>'A3. UnitConversions'!B56</f>
        <v>4.5460900000000004</v>
      </c>
      <c r="Q122" s="296">
        <f>Q120*P122</f>
        <v>3.6368720000000003</v>
      </c>
      <c r="R122" s="296">
        <f>R120*P122</f>
        <v>2.6458243800000001</v>
      </c>
      <c r="T122" s="434"/>
      <c r="U122" s="1822" t="s">
        <v>1567</v>
      </c>
      <c r="V122" s="1823">
        <v>0.80964922999999989</v>
      </c>
      <c r="W122" s="1823">
        <v>0.36725071310437507</v>
      </c>
      <c r="X122" s="2"/>
      <c r="AB122" s="1616"/>
      <c r="AC122" s="1616"/>
      <c r="AD122" s="1616"/>
      <c r="AE122" s="1616"/>
      <c r="AF122" s="1616"/>
      <c r="AG122" s="1616"/>
      <c r="AH122" s="1616"/>
      <c r="AI122" s="1616"/>
      <c r="AJ122" s="1616"/>
      <c r="AK122" s="1616"/>
      <c r="AL122" s="1616"/>
      <c r="AM122" s="1616"/>
      <c r="AN122" s="1616"/>
      <c r="AO122" s="1616"/>
      <c r="AP122" s="1616"/>
      <c r="AQ122" s="1616"/>
      <c r="AR122" s="1616"/>
      <c r="AS122" s="1616"/>
      <c r="AT122" s="1616"/>
      <c r="AU122" s="1616"/>
      <c r="AV122" s="1616"/>
      <c r="AW122" s="1616"/>
      <c r="AX122" s="1616"/>
      <c r="AY122" s="1616"/>
      <c r="AZ122" s="1616"/>
      <c r="BA122" s="1616"/>
    </row>
    <row r="123" spans="14:53" ht="16.600000000000001" customHeight="1" x14ac:dyDescent="0.25">
      <c r="N123" s="446"/>
      <c r="O123" s="446"/>
      <c r="P123" s="446"/>
      <c r="Q123" s="446"/>
      <c r="R123" s="446"/>
      <c r="T123" s="434"/>
      <c r="U123" s="1822" t="s">
        <v>1224</v>
      </c>
      <c r="V123" s="1823">
        <v>2.0268021699999998</v>
      </c>
      <c r="W123" s="1823">
        <v>0.91934199981144293</v>
      </c>
      <c r="X123" s="2"/>
      <c r="AB123" s="1616"/>
      <c r="AC123" s="1616"/>
      <c r="AD123" s="1616"/>
      <c r="AE123" s="1616"/>
      <c r="AF123" s="1616"/>
      <c r="AG123" s="1616"/>
      <c r="AH123" s="1616"/>
      <c r="AI123" s="1616"/>
      <c r="AJ123" s="1616"/>
      <c r="AK123" s="1616"/>
      <c r="AL123" s="1616"/>
      <c r="AM123" s="1616"/>
      <c r="AN123" s="1616"/>
      <c r="AO123" s="1616"/>
      <c r="AP123" s="1616"/>
      <c r="AQ123" s="1616"/>
      <c r="AR123" s="1616"/>
      <c r="AS123" s="1616"/>
      <c r="AT123" s="1616"/>
      <c r="AU123" s="1616"/>
      <c r="AV123" s="1616"/>
      <c r="AW123" s="1616"/>
      <c r="AX123" s="1616"/>
      <c r="AY123" s="1616"/>
      <c r="AZ123" s="1616"/>
      <c r="BA123" s="1616"/>
    </row>
    <row r="124" spans="14:53" ht="16.600000000000001" customHeight="1" x14ac:dyDescent="0.25">
      <c r="N124" s="434"/>
      <c r="O124" s="434"/>
      <c r="P124" s="434"/>
      <c r="Q124" s="434"/>
      <c r="R124" s="434"/>
      <c r="T124" s="434"/>
      <c r="U124" s="1822" t="s">
        <v>1568</v>
      </c>
      <c r="V124" s="1823">
        <v>2.4411402500000006</v>
      </c>
      <c r="W124" s="1823">
        <v>1.1072825914998927</v>
      </c>
      <c r="X124" s="2"/>
      <c r="AB124" s="1616"/>
      <c r="AC124" s="1616"/>
      <c r="AD124" s="1616"/>
      <c r="AE124" s="1616"/>
      <c r="AF124" s="1616"/>
      <c r="AG124" s="1616"/>
      <c r="AH124" s="1616"/>
      <c r="AI124" s="1616"/>
      <c r="AJ124" s="1616"/>
      <c r="AK124" s="1616"/>
      <c r="AL124" s="1616"/>
      <c r="AM124" s="1616"/>
      <c r="AN124" s="1616"/>
      <c r="AO124" s="1616"/>
      <c r="AP124" s="1616"/>
      <c r="AQ124" s="1616"/>
      <c r="AR124" s="1616"/>
      <c r="AS124" s="1616"/>
      <c r="AT124" s="1616"/>
      <c r="AU124" s="1616"/>
      <c r="AV124" s="1616"/>
      <c r="AW124" s="1616"/>
      <c r="AX124" s="1616"/>
      <c r="AY124" s="1616"/>
      <c r="AZ124" s="1616"/>
      <c r="BA124" s="1616"/>
    </row>
    <row r="125" spans="14:53" ht="16.600000000000001" customHeight="1" x14ac:dyDescent="0.25">
      <c r="N125" s="434"/>
      <c r="O125" s="434"/>
      <c r="P125" s="434"/>
      <c r="Q125" s="434"/>
      <c r="R125" s="434"/>
      <c r="T125" s="434"/>
      <c r="U125" s="1822" t="s">
        <v>1569</v>
      </c>
      <c r="V125" s="296">
        <v>1.3469165299999999</v>
      </c>
      <c r="W125" s="296">
        <v>0.61095106103487606</v>
      </c>
      <c r="X125" s="2"/>
      <c r="AB125" s="1616"/>
      <c r="AC125" s="1616"/>
      <c r="AD125" s="1616"/>
      <c r="AE125" s="1616"/>
      <c r="AF125" s="1616"/>
      <c r="AG125" s="1616"/>
      <c r="AH125" s="1616"/>
      <c r="AI125" s="1616"/>
      <c r="AJ125" s="1616"/>
      <c r="AK125" s="1616"/>
      <c r="AL125" s="1616"/>
      <c r="AM125" s="1616"/>
      <c r="AN125" s="1616"/>
      <c r="AO125" s="1616"/>
      <c r="AP125" s="1616"/>
      <c r="AQ125" s="1616"/>
      <c r="AR125" s="1616"/>
      <c r="AS125" s="1616"/>
      <c r="AT125" s="1616"/>
      <c r="AU125" s="1616"/>
      <c r="AV125" s="1616"/>
      <c r="AW125" s="1616"/>
      <c r="AX125" s="1616"/>
      <c r="AY125" s="1616"/>
      <c r="AZ125" s="1616"/>
      <c r="BA125" s="1616"/>
    </row>
    <row r="126" spans="14:53" ht="16.600000000000001" customHeight="1" x14ac:dyDescent="0.25">
      <c r="N126" s="434"/>
      <c r="O126" s="434"/>
      <c r="P126" s="434"/>
      <c r="Q126" s="2"/>
      <c r="R126" s="2"/>
      <c r="T126" s="434"/>
      <c r="U126" s="1822" t="s">
        <v>1570</v>
      </c>
      <c r="V126" s="296">
        <v>1.4101737799999998</v>
      </c>
      <c r="W126" s="299">
        <v>0.63964406698205856</v>
      </c>
      <c r="X126" s="2"/>
      <c r="AB126" s="1616"/>
      <c r="AC126" s="1616"/>
      <c r="AD126" s="1616"/>
      <c r="AE126" s="1616"/>
      <c r="AF126" s="1616"/>
      <c r="AG126" s="1616"/>
      <c r="AH126" s="1616"/>
      <c r="AI126" s="1616"/>
      <c r="AJ126" s="1616"/>
      <c r="AK126" s="1616"/>
      <c r="AL126" s="1616"/>
      <c r="AM126" s="1616"/>
      <c r="AN126" s="1616"/>
      <c r="AO126" s="1616"/>
      <c r="AP126" s="1616"/>
      <c r="AQ126" s="1616"/>
      <c r="AR126" s="1616"/>
      <c r="AS126" s="1616"/>
      <c r="AT126" s="1616"/>
      <c r="AU126" s="1616"/>
      <c r="AV126" s="1616"/>
      <c r="AW126" s="1616"/>
      <c r="AX126" s="1616"/>
      <c r="AY126" s="1616"/>
      <c r="AZ126" s="1616"/>
      <c r="BA126" s="1616"/>
    </row>
    <row r="127" spans="14:53" ht="16.600000000000001" customHeight="1" x14ac:dyDescent="0.25">
      <c r="N127" s="436"/>
      <c r="O127" s="1823" t="str">
        <f>'A3. UnitConversions'!A39</f>
        <v>[Select]</v>
      </c>
      <c r="P127" s="1823">
        <f>'A3. UnitConversions'!B39</f>
        <v>0</v>
      </c>
      <c r="Q127" s="2"/>
      <c r="R127" s="2"/>
      <c r="T127" s="434"/>
      <c r="U127" s="1822" t="s">
        <v>953</v>
      </c>
      <c r="V127" s="296">
        <v>1.74401316</v>
      </c>
      <c r="W127" s="296">
        <v>0.79107106255558923</v>
      </c>
      <c r="X127" s="2"/>
      <c r="AB127" s="1616"/>
      <c r="AC127" s="1616"/>
      <c r="AD127" s="1616"/>
      <c r="AE127" s="1616"/>
      <c r="AF127" s="1616"/>
      <c r="AG127" s="1616"/>
      <c r="AH127" s="1616"/>
      <c r="AI127" s="1616"/>
      <c r="AJ127" s="1616"/>
      <c r="AK127" s="1616"/>
      <c r="AL127" s="1616"/>
      <c r="AM127" s="1616"/>
      <c r="AN127" s="1616"/>
      <c r="AO127" s="1616"/>
      <c r="AP127" s="1616"/>
      <c r="AQ127" s="1616"/>
      <c r="AR127" s="1616"/>
      <c r="AS127" s="1616"/>
      <c r="AT127" s="1616"/>
      <c r="AU127" s="1616"/>
      <c r="AV127" s="1616"/>
      <c r="AW127" s="1616"/>
      <c r="AX127" s="1616"/>
      <c r="AY127" s="1616"/>
      <c r="AZ127" s="1616"/>
      <c r="BA127" s="1616"/>
    </row>
    <row r="128" spans="14:53" ht="16.600000000000001" customHeight="1" x14ac:dyDescent="0.25">
      <c r="N128" s="436"/>
      <c r="O128" s="1823" t="str">
        <f>'A3. UnitConversions'!A40</f>
        <v>kg</v>
      </c>
      <c r="P128" s="1823">
        <f>'A3. UnitConversions'!B40</f>
        <v>1</v>
      </c>
      <c r="Q128" s="2"/>
      <c r="R128" s="2"/>
      <c r="T128" s="434"/>
      <c r="U128" s="1822" t="s">
        <v>1571</v>
      </c>
      <c r="V128" s="296">
        <v>0.13522724</v>
      </c>
      <c r="W128" s="296">
        <v>6.13380442801588E-2</v>
      </c>
      <c r="X128" s="2"/>
      <c r="AB128" s="1616"/>
      <c r="AC128" s="1616"/>
      <c r="AD128" s="1616"/>
      <c r="AE128" s="1616"/>
      <c r="AF128" s="1616"/>
      <c r="AG128" s="1616"/>
      <c r="AH128" s="1616"/>
      <c r="AI128" s="1616"/>
      <c r="AJ128" s="1616"/>
      <c r="AK128" s="1616"/>
      <c r="AL128" s="1616"/>
      <c r="AM128" s="1616"/>
      <c r="AN128" s="1616"/>
      <c r="AO128" s="1616"/>
      <c r="AP128" s="1616"/>
      <c r="AQ128" s="1616"/>
      <c r="AR128" s="1616"/>
      <c r="AS128" s="1616"/>
      <c r="AT128" s="1616"/>
      <c r="AU128" s="1616"/>
      <c r="AV128" s="1616"/>
      <c r="AW128" s="1616"/>
      <c r="AX128" s="1616"/>
      <c r="AY128" s="1616"/>
      <c r="AZ128" s="1616"/>
      <c r="BA128" s="1616"/>
    </row>
    <row r="129" spans="14:53" ht="16.600000000000001" customHeight="1" x14ac:dyDescent="0.25">
      <c r="N129" s="436"/>
      <c r="O129" s="1823" t="str">
        <f>'A3. UnitConversions'!A41</f>
        <v>tonnes</v>
      </c>
      <c r="P129" s="1823">
        <f>'A3. UnitConversions'!B41</f>
        <v>1000</v>
      </c>
      <c r="Q129" s="2"/>
      <c r="R129" s="2"/>
      <c r="T129" s="434"/>
      <c r="U129" s="1822" t="s">
        <v>1869</v>
      </c>
      <c r="V129" s="296">
        <v>1.1318047499999999</v>
      </c>
      <c r="W129" s="296">
        <v>0.51337799892975744</v>
      </c>
      <c r="X129" s="2"/>
      <c r="AB129" s="1616"/>
      <c r="AC129" s="1616"/>
      <c r="AD129" s="1616"/>
      <c r="AE129" s="1616"/>
      <c r="AF129" s="1616"/>
      <c r="AG129" s="1616"/>
      <c r="AH129" s="1616"/>
      <c r="AI129" s="1616"/>
      <c r="AJ129" s="1616"/>
      <c r="AK129" s="1616"/>
      <c r="AL129" s="1616"/>
      <c r="AM129" s="1616"/>
      <c r="AN129" s="1616"/>
      <c r="AO129" s="1616"/>
      <c r="AP129" s="1616"/>
      <c r="AQ129" s="1616"/>
      <c r="AR129" s="1616"/>
      <c r="AS129" s="1616"/>
      <c r="AT129" s="1616"/>
      <c r="AU129" s="1616"/>
      <c r="AV129" s="1616"/>
      <c r="AW129" s="1616"/>
      <c r="AX129" s="1616"/>
      <c r="AY129" s="1616"/>
      <c r="AZ129" s="1616"/>
      <c r="BA129" s="1616"/>
    </row>
    <row r="130" spans="14:53" ht="16.600000000000001" customHeight="1" x14ac:dyDescent="0.25">
      <c r="N130" s="436"/>
      <c r="O130" s="1823" t="str">
        <f>'A3. UnitConversions'!A42</f>
        <v>pounds</v>
      </c>
      <c r="P130" s="1823">
        <f>'A3. UnitConversions'!B42</f>
        <v>0.45359237000000002</v>
      </c>
      <c r="Q130" s="2"/>
      <c r="R130" s="2"/>
      <c r="T130" s="434"/>
      <c r="U130" s="1822" t="s">
        <v>1870</v>
      </c>
      <c r="V130" s="296">
        <v>2.0986524600000003</v>
      </c>
      <c r="W130" s="296">
        <v>0.95193274313773035</v>
      </c>
      <c r="X130" s="2"/>
      <c r="AB130" s="1616"/>
      <c r="AC130" s="1616"/>
      <c r="AD130" s="1616"/>
      <c r="AE130" s="1616"/>
      <c r="AF130" s="1616"/>
      <c r="AG130" s="1616"/>
      <c r="AH130" s="1616"/>
      <c r="AI130" s="1616"/>
      <c r="AJ130" s="1616"/>
      <c r="AK130" s="1616"/>
      <c r="AL130" s="1616"/>
      <c r="AM130" s="1616"/>
      <c r="AN130" s="1616"/>
      <c r="AO130" s="1616"/>
      <c r="AP130" s="1616"/>
      <c r="AQ130" s="1616"/>
      <c r="AR130" s="1616"/>
      <c r="AS130" s="1616"/>
      <c r="AT130" s="1616"/>
      <c r="AU130" s="1616"/>
      <c r="AV130" s="1616"/>
      <c r="AW130" s="1616"/>
      <c r="AX130" s="1616"/>
      <c r="AY130" s="1616"/>
      <c r="AZ130" s="1616"/>
      <c r="BA130" s="1616"/>
    </row>
    <row r="131" spans="14:53" ht="16.600000000000001" customHeight="1" x14ac:dyDescent="0.25">
      <c r="N131" s="436"/>
      <c r="O131" s="1823" t="str">
        <f>'A3. UnitConversions'!A43</f>
        <v xml:space="preserve">tons (US short) </v>
      </c>
      <c r="P131" s="1823">
        <f>'A3. UnitConversions'!B43</f>
        <v>907.18474000000003</v>
      </c>
      <c r="Q131" s="2"/>
      <c r="R131" s="2"/>
      <c r="T131" s="434"/>
      <c r="U131" s="1822" t="s">
        <v>1871</v>
      </c>
      <c r="V131" s="296">
        <v>1.9171590200000002</v>
      </c>
      <c r="W131" s="296">
        <v>0.86960870354867748</v>
      </c>
      <c r="X131" s="2"/>
      <c r="AB131" s="1616"/>
      <c r="AC131" s="1616"/>
      <c r="AD131" s="1616"/>
      <c r="AE131" s="1616"/>
      <c r="AF131" s="1616"/>
      <c r="AG131" s="1616"/>
      <c r="AH131" s="1616"/>
      <c r="AI131" s="1616"/>
      <c r="AJ131" s="1616"/>
      <c r="AK131" s="1616"/>
      <c r="AL131" s="1616"/>
      <c r="AM131" s="1616"/>
      <c r="AN131" s="1616"/>
      <c r="AO131" s="1616"/>
      <c r="AP131" s="1616"/>
      <c r="AQ131" s="1616"/>
      <c r="AR131" s="1616"/>
      <c r="AS131" s="1616"/>
      <c r="AT131" s="1616"/>
      <c r="AU131" s="1616"/>
      <c r="AV131" s="1616"/>
      <c r="AW131" s="1616"/>
      <c r="AX131" s="1616"/>
      <c r="AY131" s="1616"/>
      <c r="AZ131" s="1616"/>
      <c r="BA131" s="1616"/>
    </row>
    <row r="132" spans="14:53" ht="16.600000000000001" customHeight="1" x14ac:dyDescent="0.25">
      <c r="N132" s="2"/>
      <c r="O132" s="2"/>
      <c r="P132" s="2"/>
      <c r="Q132" s="2"/>
      <c r="R132" s="2"/>
      <c r="T132" s="434"/>
      <c r="U132" s="1822" t="s">
        <v>1872</v>
      </c>
      <c r="V132" s="296">
        <v>1.9047690100000001</v>
      </c>
      <c r="W132" s="296">
        <v>0.86398868954845376</v>
      </c>
      <c r="X132" s="2"/>
      <c r="AB132" s="1616"/>
      <c r="AC132" s="1616"/>
      <c r="AD132" s="1616"/>
      <c r="AE132" s="1616"/>
      <c r="AF132" s="1616"/>
      <c r="AG132" s="1616"/>
      <c r="AH132" s="1616"/>
      <c r="AI132" s="1616"/>
      <c r="AJ132" s="1616"/>
      <c r="AK132" s="1616"/>
      <c r="AL132" s="1616"/>
      <c r="AM132" s="1616"/>
      <c r="AN132" s="1616"/>
      <c r="AO132" s="1616"/>
      <c r="AP132" s="1616"/>
      <c r="AQ132" s="1616"/>
      <c r="AR132" s="1616"/>
      <c r="AS132" s="1616"/>
      <c r="AT132" s="1616"/>
      <c r="AU132" s="1616"/>
      <c r="AV132" s="1616"/>
      <c r="AW132" s="1616"/>
      <c r="AX132" s="1616"/>
      <c r="AY132" s="1616"/>
      <c r="AZ132" s="1616"/>
      <c r="BA132" s="1616"/>
    </row>
    <row r="133" spans="14:53" ht="16.600000000000001" customHeight="1" x14ac:dyDescent="0.25">
      <c r="N133" s="434"/>
      <c r="O133" s="434"/>
      <c r="P133" s="434"/>
      <c r="Q133" s="2"/>
      <c r="R133" s="2"/>
      <c r="T133" s="434"/>
      <c r="U133" s="1822" t="s">
        <v>1873</v>
      </c>
      <c r="V133" s="296">
        <v>2.0683866100000001</v>
      </c>
      <c r="W133" s="296">
        <v>0.93820438450616583</v>
      </c>
      <c r="X133" s="2"/>
      <c r="AB133" s="1616"/>
      <c r="AC133" s="1616"/>
      <c r="AD133" s="1616"/>
      <c r="AE133" s="1616"/>
      <c r="AF133" s="1616"/>
      <c r="AG133" s="1616"/>
      <c r="AH133" s="1616"/>
      <c r="AI133" s="1616"/>
      <c r="AJ133" s="1616"/>
      <c r="AK133" s="1616"/>
      <c r="AL133" s="1616"/>
      <c r="AM133" s="1616"/>
      <c r="AN133" s="1616"/>
      <c r="AO133" s="1616"/>
      <c r="AP133" s="1616"/>
      <c r="AQ133" s="1616"/>
      <c r="AR133" s="1616"/>
      <c r="AS133" s="1616"/>
      <c r="AT133" s="1616"/>
      <c r="AU133" s="1616"/>
      <c r="AV133" s="1616"/>
      <c r="AW133" s="1616"/>
      <c r="AX133" s="1616"/>
      <c r="AY133" s="1616"/>
      <c r="AZ133" s="1616"/>
      <c r="BA133" s="1616"/>
    </row>
    <row r="134" spans="14:53" ht="16.600000000000001" customHeight="1" x14ac:dyDescent="0.25">
      <c r="N134" s="434"/>
      <c r="O134" s="458"/>
      <c r="P134" s="434"/>
      <c r="Q134" s="2"/>
      <c r="R134" s="2"/>
      <c r="T134" s="434"/>
      <c r="U134" s="1822" t="s">
        <v>1874</v>
      </c>
      <c r="V134" s="296">
        <v>1.1800985699999997</v>
      </c>
      <c r="W134" s="296">
        <v>0.53528370719991081</v>
      </c>
      <c r="X134" s="2"/>
      <c r="AB134" s="1616"/>
      <c r="AC134" s="1616"/>
      <c r="AD134" s="1616"/>
      <c r="AE134" s="1616"/>
      <c r="AF134" s="1616"/>
      <c r="AG134" s="1616"/>
      <c r="AH134" s="1616"/>
      <c r="AI134" s="1616"/>
      <c r="AJ134" s="1616"/>
      <c r="AK134" s="1616"/>
      <c r="AL134" s="1616"/>
      <c r="AM134" s="1616"/>
      <c r="AN134" s="1616"/>
      <c r="AO134" s="1616"/>
      <c r="AP134" s="1616"/>
      <c r="AQ134" s="1616"/>
      <c r="AR134" s="1616"/>
      <c r="AS134" s="1616"/>
      <c r="AT134" s="1616"/>
      <c r="AU134" s="1616"/>
      <c r="AV134" s="1616"/>
      <c r="AW134" s="1616"/>
      <c r="AX134" s="1616"/>
      <c r="AY134" s="1616"/>
      <c r="AZ134" s="1616"/>
      <c r="BA134" s="1616"/>
    </row>
    <row r="135" spans="14:53" ht="16.600000000000001" customHeight="1" x14ac:dyDescent="0.25">
      <c r="N135" s="434"/>
      <c r="O135" s="434"/>
      <c r="P135" s="434"/>
      <c r="Q135" s="2"/>
      <c r="R135" s="2"/>
      <c r="T135" s="434"/>
      <c r="U135" s="1822" t="s">
        <v>1875</v>
      </c>
      <c r="V135" s="296">
        <v>0.75499229000000001</v>
      </c>
      <c r="W135" s="296">
        <v>0.34245874215282734</v>
      </c>
      <c r="X135" s="2"/>
      <c r="AB135" s="1616"/>
      <c r="AC135" s="1616"/>
      <c r="AD135" s="1616"/>
      <c r="AE135" s="1616"/>
      <c r="AF135" s="1616"/>
      <c r="AG135" s="1616"/>
      <c r="AH135" s="1616"/>
      <c r="AI135" s="1616"/>
      <c r="AJ135" s="1616"/>
      <c r="AK135" s="1616"/>
      <c r="AL135" s="1616"/>
      <c r="AM135" s="1616"/>
      <c r="AN135" s="1616"/>
      <c r="AO135" s="1616"/>
      <c r="AP135" s="1616"/>
      <c r="AQ135" s="1616"/>
      <c r="AR135" s="1616"/>
      <c r="AS135" s="1616"/>
      <c r="AT135" s="1616"/>
      <c r="AU135" s="1616"/>
      <c r="AV135" s="1616"/>
      <c r="AW135" s="1616"/>
      <c r="AX135" s="1616"/>
      <c r="AY135" s="1616"/>
      <c r="AZ135" s="1616"/>
      <c r="BA135" s="1616"/>
    </row>
    <row r="136" spans="14:53" ht="16.600000000000001" customHeight="1" x14ac:dyDescent="0.25">
      <c r="N136" s="446"/>
      <c r="O136" s="434"/>
      <c r="P136" s="434"/>
      <c r="Q136" s="2"/>
      <c r="R136" s="2"/>
      <c r="T136" s="434"/>
      <c r="U136" s="1822" t="s">
        <v>1876</v>
      </c>
      <c r="V136" s="296">
        <v>1.3598625800000002</v>
      </c>
      <c r="W136" s="296">
        <v>0.61682329053651475</v>
      </c>
      <c r="X136" s="2"/>
      <c r="AB136" s="1616"/>
      <c r="AC136" s="1616"/>
      <c r="AD136" s="1616"/>
      <c r="AE136" s="1616"/>
      <c r="AF136" s="1616"/>
      <c r="AG136" s="1616"/>
      <c r="AH136" s="1616"/>
      <c r="AI136" s="1616"/>
      <c r="AJ136" s="1616"/>
      <c r="AK136" s="1616"/>
      <c r="AL136" s="1616"/>
      <c r="AM136" s="1616"/>
      <c r="AN136" s="1616"/>
      <c r="AO136" s="1616"/>
      <c r="AP136" s="1616"/>
      <c r="AQ136" s="1616"/>
      <c r="AR136" s="1616"/>
      <c r="AS136" s="1616"/>
      <c r="AT136" s="1616"/>
      <c r="AU136" s="1616"/>
      <c r="AV136" s="1616"/>
      <c r="AW136" s="1616"/>
      <c r="AX136" s="1616"/>
      <c r="AY136" s="1616"/>
      <c r="AZ136" s="1616"/>
      <c r="BA136" s="1616"/>
    </row>
    <row r="137" spans="14:53" ht="16.600000000000001" customHeight="1" x14ac:dyDescent="0.25">
      <c r="N137" s="446"/>
      <c r="O137" s="1823" t="str">
        <f>'A3. UnitConversions'!A31</f>
        <v>[Select]</v>
      </c>
      <c r="P137" s="1823">
        <f>'A3. UnitConversions'!B31</f>
        <v>0</v>
      </c>
      <c r="Q137" s="2"/>
      <c r="R137" s="2"/>
      <c r="T137" s="434"/>
      <c r="U137" s="1822" t="s">
        <v>1877</v>
      </c>
      <c r="V137" s="296">
        <v>1.26972033</v>
      </c>
      <c r="W137" s="296">
        <v>0.57593545372188215</v>
      </c>
      <c r="X137" s="2"/>
      <c r="AB137" s="1616"/>
      <c r="AC137" s="1616"/>
      <c r="AD137" s="1616"/>
      <c r="AE137" s="1616"/>
      <c r="AF137" s="1616"/>
      <c r="AG137" s="1616"/>
      <c r="AH137" s="1616"/>
      <c r="AI137" s="1616"/>
      <c r="AJ137" s="1616"/>
      <c r="AK137" s="1616"/>
      <c r="AL137" s="1616"/>
      <c r="AM137" s="1616"/>
      <c r="AN137" s="1616"/>
      <c r="AO137" s="1616"/>
      <c r="AP137" s="1616"/>
      <c r="AQ137" s="1616"/>
      <c r="AR137" s="1616"/>
      <c r="AS137" s="1616"/>
      <c r="AT137" s="1616"/>
      <c r="AU137" s="1616"/>
      <c r="AV137" s="1616"/>
      <c r="AW137" s="1616"/>
      <c r="AX137" s="1616"/>
      <c r="AY137" s="1616"/>
      <c r="AZ137" s="1616"/>
      <c r="BA137" s="1616"/>
    </row>
    <row r="138" spans="14:53" ht="16.600000000000001" customHeight="1" x14ac:dyDescent="0.25">
      <c r="N138" s="434"/>
      <c r="O138" s="1823"/>
      <c r="P138" s="1823"/>
      <c r="Q138" s="2"/>
      <c r="R138" s="2"/>
      <c r="T138" s="434"/>
      <c r="U138" s="1822" t="s">
        <v>1878</v>
      </c>
      <c r="V138" s="296">
        <v>1.3552916499999998</v>
      </c>
      <c r="W138" s="296">
        <v>0.61474995156471046</v>
      </c>
      <c r="X138" s="2"/>
      <c r="AB138" s="1616"/>
      <c r="AC138" s="1616"/>
      <c r="AD138" s="1616"/>
      <c r="AE138" s="1616"/>
      <c r="AF138" s="1616"/>
      <c r="AG138" s="1616"/>
      <c r="AH138" s="1616"/>
      <c r="AI138" s="1616"/>
      <c r="AJ138" s="1616"/>
      <c r="AK138" s="1616"/>
      <c r="AL138" s="1616"/>
      <c r="AM138" s="1616"/>
      <c r="AN138" s="1616"/>
      <c r="AO138" s="1616"/>
      <c r="AP138" s="1616"/>
      <c r="AQ138" s="1616"/>
      <c r="AR138" s="1616"/>
      <c r="AS138" s="1616"/>
      <c r="AT138" s="1616"/>
      <c r="AU138" s="1616"/>
      <c r="AV138" s="1616"/>
      <c r="AW138" s="1616"/>
      <c r="AX138" s="1616"/>
      <c r="AY138" s="1616"/>
      <c r="AZ138" s="1616"/>
      <c r="BA138" s="1616"/>
    </row>
    <row r="139" spans="14:53" ht="16.600000000000001" customHeight="1" x14ac:dyDescent="0.25">
      <c r="N139" s="434"/>
      <c r="O139" s="1823" t="str">
        <f>'A3. UnitConversions'!A32</f>
        <v>kWh</v>
      </c>
      <c r="P139" s="1823">
        <f>'A3. UnitConversions'!B32</f>
        <v>3.6</v>
      </c>
      <c r="Q139" s="2"/>
      <c r="R139" s="2"/>
      <c r="T139" s="434"/>
      <c r="U139" s="1822" t="s">
        <v>1879</v>
      </c>
      <c r="V139" s="296">
        <v>1.60407104</v>
      </c>
      <c r="W139" s="296">
        <v>0.7275943846819648</v>
      </c>
      <c r="X139" s="2"/>
      <c r="AB139" s="1616"/>
      <c r="AC139" s="1616"/>
      <c r="AD139" s="1616"/>
      <c r="AE139" s="1616"/>
      <c r="AF139" s="1616"/>
      <c r="AG139" s="1616"/>
      <c r="AH139" s="1616"/>
      <c r="AI139" s="1616"/>
      <c r="AJ139" s="1616"/>
      <c r="AK139" s="1616"/>
      <c r="AL139" s="1616"/>
      <c r="AM139" s="1616"/>
      <c r="AN139" s="1616"/>
      <c r="AO139" s="1616"/>
      <c r="AP139" s="1616"/>
      <c r="AQ139" s="1616"/>
      <c r="AR139" s="1616"/>
      <c r="AS139" s="1616"/>
      <c r="AT139" s="1616"/>
      <c r="AU139" s="1616"/>
      <c r="AV139" s="1616"/>
      <c r="AW139" s="1616"/>
      <c r="AX139" s="1616"/>
      <c r="AY139" s="1616"/>
      <c r="AZ139" s="1616"/>
      <c r="BA139" s="1616"/>
    </row>
    <row r="140" spans="14:53" ht="16.600000000000001" customHeight="1" x14ac:dyDescent="0.25">
      <c r="N140" s="434"/>
      <c r="O140" s="1823" t="str">
        <f>'A3. UnitConversions'!A33</f>
        <v>MJ</v>
      </c>
      <c r="P140" s="1823">
        <f>'A3. UnitConversions'!B33</f>
        <v>1</v>
      </c>
      <c r="Q140" s="2"/>
      <c r="R140" s="2"/>
      <c r="T140" s="434"/>
      <c r="U140" s="1822" t="s">
        <v>1880</v>
      </c>
      <c r="V140" s="180">
        <v>1.23158857</v>
      </c>
      <c r="W140" s="296">
        <v>0.55863917833121091</v>
      </c>
      <c r="X140" s="2"/>
      <c r="AB140" s="1616"/>
      <c r="AC140" s="1616"/>
      <c r="AD140" s="1616"/>
      <c r="AE140" s="1616"/>
      <c r="AF140" s="1616"/>
      <c r="AG140" s="1616"/>
      <c r="AH140" s="1616"/>
      <c r="AI140" s="1616"/>
      <c r="AJ140" s="1616"/>
      <c r="AK140" s="1616"/>
      <c r="AL140" s="1616"/>
      <c r="AM140" s="1616"/>
      <c r="AN140" s="1616"/>
      <c r="AO140" s="1616"/>
      <c r="AP140" s="1616"/>
      <c r="AQ140" s="1616"/>
      <c r="AR140" s="1616"/>
      <c r="AS140" s="1616"/>
      <c r="AT140" s="1616"/>
      <c r="AU140" s="1616"/>
      <c r="AV140" s="1616"/>
      <c r="AW140" s="1616"/>
      <c r="AX140" s="1616"/>
      <c r="AY140" s="1616"/>
      <c r="AZ140" s="1616"/>
      <c r="BA140" s="1616"/>
    </row>
    <row r="141" spans="14:53" ht="16.600000000000001" customHeight="1" x14ac:dyDescent="0.25">
      <c r="N141" s="446"/>
      <c r="O141" s="1823" t="str">
        <f>'A3. UnitConversions'!A34</f>
        <v>therms</v>
      </c>
      <c r="P141" s="1823">
        <f>'A3. UnitConversions'!B34</f>
        <v>105.5</v>
      </c>
      <c r="Q141" s="2"/>
      <c r="R141" s="2"/>
      <c r="T141" s="434"/>
      <c r="U141" s="1822" t="s">
        <v>1881</v>
      </c>
      <c r="V141" s="296">
        <v>1.85655291</v>
      </c>
      <c r="W141" s="296">
        <v>0.84211823447729672</v>
      </c>
      <c r="X141" s="2"/>
      <c r="AB141" s="1616"/>
      <c r="AC141" s="1616"/>
      <c r="AD141" s="1616"/>
      <c r="AE141" s="1616"/>
      <c r="AF141" s="1616"/>
      <c r="AG141" s="1616"/>
      <c r="AH141" s="1616"/>
      <c r="AI141" s="1616"/>
      <c r="AJ141" s="1616"/>
      <c r="AK141" s="1616"/>
      <c r="AL141" s="1616"/>
      <c r="AM141" s="1616"/>
      <c r="AN141" s="1616"/>
      <c r="AO141" s="1616"/>
      <c r="AP141" s="1616"/>
      <c r="AQ141" s="1616"/>
      <c r="AR141" s="1616"/>
      <c r="AS141" s="1616"/>
      <c r="AT141" s="1616"/>
      <c r="AU141" s="1616"/>
      <c r="AV141" s="1616"/>
      <c r="AW141" s="1616"/>
      <c r="AX141" s="1616"/>
      <c r="AY141" s="1616"/>
      <c r="AZ141" s="1616"/>
      <c r="BA141" s="1616"/>
    </row>
    <row r="142" spans="14:53" ht="16.600000000000001" customHeight="1" x14ac:dyDescent="0.25">
      <c r="N142" s="446"/>
      <c r="O142" s="1823" t="str">
        <f>'A3. UnitConversions'!A35</f>
        <v>Btu</v>
      </c>
      <c r="P142" s="1823">
        <f>'A3. UnitConversions'!B35</f>
        <v>1.0549999999999999E-3</v>
      </c>
      <c r="Q142" s="2"/>
      <c r="R142" s="2"/>
      <c r="T142" s="434"/>
      <c r="U142" s="1822" t="s">
        <v>1882</v>
      </c>
      <c r="V142" s="296">
        <v>1.6005944499999998</v>
      </c>
      <c r="W142" s="296">
        <v>0.72601742998434649</v>
      </c>
      <c r="X142" s="2"/>
      <c r="AB142" s="1616"/>
      <c r="AC142" s="1616"/>
      <c r="AD142" s="1616"/>
      <c r="AE142" s="1616"/>
      <c r="AF142" s="1616"/>
      <c r="AG142" s="1616"/>
      <c r="AH142" s="1616"/>
      <c r="AI142" s="1616"/>
      <c r="AJ142" s="1616"/>
      <c r="AK142" s="1616"/>
      <c r="AL142" s="1616"/>
      <c r="AM142" s="1616"/>
      <c r="AN142" s="1616"/>
      <c r="AO142" s="1616"/>
      <c r="AP142" s="1616"/>
      <c r="AQ142" s="1616"/>
      <c r="AR142" s="1616"/>
      <c r="AS142" s="1616"/>
      <c r="AT142" s="1616"/>
      <c r="AU142" s="1616"/>
      <c r="AV142" s="1616"/>
      <c r="AW142" s="1616"/>
      <c r="AX142" s="1616"/>
      <c r="AY142" s="1616"/>
      <c r="AZ142" s="1616"/>
      <c r="BA142" s="1616"/>
    </row>
    <row r="143" spans="14:53" ht="16.600000000000001" customHeight="1" x14ac:dyDescent="0.25">
      <c r="N143" s="434"/>
      <c r="O143" s="436"/>
      <c r="P143" s="436"/>
      <c r="Q143" s="2"/>
      <c r="R143" s="2"/>
      <c r="T143" s="434"/>
      <c r="U143" s="1822" t="s">
        <v>434</v>
      </c>
      <c r="V143" s="296">
        <v>1.6142647400000001</v>
      </c>
      <c r="W143" s="296">
        <v>0.73221816922403393</v>
      </c>
      <c r="X143" s="2"/>
      <c r="AB143" s="1616"/>
      <c r="AC143" s="1616"/>
      <c r="AD143" s="1616"/>
      <c r="AE143" s="1616"/>
      <c r="AF143" s="1616"/>
      <c r="AG143" s="1616"/>
      <c r="AH143" s="1616"/>
      <c r="AI143" s="1616"/>
      <c r="AJ143" s="1616"/>
      <c r="AK143" s="1616"/>
      <c r="AL143" s="1616"/>
      <c r="AM143" s="1616"/>
      <c r="AN143" s="1616"/>
      <c r="AO143" s="1616"/>
      <c r="AP143" s="1616"/>
      <c r="AQ143" s="1616"/>
      <c r="AR143" s="1616"/>
      <c r="AS143" s="1616"/>
      <c r="AT143" s="1616"/>
      <c r="AU143" s="1616"/>
      <c r="AV143" s="1616"/>
      <c r="AW143" s="1616"/>
      <c r="AX143" s="1616"/>
      <c r="AY143" s="1616"/>
      <c r="AZ143" s="1616"/>
      <c r="BA143" s="1616"/>
    </row>
    <row r="144" spans="14:53" ht="16.600000000000001" customHeight="1" x14ac:dyDescent="0.25">
      <c r="N144" s="434"/>
      <c r="O144" s="434"/>
      <c r="P144" s="434"/>
      <c r="Q144" s="2"/>
      <c r="R144" s="2"/>
      <c r="T144" s="434"/>
      <c r="U144" s="1822" t="s">
        <v>1883</v>
      </c>
      <c r="V144" s="296">
        <v>1.4465741000000001</v>
      </c>
      <c r="W144" s="296">
        <v>0.65615497439961712</v>
      </c>
      <c r="X144" s="2"/>
      <c r="AB144" s="1616"/>
      <c r="AC144" s="1616"/>
      <c r="AD144" s="1616"/>
      <c r="AE144" s="1616"/>
      <c r="AF144" s="1616"/>
      <c r="AG144" s="1616"/>
      <c r="AH144" s="1616"/>
      <c r="AI144" s="1616"/>
      <c r="AJ144" s="1616"/>
      <c r="AK144" s="1616"/>
      <c r="AL144" s="1616"/>
      <c r="AM144" s="1616"/>
      <c r="AN144" s="1616"/>
      <c r="AO144" s="1616"/>
      <c r="AP144" s="1616"/>
      <c r="AQ144" s="1616"/>
      <c r="AR144" s="1616"/>
      <c r="AS144" s="1616"/>
      <c r="AT144" s="1616"/>
      <c r="AU144" s="1616"/>
      <c r="AV144" s="1616"/>
      <c r="AW144" s="1616"/>
      <c r="AX144" s="1616"/>
      <c r="AY144" s="1616"/>
      <c r="AZ144" s="1616"/>
      <c r="BA144" s="1616"/>
    </row>
    <row r="145" spans="14:53" ht="16.600000000000001" customHeight="1" x14ac:dyDescent="0.25">
      <c r="N145" s="434"/>
      <c r="O145" s="434"/>
      <c r="P145" s="434"/>
      <c r="Q145" s="2"/>
      <c r="R145" s="2"/>
      <c r="T145" s="434"/>
      <c r="U145" s="1822" t="s">
        <v>1884</v>
      </c>
      <c r="V145" s="296">
        <v>0.79424795999999998</v>
      </c>
      <c r="W145" s="296">
        <v>0.36026481454406523</v>
      </c>
      <c r="X145" s="2"/>
      <c r="AB145" s="1616"/>
      <c r="AC145" s="1616"/>
      <c r="AD145" s="1616"/>
      <c r="AE145" s="1616"/>
      <c r="AF145" s="1616"/>
      <c r="AG145" s="1616"/>
      <c r="AH145" s="1616"/>
      <c r="AI145" s="1616"/>
      <c r="AJ145" s="1616"/>
      <c r="AK145" s="1616"/>
      <c r="AL145" s="1616"/>
      <c r="AM145" s="1616"/>
      <c r="AN145" s="1616"/>
      <c r="AO145" s="1616"/>
      <c r="AP145" s="1616"/>
      <c r="AQ145" s="1616"/>
      <c r="AR145" s="1616"/>
      <c r="AS145" s="1616"/>
      <c r="AT145" s="1616"/>
      <c r="AU145" s="1616"/>
      <c r="AV145" s="1616"/>
      <c r="AW145" s="1616"/>
      <c r="AX145" s="1616"/>
      <c r="AY145" s="1616"/>
      <c r="AZ145" s="1616"/>
      <c r="BA145" s="1616"/>
    </row>
    <row r="146" spans="14:53" ht="16.600000000000001" customHeight="1" x14ac:dyDescent="0.25">
      <c r="N146" s="434"/>
      <c r="O146" s="446"/>
      <c r="P146" s="446"/>
      <c r="Q146" s="2"/>
      <c r="R146" s="2"/>
      <c r="T146" s="434"/>
      <c r="U146" s="1822" t="s">
        <v>1885</v>
      </c>
      <c r="V146" s="296">
        <v>0.72251934000000007</v>
      </c>
      <c r="W146" s="296">
        <v>0.32772925980143586</v>
      </c>
      <c r="X146" s="2"/>
      <c r="AB146" s="1616"/>
      <c r="AC146" s="1616"/>
      <c r="AD146" s="1616"/>
      <c r="AE146" s="1616"/>
      <c r="AF146" s="1616"/>
      <c r="AG146" s="1616"/>
      <c r="AH146" s="1616"/>
      <c r="AI146" s="1616"/>
      <c r="AJ146" s="1616"/>
      <c r="AK146" s="1616"/>
      <c r="AL146" s="1616"/>
      <c r="AM146" s="1616"/>
      <c r="AN146" s="1616"/>
      <c r="AO146" s="1616"/>
      <c r="AP146" s="1616"/>
      <c r="AQ146" s="1616"/>
      <c r="AR146" s="1616"/>
      <c r="AS146" s="1616"/>
      <c r="AT146" s="1616"/>
      <c r="AU146" s="1616"/>
      <c r="AV146" s="1616"/>
      <c r="AW146" s="1616"/>
      <c r="AX146" s="1616"/>
      <c r="AY146" s="1616"/>
      <c r="AZ146" s="1616"/>
      <c r="BA146" s="1616"/>
    </row>
    <row r="147" spans="14:53" ht="16.600000000000001" customHeight="1" x14ac:dyDescent="0.25">
      <c r="N147" s="434"/>
      <c r="O147" s="1823" t="str">
        <f>'A3. UnitConversions'!A53</f>
        <v>[Select]</v>
      </c>
      <c r="P147" s="1823">
        <f>'A3. UnitConversions'!B53</f>
        <v>0</v>
      </c>
      <c r="Q147" s="2"/>
      <c r="R147" s="2"/>
      <c r="T147" s="434"/>
      <c r="U147" s="1822" t="s">
        <v>1886</v>
      </c>
      <c r="V147" s="296">
        <v>1.9455188800000003</v>
      </c>
      <c r="W147" s="296">
        <v>0.8824725196589458</v>
      </c>
      <c r="X147" s="2"/>
      <c r="AB147" s="1616"/>
      <c r="AC147" s="1616"/>
      <c r="AD147" s="1616"/>
      <c r="AE147" s="1616"/>
      <c r="AF147" s="1616"/>
      <c r="AG147" s="1616"/>
      <c r="AH147" s="1616"/>
      <c r="AI147" s="1616"/>
      <c r="AJ147" s="1616"/>
      <c r="AK147" s="1616"/>
      <c r="AL147" s="1616"/>
      <c r="AM147" s="1616"/>
      <c r="AN147" s="1616"/>
      <c r="AO147" s="1616"/>
      <c r="AP147" s="1616"/>
      <c r="AQ147" s="1616"/>
      <c r="AR147" s="1616"/>
      <c r="AS147" s="1616"/>
      <c r="AT147" s="1616"/>
      <c r="AU147" s="1616"/>
      <c r="AV147" s="1616"/>
      <c r="AW147" s="1616"/>
      <c r="AX147" s="1616"/>
      <c r="AY147" s="1616"/>
      <c r="AZ147" s="1616"/>
      <c r="BA147" s="1616"/>
    </row>
    <row r="148" spans="14:53" ht="16.600000000000001" customHeight="1" x14ac:dyDescent="0.25">
      <c r="N148" s="434"/>
      <c r="O148" s="1823" t="str">
        <f>'A3. UnitConversions'!A54</f>
        <v>Litres</v>
      </c>
      <c r="P148" s="1823">
        <f>'A3. UnitConversions'!B54</f>
        <v>1</v>
      </c>
      <c r="Q148" s="2"/>
      <c r="R148" s="2"/>
      <c r="T148" s="434"/>
      <c r="U148" s="1822" t="s">
        <v>1488</v>
      </c>
      <c r="V148" s="296">
        <v>0.83233536000000008</v>
      </c>
      <c r="W148" s="296">
        <v>0.37754096857720326</v>
      </c>
      <c r="X148" s="2"/>
      <c r="AB148" s="1616"/>
      <c r="AC148" s="1616"/>
      <c r="AD148" s="1616"/>
      <c r="AE148" s="1616"/>
      <c r="AF148" s="1616"/>
      <c r="AG148" s="1616"/>
      <c r="AH148" s="1616"/>
      <c r="AI148" s="1616"/>
      <c r="AJ148" s="1616"/>
      <c r="AK148" s="1616"/>
      <c r="AL148" s="1616"/>
      <c r="AM148" s="1616"/>
      <c r="AN148" s="1616"/>
      <c r="AO148" s="1616"/>
      <c r="AP148" s="1616"/>
      <c r="AQ148" s="1616"/>
      <c r="AR148" s="1616"/>
      <c r="AS148" s="1616"/>
      <c r="AT148" s="1616"/>
      <c r="AU148" s="1616"/>
      <c r="AV148" s="1616"/>
      <c r="AW148" s="1616"/>
      <c r="AX148" s="1616"/>
      <c r="AY148" s="1616"/>
      <c r="AZ148" s="1616"/>
      <c r="BA148" s="1616"/>
    </row>
    <row r="149" spans="14:53" ht="16.600000000000001" customHeight="1" x14ac:dyDescent="0.25">
      <c r="N149" s="434"/>
      <c r="O149" s="1823" t="str">
        <f>'A3. UnitConversions'!A55</f>
        <v>US Gallons</v>
      </c>
      <c r="P149" s="1823">
        <f>'A3. UnitConversions'!B55</f>
        <v>3.785412</v>
      </c>
      <c r="Q149" s="2"/>
      <c r="R149" s="2"/>
      <c r="T149" s="434"/>
      <c r="U149" s="1822" t="s">
        <v>1489</v>
      </c>
      <c r="V149" s="296">
        <v>1.2317762200000002</v>
      </c>
      <c r="W149" s="296">
        <v>0.55872429493944153</v>
      </c>
      <c r="X149" s="2"/>
      <c r="AB149" s="1616"/>
      <c r="AC149" s="1616"/>
      <c r="AD149" s="1616"/>
      <c r="AE149" s="1616"/>
      <c r="AF149" s="1616"/>
      <c r="AG149" s="1616"/>
      <c r="AH149" s="1616"/>
      <c r="AI149" s="1616"/>
      <c r="AJ149" s="1616"/>
      <c r="AK149" s="1616"/>
      <c r="AL149" s="1616"/>
      <c r="AM149" s="1616"/>
      <c r="AN149" s="1616"/>
      <c r="AO149" s="1616"/>
      <c r="AP149" s="1616"/>
      <c r="AQ149" s="1616"/>
      <c r="AR149" s="1616"/>
      <c r="AS149" s="1616"/>
      <c r="AT149" s="1616"/>
      <c r="AU149" s="1616"/>
      <c r="AV149" s="1616"/>
      <c r="AW149" s="1616"/>
      <c r="AX149" s="1616"/>
      <c r="AY149" s="1616"/>
      <c r="AZ149" s="1616"/>
      <c r="BA149" s="1616"/>
    </row>
    <row r="150" spans="14:53" ht="16.600000000000001" customHeight="1" x14ac:dyDescent="0.25">
      <c r="N150" s="434"/>
      <c r="O150" s="1823" t="str">
        <f>'A3. UnitConversions'!A56</f>
        <v>Imperial Gallons</v>
      </c>
      <c r="P150" s="1823">
        <f>'A3. UnitConversions'!B56</f>
        <v>4.5460900000000004</v>
      </c>
      <c r="Q150" s="2"/>
      <c r="R150" s="2"/>
      <c r="T150" s="434"/>
      <c r="U150" s="1822" t="s">
        <v>1490</v>
      </c>
      <c r="V150" s="296">
        <v>2.3368430999999998</v>
      </c>
      <c r="W150" s="296">
        <v>1.059974200047147</v>
      </c>
      <c r="X150" s="2"/>
      <c r="AB150" s="1616"/>
      <c r="AC150" s="1616"/>
      <c r="AD150" s="1616"/>
      <c r="AE150" s="1616"/>
      <c r="AF150" s="1616"/>
      <c r="AG150" s="1616"/>
      <c r="AH150" s="1616"/>
      <c r="AI150" s="1616"/>
      <c r="AJ150" s="1616"/>
      <c r="AK150" s="1616"/>
      <c r="AL150" s="1616"/>
      <c r="AM150" s="1616"/>
      <c r="AN150" s="1616"/>
      <c r="AO150" s="1616"/>
      <c r="AP150" s="1616"/>
      <c r="AQ150" s="1616"/>
      <c r="AR150" s="1616"/>
      <c r="AS150" s="1616"/>
      <c r="AT150" s="1616"/>
      <c r="AU150" s="1616"/>
      <c r="AV150" s="1616"/>
      <c r="AW150" s="1616"/>
      <c r="AX150" s="1616"/>
      <c r="AY150" s="1616"/>
      <c r="AZ150" s="1616"/>
      <c r="BA150" s="1616"/>
    </row>
    <row r="151" spans="14:53" ht="16.600000000000001" customHeight="1" x14ac:dyDescent="0.25">
      <c r="N151" s="434"/>
      <c r="O151" s="436"/>
      <c r="P151" s="436"/>
      <c r="Q151" s="2"/>
      <c r="R151" s="2"/>
      <c r="T151" s="434"/>
      <c r="U151" s="1822" t="s">
        <v>1491</v>
      </c>
      <c r="V151" s="296">
        <v>1.78121515</v>
      </c>
      <c r="W151" s="296">
        <v>0.80794560136840554</v>
      </c>
      <c r="X151" s="2"/>
      <c r="AB151" s="1616"/>
      <c r="AC151" s="1616"/>
      <c r="AD151" s="1616"/>
      <c r="AE151" s="1616"/>
      <c r="AF151" s="1616"/>
      <c r="AG151" s="1616"/>
      <c r="AH151" s="1616"/>
      <c r="AI151" s="1616"/>
      <c r="AJ151" s="1616"/>
      <c r="AK151" s="1616"/>
      <c r="AL151" s="1616"/>
      <c r="AM151" s="1616"/>
      <c r="AN151" s="1616"/>
      <c r="AO151" s="1616"/>
      <c r="AP151" s="1616"/>
      <c r="AQ151" s="1616"/>
      <c r="AR151" s="1616"/>
      <c r="AS151" s="1616"/>
      <c r="AT151" s="1616"/>
      <c r="AU151" s="1616"/>
      <c r="AV151" s="1616"/>
      <c r="AW151" s="1616"/>
      <c r="AX151" s="1616"/>
      <c r="AY151" s="1616"/>
      <c r="AZ151" s="1616"/>
      <c r="BA151" s="1616"/>
    </row>
    <row r="152" spans="14:53" ht="16.600000000000001" customHeight="1" x14ac:dyDescent="0.25">
      <c r="N152" s="434"/>
      <c r="O152" s="436"/>
      <c r="P152" s="436"/>
      <c r="Q152" s="2"/>
      <c r="R152" s="2"/>
      <c r="T152" s="434"/>
      <c r="U152" s="1822" t="s">
        <v>1492</v>
      </c>
      <c r="V152" s="296">
        <v>1.5693519899999999</v>
      </c>
      <c r="W152" s="296">
        <v>0.71184608850831632</v>
      </c>
      <c r="X152" s="2"/>
      <c r="AB152" s="1616"/>
      <c r="AC152" s="1616"/>
      <c r="AD152" s="1616"/>
      <c r="AE152" s="1616"/>
      <c r="AF152" s="1616"/>
      <c r="AG152" s="1616"/>
      <c r="AH152" s="1616"/>
      <c r="AI152" s="1616"/>
      <c r="AJ152" s="1616"/>
      <c r="AK152" s="1616"/>
      <c r="AL152" s="1616"/>
      <c r="AM152" s="1616"/>
      <c r="AN152" s="1616"/>
      <c r="AO152" s="1616"/>
      <c r="AP152" s="1616"/>
      <c r="AQ152" s="1616"/>
      <c r="AR152" s="1616"/>
      <c r="AS152" s="1616"/>
      <c r="AT152" s="1616"/>
      <c r="AU152" s="1616"/>
      <c r="AV152" s="1616"/>
      <c r="AW152" s="1616"/>
      <c r="AX152" s="1616"/>
      <c r="AY152" s="1616"/>
      <c r="AZ152" s="1616"/>
      <c r="BA152" s="1616"/>
    </row>
    <row r="153" spans="14:53" ht="16.600000000000001" customHeight="1" x14ac:dyDescent="0.25">
      <c r="N153" s="434"/>
      <c r="O153" s="436"/>
      <c r="P153" s="436"/>
      <c r="Q153" s="2"/>
      <c r="R153" s="2"/>
      <c r="T153" s="434"/>
      <c r="U153" s="1822" t="s">
        <v>1493</v>
      </c>
      <c r="V153" s="296">
        <v>0.40329504999999999</v>
      </c>
      <c r="W153" s="296">
        <v>0.1829315575387685</v>
      </c>
      <c r="X153" s="2"/>
      <c r="AB153" s="1616"/>
      <c r="AC153" s="1616"/>
      <c r="AD153" s="1616"/>
      <c r="AE153" s="1616"/>
      <c r="AF153" s="1616"/>
      <c r="AG153" s="1616"/>
      <c r="AH153" s="1616"/>
      <c r="AI153" s="1616"/>
      <c r="AJ153" s="1616"/>
      <c r="AK153" s="1616"/>
      <c r="AL153" s="1616"/>
      <c r="AM153" s="1616"/>
      <c r="AN153" s="1616"/>
      <c r="AO153" s="1616"/>
      <c r="AP153" s="1616"/>
      <c r="AQ153" s="1616"/>
      <c r="AR153" s="1616"/>
      <c r="AS153" s="1616"/>
      <c r="AT153" s="1616"/>
      <c r="AU153" s="1616"/>
      <c r="AV153" s="1616"/>
      <c r="AW153" s="1616"/>
      <c r="AX153" s="1616"/>
      <c r="AY153" s="1616"/>
      <c r="AZ153" s="1616"/>
      <c r="BA153" s="1616"/>
    </row>
    <row r="154" spans="14:53" ht="16.600000000000001" customHeight="1" x14ac:dyDescent="0.25">
      <c r="N154" s="434"/>
      <c r="O154" s="436"/>
      <c r="P154" s="436"/>
      <c r="Q154" s="2"/>
      <c r="R154" s="2"/>
      <c r="T154" s="434"/>
      <c r="U154" s="1822" t="s">
        <v>1494</v>
      </c>
      <c r="V154" s="296">
        <v>1.25133374</v>
      </c>
      <c r="W154" s="296">
        <v>0.56759543678756386</v>
      </c>
      <c r="X154" s="2"/>
      <c r="AB154" s="1616"/>
      <c r="AC154" s="1616"/>
      <c r="AD154" s="1616"/>
      <c r="AE154" s="1616"/>
      <c r="AF154" s="1616"/>
      <c r="AG154" s="1616"/>
      <c r="AH154" s="1616"/>
      <c r="AI154" s="1616"/>
      <c r="AJ154" s="1616"/>
      <c r="AK154" s="1616"/>
      <c r="AL154" s="1616"/>
      <c r="AM154" s="1616"/>
      <c r="AN154" s="1616"/>
      <c r="AO154" s="1616"/>
      <c r="AP154" s="1616"/>
      <c r="AQ154" s="1616"/>
      <c r="AR154" s="1616"/>
      <c r="AS154" s="1616"/>
      <c r="AT154" s="1616"/>
      <c r="AU154" s="1616"/>
      <c r="AV154" s="1616"/>
      <c r="AW154" s="1616"/>
      <c r="AX154" s="1616"/>
      <c r="AY154" s="1616"/>
      <c r="AZ154" s="1616"/>
      <c r="BA154" s="1616"/>
    </row>
    <row r="155" spans="14:53" ht="16.600000000000001" customHeight="1" x14ac:dyDescent="0.25">
      <c r="N155" s="434"/>
      <c r="O155" s="434"/>
      <c r="P155" s="434"/>
      <c r="Q155" s="2"/>
      <c r="R155" s="2"/>
      <c r="T155" s="434"/>
      <c r="U155" s="1822" t="s">
        <v>1495</v>
      </c>
      <c r="V155" s="296">
        <v>0.96578633000000003</v>
      </c>
      <c r="W155" s="296">
        <v>0.43807331033830216</v>
      </c>
      <c r="X155" s="2"/>
      <c r="AB155" s="1616"/>
      <c r="AC155" s="1616"/>
      <c r="AD155" s="1616"/>
      <c r="AE155" s="1616"/>
      <c r="AF155" s="1616"/>
      <c r="AG155" s="1616"/>
      <c r="AH155" s="1616"/>
      <c r="AI155" s="1616"/>
      <c r="AJ155" s="1616"/>
      <c r="AK155" s="1616"/>
      <c r="AL155" s="1616"/>
      <c r="AM155" s="1616"/>
      <c r="AN155" s="1616"/>
      <c r="AO155" s="1616"/>
      <c r="AP155" s="1616"/>
      <c r="AQ155" s="1616"/>
      <c r="AR155" s="1616"/>
      <c r="AS155" s="1616"/>
      <c r="AT155" s="1616"/>
      <c r="AU155" s="1616"/>
      <c r="AV155" s="1616"/>
      <c r="AW155" s="1616"/>
      <c r="AX155" s="1616"/>
      <c r="AY155" s="1616"/>
      <c r="AZ155" s="1616"/>
      <c r="BA155" s="1616"/>
    </row>
    <row r="156" spans="14:53" ht="16.600000000000001" customHeight="1" x14ac:dyDescent="0.25">
      <c r="N156" s="434"/>
      <c r="O156" s="1133" t="s">
        <v>1479</v>
      </c>
      <c r="P156" s="1134">
        <v>1</v>
      </c>
      <c r="Q156" s="2"/>
      <c r="R156" s="2"/>
      <c r="T156" s="434"/>
      <c r="U156" s="1822" t="s">
        <v>1773</v>
      </c>
      <c r="V156" s="299">
        <v>0.89872331999999999</v>
      </c>
      <c r="W156" s="299">
        <v>0.40765404069306843</v>
      </c>
      <c r="X156" s="2"/>
      <c r="AB156" s="1616"/>
      <c r="AC156" s="1616"/>
      <c r="AD156" s="1616"/>
      <c r="AE156" s="1616"/>
      <c r="AF156" s="1616"/>
      <c r="AG156" s="1616"/>
      <c r="AH156" s="1616"/>
      <c r="AI156" s="1616"/>
      <c r="AJ156" s="1616"/>
      <c r="AK156" s="1616"/>
      <c r="AL156" s="1616"/>
      <c r="AM156" s="1616"/>
      <c r="AN156" s="1616"/>
      <c r="AO156" s="1616"/>
      <c r="AP156" s="1616"/>
      <c r="AQ156" s="1616"/>
      <c r="AR156" s="1616"/>
      <c r="AS156" s="1616"/>
      <c r="AT156" s="1616"/>
      <c r="AU156" s="1616"/>
      <c r="AV156" s="1616"/>
      <c r="AW156" s="1616"/>
      <c r="AX156" s="1616"/>
      <c r="AY156" s="1616"/>
      <c r="AZ156" s="1616"/>
      <c r="BA156" s="1616"/>
    </row>
    <row r="157" spans="14:53" ht="16.600000000000001" customHeight="1" x14ac:dyDescent="0.25">
      <c r="N157" s="434"/>
      <c r="O157" s="1135" t="s">
        <v>1478</v>
      </c>
      <c r="P157" s="1134">
        <v>1E-3</v>
      </c>
      <c r="Q157" s="2"/>
      <c r="R157" s="2"/>
      <c r="T157" s="434"/>
      <c r="U157" s="1822" t="s">
        <v>1774</v>
      </c>
      <c r="V157" s="299">
        <v>1.1874318800000001</v>
      </c>
      <c r="W157" s="299">
        <v>0.53861004066275564</v>
      </c>
      <c r="X157" s="2"/>
      <c r="AB157" s="1616"/>
      <c r="AC157" s="1616"/>
      <c r="AD157" s="1616"/>
      <c r="AE157" s="1616"/>
      <c r="AF157" s="1616"/>
      <c r="AG157" s="1616"/>
      <c r="AH157" s="1616"/>
      <c r="AI157" s="1616"/>
      <c r="AJ157" s="1616"/>
      <c r="AK157" s="1616"/>
      <c r="AL157" s="1616"/>
      <c r="AM157" s="1616"/>
      <c r="AN157" s="1616"/>
      <c r="AO157" s="1616"/>
      <c r="AP157" s="1616"/>
      <c r="AQ157" s="1616"/>
      <c r="AR157" s="1616"/>
      <c r="AS157" s="1616"/>
      <c r="AT157" s="1616"/>
      <c r="AU157" s="1616"/>
      <c r="AV157" s="1616"/>
      <c r="AW157" s="1616"/>
      <c r="AX157" s="1616"/>
      <c r="AY157" s="1616"/>
      <c r="AZ157" s="1616"/>
      <c r="BA157" s="1616"/>
    </row>
    <row r="158" spans="14:53" ht="16.600000000000001" customHeight="1" x14ac:dyDescent="0.25">
      <c r="N158" s="434"/>
      <c r="O158" s="180" t="s">
        <v>1480</v>
      </c>
      <c r="P158" s="1134">
        <v>2.2046000000000001</v>
      </c>
      <c r="Q158" s="2"/>
      <c r="R158" s="2"/>
      <c r="T158" s="434"/>
      <c r="U158" s="1822" t="s">
        <v>1775</v>
      </c>
      <c r="V158" s="296">
        <v>1.2659004899999999</v>
      </c>
      <c r="W158" s="296">
        <v>0.57420280344326136</v>
      </c>
      <c r="X158" s="2"/>
      <c r="AB158" s="1616"/>
      <c r="AC158" s="1616"/>
      <c r="AD158" s="1616"/>
      <c r="AE158" s="1616"/>
      <c r="AF158" s="1616"/>
      <c r="AG158" s="1616"/>
      <c r="AH158" s="1616"/>
      <c r="AI158" s="1616"/>
      <c r="AJ158" s="1616"/>
      <c r="AK158" s="1616"/>
      <c r="AL158" s="1616"/>
      <c r="AM158" s="1616"/>
      <c r="AN158" s="1616"/>
      <c r="AO158" s="1616"/>
      <c r="AP158" s="1616"/>
      <c r="AQ158" s="1616"/>
      <c r="AR158" s="1616"/>
      <c r="AS158" s="1616"/>
      <c r="AT158" s="1616"/>
      <c r="AU158" s="1616"/>
      <c r="AV158" s="1616"/>
      <c r="AW158" s="1616"/>
      <c r="AX158" s="1616"/>
      <c r="AY158" s="1616"/>
      <c r="AZ158" s="1616"/>
      <c r="BA158" s="1616"/>
    </row>
    <row r="159" spans="14:53" ht="16.600000000000001" customHeight="1" x14ac:dyDescent="0.25">
      <c r="N159" s="2"/>
      <c r="O159" s="180" t="s">
        <v>1481</v>
      </c>
      <c r="P159" s="1134">
        <f>2.201/2000</f>
        <v>1.1005000000000001E-3</v>
      </c>
      <c r="Q159" s="2"/>
      <c r="R159" s="2"/>
      <c r="T159" s="434"/>
      <c r="U159" s="1822" t="s">
        <v>1776</v>
      </c>
      <c r="V159" s="296">
        <v>1.3604473500000001</v>
      </c>
      <c r="W159" s="296">
        <v>0.61708853774671957</v>
      </c>
      <c r="X159" s="2"/>
      <c r="AB159" s="1616"/>
      <c r="AC159" s="1616"/>
      <c r="AD159" s="1616"/>
      <c r="AE159" s="1616"/>
      <c r="AF159" s="1616"/>
      <c r="AG159" s="1616"/>
      <c r="AH159" s="1616"/>
      <c r="AI159" s="1616"/>
      <c r="AJ159" s="1616"/>
      <c r="AK159" s="1616"/>
      <c r="AL159" s="1616"/>
      <c r="AM159" s="1616"/>
      <c r="AN159" s="1616"/>
      <c r="AO159" s="1616"/>
      <c r="AP159" s="1616"/>
      <c r="AQ159" s="1616"/>
      <c r="AR159" s="1616"/>
      <c r="AS159" s="1616"/>
      <c r="AT159" s="1616"/>
      <c r="AU159" s="1616"/>
      <c r="AV159" s="1616"/>
      <c r="AW159" s="1616"/>
      <c r="AX159" s="1616"/>
      <c r="AY159" s="1616"/>
      <c r="AZ159" s="1616"/>
      <c r="BA159" s="1616"/>
    </row>
    <row r="160" spans="14:53" ht="16.600000000000001" customHeight="1" x14ac:dyDescent="0.25">
      <c r="N160" s="2"/>
      <c r="O160" s="2"/>
      <c r="P160" s="2"/>
      <c r="Q160" s="2"/>
      <c r="R160" s="2"/>
      <c r="T160" s="434"/>
      <c r="U160" s="1822" t="s">
        <v>1777</v>
      </c>
      <c r="V160" s="296">
        <v>2.1139897400000001</v>
      </c>
      <c r="W160" s="296">
        <v>0.95888961632228387</v>
      </c>
      <c r="X160" s="2"/>
      <c r="AB160" s="1616"/>
      <c r="AC160" s="1616"/>
      <c r="AD160" s="1616"/>
      <c r="AE160" s="1616"/>
      <c r="AF160" s="1616"/>
      <c r="AG160" s="1616"/>
      <c r="AH160" s="1616"/>
      <c r="AI160" s="1616"/>
      <c r="AJ160" s="1616"/>
      <c r="AK160" s="1616"/>
      <c r="AL160" s="1616"/>
      <c r="AM160" s="1616"/>
      <c r="AN160" s="1616"/>
      <c r="AO160" s="1616"/>
      <c r="AP160" s="1616"/>
      <c r="AQ160" s="1616"/>
      <c r="AR160" s="1616"/>
      <c r="AS160" s="1616"/>
      <c r="AT160" s="1616"/>
      <c r="AU160" s="1616"/>
      <c r="AV160" s="1616"/>
      <c r="AW160" s="1616"/>
      <c r="AX160" s="1616"/>
      <c r="AY160" s="1616"/>
      <c r="AZ160" s="1616"/>
      <c r="BA160" s="1616"/>
    </row>
    <row r="161" spans="14:53" ht="16.600000000000001" customHeight="1" x14ac:dyDescent="0.25">
      <c r="N161" s="2"/>
      <c r="O161" s="2"/>
      <c r="P161" s="2"/>
      <c r="Q161" s="2"/>
      <c r="R161" s="2"/>
      <c r="T161" s="434"/>
      <c r="U161" s="1822" t="s">
        <v>1778</v>
      </c>
      <c r="V161" s="296">
        <v>1.036693E-2</v>
      </c>
      <c r="W161" s="296">
        <v>4.7023603483241005E-3</v>
      </c>
      <c r="X161" s="2"/>
      <c r="AB161" s="1616"/>
      <c r="AC161" s="1616"/>
      <c r="AD161" s="1616"/>
      <c r="AE161" s="1616"/>
      <c r="AF161" s="1616"/>
      <c r="AG161" s="1616"/>
      <c r="AH161" s="1616"/>
      <c r="AI161" s="1616"/>
      <c r="AJ161" s="1616"/>
      <c r="AK161" s="1616"/>
      <c r="AL161" s="1616"/>
      <c r="AM161" s="1616"/>
      <c r="AN161" s="1616"/>
      <c r="AO161" s="1616"/>
      <c r="AP161" s="1616"/>
      <c r="AQ161" s="1616"/>
      <c r="AR161" s="1616"/>
      <c r="AS161" s="1616"/>
      <c r="AT161" s="1616"/>
      <c r="AU161" s="1616"/>
      <c r="AV161" s="1616"/>
      <c r="AW161" s="1616"/>
      <c r="AX161" s="1616"/>
      <c r="AY161" s="1616"/>
      <c r="AZ161" s="1616"/>
      <c r="BA161" s="1616"/>
    </row>
    <row r="162" spans="14:53" ht="16.600000000000001" customHeight="1" x14ac:dyDescent="0.25">
      <c r="T162" s="434"/>
      <c r="U162" s="1822" t="s">
        <v>1779</v>
      </c>
      <c r="V162" s="296">
        <v>1.20337067</v>
      </c>
      <c r="W162" s="296">
        <v>0.54583975419378794</v>
      </c>
      <c r="X162" s="2"/>
      <c r="AB162" s="1616"/>
      <c r="AC162" s="1616"/>
      <c r="AD162" s="1616"/>
      <c r="AE162" s="1616"/>
      <c r="AF162" s="1616"/>
      <c r="AG162" s="1616"/>
      <c r="AH162" s="1616"/>
      <c r="AI162" s="1616"/>
      <c r="AJ162" s="1616"/>
      <c r="AK162" s="1616"/>
      <c r="AL162" s="1616"/>
      <c r="AM162" s="1616"/>
      <c r="AN162" s="1616"/>
      <c r="AO162" s="1616"/>
      <c r="AP162" s="1616"/>
      <c r="AQ162" s="1616"/>
      <c r="AR162" s="1616"/>
      <c r="AS162" s="1616"/>
      <c r="AT162" s="1616"/>
      <c r="AU162" s="1616"/>
      <c r="AV162" s="1616"/>
      <c r="AW162" s="1616"/>
      <c r="AX162" s="1616"/>
      <c r="AY162" s="1616"/>
      <c r="AZ162" s="1616"/>
      <c r="BA162" s="1616"/>
    </row>
    <row r="163" spans="14:53" ht="16.600000000000001" customHeight="1" x14ac:dyDescent="0.25">
      <c r="T163" s="434"/>
      <c r="U163" s="1822" t="s">
        <v>1780</v>
      </c>
      <c r="V163" s="296">
        <v>0.33330784000000002</v>
      </c>
      <c r="W163" s="296">
        <v>0.15118589308518082</v>
      </c>
      <c r="X163" s="2"/>
      <c r="AB163" s="1616"/>
      <c r="AC163" s="1616"/>
      <c r="AD163" s="1616"/>
      <c r="AE163" s="1616"/>
      <c r="AF163" s="1616"/>
      <c r="AG163" s="1616"/>
      <c r="AH163" s="1616"/>
      <c r="AI163" s="1616"/>
      <c r="AJ163" s="1616"/>
      <c r="AK163" s="1616"/>
      <c r="AL163" s="1616"/>
      <c r="AM163" s="1616"/>
      <c r="AN163" s="1616"/>
      <c r="AO163" s="1616"/>
      <c r="AP163" s="1616"/>
      <c r="AQ163" s="1616"/>
      <c r="AR163" s="1616"/>
      <c r="AS163" s="1616"/>
      <c r="AT163" s="1616"/>
      <c r="AU163" s="1616"/>
      <c r="AV163" s="1616"/>
      <c r="AW163" s="1616"/>
      <c r="AX163" s="1616"/>
      <c r="AY163" s="1616"/>
      <c r="AZ163" s="1616"/>
      <c r="BA163" s="1616"/>
    </row>
    <row r="164" spans="14:53" ht="16.600000000000001" customHeight="1" x14ac:dyDescent="0.25">
      <c r="T164" s="434"/>
      <c r="U164" s="1822" t="s">
        <v>1781</v>
      </c>
      <c r="V164" s="296">
        <v>1.93835237</v>
      </c>
      <c r="W164" s="296">
        <v>0.87922184540341697</v>
      </c>
      <c r="X164" s="2"/>
      <c r="AB164" s="1616"/>
      <c r="AC164" s="1616"/>
      <c r="AD164" s="1616"/>
      <c r="AE164" s="1616"/>
      <c r="AF164" s="1616"/>
      <c r="AG164" s="1616"/>
      <c r="AH164" s="1616"/>
      <c r="AI164" s="1616"/>
      <c r="AJ164" s="1616"/>
      <c r="AK164" s="1616"/>
      <c r="AL164" s="1616"/>
      <c r="AM164" s="1616"/>
      <c r="AN164" s="1616"/>
      <c r="AO164" s="1616"/>
      <c r="AP164" s="1616"/>
      <c r="AQ164" s="1616"/>
      <c r="AR164" s="1616"/>
      <c r="AS164" s="1616"/>
      <c r="AT164" s="1616"/>
      <c r="AU164" s="1616"/>
      <c r="AV164" s="1616"/>
      <c r="AW164" s="1616"/>
      <c r="AX164" s="1616"/>
      <c r="AY164" s="1616"/>
      <c r="AZ164" s="1616"/>
      <c r="BA164" s="1616"/>
    </row>
    <row r="165" spans="14:53" ht="16.600000000000001" customHeight="1" x14ac:dyDescent="0.25">
      <c r="T165" s="434"/>
      <c r="U165" s="1822" t="s">
        <v>1782</v>
      </c>
      <c r="V165" s="296">
        <v>1.72913888</v>
      </c>
      <c r="W165" s="296">
        <v>0.78432420263834568</v>
      </c>
      <c r="X165" s="2"/>
      <c r="AB165" s="1616"/>
      <c r="AC165" s="1616"/>
      <c r="AD165" s="1616"/>
      <c r="AE165" s="1616"/>
      <c r="AF165" s="1616"/>
      <c r="AG165" s="1616"/>
      <c r="AH165" s="1616"/>
      <c r="AI165" s="1616"/>
      <c r="AJ165" s="1616"/>
      <c r="AK165" s="1616"/>
      <c r="AL165" s="1616"/>
      <c r="AM165" s="1616"/>
      <c r="AN165" s="1616"/>
      <c r="AO165" s="1616"/>
      <c r="AP165" s="1616"/>
      <c r="AQ165" s="1616"/>
      <c r="AR165" s="1616"/>
      <c r="AS165" s="1616"/>
      <c r="AT165" s="1616"/>
      <c r="AU165" s="1616"/>
      <c r="AV165" s="1616"/>
      <c r="AW165" s="1616"/>
      <c r="AX165" s="1616"/>
      <c r="AY165" s="1616"/>
      <c r="AZ165" s="1616"/>
      <c r="BA165" s="1616"/>
    </row>
    <row r="166" spans="14:53" ht="16.600000000000001" customHeight="1" x14ac:dyDescent="0.25">
      <c r="S166" s="434"/>
      <c r="T166" s="434"/>
      <c r="U166" s="1822" t="s">
        <v>1783</v>
      </c>
      <c r="V166" s="296">
        <v>2.2631250400000003</v>
      </c>
      <c r="W166" s="296">
        <v>1.0265362504999449</v>
      </c>
      <c r="X166" s="2"/>
      <c r="AB166" s="1616"/>
      <c r="AC166" s="1616"/>
      <c r="AD166" s="1616"/>
      <c r="AE166" s="1616"/>
      <c r="AF166" s="1616"/>
      <c r="AG166" s="1616"/>
      <c r="AH166" s="1616"/>
      <c r="AI166" s="1616"/>
      <c r="AJ166" s="1616"/>
      <c r="AK166" s="1616"/>
      <c r="AL166" s="1616"/>
      <c r="AM166" s="1616"/>
      <c r="AN166" s="1616"/>
      <c r="AO166" s="1616"/>
      <c r="AP166" s="1616"/>
      <c r="AQ166" s="1616"/>
      <c r="AR166" s="1616"/>
      <c r="AS166" s="1616"/>
      <c r="AT166" s="1616"/>
      <c r="AU166" s="1616"/>
      <c r="AV166" s="1616"/>
      <c r="AW166" s="1616"/>
      <c r="AX166" s="1616"/>
      <c r="AY166" s="1616"/>
      <c r="AZ166" s="1616"/>
      <c r="BA166" s="1616"/>
    </row>
    <row r="167" spans="14:53" ht="16.600000000000001" customHeight="1" x14ac:dyDescent="0.25">
      <c r="S167" s="434"/>
      <c r="T167" s="434"/>
      <c r="U167" s="434"/>
      <c r="V167" s="434"/>
      <c r="W167" s="434"/>
      <c r="X167" s="2"/>
      <c r="AB167" s="1616"/>
      <c r="AC167" s="1616"/>
      <c r="AD167" s="1616"/>
      <c r="AE167" s="1616"/>
      <c r="AF167" s="1616"/>
      <c r="AG167" s="1616"/>
      <c r="AH167" s="1616"/>
      <c r="AI167" s="1616"/>
      <c r="AJ167" s="1616"/>
      <c r="AK167" s="1616"/>
      <c r="AL167" s="1616"/>
      <c r="AM167" s="1616"/>
      <c r="AN167" s="1616"/>
      <c r="AO167" s="1616"/>
      <c r="AP167" s="1616"/>
      <c r="AQ167" s="1616"/>
      <c r="AR167" s="1616"/>
      <c r="AS167" s="1616"/>
      <c r="AT167" s="1616"/>
      <c r="AU167" s="1616"/>
      <c r="AV167" s="1616"/>
      <c r="AW167" s="1616"/>
      <c r="AX167" s="1616"/>
      <c r="AY167" s="1616"/>
      <c r="AZ167" s="1616"/>
      <c r="BA167" s="1616"/>
    </row>
    <row r="168" spans="14:53" ht="16.600000000000001" customHeight="1" x14ac:dyDescent="0.25">
      <c r="AB168" s="1616"/>
      <c r="AC168" s="1616"/>
      <c r="AD168" s="1616"/>
      <c r="AE168" s="1616"/>
      <c r="AF168" s="1616"/>
      <c r="AG168" s="1616"/>
      <c r="AH168" s="1616"/>
      <c r="AI168" s="1616"/>
      <c r="AJ168" s="1616"/>
      <c r="AK168" s="1616"/>
      <c r="AL168" s="1616"/>
      <c r="AM168" s="1616"/>
      <c r="AN168" s="1616"/>
      <c r="AO168" s="1616"/>
      <c r="AP168" s="1616"/>
      <c r="AQ168" s="1616"/>
      <c r="AR168" s="1616"/>
      <c r="AS168" s="1616"/>
      <c r="AT168" s="1616"/>
      <c r="AU168" s="1616"/>
      <c r="AV168" s="1616"/>
      <c r="AW168" s="1616"/>
      <c r="AX168" s="1616"/>
      <c r="AY168" s="1616"/>
      <c r="AZ168" s="1616"/>
      <c r="BA168" s="1616"/>
    </row>
    <row r="169" spans="14:53" ht="16.600000000000001" customHeight="1" x14ac:dyDescent="0.25">
      <c r="AB169" s="1616"/>
      <c r="AC169" s="1616"/>
      <c r="AD169" s="1616"/>
      <c r="AE169" s="1616"/>
      <c r="AF169" s="1616"/>
      <c r="AG169" s="1616"/>
      <c r="AH169" s="1616"/>
      <c r="AI169" s="1616"/>
      <c r="AJ169" s="1616"/>
      <c r="AK169" s="1616"/>
      <c r="AL169" s="1616"/>
      <c r="AM169" s="1616"/>
      <c r="AN169" s="1616"/>
      <c r="AO169" s="1616"/>
      <c r="AP169" s="1616"/>
      <c r="AQ169" s="1616"/>
      <c r="AR169" s="1616"/>
      <c r="AS169" s="1616"/>
      <c r="AT169" s="1616"/>
      <c r="AU169" s="1616"/>
      <c r="AV169" s="1616"/>
      <c r="AW169" s="1616"/>
      <c r="AX169" s="1616"/>
      <c r="AY169" s="1616"/>
      <c r="AZ169" s="1616"/>
      <c r="BA169" s="1616"/>
    </row>
    <row r="170" spans="14:53" ht="16.600000000000001" customHeight="1" x14ac:dyDescent="0.25">
      <c r="AB170" s="1616"/>
      <c r="AC170" s="1616"/>
      <c r="AD170" s="1616"/>
      <c r="AE170" s="1616"/>
      <c r="AF170" s="1616"/>
      <c r="AG170" s="1616"/>
      <c r="AH170" s="1616"/>
      <c r="AI170" s="1616"/>
      <c r="AJ170" s="1616"/>
      <c r="AK170" s="1616"/>
      <c r="AL170" s="1616"/>
      <c r="AM170" s="1616"/>
      <c r="AN170" s="1616"/>
      <c r="AO170" s="1616"/>
      <c r="AP170" s="1616"/>
      <c r="AQ170" s="1616"/>
      <c r="AR170" s="1616"/>
      <c r="AS170" s="1616"/>
      <c r="AT170" s="1616"/>
      <c r="AU170" s="1616"/>
      <c r="AV170" s="1616"/>
      <c r="AW170" s="1616"/>
      <c r="AX170" s="1616"/>
      <c r="AY170" s="1616"/>
      <c r="AZ170" s="1616"/>
      <c r="BA170" s="1616"/>
    </row>
    <row r="171" spans="14:53" ht="16.600000000000001" customHeight="1" x14ac:dyDescent="0.25">
      <c r="AB171" s="1616"/>
      <c r="AC171" s="1616"/>
      <c r="AD171" s="1616"/>
      <c r="AE171" s="1616"/>
      <c r="AF171" s="1616"/>
      <c r="AG171" s="1616"/>
      <c r="AH171" s="1616"/>
      <c r="AI171" s="1616"/>
      <c r="AJ171" s="1616"/>
      <c r="AK171" s="1616"/>
      <c r="AL171" s="1616"/>
      <c r="AM171" s="1616"/>
      <c r="AN171" s="1616"/>
      <c r="AO171" s="1616"/>
      <c r="AP171" s="1616"/>
      <c r="AQ171" s="1616"/>
      <c r="AR171" s="1616"/>
      <c r="AS171" s="1616"/>
      <c r="AT171" s="1616"/>
      <c r="AU171" s="1616"/>
      <c r="AV171" s="1616"/>
      <c r="AW171" s="1616"/>
      <c r="AX171" s="1616"/>
      <c r="AY171" s="1616"/>
      <c r="AZ171" s="1616"/>
      <c r="BA171" s="1616"/>
    </row>
    <row r="172" spans="14:53" ht="16.600000000000001" customHeight="1" x14ac:dyDescent="0.25">
      <c r="AB172" s="1616"/>
      <c r="AC172" s="1616"/>
      <c r="AD172" s="1616"/>
      <c r="AE172" s="1616"/>
      <c r="AF172" s="1616"/>
      <c r="AG172" s="1616"/>
      <c r="AH172" s="1616"/>
      <c r="AI172" s="1616"/>
      <c r="AJ172" s="1616"/>
      <c r="AK172" s="1616"/>
      <c r="AL172" s="1616"/>
      <c r="AM172" s="1616"/>
      <c r="AN172" s="1616"/>
      <c r="AO172" s="1616"/>
      <c r="AP172" s="1616"/>
      <c r="AQ172" s="1616"/>
      <c r="AR172" s="1616"/>
      <c r="AS172" s="1616"/>
      <c r="AT172" s="1616"/>
      <c r="AU172" s="1616"/>
      <c r="AV172" s="1616"/>
      <c r="AW172" s="1616"/>
      <c r="AX172" s="1616"/>
      <c r="AY172" s="1616"/>
      <c r="AZ172" s="1616"/>
      <c r="BA172" s="1616"/>
    </row>
    <row r="173" spans="14:53" ht="16.600000000000001" customHeight="1" x14ac:dyDescent="0.25">
      <c r="AB173" s="1616"/>
      <c r="AC173" s="1616"/>
      <c r="AD173" s="1616"/>
      <c r="AE173" s="1616"/>
      <c r="AF173" s="1616"/>
      <c r="AG173" s="1616"/>
      <c r="AH173" s="1616"/>
      <c r="AI173" s="1616"/>
      <c r="AJ173" s="1616"/>
      <c r="AK173" s="1616"/>
      <c r="AL173" s="1616"/>
      <c r="AM173" s="1616"/>
      <c r="AN173" s="1616"/>
      <c r="AO173" s="1616"/>
      <c r="AP173" s="1616"/>
      <c r="AQ173" s="1616"/>
      <c r="AR173" s="1616"/>
      <c r="AS173" s="1616"/>
      <c r="AT173" s="1616"/>
      <c r="AU173" s="1616"/>
      <c r="AV173" s="1616"/>
      <c r="AW173" s="1616"/>
      <c r="AX173" s="1616"/>
      <c r="AY173" s="1616"/>
      <c r="AZ173" s="1616"/>
      <c r="BA173" s="1616"/>
    </row>
    <row r="174" spans="14:53" ht="16.600000000000001" customHeight="1" x14ac:dyDescent="0.25">
      <c r="AB174" s="1616"/>
      <c r="AC174" s="1616"/>
      <c r="AD174" s="1616"/>
      <c r="AE174" s="1616"/>
      <c r="AF174" s="1616"/>
      <c r="AG174" s="1616"/>
      <c r="AH174" s="1616"/>
      <c r="AI174" s="1616"/>
      <c r="AJ174" s="1616"/>
      <c r="AK174" s="1616"/>
      <c r="AL174" s="1616"/>
      <c r="AM174" s="1616"/>
      <c r="AN174" s="1616"/>
      <c r="AO174" s="1616"/>
      <c r="AP174" s="1616"/>
      <c r="AQ174" s="1616"/>
      <c r="AR174" s="1616"/>
      <c r="AS174" s="1616"/>
      <c r="AT174" s="1616"/>
      <c r="AU174" s="1616"/>
      <c r="AV174" s="1616"/>
      <c r="AW174" s="1616"/>
      <c r="AX174" s="1616"/>
      <c r="AY174" s="1616"/>
      <c r="AZ174" s="1616"/>
      <c r="BA174" s="1616"/>
    </row>
    <row r="175" spans="14:53" ht="16.600000000000001" customHeight="1" x14ac:dyDescent="0.25">
      <c r="AB175" s="1616"/>
      <c r="AC175" s="1616"/>
      <c r="AD175" s="1616"/>
      <c r="AE175" s="1616"/>
      <c r="AF175" s="1616"/>
      <c r="AG175" s="1616"/>
      <c r="AH175" s="1616"/>
      <c r="AI175" s="1616"/>
      <c r="AJ175" s="1616"/>
      <c r="AK175" s="1616"/>
      <c r="AL175" s="1616"/>
      <c r="AM175" s="1616"/>
      <c r="AN175" s="1616"/>
      <c r="AO175" s="1616"/>
      <c r="AP175" s="1616"/>
      <c r="AQ175" s="1616"/>
      <c r="AR175" s="1616"/>
      <c r="AS175" s="1616"/>
      <c r="AT175" s="1616"/>
      <c r="AU175" s="1616"/>
      <c r="AV175" s="1616"/>
      <c r="AW175" s="1616"/>
      <c r="AX175" s="1616"/>
      <c r="AY175" s="1616"/>
      <c r="AZ175" s="1616"/>
      <c r="BA175" s="1616"/>
    </row>
    <row r="176" spans="14:53" ht="16.600000000000001" customHeight="1" x14ac:dyDescent="0.25">
      <c r="AB176" s="1616"/>
      <c r="AC176" s="1616"/>
      <c r="AD176" s="1616"/>
      <c r="AE176" s="1616"/>
      <c r="AF176" s="1616"/>
      <c r="AG176" s="1616"/>
      <c r="AH176" s="1616"/>
      <c r="AI176" s="1616"/>
      <c r="AJ176" s="1616"/>
      <c r="AK176" s="1616"/>
      <c r="AL176" s="1616"/>
      <c r="AM176" s="1616"/>
      <c r="AN176" s="1616"/>
      <c r="AO176" s="1616"/>
      <c r="AP176" s="1616"/>
      <c r="AQ176" s="1616"/>
      <c r="AR176" s="1616"/>
      <c r="AS176" s="1616"/>
      <c r="AT176" s="1616"/>
      <c r="AU176" s="1616"/>
      <c r="AV176" s="1616"/>
      <c r="AW176" s="1616"/>
      <c r="AX176" s="1616"/>
      <c r="AY176" s="1616"/>
      <c r="AZ176" s="1616"/>
      <c r="BA176" s="1616"/>
    </row>
    <row r="177" spans="28:53" ht="16.600000000000001" customHeight="1" x14ac:dyDescent="0.25">
      <c r="AB177" s="1616"/>
      <c r="AC177" s="1616"/>
      <c r="AD177" s="1616"/>
      <c r="AE177" s="1616"/>
      <c r="AF177" s="1616"/>
      <c r="AG177" s="1616"/>
      <c r="AH177" s="1616"/>
      <c r="AI177" s="1616"/>
      <c r="AJ177" s="1616"/>
      <c r="AK177" s="1616"/>
      <c r="AL177" s="1616"/>
      <c r="AM177" s="1616"/>
      <c r="AN177" s="1616"/>
      <c r="AO177" s="1616"/>
      <c r="AP177" s="1616"/>
      <c r="AQ177" s="1616"/>
      <c r="AR177" s="1616"/>
      <c r="AS177" s="1616"/>
      <c r="AT177" s="1616"/>
      <c r="AU177" s="1616"/>
      <c r="AV177" s="1616"/>
      <c r="AW177" s="1616"/>
      <c r="AX177" s="1616"/>
      <c r="AY177" s="1616"/>
      <c r="AZ177" s="1616"/>
      <c r="BA177" s="1616"/>
    </row>
    <row r="178" spans="28:53" ht="16.600000000000001" customHeight="1" x14ac:dyDescent="0.25">
      <c r="AB178" s="1616"/>
      <c r="AC178" s="1616"/>
      <c r="AD178" s="1616"/>
      <c r="AE178" s="1616"/>
      <c r="AF178" s="1616"/>
      <c r="AG178" s="1616"/>
      <c r="AH178" s="1616"/>
      <c r="AI178" s="1616"/>
      <c r="AJ178" s="1616"/>
      <c r="AK178" s="1616"/>
      <c r="AL178" s="1616"/>
      <c r="AM178" s="1616"/>
      <c r="AN178" s="1616"/>
      <c r="AO178" s="1616"/>
      <c r="AP178" s="1616"/>
      <c r="AQ178" s="1616"/>
      <c r="AR178" s="1616"/>
      <c r="AS178" s="1616"/>
      <c r="AT178" s="1616"/>
      <c r="AU178" s="1616"/>
      <c r="AV178" s="1616"/>
      <c r="AW178" s="1616"/>
      <c r="AX178" s="1616"/>
      <c r="AY178" s="1616"/>
      <c r="AZ178" s="1616"/>
      <c r="BA178" s="1616"/>
    </row>
    <row r="179" spans="28:53" ht="16.600000000000001" customHeight="1" x14ac:dyDescent="0.25">
      <c r="AB179" s="1616"/>
      <c r="AC179" s="1616"/>
      <c r="AD179" s="1616"/>
      <c r="AE179" s="1616"/>
      <c r="AF179" s="1616"/>
      <c r="AG179" s="1616"/>
      <c r="AH179" s="1616"/>
      <c r="AI179" s="1616"/>
      <c r="AJ179" s="1616"/>
      <c r="AK179" s="1616"/>
      <c r="AL179" s="1616"/>
      <c r="AM179" s="1616"/>
      <c r="AN179" s="1616"/>
      <c r="AO179" s="1616"/>
      <c r="AP179" s="1616"/>
      <c r="AQ179" s="1616"/>
      <c r="AR179" s="1616"/>
      <c r="AS179" s="1616"/>
      <c r="AT179" s="1616"/>
      <c r="AU179" s="1616"/>
      <c r="AV179" s="1616"/>
      <c r="AW179" s="1616"/>
      <c r="AX179" s="1616"/>
      <c r="AY179" s="1616"/>
      <c r="AZ179" s="1616"/>
      <c r="BA179" s="1616"/>
    </row>
    <row r="180" spans="28:53" ht="16.600000000000001" customHeight="1" x14ac:dyDescent="0.25">
      <c r="AB180" s="1616"/>
      <c r="AC180" s="1616"/>
      <c r="AD180" s="1616"/>
      <c r="AE180" s="1616"/>
      <c r="AF180" s="1616"/>
      <c r="AG180" s="1616"/>
      <c r="AH180" s="1616"/>
      <c r="AI180" s="1616"/>
      <c r="AJ180" s="1616"/>
      <c r="AK180" s="1616"/>
      <c r="AL180" s="1616"/>
      <c r="AM180" s="1616"/>
      <c r="AN180" s="1616"/>
      <c r="AO180" s="1616"/>
      <c r="AP180" s="1616"/>
      <c r="AQ180" s="1616"/>
      <c r="AR180" s="1616"/>
      <c r="AS180" s="1616"/>
      <c r="AT180" s="1616"/>
      <c r="AU180" s="1616"/>
      <c r="AV180" s="1616"/>
      <c r="AW180" s="1616"/>
      <c r="AX180" s="1616"/>
      <c r="AY180" s="1616"/>
      <c r="AZ180" s="1616"/>
      <c r="BA180" s="1616"/>
    </row>
    <row r="181" spans="28:53" ht="16.600000000000001" customHeight="1" x14ac:dyDescent="0.25">
      <c r="AB181" s="1616"/>
      <c r="AC181" s="1616"/>
      <c r="AD181" s="1616"/>
      <c r="AE181" s="1616"/>
      <c r="AF181" s="1616"/>
      <c r="AG181" s="1616"/>
      <c r="AH181" s="1616"/>
      <c r="AI181" s="1616"/>
      <c r="AJ181" s="1616"/>
      <c r="AK181" s="1616"/>
      <c r="AL181" s="1616"/>
      <c r="AM181" s="1616"/>
      <c r="AN181" s="1616"/>
      <c r="AO181" s="1616"/>
      <c r="AP181" s="1616"/>
      <c r="AQ181" s="1616"/>
      <c r="AR181" s="1616"/>
      <c r="AS181" s="1616"/>
      <c r="AT181" s="1616"/>
      <c r="AU181" s="1616"/>
      <c r="AV181" s="1616"/>
      <c r="AW181" s="1616"/>
      <c r="AX181" s="1616"/>
      <c r="AY181" s="1616"/>
      <c r="AZ181" s="1616"/>
      <c r="BA181" s="1616"/>
    </row>
    <row r="182" spans="28:53" ht="16.600000000000001" customHeight="1" x14ac:dyDescent="0.25">
      <c r="AB182" s="1616"/>
      <c r="AC182" s="1616"/>
      <c r="AD182" s="1616"/>
      <c r="AE182" s="1616"/>
      <c r="AF182" s="1616"/>
      <c r="AG182" s="1616"/>
      <c r="AH182" s="1616"/>
      <c r="AI182" s="1616"/>
      <c r="AJ182" s="1616"/>
      <c r="AK182" s="1616"/>
      <c r="AL182" s="1616"/>
      <c r="AM182" s="1616"/>
      <c r="AN182" s="1616"/>
      <c r="AO182" s="1616"/>
      <c r="AP182" s="1616"/>
      <c r="AQ182" s="1616"/>
      <c r="AR182" s="1616"/>
      <c r="AS182" s="1616"/>
      <c r="AT182" s="1616"/>
      <c r="AU182" s="1616"/>
      <c r="AV182" s="1616"/>
      <c r="AW182" s="1616"/>
      <c r="AX182" s="1616"/>
      <c r="AY182" s="1616"/>
      <c r="AZ182" s="1616"/>
      <c r="BA182" s="1616"/>
    </row>
    <row r="183" spans="28:53" ht="16.600000000000001" customHeight="1" x14ac:dyDescent="0.25">
      <c r="AB183" s="1616"/>
      <c r="AC183" s="1616"/>
      <c r="AD183" s="1616"/>
      <c r="AE183" s="1616"/>
      <c r="AF183" s="1616"/>
      <c r="AG183" s="1616"/>
      <c r="AH183" s="1616"/>
      <c r="AI183" s="1616"/>
      <c r="AJ183" s="1616"/>
      <c r="AK183" s="1616"/>
      <c r="AL183" s="1616"/>
      <c r="AM183" s="1616"/>
      <c r="AN183" s="1616"/>
      <c r="AO183" s="1616"/>
      <c r="AP183" s="1616"/>
      <c r="AQ183" s="1616"/>
      <c r="AR183" s="1616"/>
      <c r="AS183" s="1616"/>
      <c r="AT183" s="1616"/>
      <c r="AU183" s="1616"/>
      <c r="AV183" s="1616"/>
      <c r="AW183" s="1616"/>
      <c r="AX183" s="1616"/>
      <c r="AY183" s="1616"/>
      <c r="AZ183" s="1616"/>
      <c r="BA183" s="1616"/>
    </row>
    <row r="184" spans="28:53" ht="16.600000000000001" customHeight="1" x14ac:dyDescent="0.25">
      <c r="AB184" s="1616"/>
      <c r="AC184" s="1616"/>
      <c r="AD184" s="1616"/>
      <c r="AE184" s="1616"/>
      <c r="AF184" s="1616"/>
      <c r="AG184" s="1616"/>
      <c r="AH184" s="1616"/>
      <c r="AI184" s="1616"/>
      <c r="AJ184" s="1616"/>
      <c r="AK184" s="1616"/>
      <c r="AL184" s="1616"/>
      <c r="AM184" s="1616"/>
      <c r="AN184" s="1616"/>
      <c r="AO184" s="1616"/>
      <c r="AP184" s="1616"/>
      <c r="AQ184" s="1616"/>
      <c r="AR184" s="1616"/>
      <c r="AS184" s="1616"/>
      <c r="AT184" s="1616"/>
      <c r="AU184" s="1616"/>
      <c r="AV184" s="1616"/>
      <c r="AW184" s="1616"/>
      <c r="AX184" s="1616"/>
      <c r="AY184" s="1616"/>
      <c r="AZ184" s="1616"/>
      <c r="BA184" s="1616"/>
    </row>
    <row r="185" spans="28:53" ht="16.600000000000001" customHeight="1" x14ac:dyDescent="0.25">
      <c r="AB185" s="1616"/>
      <c r="AC185" s="1616"/>
      <c r="AD185" s="1616"/>
      <c r="AE185" s="1616"/>
      <c r="AF185" s="1616"/>
      <c r="AG185" s="1616"/>
      <c r="AH185" s="1616"/>
      <c r="AI185" s="1616"/>
      <c r="AJ185" s="1616"/>
      <c r="AK185" s="1616"/>
      <c r="AL185" s="1616"/>
      <c r="AM185" s="1616"/>
      <c r="AN185" s="1616"/>
      <c r="AO185" s="1616"/>
      <c r="AP185" s="1616"/>
      <c r="AQ185" s="1616"/>
      <c r="AR185" s="1616"/>
      <c r="AS185" s="1616"/>
      <c r="AT185" s="1616"/>
      <c r="AU185" s="1616"/>
      <c r="AV185" s="1616"/>
      <c r="AW185" s="1616"/>
      <c r="AX185" s="1616"/>
      <c r="AY185" s="1616"/>
      <c r="AZ185" s="1616"/>
      <c r="BA185" s="1616"/>
    </row>
    <row r="186" spans="28:53" ht="16.600000000000001" customHeight="1" x14ac:dyDescent="0.25">
      <c r="AB186" s="1616"/>
      <c r="AC186" s="1616"/>
      <c r="AD186" s="1616"/>
      <c r="AE186" s="1616"/>
      <c r="AF186" s="1616"/>
      <c r="AG186" s="1616"/>
      <c r="AH186" s="1616"/>
      <c r="AI186" s="1616"/>
      <c r="AJ186" s="1616"/>
      <c r="AK186" s="1616"/>
      <c r="AL186" s="1616"/>
      <c r="AM186" s="1616"/>
      <c r="AN186" s="1616"/>
      <c r="AO186" s="1616"/>
      <c r="AP186" s="1616"/>
      <c r="AQ186" s="1616"/>
      <c r="AR186" s="1616"/>
      <c r="AS186" s="1616"/>
      <c r="AT186" s="1616"/>
      <c r="AU186" s="1616"/>
      <c r="AV186" s="1616"/>
      <c r="AW186" s="1616"/>
      <c r="AX186" s="1616"/>
      <c r="AY186" s="1616"/>
      <c r="AZ186" s="1616"/>
      <c r="BA186" s="1616"/>
    </row>
    <row r="187" spans="28:53" ht="16.600000000000001" customHeight="1" x14ac:dyDescent="0.25">
      <c r="AB187" s="1616"/>
      <c r="AC187" s="1616"/>
      <c r="AD187" s="1616"/>
      <c r="AE187" s="1616"/>
      <c r="AF187" s="1616"/>
      <c r="AG187" s="1616"/>
      <c r="AH187" s="1616"/>
      <c r="AI187" s="1616"/>
      <c r="AJ187" s="1616"/>
      <c r="AK187" s="1616"/>
      <c r="AL187" s="1616"/>
      <c r="AM187" s="1616"/>
      <c r="AN187" s="1616"/>
      <c r="AO187" s="1616"/>
      <c r="AP187" s="1616"/>
      <c r="AQ187" s="1616"/>
      <c r="AR187" s="1616"/>
      <c r="AS187" s="1616"/>
      <c r="AT187" s="1616"/>
      <c r="AU187" s="1616"/>
      <c r="AV187" s="1616"/>
      <c r="AW187" s="1616"/>
      <c r="AX187" s="1616"/>
      <c r="AY187" s="1616"/>
      <c r="AZ187" s="1616"/>
      <c r="BA187" s="1616"/>
    </row>
    <row r="188" spans="28:53" ht="16.600000000000001" customHeight="1" x14ac:dyDescent="0.25">
      <c r="AB188" s="1616"/>
      <c r="AC188" s="1616"/>
      <c r="AD188" s="1616"/>
      <c r="AE188" s="1616"/>
      <c r="AF188" s="1616"/>
      <c r="AG188" s="1616"/>
      <c r="AH188" s="1616"/>
      <c r="AI188" s="1616"/>
      <c r="AJ188" s="1616"/>
      <c r="AK188" s="1616"/>
      <c r="AL188" s="1616"/>
      <c r="AM188" s="1616"/>
      <c r="AN188" s="1616"/>
      <c r="AO188" s="1616"/>
      <c r="AP188" s="1616"/>
      <c r="AQ188" s="1616"/>
      <c r="AR188" s="1616"/>
      <c r="AS188" s="1616"/>
      <c r="AT188" s="1616"/>
      <c r="AU188" s="1616"/>
      <c r="AV188" s="1616"/>
      <c r="AW188" s="1616"/>
      <c r="AX188" s="1616"/>
      <c r="AY188" s="1616"/>
      <c r="AZ188" s="1616"/>
      <c r="BA188" s="1616"/>
    </row>
    <row r="189" spans="28:53" ht="16.600000000000001" customHeight="1" x14ac:dyDescent="0.25">
      <c r="AB189" s="1616"/>
      <c r="AC189" s="1616"/>
      <c r="AD189" s="1616"/>
      <c r="AE189" s="1616"/>
      <c r="AF189" s="1616"/>
      <c r="AG189" s="1616"/>
      <c r="AH189" s="1616"/>
      <c r="AI189" s="1616"/>
      <c r="AJ189" s="1616"/>
      <c r="AK189" s="1616"/>
      <c r="AL189" s="1616"/>
      <c r="AM189" s="1616"/>
      <c r="AN189" s="1616"/>
      <c r="AO189" s="1616"/>
      <c r="AP189" s="1616"/>
      <c r="AQ189" s="1616"/>
      <c r="AR189" s="1616"/>
      <c r="AS189" s="1616"/>
      <c r="AT189" s="1616"/>
      <c r="AU189" s="1616"/>
      <c r="AV189" s="1616"/>
      <c r="AW189" s="1616"/>
      <c r="AX189" s="1616"/>
      <c r="AY189" s="1616"/>
      <c r="AZ189" s="1616"/>
      <c r="BA189" s="1616"/>
    </row>
    <row r="190" spans="28:53" ht="16.600000000000001" customHeight="1" x14ac:dyDescent="0.25">
      <c r="AB190" s="1616"/>
      <c r="AC190" s="1616"/>
      <c r="AD190" s="1616"/>
      <c r="AE190" s="1616"/>
      <c r="AF190" s="1616"/>
      <c r="AG190" s="1616"/>
      <c r="AH190" s="1616"/>
      <c r="AI190" s="1616"/>
      <c r="AJ190" s="1616"/>
      <c r="AK190" s="1616"/>
      <c r="AL190" s="1616"/>
      <c r="AM190" s="1616"/>
      <c r="AN190" s="1616"/>
      <c r="AO190" s="1616"/>
      <c r="AP190" s="1616"/>
      <c r="AQ190" s="1616"/>
      <c r="AR190" s="1616"/>
      <c r="AS190" s="1616"/>
      <c r="AT190" s="1616"/>
      <c r="AU190" s="1616"/>
      <c r="AV190" s="1616"/>
      <c r="AW190" s="1616"/>
      <c r="AX190" s="1616"/>
      <c r="AY190" s="1616"/>
      <c r="AZ190" s="1616"/>
      <c r="BA190" s="1616"/>
    </row>
    <row r="191" spans="28:53" ht="16.600000000000001" customHeight="1" x14ac:dyDescent="0.25">
      <c r="AB191" s="1616"/>
      <c r="AC191" s="1616"/>
      <c r="AD191" s="1616"/>
      <c r="AE191" s="1616"/>
      <c r="AF191" s="1616"/>
      <c r="AG191" s="1616"/>
      <c r="AH191" s="1616"/>
      <c r="AI191" s="1616"/>
      <c r="AJ191" s="1616"/>
      <c r="AK191" s="1616"/>
      <c r="AL191" s="1616"/>
      <c r="AM191" s="1616"/>
      <c r="AN191" s="1616"/>
      <c r="AO191" s="1616"/>
      <c r="AP191" s="1616"/>
      <c r="AQ191" s="1616"/>
      <c r="AR191" s="1616"/>
      <c r="AS191" s="1616"/>
      <c r="AT191" s="1616"/>
      <c r="AU191" s="1616"/>
      <c r="AV191" s="1616"/>
      <c r="AW191" s="1616"/>
      <c r="AX191" s="1616"/>
      <c r="AY191" s="1616"/>
      <c r="AZ191" s="1616"/>
      <c r="BA191" s="1616"/>
    </row>
    <row r="192" spans="28:53" ht="16.600000000000001" customHeight="1" x14ac:dyDescent="0.25">
      <c r="AB192" s="1616"/>
      <c r="AC192" s="1616"/>
      <c r="AD192" s="1616"/>
      <c r="AE192" s="1616"/>
      <c r="AF192" s="1616"/>
      <c r="AG192" s="1616"/>
      <c r="AH192" s="1616"/>
      <c r="AI192" s="1616"/>
      <c r="AJ192" s="1616"/>
      <c r="AK192" s="1616"/>
      <c r="AL192" s="1616"/>
      <c r="AM192" s="1616"/>
      <c r="AN192" s="1616"/>
      <c r="AO192" s="1616"/>
      <c r="AP192" s="1616"/>
      <c r="AQ192" s="1616"/>
      <c r="AR192" s="1616"/>
      <c r="AS192" s="1616"/>
      <c r="AT192" s="1616"/>
      <c r="AU192" s="1616"/>
      <c r="AV192" s="1616"/>
      <c r="AW192" s="1616"/>
      <c r="AX192" s="1616"/>
      <c r="AY192" s="1616"/>
      <c r="AZ192" s="1616"/>
      <c r="BA192" s="1616"/>
    </row>
    <row r="193" spans="28:53" ht="16.600000000000001" customHeight="1" x14ac:dyDescent="0.25">
      <c r="AB193" s="1616"/>
      <c r="AC193" s="1616"/>
      <c r="AD193" s="1616"/>
      <c r="AE193" s="1616"/>
      <c r="AF193" s="1616"/>
      <c r="AG193" s="1616"/>
      <c r="AH193" s="1616"/>
      <c r="AI193" s="1616"/>
      <c r="AJ193" s="1616"/>
      <c r="AK193" s="1616"/>
      <c r="AL193" s="1616"/>
      <c r="AM193" s="1616"/>
      <c r="AN193" s="1616"/>
      <c r="AO193" s="1616"/>
      <c r="AP193" s="1616"/>
      <c r="AQ193" s="1616"/>
      <c r="AR193" s="1616"/>
      <c r="AS193" s="1616"/>
      <c r="AT193" s="1616"/>
      <c r="AU193" s="1616"/>
      <c r="AV193" s="1616"/>
      <c r="AW193" s="1616"/>
      <c r="AX193" s="1616"/>
      <c r="AY193" s="1616"/>
      <c r="AZ193" s="1616"/>
      <c r="BA193" s="1616"/>
    </row>
    <row r="194" spans="28:53" ht="16.600000000000001" customHeight="1" x14ac:dyDescent="0.25">
      <c r="AB194" s="1616"/>
      <c r="AC194" s="1616"/>
      <c r="AD194" s="1616"/>
      <c r="AE194" s="1616"/>
      <c r="AF194" s="1616"/>
      <c r="AG194" s="1616"/>
      <c r="AH194" s="1616"/>
      <c r="AI194" s="1616"/>
      <c r="AJ194" s="1616"/>
      <c r="AK194" s="1616"/>
      <c r="AL194" s="1616"/>
      <c r="AM194" s="1616"/>
      <c r="AN194" s="1616"/>
      <c r="AO194" s="1616"/>
      <c r="AP194" s="1616"/>
      <c r="AQ194" s="1616"/>
      <c r="AR194" s="1616"/>
      <c r="AS194" s="1616"/>
      <c r="AT194" s="1616"/>
      <c r="AU194" s="1616"/>
      <c r="AV194" s="1616"/>
      <c r="AW194" s="1616"/>
      <c r="AX194" s="1616"/>
      <c r="AY194" s="1616"/>
      <c r="AZ194" s="1616"/>
      <c r="BA194" s="1616"/>
    </row>
    <row r="195" spans="28:53" ht="16.600000000000001" customHeight="1" x14ac:dyDescent="0.25">
      <c r="AB195" s="1616"/>
      <c r="AC195" s="1616"/>
      <c r="AD195" s="1616"/>
      <c r="AE195" s="1616"/>
      <c r="AF195" s="1616"/>
      <c r="AG195" s="1616"/>
      <c r="AH195" s="1616"/>
      <c r="AI195" s="1616"/>
      <c r="AJ195" s="1616"/>
      <c r="AK195" s="1616"/>
      <c r="AL195" s="1616"/>
      <c r="AM195" s="1616"/>
      <c r="AN195" s="1616"/>
      <c r="AO195" s="1616"/>
      <c r="AP195" s="1616"/>
      <c r="AQ195" s="1616"/>
      <c r="AR195" s="1616"/>
      <c r="AS195" s="1616"/>
      <c r="AT195" s="1616"/>
      <c r="AU195" s="1616"/>
      <c r="AV195" s="1616"/>
      <c r="AW195" s="1616"/>
      <c r="AX195" s="1616"/>
      <c r="AY195" s="1616"/>
      <c r="AZ195" s="1616"/>
      <c r="BA195" s="1616"/>
    </row>
    <row r="196" spans="28:53" ht="16.600000000000001" customHeight="1" x14ac:dyDescent="0.25">
      <c r="AB196" s="1616"/>
      <c r="AC196" s="1616"/>
      <c r="AD196" s="1616"/>
      <c r="AE196" s="1616"/>
      <c r="AF196" s="1616"/>
      <c r="AG196" s="1616"/>
      <c r="AH196" s="1616"/>
      <c r="AI196" s="1616"/>
      <c r="AJ196" s="1616"/>
      <c r="AK196" s="1616"/>
      <c r="AL196" s="1616"/>
      <c r="AM196" s="1616"/>
      <c r="AN196" s="1616"/>
      <c r="AO196" s="1616"/>
      <c r="AP196" s="1616"/>
      <c r="AQ196" s="1616"/>
      <c r="AR196" s="1616"/>
      <c r="AS196" s="1616"/>
      <c r="AT196" s="1616"/>
      <c r="AU196" s="1616"/>
      <c r="AV196" s="1616"/>
      <c r="AW196" s="1616"/>
      <c r="AX196" s="1616"/>
      <c r="AY196" s="1616"/>
      <c r="AZ196" s="1616"/>
      <c r="BA196" s="1616"/>
    </row>
    <row r="197" spans="28:53" ht="16.600000000000001" customHeight="1" x14ac:dyDescent="0.25">
      <c r="AB197" s="1616"/>
      <c r="AC197" s="1616"/>
      <c r="AD197" s="1616"/>
      <c r="AE197" s="1616"/>
      <c r="AF197" s="1616"/>
      <c r="AG197" s="1616"/>
      <c r="AH197" s="1616"/>
      <c r="AI197" s="1616"/>
      <c r="AJ197" s="1616"/>
      <c r="AK197" s="1616"/>
      <c r="AL197" s="1616"/>
      <c r="AM197" s="1616"/>
      <c r="AN197" s="1616"/>
      <c r="AO197" s="1616"/>
      <c r="AP197" s="1616"/>
      <c r="AQ197" s="1616"/>
      <c r="AR197" s="1616"/>
      <c r="AS197" s="1616"/>
      <c r="AT197" s="1616"/>
      <c r="AU197" s="1616"/>
      <c r="AV197" s="1616"/>
      <c r="AW197" s="1616"/>
      <c r="AX197" s="1616"/>
      <c r="AY197" s="1616"/>
      <c r="AZ197" s="1616"/>
      <c r="BA197" s="1616"/>
    </row>
    <row r="198" spans="28:53" ht="16.600000000000001" customHeight="1" x14ac:dyDescent="0.25">
      <c r="AB198" s="1616"/>
      <c r="AC198" s="1616"/>
      <c r="AD198" s="1616"/>
      <c r="AE198" s="1616"/>
      <c r="AF198" s="1616"/>
      <c r="AG198" s="1616"/>
      <c r="AH198" s="1616"/>
      <c r="AI198" s="1616"/>
      <c r="AJ198" s="1616"/>
      <c r="AK198" s="1616"/>
      <c r="AL198" s="1616"/>
      <c r="AM198" s="1616"/>
      <c r="AN198" s="1616"/>
      <c r="AO198" s="1616"/>
      <c r="AP198" s="1616"/>
      <c r="AQ198" s="1616"/>
      <c r="AR198" s="1616"/>
      <c r="AS198" s="1616"/>
      <c r="AT198" s="1616"/>
      <c r="AU198" s="1616"/>
      <c r="AV198" s="1616"/>
      <c r="AW198" s="1616"/>
      <c r="AX198" s="1616"/>
      <c r="AY198" s="1616"/>
      <c r="AZ198" s="1616"/>
      <c r="BA198" s="1616"/>
    </row>
    <row r="199" spans="28:53" ht="16.600000000000001" customHeight="1" x14ac:dyDescent="0.25">
      <c r="AB199" s="1616"/>
      <c r="AC199" s="1616"/>
      <c r="AD199" s="1616"/>
      <c r="AE199" s="1616"/>
      <c r="AF199" s="1616"/>
      <c r="AG199" s="1616"/>
      <c r="AH199" s="1616"/>
      <c r="AI199" s="1616"/>
      <c r="AJ199" s="1616"/>
      <c r="AK199" s="1616"/>
      <c r="AL199" s="1616"/>
      <c r="AM199" s="1616"/>
      <c r="AN199" s="1616"/>
      <c r="AO199" s="1616"/>
      <c r="AP199" s="1616"/>
      <c r="AQ199" s="1616"/>
      <c r="AR199" s="1616"/>
      <c r="AS199" s="1616"/>
      <c r="AT199" s="1616"/>
      <c r="AU199" s="1616"/>
      <c r="AV199" s="1616"/>
      <c r="AW199" s="1616"/>
      <c r="AX199" s="1616"/>
      <c r="AY199" s="1616"/>
      <c r="AZ199" s="1616"/>
      <c r="BA199" s="1616"/>
    </row>
    <row r="200" spans="28:53" ht="16.600000000000001" customHeight="1" x14ac:dyDescent="0.25">
      <c r="AB200" s="1616"/>
      <c r="AC200" s="1616"/>
      <c r="AD200" s="1616"/>
      <c r="AE200" s="1616"/>
      <c r="AF200" s="1616"/>
      <c r="AG200" s="1616"/>
      <c r="AH200" s="1616"/>
      <c r="AI200" s="1616"/>
      <c r="AJ200" s="1616"/>
      <c r="AK200" s="1616"/>
      <c r="AL200" s="1616"/>
      <c r="AM200" s="1616"/>
      <c r="AN200" s="1616"/>
      <c r="AO200" s="1616"/>
      <c r="AP200" s="1616"/>
      <c r="AQ200" s="1616"/>
      <c r="AR200" s="1616"/>
      <c r="AS200" s="1616"/>
      <c r="AT200" s="1616"/>
      <c r="AU200" s="1616"/>
      <c r="AV200" s="1616"/>
      <c r="AW200" s="1616"/>
      <c r="AX200" s="1616"/>
      <c r="AY200" s="1616"/>
      <c r="AZ200" s="1616"/>
      <c r="BA200" s="1616"/>
    </row>
    <row r="201" spans="28:53" ht="16.600000000000001" customHeight="1" x14ac:dyDescent="0.25">
      <c r="AB201" s="1616"/>
      <c r="AC201" s="1616"/>
      <c r="AD201" s="1616"/>
      <c r="AE201" s="1616"/>
      <c r="AF201" s="1616"/>
      <c r="AG201" s="1616"/>
      <c r="AH201" s="1616"/>
      <c r="AI201" s="1616"/>
      <c r="AJ201" s="1616"/>
      <c r="AK201" s="1616"/>
      <c r="AL201" s="1616"/>
      <c r="AM201" s="1616"/>
      <c r="AN201" s="1616"/>
      <c r="AO201" s="1616"/>
      <c r="AP201" s="1616"/>
      <c r="AQ201" s="1616"/>
      <c r="AR201" s="1616"/>
      <c r="AS201" s="1616"/>
      <c r="AT201" s="1616"/>
      <c r="AU201" s="1616"/>
      <c r="AV201" s="1616"/>
      <c r="AW201" s="1616"/>
      <c r="AX201" s="1616"/>
      <c r="AY201" s="1616"/>
      <c r="AZ201" s="1616"/>
      <c r="BA201" s="1616"/>
    </row>
    <row r="202" spans="28:53" ht="16.600000000000001" customHeight="1" x14ac:dyDescent="0.25">
      <c r="AB202" s="1616"/>
      <c r="AC202" s="1616"/>
      <c r="AD202" s="1616"/>
      <c r="AE202" s="1616"/>
      <c r="AF202" s="1616"/>
      <c r="AG202" s="1616"/>
      <c r="AH202" s="1616"/>
      <c r="AI202" s="1616"/>
      <c r="AJ202" s="1616"/>
      <c r="AK202" s="1616"/>
      <c r="AL202" s="1616"/>
      <c r="AM202" s="1616"/>
      <c r="AN202" s="1616"/>
      <c r="AO202" s="1616"/>
      <c r="AP202" s="1616"/>
      <c r="AQ202" s="1616"/>
      <c r="AR202" s="1616"/>
      <c r="AS202" s="1616"/>
      <c r="AT202" s="1616"/>
      <c r="AU202" s="1616"/>
      <c r="AV202" s="1616"/>
      <c r="AW202" s="1616"/>
      <c r="AX202" s="1616"/>
      <c r="AY202" s="1616"/>
      <c r="AZ202" s="1616"/>
      <c r="BA202" s="1616"/>
    </row>
    <row r="203" spans="28:53" ht="16.600000000000001" customHeight="1" x14ac:dyDescent="0.25">
      <c r="AB203" s="1616"/>
      <c r="AC203" s="1616"/>
      <c r="AD203" s="1616"/>
      <c r="AE203" s="1616"/>
      <c r="AF203" s="1616"/>
      <c r="AG203" s="1616"/>
      <c r="AH203" s="1616"/>
      <c r="AI203" s="1616"/>
      <c r="AJ203" s="1616"/>
      <c r="AK203" s="1616"/>
      <c r="AL203" s="1616"/>
      <c r="AM203" s="1616"/>
      <c r="AN203" s="1616"/>
      <c r="AO203" s="1616"/>
      <c r="AP203" s="1616"/>
      <c r="AQ203" s="1616"/>
      <c r="AR203" s="1616"/>
      <c r="AS203" s="1616"/>
      <c r="AT203" s="1616"/>
      <c r="AU203" s="1616"/>
      <c r="AV203" s="1616"/>
      <c r="AW203" s="1616"/>
      <c r="AX203" s="1616"/>
      <c r="AY203" s="1616"/>
      <c r="AZ203" s="1616"/>
      <c r="BA203" s="1616"/>
    </row>
    <row r="204" spans="28:53" ht="16.600000000000001" customHeight="1" x14ac:dyDescent="0.25">
      <c r="AB204" s="1616"/>
      <c r="AC204" s="1616"/>
      <c r="AD204" s="1616"/>
      <c r="AE204" s="1616"/>
      <c r="AF204" s="1616"/>
      <c r="AG204" s="1616"/>
      <c r="AH204" s="1616"/>
      <c r="AI204" s="1616"/>
      <c r="AJ204" s="1616"/>
      <c r="AK204" s="1616"/>
      <c r="AL204" s="1616"/>
      <c r="AM204" s="1616"/>
      <c r="AN204" s="1616"/>
      <c r="AO204" s="1616"/>
      <c r="AP204" s="1616"/>
      <c r="AQ204" s="1616"/>
      <c r="AR204" s="1616"/>
      <c r="AS204" s="1616"/>
      <c r="AT204" s="1616"/>
      <c r="AU204" s="1616"/>
      <c r="AV204" s="1616"/>
      <c r="AW204" s="1616"/>
      <c r="AX204" s="1616"/>
      <c r="AY204" s="1616"/>
      <c r="AZ204" s="1616"/>
      <c r="BA204" s="1616"/>
    </row>
    <row r="205" spans="28:53" ht="16.600000000000001" customHeight="1" x14ac:dyDescent="0.25">
      <c r="AB205" s="1616"/>
      <c r="AC205" s="1616"/>
      <c r="AD205" s="1616"/>
      <c r="AE205" s="1616"/>
      <c r="AF205" s="1616"/>
      <c r="AG205" s="1616"/>
      <c r="AH205" s="1616"/>
      <c r="AI205" s="1616"/>
      <c r="AJ205" s="1616"/>
      <c r="AK205" s="1616"/>
      <c r="AL205" s="1616"/>
      <c r="AM205" s="1616"/>
      <c r="AN205" s="1616"/>
      <c r="AO205" s="1616"/>
      <c r="AP205" s="1616"/>
      <c r="AQ205" s="1616"/>
      <c r="AR205" s="1616"/>
      <c r="AS205" s="1616"/>
      <c r="AT205" s="1616"/>
      <c r="AU205" s="1616"/>
      <c r="AV205" s="1616"/>
      <c r="AW205" s="1616"/>
      <c r="AX205" s="1616"/>
      <c r="AY205" s="1616"/>
      <c r="AZ205" s="1616"/>
      <c r="BA205" s="1616"/>
    </row>
    <row r="206" spans="28:53" ht="16.600000000000001" customHeight="1" x14ac:dyDescent="0.25">
      <c r="AB206" s="1616"/>
      <c r="AC206" s="1616"/>
      <c r="AD206" s="1616"/>
      <c r="AE206" s="1616"/>
      <c r="AF206" s="1616"/>
      <c r="AG206" s="1616"/>
      <c r="AH206" s="1616"/>
      <c r="AI206" s="1616"/>
      <c r="AJ206" s="1616"/>
      <c r="AK206" s="1616"/>
      <c r="AL206" s="1616"/>
      <c r="AM206" s="1616"/>
      <c r="AN206" s="1616"/>
      <c r="AO206" s="1616"/>
      <c r="AP206" s="1616"/>
      <c r="AQ206" s="1616"/>
      <c r="AR206" s="1616"/>
      <c r="AS206" s="1616"/>
      <c r="AT206" s="1616"/>
      <c r="AU206" s="1616"/>
      <c r="AV206" s="1616"/>
      <c r="AW206" s="1616"/>
      <c r="AX206" s="1616"/>
      <c r="AY206" s="1616"/>
      <c r="AZ206" s="1616"/>
      <c r="BA206" s="1616"/>
    </row>
    <row r="207" spans="28:53" ht="16.600000000000001" customHeight="1" x14ac:dyDescent="0.25">
      <c r="AB207" s="1616"/>
      <c r="AC207" s="1616"/>
      <c r="AD207" s="1616"/>
      <c r="AE207" s="1616"/>
      <c r="AF207" s="1616"/>
      <c r="AG207" s="1616"/>
      <c r="AH207" s="1616"/>
      <c r="AI207" s="1616"/>
      <c r="AJ207" s="1616"/>
      <c r="AK207" s="1616"/>
      <c r="AL207" s="1616"/>
      <c r="AM207" s="1616"/>
      <c r="AN207" s="1616"/>
      <c r="AO207" s="1616"/>
      <c r="AP207" s="1616"/>
      <c r="AQ207" s="1616"/>
      <c r="AR207" s="1616"/>
      <c r="AS207" s="1616"/>
      <c r="AT207" s="1616"/>
      <c r="AU207" s="1616"/>
      <c r="AV207" s="1616"/>
      <c r="AW207" s="1616"/>
      <c r="AX207" s="1616"/>
      <c r="AY207" s="1616"/>
      <c r="AZ207" s="1616"/>
      <c r="BA207" s="1616"/>
    </row>
    <row r="208" spans="28:53" ht="16.600000000000001" customHeight="1" x14ac:dyDescent="0.25">
      <c r="AB208" s="1616"/>
      <c r="AC208" s="1616"/>
      <c r="AD208" s="1616"/>
      <c r="AE208" s="1616"/>
      <c r="AF208" s="1616"/>
      <c r="AG208" s="1616"/>
      <c r="AH208" s="1616"/>
      <c r="AI208" s="1616"/>
      <c r="AJ208" s="1616"/>
      <c r="AK208" s="1616"/>
      <c r="AL208" s="1616"/>
      <c r="AM208" s="1616"/>
      <c r="AN208" s="1616"/>
      <c r="AO208" s="1616"/>
      <c r="AP208" s="1616"/>
      <c r="AQ208" s="1616"/>
      <c r="AR208" s="1616"/>
      <c r="AS208" s="1616"/>
      <c r="AT208" s="1616"/>
      <c r="AU208" s="1616"/>
      <c r="AV208" s="1616"/>
      <c r="AW208" s="1616"/>
      <c r="AX208" s="1616"/>
      <c r="AY208" s="1616"/>
      <c r="AZ208" s="1616"/>
      <c r="BA208" s="1616"/>
    </row>
    <row r="209" spans="28:53" ht="16.600000000000001" customHeight="1" x14ac:dyDescent="0.25">
      <c r="AB209" s="1616"/>
      <c r="AC209" s="1616"/>
      <c r="AD209" s="1616"/>
      <c r="AE209" s="1616"/>
      <c r="AF209" s="1616"/>
      <c r="AG209" s="1616"/>
      <c r="AH209" s="1616"/>
      <c r="AI209" s="1616"/>
      <c r="AJ209" s="1616"/>
      <c r="AK209" s="1616"/>
      <c r="AL209" s="1616"/>
      <c r="AM209" s="1616"/>
      <c r="AN209" s="1616"/>
      <c r="AO209" s="1616"/>
      <c r="AP209" s="1616"/>
      <c r="AQ209" s="1616"/>
      <c r="AR209" s="1616"/>
      <c r="AS209" s="1616"/>
      <c r="AT209" s="1616"/>
      <c r="AU209" s="1616"/>
      <c r="AV209" s="1616"/>
      <c r="AW209" s="1616"/>
      <c r="AX209" s="1616"/>
      <c r="AY209" s="1616"/>
      <c r="AZ209" s="1616"/>
      <c r="BA209" s="1616"/>
    </row>
    <row r="210" spans="28:53" ht="16.600000000000001" customHeight="1" x14ac:dyDescent="0.25">
      <c r="AB210" s="1616"/>
      <c r="AC210" s="1616"/>
      <c r="AD210" s="1616"/>
      <c r="AE210" s="1616"/>
      <c r="AF210" s="1616"/>
      <c r="AG210" s="1616"/>
      <c r="AH210" s="1616"/>
      <c r="AI210" s="1616"/>
      <c r="AJ210" s="1616"/>
      <c r="AK210" s="1616"/>
      <c r="AL210" s="1616"/>
      <c r="AM210" s="1616"/>
      <c r="AN210" s="1616"/>
      <c r="AO210" s="1616"/>
      <c r="AP210" s="1616"/>
      <c r="AQ210" s="1616"/>
      <c r="AR210" s="1616"/>
      <c r="AS210" s="1616"/>
      <c r="AT210" s="1616"/>
      <c r="AU210" s="1616"/>
      <c r="AV210" s="1616"/>
      <c r="AW210" s="1616"/>
      <c r="AX210" s="1616"/>
      <c r="AY210" s="1616"/>
      <c r="AZ210" s="1616"/>
      <c r="BA210" s="1616"/>
    </row>
    <row r="211" spans="28:53" ht="16.600000000000001" customHeight="1" x14ac:dyDescent="0.25">
      <c r="AB211" s="1616"/>
      <c r="AC211" s="1616"/>
      <c r="AD211" s="1616"/>
      <c r="AE211" s="1616"/>
      <c r="AF211" s="1616"/>
      <c r="AG211" s="1616"/>
      <c r="AH211" s="1616"/>
      <c r="AI211" s="1616"/>
      <c r="AJ211" s="1616"/>
      <c r="AK211" s="1616"/>
      <c r="AL211" s="1616"/>
      <c r="AM211" s="1616"/>
      <c r="AN211" s="1616"/>
      <c r="AO211" s="1616"/>
      <c r="AP211" s="1616"/>
      <c r="AQ211" s="1616"/>
      <c r="AR211" s="1616"/>
      <c r="AS211" s="1616"/>
      <c r="AT211" s="1616"/>
      <c r="AU211" s="1616"/>
      <c r="AV211" s="1616"/>
      <c r="AW211" s="1616"/>
      <c r="AX211" s="1616"/>
      <c r="AY211" s="1616"/>
      <c r="AZ211" s="1616"/>
      <c r="BA211" s="1616"/>
    </row>
    <row r="212" spans="28:53" ht="16.600000000000001" customHeight="1" x14ac:dyDescent="0.25">
      <c r="AB212" s="1616"/>
      <c r="AC212" s="1616"/>
      <c r="AD212" s="1616"/>
      <c r="AE212" s="1616"/>
      <c r="AF212" s="1616"/>
      <c r="AG212" s="1616"/>
      <c r="AH212" s="1616"/>
      <c r="AI212" s="1616"/>
      <c r="AJ212" s="1616"/>
      <c r="AK212" s="1616"/>
      <c r="AL212" s="1616"/>
      <c r="AM212" s="1616"/>
      <c r="AN212" s="1616"/>
      <c r="AO212" s="1616"/>
      <c r="AP212" s="1616"/>
      <c r="AQ212" s="1616"/>
      <c r="AR212" s="1616"/>
      <c r="AS212" s="1616"/>
      <c r="AT212" s="1616"/>
      <c r="AU212" s="1616"/>
      <c r="AV212" s="1616"/>
      <c r="AW212" s="1616"/>
      <c r="AX212" s="1616"/>
      <c r="AY212" s="1616"/>
      <c r="AZ212" s="1616"/>
      <c r="BA212" s="1616"/>
    </row>
    <row r="213" spans="28:53" ht="16.600000000000001" customHeight="1" x14ac:dyDescent="0.25">
      <c r="AB213" s="1616"/>
      <c r="AC213" s="1616"/>
      <c r="AD213" s="1616"/>
      <c r="AE213" s="1616"/>
      <c r="AF213" s="1616"/>
      <c r="AG213" s="1616"/>
      <c r="AH213" s="1616"/>
      <c r="AI213" s="1616"/>
      <c r="AJ213" s="1616"/>
      <c r="AK213" s="1616"/>
      <c r="AL213" s="1616"/>
      <c r="AM213" s="1616"/>
      <c r="AN213" s="1616"/>
      <c r="AO213" s="1616"/>
      <c r="AP213" s="1616"/>
      <c r="AQ213" s="1616"/>
      <c r="AR213" s="1616"/>
      <c r="AS213" s="1616"/>
      <c r="AT213" s="1616"/>
      <c r="AU213" s="1616"/>
      <c r="AV213" s="1616"/>
      <c r="AW213" s="1616"/>
      <c r="AX213" s="1616"/>
      <c r="AY213" s="1616"/>
      <c r="AZ213" s="1616"/>
      <c r="BA213" s="1616"/>
    </row>
    <row r="214" spans="28:53" ht="16.600000000000001" customHeight="1" x14ac:dyDescent="0.25">
      <c r="AB214" s="1616"/>
      <c r="AC214" s="1616"/>
      <c r="AD214" s="1616"/>
      <c r="AE214" s="1616"/>
      <c r="AF214" s="1616"/>
      <c r="AG214" s="1616"/>
      <c r="AH214" s="1616"/>
      <c r="AI214" s="1616"/>
      <c r="AJ214" s="1616"/>
      <c r="AK214" s="1616"/>
      <c r="AL214" s="1616"/>
      <c r="AM214" s="1616"/>
      <c r="AN214" s="1616"/>
      <c r="AO214" s="1616"/>
      <c r="AP214" s="1616"/>
      <c r="AQ214" s="1616"/>
      <c r="AR214" s="1616"/>
      <c r="AS214" s="1616"/>
      <c r="AT214" s="1616"/>
      <c r="AU214" s="1616"/>
      <c r="AV214" s="1616"/>
      <c r="AW214" s="1616"/>
      <c r="AX214" s="1616"/>
      <c r="AY214" s="1616"/>
      <c r="AZ214" s="1616"/>
      <c r="BA214" s="1616"/>
    </row>
    <row r="215" spans="28:53" ht="16.600000000000001" customHeight="1" x14ac:dyDescent="0.25">
      <c r="AB215" s="1616"/>
      <c r="AC215" s="1616"/>
      <c r="AD215" s="1616"/>
      <c r="AE215" s="1616"/>
      <c r="AF215" s="1616"/>
      <c r="AG215" s="1616"/>
      <c r="AH215" s="1616"/>
      <c r="AI215" s="1616"/>
      <c r="AJ215" s="1616"/>
      <c r="AK215" s="1616"/>
      <c r="AL215" s="1616"/>
      <c r="AM215" s="1616"/>
      <c r="AN215" s="1616"/>
      <c r="AO215" s="1616"/>
      <c r="AP215" s="1616"/>
      <c r="AQ215" s="1616"/>
      <c r="AR215" s="1616"/>
      <c r="AS215" s="1616"/>
      <c r="AT215" s="1616"/>
      <c r="AU215" s="1616"/>
      <c r="AV215" s="1616"/>
      <c r="AW215" s="1616"/>
      <c r="AX215" s="1616"/>
      <c r="AY215" s="1616"/>
      <c r="AZ215" s="1616"/>
      <c r="BA215" s="1616"/>
    </row>
    <row r="216" spans="28:53" ht="16.600000000000001" customHeight="1" x14ac:dyDescent="0.25">
      <c r="AB216" s="1616"/>
      <c r="AC216" s="1616"/>
      <c r="AD216" s="1616"/>
      <c r="AE216" s="1616"/>
      <c r="AF216" s="1616"/>
      <c r="AG216" s="1616"/>
      <c r="AH216" s="1616"/>
      <c r="AI216" s="1616"/>
      <c r="AJ216" s="1616"/>
      <c r="AK216" s="1616"/>
      <c r="AL216" s="1616"/>
      <c r="AM216" s="1616"/>
      <c r="AN216" s="1616"/>
      <c r="AO216" s="1616"/>
      <c r="AP216" s="1616"/>
      <c r="AQ216" s="1616"/>
      <c r="AR216" s="1616"/>
      <c r="AS216" s="1616"/>
      <c r="AT216" s="1616"/>
      <c r="AU216" s="1616"/>
      <c r="AV216" s="1616"/>
      <c r="AW216" s="1616"/>
      <c r="AX216" s="1616"/>
      <c r="AY216" s="1616"/>
      <c r="AZ216" s="1616"/>
      <c r="BA216" s="1616"/>
    </row>
    <row r="217" spans="28:53" ht="16.600000000000001" customHeight="1" x14ac:dyDescent="0.25">
      <c r="AB217" s="1616"/>
      <c r="AC217" s="1616"/>
      <c r="AD217" s="1616"/>
      <c r="AE217" s="1616"/>
      <c r="AF217" s="1616"/>
      <c r="AG217" s="1616"/>
      <c r="AH217" s="1616"/>
      <c r="AI217" s="1616"/>
      <c r="AJ217" s="1616"/>
      <c r="AK217" s="1616"/>
      <c r="AL217" s="1616"/>
      <c r="AM217" s="1616"/>
      <c r="AN217" s="1616"/>
      <c r="AO217" s="1616"/>
      <c r="AP217" s="1616"/>
      <c r="AQ217" s="1616"/>
      <c r="AR217" s="1616"/>
      <c r="AS217" s="1616"/>
      <c r="AT217" s="1616"/>
      <c r="AU217" s="1616"/>
      <c r="AV217" s="1616"/>
      <c r="AW217" s="1616"/>
      <c r="AX217" s="1616"/>
      <c r="AY217" s="1616"/>
      <c r="AZ217" s="1616"/>
      <c r="BA217" s="1616"/>
    </row>
    <row r="218" spans="28:53" ht="16.600000000000001" customHeight="1" x14ac:dyDescent="0.25">
      <c r="AB218" s="1616"/>
      <c r="AC218" s="1616"/>
      <c r="AD218" s="1616"/>
      <c r="AE218" s="1616"/>
      <c r="AF218" s="1616"/>
      <c r="AG218" s="1616"/>
      <c r="AH218" s="1616"/>
      <c r="AI218" s="1616"/>
      <c r="AJ218" s="1616"/>
      <c r="AK218" s="1616"/>
      <c r="AL218" s="1616"/>
      <c r="AM218" s="1616"/>
      <c r="AN218" s="1616"/>
      <c r="AO218" s="1616"/>
      <c r="AP218" s="1616"/>
      <c r="AQ218" s="1616"/>
      <c r="AR218" s="1616"/>
      <c r="AS218" s="1616"/>
      <c r="AT218" s="1616"/>
      <c r="AU218" s="1616"/>
      <c r="AV218" s="1616"/>
      <c r="AW218" s="1616"/>
      <c r="AX218" s="1616"/>
      <c r="AY218" s="1616"/>
      <c r="AZ218" s="1616"/>
      <c r="BA218" s="1616"/>
    </row>
    <row r="219" spans="28:53" ht="16.600000000000001" customHeight="1" x14ac:dyDescent="0.25">
      <c r="AB219" s="1616"/>
      <c r="AC219" s="1616"/>
      <c r="AD219" s="1616"/>
      <c r="AE219" s="1616"/>
      <c r="AF219" s="1616"/>
      <c r="AG219" s="1616"/>
      <c r="AH219" s="1616"/>
      <c r="AI219" s="1616"/>
      <c r="AJ219" s="1616"/>
      <c r="AK219" s="1616"/>
      <c r="AL219" s="1616"/>
      <c r="AM219" s="1616"/>
      <c r="AN219" s="1616"/>
      <c r="AO219" s="1616"/>
      <c r="AP219" s="1616"/>
      <c r="AQ219" s="1616"/>
      <c r="AR219" s="1616"/>
      <c r="AS219" s="1616"/>
      <c r="AT219" s="1616"/>
      <c r="AU219" s="1616"/>
      <c r="AV219" s="1616"/>
      <c r="AW219" s="1616"/>
      <c r="AX219" s="1616"/>
      <c r="AY219" s="1616"/>
      <c r="AZ219" s="1616"/>
      <c r="BA219" s="1616"/>
    </row>
    <row r="220" spans="28:53" ht="16.600000000000001" customHeight="1" x14ac:dyDescent="0.25">
      <c r="AB220" s="1616"/>
      <c r="AC220" s="1616"/>
      <c r="AD220" s="1616"/>
      <c r="AE220" s="1616"/>
      <c r="AF220" s="1616"/>
      <c r="AG220" s="1616"/>
      <c r="AH220" s="1616"/>
      <c r="AI220" s="1616"/>
      <c r="AJ220" s="1616"/>
      <c r="AK220" s="1616"/>
      <c r="AL220" s="1616"/>
      <c r="AM220" s="1616"/>
      <c r="AN220" s="1616"/>
      <c r="AO220" s="1616"/>
      <c r="AP220" s="1616"/>
      <c r="AQ220" s="1616"/>
      <c r="AR220" s="1616"/>
      <c r="AS220" s="1616"/>
      <c r="AT220" s="1616"/>
      <c r="AU220" s="1616"/>
      <c r="AV220" s="1616"/>
      <c r="AW220" s="1616"/>
      <c r="AX220" s="1616"/>
      <c r="AY220" s="1616"/>
      <c r="AZ220" s="1616"/>
      <c r="BA220" s="1616"/>
    </row>
    <row r="221" spans="28:53" ht="16.600000000000001" customHeight="1" x14ac:dyDescent="0.25">
      <c r="AB221" s="1616"/>
      <c r="AC221" s="1616"/>
      <c r="AD221" s="1616"/>
      <c r="AE221" s="1616"/>
      <c r="AF221" s="1616"/>
      <c r="AG221" s="1616"/>
      <c r="AH221" s="1616"/>
      <c r="AI221" s="1616"/>
      <c r="AJ221" s="1616"/>
      <c r="AK221" s="1616"/>
      <c r="AL221" s="1616"/>
      <c r="AM221" s="1616"/>
      <c r="AN221" s="1616"/>
      <c r="AO221" s="1616"/>
      <c r="AP221" s="1616"/>
      <c r="AQ221" s="1616"/>
      <c r="AR221" s="1616"/>
      <c r="AS221" s="1616"/>
      <c r="AT221" s="1616"/>
      <c r="AU221" s="1616"/>
      <c r="AV221" s="1616"/>
      <c r="AW221" s="1616"/>
      <c r="AX221" s="1616"/>
      <c r="AY221" s="1616"/>
      <c r="AZ221" s="1616"/>
      <c r="BA221" s="1616"/>
    </row>
    <row r="222" spans="28:53" ht="16.600000000000001" customHeight="1" x14ac:dyDescent="0.25">
      <c r="AB222" s="1616"/>
      <c r="AC222" s="1616"/>
      <c r="AD222" s="1616"/>
      <c r="AE222" s="1616"/>
      <c r="AF222" s="1616"/>
      <c r="AG222" s="1616"/>
      <c r="AH222" s="1616"/>
      <c r="AI222" s="1616"/>
      <c r="AJ222" s="1616"/>
      <c r="AK222" s="1616"/>
      <c r="AL222" s="1616"/>
      <c r="AM222" s="1616"/>
      <c r="AN222" s="1616"/>
      <c r="AO222" s="1616"/>
      <c r="AP222" s="1616"/>
      <c r="AQ222" s="1616"/>
      <c r="AR222" s="1616"/>
      <c r="AS222" s="1616"/>
      <c r="AT222" s="1616"/>
      <c r="AU222" s="1616"/>
      <c r="AV222" s="1616"/>
      <c r="AW222" s="1616"/>
      <c r="AX222" s="1616"/>
      <c r="AY222" s="1616"/>
      <c r="AZ222" s="1616"/>
      <c r="BA222" s="1616"/>
    </row>
    <row r="223" spans="28:53" ht="16.600000000000001" customHeight="1" x14ac:dyDescent="0.25">
      <c r="AB223" s="1616"/>
      <c r="AC223" s="1616"/>
      <c r="AD223" s="1616"/>
      <c r="AE223" s="1616"/>
      <c r="AF223" s="1616"/>
      <c r="AG223" s="1616"/>
      <c r="AH223" s="1616"/>
      <c r="AI223" s="1616"/>
      <c r="AJ223" s="1616"/>
      <c r="AK223" s="1616"/>
      <c r="AL223" s="1616"/>
      <c r="AM223" s="1616"/>
      <c r="AN223" s="1616"/>
      <c r="AO223" s="1616"/>
      <c r="AP223" s="1616"/>
      <c r="AQ223" s="1616"/>
      <c r="AR223" s="1616"/>
      <c r="AS223" s="1616"/>
      <c r="AT223" s="1616"/>
      <c r="AU223" s="1616"/>
      <c r="AV223" s="1616"/>
      <c r="AW223" s="1616"/>
      <c r="AX223" s="1616"/>
      <c r="AY223" s="1616"/>
      <c r="AZ223" s="1616"/>
      <c r="BA223" s="1616"/>
    </row>
    <row r="224" spans="28:53" ht="16.600000000000001" customHeight="1" x14ac:dyDescent="0.25">
      <c r="AB224" s="1616"/>
      <c r="AC224" s="1616"/>
      <c r="AD224" s="1616"/>
      <c r="AE224" s="1616"/>
      <c r="AF224" s="1616"/>
      <c r="AG224" s="1616"/>
      <c r="AH224" s="1616"/>
      <c r="AI224" s="1616"/>
      <c r="AJ224" s="1616"/>
      <c r="AK224" s="1616"/>
      <c r="AL224" s="1616"/>
      <c r="AM224" s="1616"/>
      <c r="AN224" s="1616"/>
      <c r="AO224" s="1616"/>
      <c r="AP224" s="1616"/>
      <c r="AQ224" s="1616"/>
      <c r="AR224" s="1616"/>
      <c r="AS224" s="1616"/>
      <c r="AT224" s="1616"/>
      <c r="AU224" s="1616"/>
      <c r="AV224" s="1616"/>
      <c r="AW224" s="1616"/>
      <c r="AX224" s="1616"/>
      <c r="AY224" s="1616"/>
      <c r="AZ224" s="1616"/>
      <c r="BA224" s="1616"/>
    </row>
    <row r="225" spans="28:53" ht="16.600000000000001" customHeight="1" x14ac:dyDescent="0.25">
      <c r="AB225" s="1616"/>
      <c r="AC225" s="1616"/>
      <c r="AD225" s="1616"/>
      <c r="AE225" s="1616"/>
      <c r="AF225" s="1616"/>
      <c r="AG225" s="1616"/>
      <c r="AH225" s="1616"/>
      <c r="AI225" s="1616"/>
      <c r="AJ225" s="1616"/>
      <c r="AK225" s="1616"/>
      <c r="AL225" s="1616"/>
      <c r="AM225" s="1616"/>
      <c r="AN225" s="1616"/>
      <c r="AO225" s="1616"/>
      <c r="AP225" s="1616"/>
      <c r="AQ225" s="1616"/>
      <c r="AR225" s="1616"/>
      <c r="AS225" s="1616"/>
      <c r="AT225" s="1616"/>
      <c r="AU225" s="1616"/>
      <c r="AV225" s="1616"/>
      <c r="AW225" s="1616"/>
      <c r="AX225" s="1616"/>
      <c r="AY225" s="1616"/>
      <c r="AZ225" s="1616"/>
      <c r="BA225" s="1616"/>
    </row>
    <row r="226" spans="28:53" ht="16.600000000000001" customHeight="1" x14ac:dyDescent="0.25">
      <c r="AB226" s="1616"/>
      <c r="AC226" s="1616"/>
      <c r="AD226" s="1616"/>
      <c r="AE226" s="1616"/>
      <c r="AF226" s="1616"/>
      <c r="AG226" s="1616"/>
      <c r="AH226" s="1616"/>
      <c r="AI226" s="1616"/>
      <c r="AJ226" s="1616"/>
      <c r="AK226" s="1616"/>
      <c r="AL226" s="1616"/>
      <c r="AM226" s="1616"/>
      <c r="AN226" s="1616"/>
      <c r="AO226" s="1616"/>
      <c r="AP226" s="1616"/>
      <c r="AQ226" s="1616"/>
      <c r="AR226" s="1616"/>
      <c r="AS226" s="1616"/>
      <c r="AT226" s="1616"/>
      <c r="AU226" s="1616"/>
      <c r="AV226" s="1616"/>
      <c r="AW226" s="1616"/>
      <c r="AX226" s="1616"/>
      <c r="AY226" s="1616"/>
      <c r="AZ226" s="1616"/>
      <c r="BA226" s="1616"/>
    </row>
    <row r="227" spans="28:53" ht="16.600000000000001" customHeight="1" x14ac:dyDescent="0.25">
      <c r="AB227" s="1616"/>
      <c r="AC227" s="1616"/>
      <c r="AD227" s="1616"/>
      <c r="AE227" s="1616"/>
      <c r="AF227" s="1616"/>
      <c r="AG227" s="1616"/>
      <c r="AH227" s="1616"/>
      <c r="AI227" s="1616"/>
      <c r="AJ227" s="1616"/>
      <c r="AK227" s="1616"/>
      <c r="AL227" s="1616"/>
      <c r="AM227" s="1616"/>
      <c r="AN227" s="1616"/>
      <c r="AO227" s="1616"/>
      <c r="AP227" s="1616"/>
      <c r="AQ227" s="1616"/>
      <c r="AR227" s="1616"/>
      <c r="AS227" s="1616"/>
      <c r="AT227" s="1616"/>
      <c r="AU227" s="1616"/>
      <c r="AV227" s="1616"/>
      <c r="AW227" s="1616"/>
      <c r="AX227" s="1616"/>
      <c r="AY227" s="1616"/>
      <c r="AZ227" s="1616"/>
      <c r="BA227" s="1616"/>
    </row>
    <row r="228" spans="28:53" ht="16.600000000000001" customHeight="1" x14ac:dyDescent="0.25">
      <c r="AB228" s="1616"/>
      <c r="AC228" s="1616"/>
      <c r="AD228" s="1616"/>
      <c r="AE228" s="1616"/>
      <c r="AF228" s="1616"/>
      <c r="AG228" s="1616"/>
      <c r="AH228" s="1616"/>
      <c r="AI228" s="1616"/>
      <c r="AJ228" s="1616"/>
      <c r="AK228" s="1616"/>
      <c r="AL228" s="1616"/>
      <c r="AM228" s="1616"/>
      <c r="AN228" s="1616"/>
      <c r="AO228" s="1616"/>
      <c r="AP228" s="1616"/>
      <c r="AQ228" s="1616"/>
      <c r="AR228" s="1616"/>
      <c r="AS228" s="1616"/>
      <c r="AT228" s="1616"/>
      <c r="AU228" s="1616"/>
      <c r="AV228" s="1616"/>
      <c r="AW228" s="1616"/>
      <c r="AX228" s="1616"/>
      <c r="AY228" s="1616"/>
      <c r="AZ228" s="1616"/>
      <c r="BA228" s="1616"/>
    </row>
    <row r="229" spans="28:53" ht="16.600000000000001" customHeight="1" x14ac:dyDescent="0.25">
      <c r="AB229" s="1616"/>
      <c r="AC229" s="1616"/>
      <c r="AD229" s="1616"/>
      <c r="AE229" s="1616"/>
      <c r="AF229" s="1616"/>
      <c r="AG229" s="1616"/>
      <c r="AH229" s="1616"/>
      <c r="AI229" s="1616"/>
      <c r="AJ229" s="1616"/>
      <c r="AK229" s="1616"/>
      <c r="AL229" s="1616"/>
      <c r="AM229" s="1616"/>
      <c r="AN229" s="1616"/>
      <c r="AO229" s="1616"/>
      <c r="AP229" s="1616"/>
      <c r="AQ229" s="1616"/>
      <c r="AR229" s="1616"/>
      <c r="AS229" s="1616"/>
      <c r="AT229" s="1616"/>
      <c r="AU229" s="1616"/>
      <c r="AV229" s="1616"/>
      <c r="AW229" s="1616"/>
      <c r="AX229" s="1616"/>
      <c r="AY229" s="1616"/>
      <c r="AZ229" s="1616"/>
      <c r="BA229" s="1616"/>
    </row>
    <row r="230" spans="28:53" ht="16.600000000000001" customHeight="1" x14ac:dyDescent="0.25">
      <c r="AB230" s="1616"/>
      <c r="AC230" s="1616"/>
      <c r="AD230" s="1616"/>
      <c r="AE230" s="1616"/>
      <c r="AF230" s="1616"/>
      <c r="AG230" s="1616"/>
      <c r="AH230" s="1616"/>
      <c r="AI230" s="1616"/>
      <c r="AJ230" s="1616"/>
      <c r="AK230" s="1616"/>
      <c r="AL230" s="1616"/>
      <c r="AM230" s="1616"/>
      <c r="AN230" s="1616"/>
      <c r="AO230" s="1616"/>
      <c r="AP230" s="1616"/>
      <c r="AQ230" s="1616"/>
      <c r="AR230" s="1616"/>
      <c r="AS230" s="1616"/>
      <c r="AT230" s="1616"/>
      <c r="AU230" s="1616"/>
      <c r="AV230" s="1616"/>
      <c r="AW230" s="1616"/>
      <c r="AX230" s="1616"/>
      <c r="AY230" s="1616"/>
      <c r="AZ230" s="1616"/>
      <c r="BA230" s="1616"/>
    </row>
    <row r="231" spans="28:53" ht="16.600000000000001" customHeight="1" x14ac:dyDescent="0.25">
      <c r="AB231" s="1616"/>
      <c r="AC231" s="1616"/>
      <c r="AD231" s="1616"/>
      <c r="AE231" s="1616"/>
      <c r="AF231" s="1616"/>
      <c r="AG231" s="1616"/>
      <c r="AH231" s="1616"/>
      <c r="AI231" s="1616"/>
      <c r="AJ231" s="1616"/>
      <c r="AK231" s="1616"/>
      <c r="AL231" s="1616"/>
      <c r="AM231" s="1616"/>
      <c r="AN231" s="1616"/>
      <c r="AO231" s="1616"/>
      <c r="AP231" s="1616"/>
      <c r="AQ231" s="1616"/>
      <c r="AR231" s="1616"/>
      <c r="AS231" s="1616"/>
      <c r="AT231" s="1616"/>
      <c r="AU231" s="1616"/>
      <c r="AV231" s="1616"/>
      <c r="AW231" s="1616"/>
      <c r="AX231" s="1616"/>
      <c r="AY231" s="1616"/>
      <c r="AZ231" s="1616"/>
      <c r="BA231" s="1616"/>
    </row>
    <row r="232" spans="28:53" ht="16.600000000000001" customHeight="1" x14ac:dyDescent="0.25">
      <c r="AB232" s="1616"/>
      <c r="AC232" s="1616"/>
      <c r="AD232" s="1616"/>
      <c r="AE232" s="1616"/>
      <c r="AF232" s="1616"/>
      <c r="AG232" s="1616"/>
      <c r="AH232" s="1616"/>
      <c r="AI232" s="1616"/>
      <c r="AJ232" s="1616"/>
      <c r="AK232" s="1616"/>
      <c r="AL232" s="1616"/>
      <c r="AM232" s="1616"/>
      <c r="AN232" s="1616"/>
      <c r="AO232" s="1616"/>
      <c r="AP232" s="1616"/>
      <c r="AQ232" s="1616"/>
      <c r="AR232" s="1616"/>
      <c r="AS232" s="1616"/>
      <c r="AT232" s="1616"/>
      <c r="AU232" s="1616"/>
      <c r="AV232" s="1616"/>
      <c r="AW232" s="1616"/>
      <c r="AX232" s="1616"/>
      <c r="AY232" s="1616"/>
      <c r="AZ232" s="1616"/>
      <c r="BA232" s="1616"/>
    </row>
    <row r="233" spans="28:53" ht="16.600000000000001" customHeight="1" x14ac:dyDescent="0.25">
      <c r="AB233" s="1616"/>
      <c r="AC233" s="1616"/>
      <c r="AD233" s="1616"/>
      <c r="AE233" s="1616"/>
      <c r="AF233" s="1616"/>
      <c r="AG233" s="1616"/>
      <c r="AH233" s="1616"/>
      <c r="AI233" s="1616"/>
      <c r="AJ233" s="1616"/>
      <c r="AK233" s="1616"/>
      <c r="AL233" s="1616"/>
      <c r="AM233" s="1616"/>
      <c r="AN233" s="1616"/>
      <c r="AO233" s="1616"/>
      <c r="AP233" s="1616"/>
      <c r="AQ233" s="1616"/>
      <c r="AR233" s="1616"/>
      <c r="AS233" s="1616"/>
      <c r="AT233" s="1616"/>
      <c r="AU233" s="1616"/>
      <c r="AV233" s="1616"/>
      <c r="AW233" s="1616"/>
      <c r="AX233" s="1616"/>
      <c r="AY233" s="1616"/>
      <c r="AZ233" s="1616"/>
      <c r="BA233" s="1616"/>
    </row>
    <row r="234" spans="28:53" ht="16.600000000000001" customHeight="1" x14ac:dyDescent="0.25">
      <c r="AB234" s="1616"/>
      <c r="AC234" s="1616"/>
      <c r="AD234" s="1616"/>
      <c r="AE234" s="1616"/>
      <c r="AF234" s="1616"/>
      <c r="AG234" s="1616"/>
      <c r="AH234" s="1616"/>
      <c r="AI234" s="1616"/>
      <c r="AJ234" s="1616"/>
      <c r="AK234" s="1616"/>
      <c r="AL234" s="1616"/>
      <c r="AM234" s="1616"/>
      <c r="AN234" s="1616"/>
      <c r="AO234" s="1616"/>
      <c r="AP234" s="1616"/>
      <c r="AQ234" s="1616"/>
      <c r="AR234" s="1616"/>
      <c r="AS234" s="1616"/>
      <c r="AT234" s="1616"/>
      <c r="AU234" s="1616"/>
      <c r="AV234" s="1616"/>
      <c r="AW234" s="1616"/>
      <c r="AX234" s="1616"/>
      <c r="AY234" s="1616"/>
      <c r="AZ234" s="1616"/>
      <c r="BA234" s="1616"/>
    </row>
    <row r="235" spans="28:53" ht="16.600000000000001" customHeight="1" x14ac:dyDescent="0.25">
      <c r="AB235" s="1616"/>
      <c r="AC235" s="1616"/>
      <c r="AD235" s="1616"/>
      <c r="AE235" s="1616"/>
      <c r="AF235" s="1616"/>
      <c r="AG235" s="1616"/>
      <c r="AH235" s="1616"/>
      <c r="AI235" s="1616"/>
      <c r="AJ235" s="1616"/>
      <c r="AK235" s="1616"/>
      <c r="AL235" s="1616"/>
      <c r="AM235" s="1616"/>
      <c r="AN235" s="1616"/>
      <c r="AO235" s="1616"/>
      <c r="AP235" s="1616"/>
      <c r="AQ235" s="1616"/>
      <c r="AR235" s="1616"/>
      <c r="AS235" s="1616"/>
      <c r="AT235" s="1616"/>
      <c r="AU235" s="1616"/>
      <c r="AV235" s="1616"/>
      <c r="AW235" s="1616"/>
      <c r="AX235" s="1616"/>
      <c r="AY235" s="1616"/>
      <c r="AZ235" s="1616"/>
      <c r="BA235" s="1616"/>
    </row>
    <row r="236" spans="28:53" ht="16.600000000000001" customHeight="1" x14ac:dyDescent="0.25">
      <c r="AB236" s="1616"/>
      <c r="AC236" s="1616"/>
      <c r="AD236" s="1616"/>
      <c r="AE236" s="1616"/>
      <c r="AF236" s="1616"/>
      <c r="AG236" s="1616"/>
      <c r="AH236" s="1616"/>
      <c r="AI236" s="1616"/>
      <c r="AJ236" s="1616"/>
      <c r="AK236" s="1616"/>
      <c r="AL236" s="1616"/>
      <c r="AM236" s="1616"/>
      <c r="AN236" s="1616"/>
      <c r="AO236" s="1616"/>
      <c r="AP236" s="1616"/>
      <c r="AQ236" s="1616"/>
      <c r="AR236" s="1616"/>
      <c r="AS236" s="1616"/>
      <c r="AT236" s="1616"/>
      <c r="AU236" s="1616"/>
      <c r="AV236" s="1616"/>
      <c r="AW236" s="1616"/>
      <c r="AX236" s="1616"/>
      <c r="AY236" s="1616"/>
      <c r="AZ236" s="1616"/>
      <c r="BA236" s="1616"/>
    </row>
    <row r="237" spans="28:53" ht="16.600000000000001" customHeight="1" x14ac:dyDescent="0.25">
      <c r="AB237" s="1616"/>
      <c r="AC237" s="1616"/>
      <c r="AD237" s="1616"/>
      <c r="AE237" s="1616"/>
      <c r="AF237" s="1616"/>
      <c r="AG237" s="1616"/>
      <c r="AH237" s="1616"/>
      <c r="AI237" s="1616"/>
      <c r="AJ237" s="1616"/>
      <c r="AK237" s="1616"/>
      <c r="AL237" s="1616"/>
      <c r="AM237" s="1616"/>
      <c r="AN237" s="1616"/>
      <c r="AO237" s="1616"/>
      <c r="AP237" s="1616"/>
      <c r="AQ237" s="1616"/>
      <c r="AR237" s="1616"/>
      <c r="AS237" s="1616"/>
      <c r="AT237" s="1616"/>
      <c r="AU237" s="1616"/>
      <c r="AV237" s="1616"/>
      <c r="AW237" s="1616"/>
      <c r="AX237" s="1616"/>
      <c r="AY237" s="1616"/>
      <c r="AZ237" s="1616"/>
      <c r="BA237" s="1616"/>
    </row>
  </sheetData>
  <sheetProtection password="838D" sheet="1" objects="1" scenarios="1"/>
  <customSheetViews>
    <customSheetView guid="{BD1481C3-A8C6-46E4-9B09-3BB5EA0E455E}" scale="75" fitToPage="1" showRuler="0">
      <selection activeCell="C14" sqref="C14"/>
      <pageMargins left="0.7" right="0.7" top="0.75" bottom="0.75" header="0.3" footer="0.3"/>
      <printOptions headings="1" gridLines="1"/>
      <pageSetup scale="45" orientation="portrait" horizontalDpi="1200" verticalDpi="1200"/>
      <headerFooter>
        <oddHeader>&amp;L&amp;A</oddHeader>
      </headerFooter>
    </customSheetView>
  </customSheetViews>
  <mergeCells count="5">
    <mergeCell ref="B27:D27"/>
    <mergeCell ref="C2:E3"/>
    <mergeCell ref="C29:G29"/>
    <mergeCell ref="B7:C10"/>
    <mergeCell ref="C4:C6"/>
  </mergeCells>
  <phoneticPr fontId="0" type="noConversion"/>
  <dataValidations xWindow="712" yWindow="365" count="15">
    <dataValidation allowBlank="1" showErrorMessage="1" sqref="F11" xr:uid="{00000000-0002-0000-0500-000000000000}"/>
    <dataValidation allowBlank="1" showErrorMessage="1" promptTitle="Coke generators" prompt="Input amount of electricity produced from coke generators used in factory" sqref="E11" xr:uid="{00000000-0002-0000-0500-000001000000}"/>
    <dataValidation type="decimal" allowBlank="1" showInputMessage="1" showErrorMessage="1" errorTitle="Error: Incorrect Entry" error="Enter number without any spaces or units.  Figures with decimals will automatically be rounded to the two decimal places." sqref="E7:E10" xr:uid="{00000000-0002-0000-0500-000002000000}">
      <formula1>0</formula1>
      <formula2>1E+29</formula2>
    </dataValidation>
    <dataValidation allowBlank="1" showInputMessage="1" showErrorMessage="1" promptTitle="Factory Data" prompt="Complete this form if you wish to include your factory in this audit." sqref="C2 F2:G2" xr:uid="{00000000-0002-0000-0500-000003000000}"/>
    <dataValidation showInputMessage="1" showErrorMessage="1" promptTitle="Select the fuel use input units from the drop down menu" sqref="G24" xr:uid="{00000000-0002-0000-0500-000004000000}"/>
    <dataValidation allowBlank="1" showInputMessage="1" showErrorMessage="1" prompt="This value is assumed from to be that of the national grid mix (from country specified on Field Management page)." sqref="W7" xr:uid="{00000000-0002-0000-0500-000005000000}"/>
    <dataValidation type="list" allowBlank="1" showInputMessage="1" showErrorMessage="1" sqref="E32" xr:uid="{00000000-0002-0000-0500-000006000000}">
      <formula1>"Diesel, Petrol"</formula1>
    </dataValidation>
    <dataValidation allowBlank="1" showInputMessage="1" errorTitle="Error: Incorrect Entry" error="Enter whole number without any spaces or units.  Figures with decimals should be rounded to the nearest whole number." sqref="E14:E23" xr:uid="{00000000-0002-0000-0500-000007000000}"/>
    <dataValidation type="list" allowBlank="1" showErrorMessage="1" sqref="F7:F10" xr:uid="{00000000-0002-0000-0500-000008000000}">
      <formula1>$O$112:$O$114</formula1>
    </dataValidation>
    <dataValidation type="list" showInputMessage="1" showErrorMessage="1" promptTitle="Select the fuel use input units from the drop down menu" sqref="F24" xr:uid="{00000000-0002-0000-0500-000009000000}">
      <formula1>$AL$50:$AL$53</formula1>
    </dataValidation>
    <dataValidation type="list" allowBlank="1" showInputMessage="1" showErrorMessage="1" sqref="F95" xr:uid="{00000000-0002-0000-0500-00000A000000}">
      <formula1>$N$96:$N$99</formula1>
    </dataValidation>
    <dataValidation type="list" allowBlank="1" sqref="F18:F20" xr:uid="{00000000-0002-0000-0500-00000B000000}">
      <formula1>$O$127:$O$131</formula1>
    </dataValidation>
    <dataValidation type="list" allowBlank="1" sqref="F21" xr:uid="{00000000-0002-0000-0500-00000C000000}">
      <formula1>$O$112:$O$118</formula1>
    </dataValidation>
    <dataValidation type="list" allowBlank="1" showInputMessage="1" errorTitle="Error: Incorrect Entry" error="Enter whole number without any spaces or units.  Figures with decimals should be rounded to the nearest whole number." sqref="F22:F23" xr:uid="{00000000-0002-0000-0500-00000D000000}">
      <formula1>$O$147:$O$150</formula1>
    </dataValidation>
    <dataValidation type="list" allowBlank="1" showInputMessage="1" showErrorMessage="1" sqref="F14:F17" xr:uid="{00000000-0002-0000-0500-00000E000000}">
      <formula1>$O$147:$O$150</formula1>
    </dataValidation>
  </dataValidations>
  <printOptions headings="1" gridLines="1"/>
  <pageMargins left="0.75" right="0.75" top="1" bottom="1" header="0.5" footer="0.5"/>
  <pageSetup scale="45" orientation="portrait" horizontalDpi="1200" verticalDpi="1200"/>
  <headerFooter>
    <oddHeader>&amp;L&amp;A</oddHead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M152"/>
  <sheetViews>
    <sheetView workbookViewId="0">
      <pane ySplit="1" topLeftCell="A8" activePane="bottomLeft" state="frozen"/>
      <selection activeCell="E31" sqref="E31"/>
      <selection pane="bottomLeft"/>
    </sheetView>
  </sheetViews>
  <sheetFormatPr defaultColWidth="8.77734375" defaultRowHeight="17.3" customHeight="1" x14ac:dyDescent="0.25"/>
  <cols>
    <col min="1" max="1" width="5.6640625" customWidth="1" collapsed="1"/>
    <col min="2" max="2" width="1.44140625" customWidth="1" collapsed="1"/>
    <col min="3" max="3" width="12.6640625" customWidth="1" collapsed="1"/>
    <col min="4" max="4" width="1.44140625" customWidth="1" collapsed="1"/>
    <col min="5" max="5" width="21.44140625" customWidth="1" collapsed="1"/>
    <col min="6" max="8" width="21.33203125" customWidth="1" collapsed="1"/>
    <col min="9" max="9" width="36.33203125" customWidth="1" collapsed="1"/>
    <col min="10" max="11" width="36.44140625" customWidth="1" collapsed="1"/>
    <col min="12" max="12" width="16.77734375" customWidth="1" collapsed="1"/>
    <col min="13" max="13" width="23.44140625" customWidth="1" collapsed="1"/>
    <col min="14" max="14" width="16.44140625" customWidth="1" collapsed="1"/>
    <col min="15" max="15" width="32" customWidth="1" collapsed="1"/>
    <col min="16" max="16" width="16.44140625" customWidth="1" collapsed="1"/>
    <col min="17" max="17" width="19.44140625" customWidth="1" collapsed="1"/>
    <col min="18" max="18" width="12.77734375" customWidth="1" collapsed="1"/>
    <col min="19" max="19" width="22" customWidth="1" collapsed="1"/>
    <col min="20" max="20" width="17.44140625" customWidth="1" collapsed="1"/>
    <col min="21" max="23" width="12.77734375" customWidth="1" collapsed="1"/>
    <col min="24" max="24" width="31.6640625" customWidth="1" collapsed="1"/>
    <col min="25" max="25" width="24.44140625" customWidth="1" collapsed="1"/>
    <col min="26" max="26" width="22.44140625" customWidth="1" collapsed="1"/>
    <col min="27" max="27" width="16" customWidth="1" collapsed="1"/>
    <col min="30" max="30" width="50.21875" customWidth="1" collapsed="1"/>
    <col min="31" max="31" width="13.6640625" customWidth="1" collapsed="1"/>
    <col min="32" max="32" width="10.21875" bestFit="1" customWidth="1" collapsed="1"/>
  </cols>
  <sheetData>
    <row r="1" spans="1:28" ht="97.5" customHeight="1" x14ac:dyDescent="0.25">
      <c r="A1" s="436"/>
      <c r="B1" s="436"/>
      <c r="C1" s="436"/>
      <c r="D1" s="436"/>
      <c r="E1" s="516"/>
      <c r="F1" s="171"/>
      <c r="G1" s="436"/>
      <c r="H1" s="436"/>
      <c r="I1" s="436"/>
      <c r="J1" s="436"/>
      <c r="K1" s="436"/>
      <c r="L1" s="517"/>
      <c r="M1" s="436"/>
      <c r="N1" s="434"/>
      <c r="O1" s="434"/>
      <c r="P1" s="434"/>
      <c r="Q1" s="434"/>
      <c r="R1" s="434"/>
      <c r="S1" s="434"/>
      <c r="T1" s="434"/>
      <c r="U1" s="434"/>
      <c r="V1" s="434"/>
      <c r="W1" s="434"/>
      <c r="X1" s="434"/>
      <c r="Y1" s="434"/>
      <c r="Z1" s="1991"/>
      <c r="AA1" s="1991"/>
      <c r="AB1" s="1991"/>
    </row>
    <row r="2" spans="1:28" ht="18" customHeight="1" x14ac:dyDescent="0.25">
      <c r="A2" s="436"/>
      <c r="B2" s="479"/>
      <c r="C2" s="2263"/>
      <c r="D2" s="2263"/>
      <c r="E2" s="2263"/>
      <c r="F2" s="2263"/>
      <c r="G2" s="1041"/>
      <c r="H2" s="1041"/>
      <c r="I2" s="479"/>
      <c r="J2" s="436"/>
      <c r="K2" s="436"/>
      <c r="L2" s="436"/>
      <c r="M2" s="436"/>
      <c r="N2" s="436"/>
      <c r="O2" s="436"/>
      <c r="P2" s="436"/>
      <c r="Q2" s="147"/>
      <c r="R2" s="147"/>
      <c r="S2" s="147"/>
      <c r="T2" s="147"/>
      <c r="U2" s="147"/>
      <c r="V2" s="436"/>
      <c r="W2" s="147"/>
      <c r="X2" s="147"/>
      <c r="Y2" s="437"/>
      <c r="Z2" s="1991"/>
      <c r="AA2" s="1991"/>
      <c r="AB2" s="1991"/>
    </row>
    <row r="3" spans="1:28" ht="9.1" customHeight="1" thickBot="1" x14ac:dyDescent="0.3">
      <c r="A3" s="436"/>
      <c r="B3" s="857"/>
      <c r="C3" s="2275"/>
      <c r="D3" s="2275"/>
      <c r="E3" s="2275"/>
      <c r="F3" s="2275"/>
      <c r="G3" s="857"/>
      <c r="H3" s="857"/>
      <c r="I3" s="857"/>
      <c r="J3" s="436"/>
      <c r="K3" s="436"/>
      <c r="L3" s="436"/>
      <c r="M3" s="436"/>
      <c r="N3" s="436"/>
      <c r="O3" s="436"/>
      <c r="P3" s="436"/>
      <c r="Q3" s="436"/>
      <c r="R3" s="436"/>
      <c r="S3" s="436"/>
      <c r="T3" s="436"/>
      <c r="U3" s="436"/>
      <c r="V3" s="436"/>
      <c r="W3" s="436"/>
      <c r="X3" s="436"/>
      <c r="Y3" s="436"/>
      <c r="Z3" s="1991"/>
      <c r="AA3" s="1991"/>
      <c r="AB3" s="1991"/>
    </row>
    <row r="4" spans="1:28" ht="15" customHeight="1" thickBot="1" x14ac:dyDescent="0.3">
      <c r="A4" s="434"/>
      <c r="B4" s="929"/>
      <c r="C4" s="930"/>
      <c r="D4" s="526"/>
      <c r="E4" s="965"/>
      <c r="F4" s="459"/>
      <c r="G4" s="460"/>
      <c r="H4" s="527"/>
      <c r="I4" s="528"/>
      <c r="J4" s="529"/>
      <c r="K4" s="530"/>
      <c r="L4" s="147"/>
      <c r="M4" s="2"/>
      <c r="N4" s="2"/>
      <c r="O4" s="2"/>
      <c r="P4" s="2"/>
      <c r="Q4" s="2"/>
      <c r="R4" s="2"/>
      <c r="S4" s="2"/>
      <c r="T4" s="2"/>
      <c r="U4" s="2"/>
      <c r="V4" s="434"/>
      <c r="W4" s="436"/>
      <c r="X4" s="436"/>
      <c r="Y4" s="439"/>
      <c r="Z4" s="448"/>
      <c r="AA4" s="1992"/>
      <c r="AB4" s="1991"/>
    </row>
    <row r="5" spans="1:28" ht="12.85" customHeight="1" x14ac:dyDescent="0.25">
      <c r="A5" s="434"/>
      <c r="B5" s="902"/>
      <c r="C5" s="931"/>
      <c r="D5" s="531"/>
      <c r="E5" s="966"/>
      <c r="F5" s="463" t="s">
        <v>652</v>
      </c>
      <c r="G5" s="533" t="s">
        <v>1945</v>
      </c>
      <c r="H5" s="534"/>
      <c r="I5" s="535"/>
      <c r="J5" s="530"/>
      <c r="K5" s="530"/>
      <c r="L5" s="147"/>
      <c r="M5" s="1840" t="s">
        <v>128</v>
      </c>
      <c r="N5" s="1841" t="s">
        <v>603</v>
      </c>
      <c r="O5" s="1867" t="s">
        <v>66</v>
      </c>
      <c r="P5" s="1841" t="s">
        <v>604</v>
      </c>
      <c r="Q5" s="1729" t="s">
        <v>131</v>
      </c>
      <c r="R5" s="2"/>
      <c r="S5" s="2"/>
      <c r="T5" s="2"/>
      <c r="U5" s="2"/>
      <c r="V5" s="434"/>
      <c r="W5" s="436"/>
      <c r="X5" s="436"/>
      <c r="Y5" s="439"/>
      <c r="Z5" s="1993"/>
      <c r="AA5" s="1992"/>
      <c r="AB5" s="1991"/>
    </row>
    <row r="6" spans="1:28" ht="28.55" customHeight="1" x14ac:dyDescent="0.25">
      <c r="A6" s="435"/>
      <c r="B6" s="1006"/>
      <c r="C6" s="2493" t="s">
        <v>791</v>
      </c>
      <c r="D6" s="1007"/>
      <c r="E6" s="245" t="s">
        <v>2044</v>
      </c>
      <c r="F6" s="1184">
        <f>IF(ISBLANK(Import!D197), "", Import!D197)</f>
        <v>0</v>
      </c>
      <c r="G6" s="1184" t="str">
        <f>IF(ISBLANK(Import!E197), "kWh", Import!E197)</f>
        <v>kWh</v>
      </c>
      <c r="H6" s="1008"/>
      <c r="I6" s="1009"/>
      <c r="J6" s="1010"/>
      <c r="K6" s="1010"/>
      <c r="L6" s="518"/>
      <c r="M6" s="1999">
        <f>SUMIF($P$79:$P$80,G6,$Q$79:$Q$80)</f>
        <v>3.6</v>
      </c>
      <c r="N6" s="1933"/>
      <c r="O6" s="2000">
        <f>F6*M6</f>
        <v>0</v>
      </c>
      <c r="P6" s="1933">
        <f>'9.DefaultFactors'!F25</f>
        <v>0.124511777</v>
      </c>
      <c r="Q6" s="2001">
        <f>P6*O6</f>
        <v>0</v>
      </c>
      <c r="R6" s="2"/>
      <c r="S6" s="2"/>
      <c r="T6" s="2"/>
      <c r="U6" s="2"/>
      <c r="V6" s="435"/>
      <c r="W6" s="2"/>
      <c r="X6" s="516"/>
      <c r="Y6" s="449"/>
      <c r="Z6" s="1994"/>
      <c r="AA6" s="1995"/>
      <c r="AB6" s="1991"/>
    </row>
    <row r="7" spans="1:28" ht="42.05" customHeight="1" x14ac:dyDescent="0.25">
      <c r="A7" s="435"/>
      <c r="B7" s="1006"/>
      <c r="C7" s="2493"/>
      <c r="D7" s="1012"/>
      <c r="E7" s="537" t="s">
        <v>231</v>
      </c>
      <c r="F7" s="1184">
        <f>IF(ISBLANK(Import!D198), "", Import!D198)</f>
        <v>0</v>
      </c>
      <c r="G7" s="1184" t="str">
        <f>IF(ISBLANK(Import!E198), "kWh", Import!E198)</f>
        <v>kWh</v>
      </c>
      <c r="H7" s="1008"/>
      <c r="I7" s="1013"/>
      <c r="J7" s="1010"/>
      <c r="K7" s="1014"/>
      <c r="L7" s="518"/>
      <c r="M7" s="1999">
        <f>SUMIF($P$79:$P$80,G7,$Q$79:$Q$80)</f>
        <v>3.6</v>
      </c>
      <c r="N7" s="1933">
        <f>O7</f>
        <v>0</v>
      </c>
      <c r="O7" s="2000">
        <f>F7*M7</f>
        <v>0</v>
      </c>
      <c r="P7" s="1933">
        <f>'9.DefaultFactors'!F26</f>
        <v>1.6666999999999999E-3</v>
      </c>
      <c r="Q7" s="2001">
        <f>P7*O7</f>
        <v>0</v>
      </c>
      <c r="R7" s="2"/>
      <c r="S7" s="2"/>
      <c r="T7" s="2"/>
      <c r="U7" s="2"/>
      <c r="V7" s="435"/>
      <c r="W7" s="2"/>
      <c r="X7" s="516"/>
      <c r="Y7" s="449"/>
      <c r="Z7" s="1996"/>
      <c r="AA7" s="1995"/>
      <c r="AB7" s="1991"/>
    </row>
    <row r="8" spans="1:28" ht="28.55" customHeight="1" x14ac:dyDescent="0.25">
      <c r="A8" s="435"/>
      <c r="B8" s="1006"/>
      <c r="C8" s="2493"/>
      <c r="D8" s="1012"/>
      <c r="E8" s="537" t="s">
        <v>232</v>
      </c>
      <c r="F8" s="1184">
        <f>IF(ISBLANK(Import!D199), "", Import!D199)</f>
        <v>0</v>
      </c>
      <c r="G8" s="1184" t="str">
        <f>IF(ISBLANK(Import!E199), "kWh", Import!E199)</f>
        <v>kWh</v>
      </c>
      <c r="H8" s="1048"/>
      <c r="I8" s="1013"/>
      <c r="J8" s="1010"/>
      <c r="K8" s="1014"/>
      <c r="L8" s="518"/>
      <c r="M8" s="1999">
        <f>SUMIF($P$79:$P$80,G8,$Q$79:$Q$80)</f>
        <v>3.6</v>
      </c>
      <c r="N8" s="1933">
        <f>O8</f>
        <v>0</v>
      </c>
      <c r="O8" s="2000">
        <f>F8*M8</f>
        <v>0</v>
      </c>
      <c r="P8" s="1933">
        <f>'9.DefaultFactors'!F27</f>
        <v>3.3333000000000002E-2</v>
      </c>
      <c r="Q8" s="2001">
        <f>P8*O8</f>
        <v>0</v>
      </c>
      <c r="R8" s="2"/>
      <c r="S8" s="2"/>
      <c r="T8" s="2"/>
      <c r="U8" s="2"/>
      <c r="V8" s="435"/>
      <c r="W8" s="2"/>
      <c r="X8" s="516"/>
      <c r="Y8" s="449"/>
      <c r="Z8" s="1996"/>
      <c r="AA8" s="1995"/>
      <c r="AB8" s="1991"/>
    </row>
    <row r="9" spans="1:28" ht="28.55" customHeight="1" thickBot="1" x14ac:dyDescent="0.3">
      <c r="A9" s="435"/>
      <c r="B9" s="1006"/>
      <c r="C9" s="2493"/>
      <c r="D9" s="1012"/>
      <c r="E9" s="537" t="s">
        <v>787</v>
      </c>
      <c r="F9" s="1184">
        <f>IF(ISBLANK(Import!D200), "", Import!D200)</f>
        <v>0</v>
      </c>
      <c r="G9" s="1184" t="str">
        <f>IF(ISBLANK(Import!E200), "kWh", Import!E200)</f>
        <v>kWh</v>
      </c>
      <c r="H9" s="1008"/>
      <c r="I9" s="1013"/>
      <c r="J9" s="1010"/>
      <c r="K9" s="1014"/>
      <c r="L9" s="518"/>
      <c r="M9" s="1936">
        <f>SUMIF($P$79:$P$80,G9,$Q$79:$Q$80)</f>
        <v>3.6</v>
      </c>
      <c r="N9" s="2002">
        <f>O9</f>
        <v>0</v>
      </c>
      <c r="O9" s="2003">
        <f>F9*M9</f>
        <v>0</v>
      </c>
      <c r="P9" s="2002">
        <f>'9.DefaultFactors'!F28</f>
        <v>1.9722199999999999E-2</v>
      </c>
      <c r="Q9" s="2004">
        <f>P9*O9</f>
        <v>0</v>
      </c>
      <c r="R9" s="2"/>
      <c r="S9" s="2"/>
      <c r="T9" s="2"/>
      <c r="U9" s="2"/>
      <c r="V9" s="435"/>
      <c r="W9" s="2"/>
      <c r="X9" s="516"/>
      <c r="Y9" s="451"/>
      <c r="Z9" s="1996"/>
      <c r="AA9" s="1995"/>
      <c r="AB9" s="1991"/>
    </row>
    <row r="10" spans="1:28" ht="9.8000000000000007" customHeight="1" x14ac:dyDescent="0.25">
      <c r="A10" s="434"/>
      <c r="B10" s="902"/>
      <c r="C10" s="932"/>
      <c r="D10" s="540"/>
      <c r="E10" s="851"/>
      <c r="F10" s="466"/>
      <c r="G10" s="467"/>
      <c r="H10" s="534"/>
      <c r="I10" s="538"/>
      <c r="J10" s="539"/>
      <c r="K10" s="539"/>
      <c r="L10" s="147"/>
      <c r="M10" s="171"/>
      <c r="N10" s="1932"/>
      <c r="O10" s="272"/>
      <c r="P10" s="171"/>
      <c r="Q10" s="1984"/>
      <c r="R10" s="2"/>
      <c r="S10" s="2"/>
      <c r="T10" s="2"/>
      <c r="U10" s="2"/>
      <c r="V10" s="434"/>
      <c r="W10" s="436"/>
      <c r="X10" s="436"/>
      <c r="Y10" s="436"/>
      <c r="Z10" s="448"/>
      <c r="AA10" s="1990"/>
      <c r="AB10" s="1991"/>
    </row>
    <row r="11" spans="1:28" ht="9.8000000000000007" customHeight="1" thickBot="1" x14ac:dyDescent="0.3">
      <c r="A11" s="434"/>
      <c r="B11" s="902"/>
      <c r="C11" s="931"/>
      <c r="D11" s="541"/>
      <c r="E11" s="961"/>
      <c r="F11" s="469"/>
      <c r="G11" s="470"/>
      <c r="H11" s="470"/>
      <c r="I11" s="535"/>
      <c r="J11" s="530"/>
      <c r="K11" s="530"/>
      <c r="L11" s="2"/>
      <c r="M11" s="1984"/>
      <c r="N11" s="272"/>
      <c r="O11" s="272"/>
      <c r="P11" s="272"/>
      <c r="Q11" s="2005"/>
      <c r="R11" s="439"/>
      <c r="S11" s="436"/>
      <c r="T11" s="436"/>
      <c r="U11" s="436"/>
      <c r="V11" s="436"/>
      <c r="W11" s="297"/>
      <c r="X11" s="436"/>
      <c r="Y11" s="441"/>
      <c r="Z11" s="448"/>
      <c r="AA11" s="1990"/>
      <c r="AB11" s="1991"/>
    </row>
    <row r="12" spans="1:28" ht="15.7" customHeight="1" x14ac:dyDescent="0.25">
      <c r="A12" s="434"/>
      <c r="B12" s="902"/>
      <c r="C12" s="933"/>
      <c r="D12" s="536"/>
      <c r="E12" s="962"/>
      <c r="F12" s="463" t="s">
        <v>652</v>
      </c>
      <c r="G12" s="533" t="s">
        <v>1945</v>
      </c>
      <c r="H12" s="534"/>
      <c r="I12" s="473"/>
      <c r="J12" s="436"/>
      <c r="K12" s="436"/>
      <c r="L12" s="2"/>
      <c r="M12" s="1937" t="s">
        <v>145</v>
      </c>
      <c r="N12" s="2006"/>
      <c r="O12" s="1938" t="s">
        <v>66</v>
      </c>
      <c r="P12" s="1728" t="s">
        <v>422</v>
      </c>
      <c r="Q12" s="1729" t="s">
        <v>131</v>
      </c>
      <c r="R12" s="2"/>
      <c r="S12" s="2"/>
      <c r="T12" s="2"/>
      <c r="U12" s="2"/>
      <c r="V12" s="436"/>
      <c r="W12" s="2"/>
      <c r="X12" s="519"/>
      <c r="Y12" s="441"/>
      <c r="Z12" s="457"/>
      <c r="AA12" s="1990"/>
      <c r="AB12" s="1991"/>
    </row>
    <row r="13" spans="1:28" ht="30.85" customHeight="1" thickBot="1" x14ac:dyDescent="0.3">
      <c r="A13" s="442"/>
      <c r="B13" s="902"/>
      <c r="C13" s="2492"/>
      <c r="D13" s="544"/>
      <c r="E13" s="245" t="s">
        <v>872</v>
      </c>
      <c r="F13" s="1193">
        <f>IF(ISBLANK(Import!D204), "", Import!D204)</f>
        <v>0</v>
      </c>
      <c r="G13" s="1193" t="str">
        <f ca="1">IF(ISBLANK(Import!E204),OFFSET('2.CropManagement'!AE$182,SUMIF('2.CropManagement'!W$183:W$184,'1.GeneralInfo'!$E$8,'2.CropManagement'!X$183:X$184),0), Import!E204)</f>
        <v>litres</v>
      </c>
      <c r="H13" s="545"/>
      <c r="I13" s="520"/>
      <c r="J13" s="474"/>
      <c r="K13" s="517"/>
      <c r="L13" s="2"/>
      <c r="M13" s="1936">
        <f ca="1">SUMIF($P$92:$P$94,G13,$Q$92:$Q$94)*F13</f>
        <v>0</v>
      </c>
      <c r="N13" s="2007"/>
      <c r="O13" s="1988">
        <f ca="1">'A1. Submodels &amp; data'!C356*M13</f>
        <v>0</v>
      </c>
      <c r="P13" s="1704">
        <f ca="1">'9.DefaultFactors'!R9</f>
        <v>2.68</v>
      </c>
      <c r="Q13" s="1941">
        <f ca="1">M13*P13</f>
        <v>0</v>
      </c>
      <c r="R13" s="2"/>
      <c r="S13" s="2"/>
      <c r="T13" s="2"/>
      <c r="U13" s="2"/>
      <c r="V13" s="434"/>
      <c r="W13" s="2"/>
      <c r="X13" s="439"/>
      <c r="Y13" s="439"/>
      <c r="Z13" s="1997"/>
      <c r="AA13" s="1990"/>
      <c r="AB13" s="1991"/>
    </row>
    <row r="14" spans="1:28" ht="10.55" customHeight="1" thickBot="1" x14ac:dyDescent="0.3">
      <c r="A14" s="434"/>
      <c r="B14" s="902"/>
      <c r="C14" s="2492"/>
      <c r="D14" s="544"/>
      <c r="E14" s="851"/>
      <c r="F14" s="546"/>
      <c r="G14" s="534"/>
      <c r="H14" s="454"/>
      <c r="I14" s="547"/>
      <c r="J14" s="548"/>
      <c r="K14" s="548"/>
      <c r="L14" s="2"/>
      <c r="M14" s="1984"/>
      <c r="N14" s="272"/>
      <c r="O14" s="272"/>
      <c r="P14" s="272"/>
      <c r="Q14" s="269"/>
      <c r="R14" s="436"/>
      <c r="S14" s="436"/>
      <c r="T14" s="436"/>
      <c r="U14" s="436"/>
      <c r="V14" s="436"/>
      <c r="W14" s="297"/>
      <c r="X14" s="436"/>
      <c r="Y14" s="439"/>
      <c r="Z14" s="457"/>
      <c r="AA14" s="1990"/>
      <c r="AB14" s="1991"/>
    </row>
    <row r="15" spans="1:28" ht="15.7" customHeight="1" thickBot="1" x14ac:dyDescent="0.3">
      <c r="A15" s="446"/>
      <c r="B15" s="902"/>
      <c r="C15" s="934"/>
      <c r="D15" s="544"/>
      <c r="E15" s="961"/>
      <c r="F15" s="463" t="s">
        <v>652</v>
      </c>
      <c r="G15" s="533" t="s">
        <v>1945</v>
      </c>
      <c r="H15" s="454"/>
      <c r="I15" s="520"/>
      <c r="J15" s="517"/>
      <c r="K15" s="517"/>
      <c r="L15" s="2"/>
      <c r="M15" s="2008" t="s">
        <v>1795</v>
      </c>
      <c r="N15" s="2009" t="s">
        <v>1796</v>
      </c>
      <c r="O15" s="2010" t="s">
        <v>66</v>
      </c>
      <c r="P15" s="2010" t="s">
        <v>176</v>
      </c>
      <c r="Q15" s="2011" t="s">
        <v>131</v>
      </c>
      <c r="R15" s="147"/>
      <c r="S15" s="436"/>
      <c r="T15" s="516"/>
      <c r="U15" s="516"/>
      <c r="V15" s="434"/>
      <c r="W15" s="2"/>
      <c r="X15" s="439"/>
      <c r="Y15" s="436"/>
      <c r="Z15" s="457"/>
      <c r="AA15" s="1990"/>
      <c r="AB15" s="1991"/>
    </row>
    <row r="16" spans="1:28" ht="15.7" customHeight="1" x14ac:dyDescent="0.25">
      <c r="A16" s="434"/>
      <c r="B16" s="902"/>
      <c r="C16" s="2491" t="s">
        <v>790</v>
      </c>
      <c r="D16" s="544"/>
      <c r="E16" s="851" t="s">
        <v>674</v>
      </c>
      <c r="F16" s="1193">
        <f>IF(ISBLANK(Import!D207), "", Import!D207)</f>
        <v>0</v>
      </c>
      <c r="G16" s="1193" t="str">
        <f ca="1">IF(ISBLANK(Import!E207), OFFSET('2.CropManagement'!$AK$182,SUMIF('2.CropManagement'!$W$183:$W$184,'1.GeneralInfo'!$E$8,'2.CropManagement'!$X$183:$X$184),0), Import!E207)</f>
        <v>kg</v>
      </c>
      <c r="H16" s="454"/>
      <c r="I16" s="473"/>
      <c r="J16" s="474"/>
      <c r="K16" s="436"/>
      <c r="L16" s="2"/>
      <c r="M16" s="2012">
        <f ca="1">SUMIF($P$96:$P$100,G16,$Q$96:$Q$100)*F16</f>
        <v>0</v>
      </c>
      <c r="N16" s="1935">
        <f>'9.DefaultFactors'!R17</f>
        <v>20.084045618247298</v>
      </c>
      <c r="O16" s="2013">
        <f t="shared" ref="O16:O22" ca="1" si="0">M16*N16</f>
        <v>0</v>
      </c>
      <c r="P16" s="2014">
        <f>'9.DefaultFactors'!F23</f>
        <v>0</v>
      </c>
      <c r="Q16" s="2015">
        <f t="shared" ref="Q16:Q22" ca="1" si="1">P16*O16</f>
        <v>0</v>
      </c>
      <c r="R16" s="2"/>
      <c r="S16" s="436"/>
      <c r="T16" s="2"/>
      <c r="U16" s="2"/>
      <c r="V16" s="434"/>
      <c r="W16" s="2"/>
      <c r="X16" s="452"/>
      <c r="Y16" s="436"/>
      <c r="Z16" s="1998"/>
      <c r="AA16" s="1990"/>
      <c r="AB16" s="1991"/>
    </row>
    <row r="17" spans="1:28" ht="15.7" customHeight="1" x14ac:dyDescent="0.25">
      <c r="A17" s="434"/>
      <c r="B17" s="902"/>
      <c r="C17" s="2492"/>
      <c r="D17" s="544"/>
      <c r="E17" s="238" t="s">
        <v>788</v>
      </c>
      <c r="F17" s="1193">
        <f>IF(ISBLANK(Import!D208), "", Import!D208)</f>
        <v>0</v>
      </c>
      <c r="G17" s="1193" t="str">
        <f ca="1">IF(ISBLANK(Import!E208), OFFSET('2.CropManagement'!$AK$182,SUMIF('2.CropManagement'!$W$183:$W$184,'1.GeneralInfo'!$E$8,'2.CropManagement'!$X$183:$X$184),0), Import!E208)</f>
        <v>kg</v>
      </c>
      <c r="H17" s="454"/>
      <c r="I17" s="473"/>
      <c r="J17" s="474"/>
      <c r="K17" s="436"/>
      <c r="L17" s="2"/>
      <c r="M17" s="2016">
        <f ca="1">SUMIF($P$96:$P$100,G17,$Q$96:$Q$100)*F17</f>
        <v>0</v>
      </c>
      <c r="N17" s="1934">
        <f>'9.DefaultFactors'!R18</f>
        <v>12.993399999999999</v>
      </c>
      <c r="O17" s="825">
        <f t="shared" ca="1" si="0"/>
        <v>0</v>
      </c>
      <c r="P17" s="1986">
        <f>'9.DefaultFactors'!F24</f>
        <v>0</v>
      </c>
      <c r="Q17" s="2017">
        <f t="shared" ca="1" si="1"/>
        <v>0</v>
      </c>
      <c r="R17" s="2"/>
      <c r="S17" s="436"/>
      <c r="T17" s="2"/>
      <c r="U17" s="2"/>
      <c r="V17" s="434"/>
      <c r="W17" s="2"/>
      <c r="X17" s="452"/>
      <c r="Y17" s="436"/>
      <c r="Z17" s="1998"/>
      <c r="AA17" s="1990"/>
      <c r="AB17" s="1991"/>
    </row>
    <row r="18" spans="1:28" ht="15.7" customHeight="1" x14ac:dyDescent="0.25">
      <c r="A18" s="434"/>
      <c r="B18" s="902"/>
      <c r="C18" s="2492"/>
      <c r="D18" s="544"/>
      <c r="E18" s="851" t="s">
        <v>811</v>
      </c>
      <c r="F18" s="1193">
        <f>IF(ISBLANK(Import!D209), "", Import!D209)</f>
        <v>0</v>
      </c>
      <c r="G18" s="1193" t="str">
        <f ca="1">IF(ISBLANK(Import!E209), OFFSET('2.CropManagement'!$AK$182,SUMIF('2.CropManagement'!$W$183:$W$184,'1.GeneralInfo'!$E$8,'2.CropManagement'!$X$183:$X$184),0), Import!E209)</f>
        <v>kg</v>
      </c>
      <c r="H18" s="454"/>
      <c r="I18" s="473"/>
      <c r="J18" s="474"/>
      <c r="K18" s="436"/>
      <c r="L18" s="2"/>
      <c r="M18" s="2016">
        <f ca="1">SUMIF($P$96:$P$100,G18,$Q$96:$Q$100)*F18</f>
        <v>0</v>
      </c>
      <c r="N18" s="1934">
        <f>'9.DefaultFactors'!R13</f>
        <v>31.5</v>
      </c>
      <c r="O18" s="825">
        <f t="shared" ca="1" si="0"/>
        <v>0</v>
      </c>
      <c r="P18" s="1986">
        <f>'9.DefaultFactors'!F19</f>
        <v>9.2700000000000005E-2</v>
      </c>
      <c r="Q18" s="2017">
        <f t="shared" ca="1" si="1"/>
        <v>0</v>
      </c>
      <c r="R18" s="2"/>
      <c r="S18" s="436"/>
      <c r="T18" s="2"/>
      <c r="U18" s="2"/>
      <c r="V18" s="434"/>
      <c r="W18" s="2"/>
      <c r="X18" s="452"/>
      <c r="Y18" s="436"/>
      <c r="Z18" s="1998"/>
      <c r="AA18" s="1990"/>
      <c r="AB18" s="1991"/>
    </row>
    <row r="19" spans="1:28" ht="15.7" customHeight="1" x14ac:dyDescent="0.25">
      <c r="A19" s="434"/>
      <c r="B19" s="902"/>
      <c r="C19" s="2492"/>
      <c r="D19" s="544"/>
      <c r="E19" s="851" t="s">
        <v>677</v>
      </c>
      <c r="F19" s="1193">
        <f>IF(ISBLANK(Import!D210), "", Import!D210)</f>
        <v>0</v>
      </c>
      <c r="G19" s="1193" t="str">
        <f>IF(ISBLANK(Import!E210),"therms", Import!E210)</f>
        <v>therms</v>
      </c>
      <c r="H19" s="454"/>
      <c r="I19" s="473"/>
      <c r="J19" s="474"/>
      <c r="K19" s="436"/>
      <c r="L19" s="2"/>
      <c r="M19" s="2018">
        <f>SUMIF($P$111:$P$118,G19,$Q$111:$Q$118)*F19</f>
        <v>0</v>
      </c>
      <c r="N19" s="1934">
        <f ca="1">'9.DefaultFactors'!R14</f>
        <v>47.5</v>
      </c>
      <c r="O19" s="825">
        <f t="shared" ca="1" si="0"/>
        <v>0</v>
      </c>
      <c r="P19" s="1986">
        <f>'9.DefaultFactors'!F20</f>
        <v>6.2799999999999995E-2</v>
      </c>
      <c r="Q19" s="2017">
        <f t="shared" ca="1" si="1"/>
        <v>0</v>
      </c>
      <c r="R19" s="2"/>
      <c r="S19" s="436"/>
      <c r="T19" s="2"/>
      <c r="U19" s="2"/>
      <c r="V19" s="434"/>
      <c r="W19" s="2"/>
      <c r="X19" s="452"/>
      <c r="Y19" s="436"/>
      <c r="Z19" s="1998"/>
      <c r="AA19" s="1990"/>
      <c r="AB19" s="1991"/>
    </row>
    <row r="20" spans="1:28" ht="15.7" customHeight="1" x14ac:dyDescent="0.25">
      <c r="A20" s="434"/>
      <c r="B20" s="902"/>
      <c r="C20" s="2492"/>
      <c r="D20" s="544"/>
      <c r="E20" s="963" t="s">
        <v>678</v>
      </c>
      <c r="F20" s="1193">
        <f>IF(ISBLANK(Import!D211), "", Import!D211)</f>
        <v>0</v>
      </c>
      <c r="G20" s="1193" t="str">
        <f ca="1">IF(ISBLANK(Import!E211),OFFSET('2.CropManagement'!AE$182,SUMIF('2.CropManagement'!W$183:W$184,'1.GeneralInfo'!$E$8,'2.CropManagement'!X$183:X$184),0), Import!E211)</f>
        <v>litres</v>
      </c>
      <c r="H20" s="454"/>
      <c r="I20" s="473"/>
      <c r="J20" s="474"/>
      <c r="K20" s="436"/>
      <c r="L20" s="2"/>
      <c r="M20" s="2016">
        <f ca="1">SUMIF($P$124:$P$127,G20,$R$124:$R$127)*F20</f>
        <v>0</v>
      </c>
      <c r="N20" s="1934">
        <f ca="1">'9.DefaultFactors'!R15</f>
        <v>40.333333333333336</v>
      </c>
      <c r="O20" s="825">
        <f t="shared" ca="1" si="0"/>
        <v>0</v>
      </c>
      <c r="P20" s="1986">
        <f>'9.DefaultFactors'!F21</f>
        <v>7.8400000000000011E-2</v>
      </c>
      <c r="Q20" s="2017">
        <f t="shared" ca="1" si="1"/>
        <v>0</v>
      </c>
      <c r="R20" s="2"/>
      <c r="S20" s="436"/>
      <c r="T20" s="2"/>
      <c r="U20" s="2"/>
      <c r="V20" s="434"/>
      <c r="W20" s="2"/>
      <c r="X20" s="452"/>
      <c r="Y20" s="436"/>
      <c r="Z20" s="1998"/>
      <c r="AA20" s="1990"/>
      <c r="AB20" s="1991"/>
    </row>
    <row r="21" spans="1:28" ht="12.85" customHeight="1" x14ac:dyDescent="0.25">
      <c r="A21" s="434"/>
      <c r="B21" s="902"/>
      <c r="C21" s="2492"/>
      <c r="D21" s="544"/>
      <c r="E21" s="963" t="s">
        <v>68</v>
      </c>
      <c r="F21" s="1193">
        <f>IF(ISBLANK(Import!D213), "", Import!D213)</f>
        <v>0</v>
      </c>
      <c r="G21" s="1193" t="str">
        <f ca="1">IF(ISBLANK(Import!E213),OFFSET('2.CropManagement'!AE$182,SUMIF('2.CropManagement'!W$183:W$184,'1.GeneralInfo'!$E$8,'2.CropManagement'!X$183:X$184),0), Import!E213)</f>
        <v>litres</v>
      </c>
      <c r="H21" s="454"/>
      <c r="I21" s="473"/>
      <c r="J21" s="474"/>
      <c r="K21" s="436"/>
      <c r="L21" s="2"/>
      <c r="M21" s="2016">
        <f ca="1">SUMIF($P$124:$P$127,G21,$S$124:$S$127)*F21</f>
        <v>0</v>
      </c>
      <c r="N21" s="1934">
        <f ca="1">'9.DefaultFactors'!R14</f>
        <v>47.5</v>
      </c>
      <c r="O21" s="825">
        <f t="shared" ca="1" si="0"/>
        <v>0</v>
      </c>
      <c r="P21" s="1986">
        <f>'9.DefaultFactors'!F20</f>
        <v>6.2799999999999995E-2</v>
      </c>
      <c r="Q21" s="2017">
        <f t="shared" ca="1" si="1"/>
        <v>0</v>
      </c>
      <c r="R21" s="2"/>
      <c r="S21" s="436"/>
      <c r="T21" s="2"/>
      <c r="U21" s="2"/>
      <c r="V21" s="434"/>
      <c r="W21" s="2"/>
      <c r="X21" s="452"/>
      <c r="Y21" s="436"/>
      <c r="Z21" s="1998"/>
      <c r="AA21" s="1990"/>
      <c r="AB21" s="1991"/>
    </row>
    <row r="22" spans="1:28" ht="39.75" customHeight="1" thickBot="1" x14ac:dyDescent="0.3">
      <c r="A22" s="434"/>
      <c r="B22" s="902"/>
      <c r="C22" s="2492"/>
      <c r="D22" s="544"/>
      <c r="E22" s="1294" t="s">
        <v>869</v>
      </c>
      <c r="F22" s="1193">
        <f>IF(ISBLANK(Import!D212), "", Import!D212)</f>
        <v>0</v>
      </c>
      <c r="G22" s="1193" t="str">
        <f>IF(ISBLANK(Import!E212), "[Select]", Import!E212)</f>
        <v>[Select]</v>
      </c>
      <c r="H22" s="454"/>
      <c r="I22" s="473"/>
      <c r="J22" s="474"/>
      <c r="K22" s="436"/>
      <c r="L22" s="142"/>
      <c r="M22" s="1936">
        <f>SUMIF($P$111:$P$116,G22,$Q$111:$Q$116)*F22</f>
        <v>0</v>
      </c>
      <c r="N22" s="1987">
        <f>'9.DefaultFactors'!R16</f>
        <v>0</v>
      </c>
      <c r="O22" s="1988">
        <f t="shared" si="0"/>
        <v>0</v>
      </c>
      <c r="P22" s="1989">
        <f>'9.DefaultFactors'!F22</f>
        <v>0</v>
      </c>
      <c r="Q22" s="1941">
        <f t="shared" si="1"/>
        <v>0</v>
      </c>
      <c r="R22" s="2"/>
      <c r="S22" s="436"/>
      <c r="T22" s="2"/>
      <c r="U22" s="2"/>
      <c r="V22" s="434"/>
      <c r="W22" s="2"/>
      <c r="X22" s="452"/>
      <c r="Y22" s="436"/>
      <c r="Z22" s="1998"/>
      <c r="AA22" s="1990"/>
      <c r="AB22" s="1991"/>
    </row>
    <row r="23" spans="1:28" ht="11.95" customHeight="1" x14ac:dyDescent="0.25">
      <c r="A23" s="434"/>
      <c r="B23" s="902"/>
      <c r="C23" s="934"/>
      <c r="D23" s="1553"/>
      <c r="E23" s="851"/>
      <c r="F23" s="551"/>
      <c r="G23" s="552"/>
      <c r="H23" s="454"/>
      <c r="I23" s="553"/>
      <c r="J23" s="297"/>
      <c r="K23" s="297"/>
      <c r="L23" s="2"/>
      <c r="M23" s="2"/>
      <c r="N23" s="450"/>
      <c r="O23" s="450"/>
      <c r="P23" s="450"/>
      <c r="Q23" s="147"/>
      <c r="R23" s="436"/>
      <c r="S23" s="436"/>
      <c r="T23" s="436"/>
      <c r="U23" s="436"/>
      <c r="V23" s="434"/>
      <c r="W23" s="522"/>
      <c r="X23" s="452"/>
      <c r="Y23" s="436"/>
      <c r="Z23" s="457"/>
      <c r="AA23" s="1990"/>
      <c r="AB23" s="1991"/>
    </row>
    <row r="24" spans="1:28" ht="44.25" customHeight="1" thickBot="1" x14ac:dyDescent="0.3">
      <c r="A24" s="434"/>
      <c r="B24" s="911"/>
      <c r="C24" s="935"/>
      <c r="D24" s="554"/>
      <c r="E24" s="964"/>
      <c r="F24" s="555"/>
      <c r="G24" s="556"/>
      <c r="H24" s="475"/>
      <c r="I24" s="557"/>
      <c r="J24" s="297"/>
      <c r="K24" s="297"/>
      <c r="L24" s="2"/>
      <c r="M24" s="2"/>
      <c r="N24" s="450"/>
      <c r="O24" s="450"/>
      <c r="P24" s="450"/>
      <c r="Q24" s="521"/>
      <c r="R24" s="439"/>
      <c r="S24" s="436"/>
      <c r="T24" s="436"/>
      <c r="U24" s="436"/>
      <c r="V24" s="436"/>
      <c r="W24" s="436"/>
      <c r="X24" s="436"/>
      <c r="Y24" s="436"/>
      <c r="Z24" s="457"/>
      <c r="AA24" s="1990"/>
      <c r="AB24" s="1991"/>
    </row>
    <row r="25" spans="1:28" ht="45.1" customHeight="1" x14ac:dyDescent="0.25">
      <c r="A25" s="434"/>
      <c r="B25" s="929"/>
      <c r="C25" s="936"/>
      <c r="D25" s="1554"/>
      <c r="E25" s="238"/>
      <c r="F25" s="172"/>
      <c r="G25" s="454"/>
      <c r="H25" s="1555" t="s">
        <v>307</v>
      </c>
      <c r="I25" s="473"/>
      <c r="J25" s="436"/>
      <c r="K25" s="436"/>
      <c r="L25" s="436"/>
      <c r="M25" s="434"/>
      <c r="N25" s="523"/>
      <c r="O25" s="523"/>
      <c r="P25" s="523"/>
      <c r="Q25" s="521"/>
      <c r="R25" s="436"/>
      <c r="S25" s="436"/>
      <c r="T25" s="436"/>
      <c r="U25" s="436"/>
      <c r="V25" s="434"/>
      <c r="W25" s="434"/>
      <c r="X25" s="434"/>
      <c r="Y25" s="436"/>
      <c r="Z25" s="1991"/>
      <c r="AA25" s="1991"/>
      <c r="AB25" s="1991"/>
    </row>
    <row r="26" spans="1:28" ht="32.25" customHeight="1" x14ac:dyDescent="0.25">
      <c r="A26" s="434"/>
      <c r="B26" s="937"/>
      <c r="C26" s="2490" t="s">
        <v>305</v>
      </c>
      <c r="D26" s="541"/>
      <c r="E26" s="549" t="s">
        <v>75</v>
      </c>
      <c r="F26" s="1193">
        <f>IF(ISBLANK(Import!D216), "", Import!D216)</f>
        <v>0</v>
      </c>
      <c r="G26" s="1210" t="str">
        <f ca="1">IF(ISBLANK(Import!E216),OFFSET('2.CropManagement'!AE$182,SUMIF('2.CropManagement'!W$183:W$184,'1.GeneralInfo'!$E$8,'2.CropManagement'!X$183:X$184),0), Import!E216)</f>
        <v>litres</v>
      </c>
      <c r="H26" s="455"/>
      <c r="I26" s="473"/>
      <c r="J26" s="436"/>
      <c r="K26" s="436"/>
      <c r="L26" s="2"/>
      <c r="M26" s="129" t="s">
        <v>146</v>
      </c>
      <c r="N26" s="296">
        <f ca="1">F26*SUMIF(P91:P94,G26,Q91:Q94)</f>
        <v>0</v>
      </c>
      <c r="O26" s="434"/>
      <c r="P26" s="434"/>
      <c r="Q26" s="446"/>
      <c r="R26" s="446"/>
      <c r="S26" s="446"/>
      <c r="T26" s="446"/>
      <c r="U26" s="434"/>
      <c r="V26" s="434"/>
      <c r="W26" s="434"/>
      <c r="X26" s="434"/>
      <c r="Y26" s="436"/>
      <c r="Z26" s="1991"/>
      <c r="AA26" s="1991"/>
      <c r="AB26" s="1991"/>
    </row>
    <row r="27" spans="1:28" ht="32.25" customHeight="1" x14ac:dyDescent="0.25">
      <c r="A27" s="434"/>
      <c r="B27" s="937"/>
      <c r="C27" s="2490"/>
      <c r="D27" s="541"/>
      <c r="E27" s="1228" t="s">
        <v>301</v>
      </c>
      <c r="F27" s="1193">
        <f>IF(ISBLANK(Import!D217), "", Import!D217)</f>
        <v>0</v>
      </c>
      <c r="G27" s="1210" t="str">
        <f>IF(ISBLANK(Import!E217), "mg/litre", Import!E217)</f>
        <v>mg/litre</v>
      </c>
      <c r="H27" s="1210" t="str">
        <f>IF(ISBLANK(Import!F217), "[Select]", Import!F217)</f>
        <v>[Select]</v>
      </c>
      <c r="I27" s="473"/>
      <c r="J27" s="436"/>
      <c r="K27" s="436"/>
      <c r="L27" s="2"/>
      <c r="M27" s="129" t="s">
        <v>147</v>
      </c>
      <c r="N27" s="296">
        <f>SUMIF(P144:P146,G27,Q144:Q146)*F27</f>
        <v>0</v>
      </c>
      <c r="O27" s="434"/>
      <c r="P27" s="1828" t="s">
        <v>676</v>
      </c>
      <c r="Q27" s="1940" t="s">
        <v>178</v>
      </c>
      <c r="R27" s="434"/>
      <c r="S27" s="434"/>
      <c r="T27" s="446"/>
      <c r="U27" s="434"/>
      <c r="V27" s="434"/>
      <c r="W27" s="434"/>
      <c r="X27" s="434"/>
      <c r="Y27" s="436"/>
      <c r="Z27" s="1991"/>
      <c r="AA27" s="1991"/>
      <c r="AB27" s="1991"/>
    </row>
    <row r="28" spans="1:28" ht="12.85" customHeight="1" x14ac:dyDescent="0.25">
      <c r="A28" s="434"/>
      <c r="B28" s="937"/>
      <c r="C28" s="2490"/>
      <c r="D28" s="541"/>
      <c r="E28" s="238" t="s">
        <v>1974</v>
      </c>
      <c r="F28" s="1184" t="str">
        <f>IF(ISBLANK(Import!D218), "None - river/lake/sea discharge", Import!D218)</f>
        <v>None - river/lake/sea discharge</v>
      </c>
      <c r="G28" s="454"/>
      <c r="H28" s="560" t="str">
        <f>IF(F28=AD68,AF68,"")</f>
        <v/>
      </c>
      <c r="I28" s="473"/>
      <c r="J28" s="436"/>
      <c r="K28" s="436"/>
      <c r="L28" s="2"/>
      <c r="M28" s="129" t="s">
        <v>148</v>
      </c>
      <c r="N28" s="296">
        <f>SUMIF(AD65:AD72,F28,AE65:AE72)</f>
        <v>0.1</v>
      </c>
      <c r="O28" s="434"/>
      <c r="P28" s="299">
        <f ca="1">IF('4.Livestock'!AD131&gt;=15,N27*SUMIF(P140:P141,H27,Q140:Q141)*N28,0)*N26</f>
        <v>0</v>
      </c>
      <c r="Q28" s="815">
        <f ca="1">P28*'A1. Submodels &amp; data'!B378</f>
        <v>0</v>
      </c>
      <c r="R28" s="2"/>
      <c r="S28" s="2"/>
      <c r="T28" s="2"/>
      <c r="U28" s="2"/>
      <c r="V28" s="434"/>
      <c r="W28" s="434"/>
      <c r="X28" s="434"/>
      <c r="Y28" s="519"/>
    </row>
    <row r="29" spans="1:28" ht="12.85" customHeight="1" x14ac:dyDescent="0.25">
      <c r="A29" s="434"/>
      <c r="B29" s="937"/>
      <c r="C29" s="905"/>
      <c r="D29" s="541"/>
      <c r="E29" s="238"/>
      <c r="F29" s="172"/>
      <c r="G29" s="454"/>
      <c r="H29" s="454"/>
      <c r="I29" s="473"/>
      <c r="J29" s="436"/>
      <c r="K29" s="436"/>
      <c r="L29" s="436"/>
      <c r="M29" s="434"/>
      <c r="N29" s="434"/>
      <c r="O29" s="434"/>
      <c r="P29" s="434"/>
      <c r="Q29" s="2"/>
      <c r="R29" s="2"/>
      <c r="S29" s="2"/>
      <c r="T29" s="2"/>
      <c r="U29" s="2"/>
      <c r="V29" s="434"/>
      <c r="W29" s="434"/>
      <c r="X29" s="434"/>
      <c r="Y29" s="436"/>
    </row>
    <row r="30" spans="1:28" ht="5.2" customHeight="1" thickBot="1" x14ac:dyDescent="0.3">
      <c r="A30" s="434"/>
      <c r="B30" s="938"/>
      <c r="C30" s="939"/>
      <c r="D30" s="819"/>
      <c r="E30" s="1044"/>
      <c r="F30" s="184"/>
      <c r="G30" s="475"/>
      <c r="H30" s="475"/>
      <c r="I30" s="476"/>
      <c r="J30" s="436"/>
      <c r="K30" s="436"/>
      <c r="L30" s="436"/>
      <c r="M30" s="434"/>
      <c r="N30" s="434"/>
      <c r="O30" s="434"/>
      <c r="P30" s="434"/>
      <c r="Q30" s="2"/>
      <c r="R30" s="2"/>
      <c r="S30" s="2"/>
      <c r="T30" s="2"/>
      <c r="U30" s="2"/>
      <c r="V30" s="434"/>
      <c r="W30" s="434"/>
      <c r="X30" s="434"/>
      <c r="Y30" s="436"/>
    </row>
    <row r="31" spans="1:28" ht="5.2" customHeight="1" x14ac:dyDescent="0.25">
      <c r="A31" s="434"/>
      <c r="B31" s="434"/>
      <c r="C31" s="434"/>
      <c r="D31" s="434"/>
      <c r="E31" s="435"/>
      <c r="F31" s="173"/>
      <c r="G31" s="434"/>
      <c r="H31" s="434"/>
      <c r="I31" s="434"/>
      <c r="J31" s="434"/>
      <c r="K31" s="147"/>
      <c r="L31" s="436"/>
      <c r="M31" s="434"/>
      <c r="N31" s="434"/>
      <c r="O31" s="434"/>
      <c r="P31" s="434"/>
      <c r="Q31" s="2"/>
      <c r="R31" s="2"/>
      <c r="S31" s="2"/>
      <c r="T31" s="2"/>
      <c r="U31" s="2"/>
      <c r="V31" s="434"/>
      <c r="W31" s="434"/>
      <c r="X31" s="434"/>
      <c r="Y31" s="436"/>
    </row>
    <row r="32" spans="1:28" ht="5.2" customHeight="1" x14ac:dyDescent="0.25">
      <c r="A32" s="434"/>
      <c r="B32" s="434"/>
      <c r="C32" s="434"/>
      <c r="D32" s="434"/>
      <c r="E32" s="435"/>
      <c r="F32" s="173"/>
      <c r="G32" s="434"/>
      <c r="H32" s="434"/>
      <c r="I32" s="434"/>
      <c r="J32" s="434"/>
      <c r="K32" s="147"/>
      <c r="L32" s="436"/>
      <c r="M32" s="434"/>
      <c r="N32" s="434"/>
      <c r="O32" s="434"/>
      <c r="P32" s="434"/>
      <c r="Q32" s="2"/>
      <c r="R32" s="2"/>
      <c r="S32" s="2"/>
      <c r="T32" s="2"/>
      <c r="U32" s="2"/>
      <c r="V32" s="434"/>
      <c r="W32" s="434"/>
      <c r="X32" s="434"/>
      <c r="Y32" s="436"/>
    </row>
    <row r="33" spans="1:25" ht="27.1" customHeight="1" thickBot="1" x14ac:dyDescent="0.3">
      <c r="A33" s="434"/>
      <c r="B33" s="434"/>
      <c r="C33" s="434"/>
      <c r="D33" s="434"/>
      <c r="E33" s="435"/>
      <c r="F33" s="173"/>
      <c r="G33" s="434"/>
      <c r="H33" s="434"/>
      <c r="I33" s="434"/>
      <c r="J33" s="434"/>
      <c r="K33" s="436"/>
      <c r="L33" s="446"/>
      <c r="M33" s="434"/>
      <c r="N33" s="434"/>
      <c r="O33" s="434"/>
      <c r="P33" s="434"/>
      <c r="Q33" s="2"/>
      <c r="R33" s="2"/>
      <c r="S33" s="2"/>
      <c r="T33" s="2"/>
      <c r="U33" s="2"/>
      <c r="V33" s="434"/>
      <c r="W33" s="434"/>
      <c r="X33" s="434"/>
      <c r="Y33" s="436"/>
    </row>
    <row r="34" spans="1:25" ht="27.1" customHeight="1" thickBot="1" x14ac:dyDescent="0.3">
      <c r="A34" s="434"/>
      <c r="B34" s="929"/>
      <c r="C34" s="994"/>
      <c r="D34" s="871"/>
      <c r="E34" s="1464" t="s">
        <v>1127</v>
      </c>
      <c r="F34" s="1465" t="str">
        <f>'2.CropManagement'!$G$35</f>
        <v>kg CO2 eq</v>
      </c>
      <c r="G34" s="434"/>
      <c r="H34" s="436"/>
      <c r="I34" s="436"/>
      <c r="J34" s="436"/>
      <c r="K34" s="436"/>
      <c r="L34" s="2"/>
      <c r="M34" s="2"/>
      <c r="N34" s="2"/>
      <c r="O34" s="2"/>
      <c r="P34" s="434"/>
      <c r="Q34" s="2"/>
      <c r="R34" s="2"/>
      <c r="S34" s="2"/>
      <c r="T34" s="2"/>
      <c r="U34" s="2"/>
      <c r="V34" s="434"/>
      <c r="W34" s="434"/>
      <c r="X34" s="434"/>
      <c r="Y34" s="436"/>
    </row>
    <row r="35" spans="1:25" ht="42.8" customHeight="1" x14ac:dyDescent="0.25">
      <c r="A35" s="434"/>
      <c r="B35" s="902"/>
      <c r="C35" s="995" t="s">
        <v>536</v>
      </c>
      <c r="D35" s="511"/>
      <c r="E35" s="1505">
        <f>SUM(O6:O6)</f>
        <v>0</v>
      </c>
      <c r="F35" s="1506">
        <f t="shared" ref="F35:F42" si="2">SUMIF(P$132:P$135,F$34,Q$132:Q$135)*L68</f>
        <v>0</v>
      </c>
      <c r="G35" s="434"/>
      <c r="H35" s="436"/>
      <c r="I35" s="436"/>
      <c r="J35" s="436"/>
      <c r="K35" s="436"/>
      <c r="L35" s="2"/>
      <c r="M35" s="2"/>
      <c r="N35" s="2"/>
      <c r="O35" s="2"/>
      <c r="P35" s="434"/>
      <c r="Q35" s="2"/>
      <c r="R35" s="2"/>
      <c r="S35" s="2"/>
      <c r="T35" s="2"/>
      <c r="U35" s="2"/>
      <c r="V35" s="434"/>
      <c r="W35" s="434"/>
      <c r="X35" s="434"/>
      <c r="Y35" s="436"/>
    </row>
    <row r="36" spans="1:25" ht="27.1" customHeight="1" x14ac:dyDescent="0.25">
      <c r="A36" s="434"/>
      <c r="B36" s="902"/>
      <c r="C36" s="995" t="s">
        <v>537</v>
      </c>
      <c r="D36" s="513"/>
      <c r="E36" s="1507">
        <f>SUM(O7:O9)</f>
        <v>0</v>
      </c>
      <c r="F36" s="1506">
        <f t="shared" si="2"/>
        <v>0</v>
      </c>
      <c r="G36" s="434"/>
      <c r="H36" s="436"/>
      <c r="I36" s="436"/>
      <c r="J36" s="436"/>
      <c r="K36" s="436"/>
      <c r="L36" s="2"/>
      <c r="M36" s="2"/>
      <c r="N36" s="2"/>
      <c r="O36" s="2"/>
      <c r="P36" s="434"/>
      <c r="Q36" s="434"/>
      <c r="R36" s="434"/>
      <c r="S36" s="434"/>
      <c r="T36" s="434"/>
      <c r="U36" s="434"/>
      <c r="V36" s="434"/>
      <c r="W36" s="434"/>
      <c r="X36" s="434"/>
      <c r="Y36" s="436"/>
    </row>
    <row r="37" spans="1:25" ht="27.1" customHeight="1" x14ac:dyDescent="0.25">
      <c r="A37" s="436"/>
      <c r="B37" s="902"/>
      <c r="C37" s="995" t="s">
        <v>608</v>
      </c>
      <c r="D37" s="513"/>
      <c r="E37" s="1507">
        <f ca="1">SUM(O16:O17)</f>
        <v>0</v>
      </c>
      <c r="F37" s="1506">
        <f t="shared" ca="1" si="2"/>
        <v>0</v>
      </c>
      <c r="G37" s="434"/>
      <c r="H37" s="436"/>
      <c r="I37" s="436"/>
      <c r="J37" s="436"/>
      <c r="K37" s="436"/>
      <c r="L37" s="2"/>
      <c r="M37" s="2"/>
      <c r="N37" s="2"/>
      <c r="O37" s="2"/>
      <c r="P37" s="434"/>
      <c r="Q37" s="434"/>
      <c r="R37" s="434"/>
      <c r="S37" s="434"/>
      <c r="T37" s="434"/>
      <c r="U37" s="434"/>
      <c r="V37" s="434"/>
      <c r="W37" s="434"/>
      <c r="X37" s="434"/>
      <c r="Y37" s="436"/>
    </row>
    <row r="38" spans="1:25" ht="27.1" customHeight="1" x14ac:dyDescent="0.25">
      <c r="A38" s="436"/>
      <c r="B38" s="902"/>
      <c r="C38" s="995" t="s">
        <v>607</v>
      </c>
      <c r="D38" s="513"/>
      <c r="E38" s="1508">
        <f ca="1">O13+O18+O20+O19+O21</f>
        <v>0</v>
      </c>
      <c r="F38" s="1506">
        <f t="shared" ca="1" si="2"/>
        <v>0</v>
      </c>
      <c r="G38" s="436"/>
      <c r="H38" s="436"/>
      <c r="I38" s="436"/>
      <c r="J38" s="436"/>
      <c r="K38" s="436"/>
      <c r="L38" s="2"/>
      <c r="M38" s="2"/>
      <c r="N38" s="2"/>
      <c r="O38" s="2"/>
      <c r="P38" s="2"/>
      <c r="Q38" s="2"/>
      <c r="R38" s="2"/>
      <c r="S38" s="434"/>
      <c r="T38" s="434"/>
      <c r="U38" s="434"/>
      <c r="V38" s="434"/>
      <c r="W38" s="434"/>
      <c r="X38" s="434"/>
      <c r="Y38" s="436"/>
    </row>
    <row r="39" spans="1:25" ht="27.1" customHeight="1" x14ac:dyDescent="0.25">
      <c r="A39" s="436"/>
      <c r="B39" s="902"/>
      <c r="C39" s="995" t="s">
        <v>2072</v>
      </c>
      <c r="D39" s="513"/>
      <c r="E39" s="1508">
        <f>O22</f>
        <v>0</v>
      </c>
      <c r="F39" s="1506">
        <f t="shared" si="2"/>
        <v>0</v>
      </c>
      <c r="G39" s="436"/>
      <c r="H39" s="147"/>
      <c r="I39" s="147"/>
      <c r="J39" s="147"/>
      <c r="K39" s="436"/>
      <c r="L39" s="2"/>
      <c r="M39" s="2"/>
      <c r="N39" s="2"/>
      <c r="O39" s="2"/>
      <c r="P39" s="2"/>
      <c r="Q39" s="2"/>
      <c r="R39" s="2"/>
      <c r="S39" s="434"/>
      <c r="T39" s="434"/>
      <c r="U39" s="434"/>
      <c r="V39" s="434"/>
      <c r="W39" s="434"/>
      <c r="X39" s="434"/>
      <c r="Y39" s="436"/>
    </row>
    <row r="40" spans="1:25" ht="27.1" customHeight="1" thickBot="1" x14ac:dyDescent="0.3">
      <c r="A40" s="436"/>
      <c r="B40" s="902"/>
      <c r="C40" s="995" t="s">
        <v>304</v>
      </c>
      <c r="D40" s="1192"/>
      <c r="E40" s="1509"/>
      <c r="F40" s="1506">
        <f t="shared" ca="1" si="2"/>
        <v>0</v>
      </c>
      <c r="G40" s="436"/>
      <c r="H40" s="147"/>
      <c r="I40" s="147"/>
      <c r="J40" s="147"/>
      <c r="K40" s="436"/>
      <c r="L40" s="2"/>
      <c r="M40" s="2"/>
      <c r="N40" s="2"/>
      <c r="O40" s="2"/>
      <c r="P40" s="2"/>
      <c r="Q40" s="2"/>
      <c r="R40" s="2"/>
      <c r="S40" s="434"/>
      <c r="T40" s="434"/>
      <c r="U40" s="434"/>
      <c r="V40" s="434"/>
      <c r="W40" s="434"/>
      <c r="X40" s="434"/>
      <c r="Y40" s="436"/>
    </row>
    <row r="41" spans="1:25" ht="45.1" customHeight="1" x14ac:dyDescent="0.35">
      <c r="A41" s="436"/>
      <c r="B41" s="872"/>
      <c r="C41" s="996" t="s">
        <v>619</v>
      </c>
      <c r="D41" s="872"/>
      <c r="E41" s="1510">
        <f ca="1">SUM(E35:E38)</f>
        <v>0</v>
      </c>
      <c r="F41" s="1511">
        <f t="shared" ca="1" si="2"/>
        <v>0</v>
      </c>
      <c r="G41" s="436"/>
      <c r="H41" s="434"/>
      <c r="I41" s="434"/>
      <c r="J41" s="434"/>
      <c r="K41" s="436"/>
      <c r="L41" s="2"/>
      <c r="M41" s="2"/>
      <c r="N41" s="2"/>
      <c r="O41" s="2"/>
      <c r="P41" s="434"/>
      <c r="Q41" s="434"/>
      <c r="R41" s="434"/>
      <c r="S41" s="434"/>
      <c r="T41" s="434"/>
      <c r="U41" s="434"/>
      <c r="V41" s="434"/>
      <c r="W41" s="434"/>
      <c r="X41" s="434"/>
      <c r="Y41" s="436"/>
    </row>
    <row r="42" spans="1:25" ht="17.3" customHeight="1" thickBot="1" x14ac:dyDescent="0.4">
      <c r="A42" s="436"/>
      <c r="B42" s="870"/>
      <c r="C42" s="997" t="s">
        <v>1135</v>
      </c>
      <c r="D42" s="870"/>
      <c r="E42" s="1512">
        <f ca="1">E41/'1.GeneralInfo'!S12</f>
        <v>0</v>
      </c>
      <c r="F42" s="1513">
        <f t="shared" ca="1" si="2"/>
        <v>0</v>
      </c>
      <c r="G42" s="436"/>
      <c r="H42" s="434"/>
      <c r="I42" s="434"/>
      <c r="J42" s="434"/>
      <c r="K42" s="436"/>
      <c r="L42" s="2"/>
      <c r="M42" s="2"/>
      <c r="N42" s="2"/>
      <c r="O42" s="2"/>
      <c r="P42" s="434"/>
      <c r="Q42" s="434"/>
      <c r="R42" s="434"/>
      <c r="S42" s="434"/>
      <c r="T42" s="434"/>
      <c r="U42" s="434"/>
      <c r="V42" s="434"/>
      <c r="W42" s="434"/>
      <c r="X42" s="434"/>
      <c r="Y42" s="436"/>
    </row>
    <row r="43" spans="1:25" ht="17.3" customHeight="1" x14ac:dyDescent="0.25">
      <c r="A43" s="436"/>
      <c r="B43" s="434"/>
      <c r="C43" s="434"/>
      <c r="D43" s="434"/>
      <c r="E43" s="435"/>
      <c r="F43" s="173"/>
      <c r="G43" s="434"/>
      <c r="H43" s="434"/>
      <c r="I43" s="434"/>
      <c r="J43" s="434"/>
      <c r="K43" s="436"/>
      <c r="L43" s="2"/>
      <c r="M43" s="2"/>
      <c r="N43" s="2"/>
      <c r="O43" s="2"/>
      <c r="P43" s="434"/>
      <c r="Q43" s="434"/>
      <c r="R43" s="434"/>
      <c r="S43" s="434"/>
      <c r="T43" s="434"/>
      <c r="U43" s="434"/>
      <c r="V43" s="434"/>
      <c r="W43" s="434"/>
      <c r="X43" s="434"/>
      <c r="Y43" s="436"/>
    </row>
    <row r="44" spans="1:25" ht="17.3" customHeight="1" x14ac:dyDescent="0.25">
      <c r="A44" s="436"/>
      <c r="B44" s="434"/>
      <c r="C44" s="434"/>
      <c r="D44" s="434"/>
      <c r="E44" s="435"/>
      <c r="F44" s="173"/>
      <c r="G44" s="434"/>
      <c r="H44" s="434"/>
      <c r="I44" s="434"/>
      <c r="J44" s="434"/>
      <c r="K44" s="436"/>
      <c r="L44" s="2"/>
      <c r="M44" s="2"/>
      <c r="N44" s="2"/>
      <c r="O44" s="2"/>
      <c r="P44" s="434"/>
      <c r="Q44" s="434"/>
      <c r="R44" s="434"/>
      <c r="S44" s="434"/>
      <c r="T44" s="434"/>
      <c r="U44" s="434"/>
      <c r="V44" s="434"/>
      <c r="W44" s="434"/>
      <c r="X44" s="434"/>
      <c r="Y44" s="436"/>
    </row>
    <row r="45" spans="1:25" ht="17.3" customHeight="1" x14ac:dyDescent="0.25">
      <c r="A45" s="436"/>
      <c r="B45" s="434"/>
      <c r="C45" s="434"/>
      <c r="D45" s="434"/>
      <c r="E45" s="435"/>
      <c r="F45" s="173"/>
      <c r="G45" s="434"/>
      <c r="H45" s="434"/>
      <c r="I45" s="434"/>
      <c r="J45" s="434"/>
      <c r="K45" s="436"/>
      <c r="L45" s="2"/>
      <c r="M45" s="2"/>
      <c r="N45" s="2"/>
      <c r="O45" s="2"/>
      <c r="P45" s="434"/>
      <c r="Q45" s="434"/>
      <c r="R45" s="434"/>
      <c r="S45" s="434"/>
      <c r="T45" s="434"/>
      <c r="U45" s="434"/>
      <c r="V45" s="434"/>
      <c r="W45" s="434"/>
      <c r="X45" s="434"/>
      <c r="Y45" s="436"/>
    </row>
    <row r="46" spans="1:25" ht="17.3" customHeight="1" x14ac:dyDescent="0.25">
      <c r="A46" s="436"/>
      <c r="B46" s="434"/>
      <c r="C46" s="434"/>
      <c r="D46" s="434"/>
      <c r="E46" s="435"/>
      <c r="F46" s="173"/>
      <c r="G46" s="434"/>
      <c r="H46" s="434"/>
      <c r="I46" s="434"/>
      <c r="J46" s="434"/>
      <c r="K46" s="436"/>
      <c r="L46" s="446"/>
      <c r="M46" s="434"/>
      <c r="N46" s="434"/>
      <c r="O46" s="434"/>
      <c r="P46" s="434"/>
      <c r="Q46" s="434"/>
      <c r="R46" s="434"/>
      <c r="S46" s="434"/>
      <c r="T46" s="434"/>
      <c r="U46" s="434"/>
      <c r="V46" s="434"/>
      <c r="W46" s="434"/>
      <c r="X46" s="434"/>
      <c r="Y46" s="436"/>
    </row>
    <row r="47" spans="1:25" ht="17.3" customHeight="1" x14ac:dyDescent="0.25">
      <c r="A47" s="436"/>
      <c r="B47" s="434"/>
      <c r="C47" s="434"/>
      <c r="D47" s="434"/>
      <c r="E47" s="435"/>
      <c r="F47" s="173"/>
      <c r="G47" s="434"/>
      <c r="H47" s="434"/>
      <c r="I47" s="434"/>
      <c r="J47" s="434"/>
      <c r="K47" s="436"/>
      <c r="L47" s="446"/>
      <c r="M47" s="434"/>
      <c r="N47" s="434"/>
      <c r="O47" s="434"/>
      <c r="P47" s="434"/>
      <c r="Q47" s="434"/>
      <c r="R47" s="434"/>
      <c r="S47" s="434"/>
      <c r="T47" s="434"/>
      <c r="U47" s="434"/>
      <c r="V47" s="434"/>
      <c r="W47" s="434"/>
      <c r="X47" s="434"/>
      <c r="Y47" s="436"/>
    </row>
    <row r="48" spans="1:25" ht="17.3" customHeight="1" x14ac:dyDescent="0.25">
      <c r="A48" s="436"/>
      <c r="B48" s="434"/>
      <c r="C48" s="434"/>
      <c r="D48" s="434"/>
      <c r="E48" s="435"/>
      <c r="F48" s="173"/>
      <c r="G48" s="434"/>
      <c r="H48" s="434"/>
      <c r="I48" s="434"/>
      <c r="J48" s="434"/>
      <c r="K48" s="436"/>
      <c r="L48" s="446"/>
      <c r="M48" s="434"/>
      <c r="N48" s="434"/>
      <c r="O48" s="434"/>
      <c r="P48" s="434"/>
      <c r="Q48" s="434"/>
      <c r="R48" s="434"/>
      <c r="S48" s="434"/>
      <c r="T48" s="434"/>
      <c r="U48" s="434"/>
      <c r="V48" s="434"/>
      <c r="W48" s="434"/>
      <c r="X48" s="434"/>
      <c r="Y48" s="436"/>
    </row>
    <row r="49" spans="1:39" ht="17.3" customHeight="1" x14ac:dyDescent="0.25">
      <c r="A49" s="434"/>
      <c r="B49" s="434"/>
      <c r="C49" s="434"/>
      <c r="D49" s="434"/>
      <c r="E49" s="435"/>
      <c r="F49" s="173"/>
      <c r="G49" s="434"/>
      <c r="H49" s="434"/>
      <c r="I49" s="434"/>
      <c r="J49" s="434"/>
      <c r="K49" s="436"/>
      <c r="L49" s="446"/>
      <c r="M49" s="434"/>
      <c r="N49" s="434"/>
      <c r="O49" s="434"/>
      <c r="P49" s="434"/>
      <c r="Q49" s="434"/>
      <c r="R49" s="434"/>
      <c r="S49" s="434"/>
      <c r="T49" s="434"/>
      <c r="U49" s="434"/>
      <c r="V49" s="434"/>
      <c r="W49" s="434"/>
      <c r="X49" s="434"/>
      <c r="Y49" s="297"/>
    </row>
    <row r="50" spans="1:39" ht="17.3" customHeight="1" x14ac:dyDescent="0.25">
      <c r="A50" s="434"/>
      <c r="B50" s="434"/>
      <c r="C50" s="434"/>
      <c r="D50" s="434"/>
      <c r="E50" s="435"/>
      <c r="F50" s="173"/>
      <c r="G50" s="434"/>
      <c r="H50" s="434"/>
      <c r="I50" s="434"/>
      <c r="J50" s="434"/>
      <c r="K50" s="436"/>
      <c r="L50" s="446"/>
      <c r="M50" s="434"/>
      <c r="N50" s="434"/>
      <c r="O50" s="434"/>
      <c r="P50" s="434"/>
      <c r="Q50" s="434"/>
      <c r="R50" s="434"/>
      <c r="S50" s="434"/>
      <c r="T50" s="434"/>
      <c r="U50" s="434"/>
      <c r="V50" s="434"/>
      <c r="W50" s="434"/>
      <c r="X50" s="434"/>
      <c r="Y50" s="434"/>
    </row>
    <row r="51" spans="1:39" ht="17.3" customHeight="1" x14ac:dyDescent="0.25">
      <c r="A51" s="434"/>
      <c r="B51" s="434"/>
      <c r="C51" s="434"/>
      <c r="D51" s="434"/>
      <c r="E51" s="435"/>
      <c r="F51" s="173"/>
      <c r="G51" s="434"/>
      <c r="H51" s="434"/>
      <c r="I51" s="434"/>
      <c r="J51" s="434"/>
      <c r="K51" s="436"/>
      <c r="L51" s="446"/>
      <c r="M51" s="434"/>
      <c r="N51" s="434"/>
      <c r="O51" s="434"/>
      <c r="P51" s="434"/>
      <c r="Q51" s="434"/>
      <c r="R51" s="434"/>
      <c r="S51" s="434"/>
      <c r="T51" s="434"/>
      <c r="U51" s="434"/>
      <c r="V51" s="434"/>
      <c r="W51" s="434"/>
      <c r="X51" s="434"/>
      <c r="Y51" s="434"/>
    </row>
    <row r="52" spans="1:39" ht="17.3" customHeight="1" x14ac:dyDescent="0.25">
      <c r="A52" s="446"/>
      <c r="B52" s="434"/>
      <c r="C52" s="434"/>
      <c r="D52" s="434"/>
      <c r="E52" s="435"/>
      <c r="F52" s="173"/>
      <c r="G52" s="434"/>
      <c r="H52" s="434"/>
      <c r="I52" s="434"/>
      <c r="J52" s="434"/>
      <c r="K52" s="436"/>
      <c r="L52" s="446"/>
      <c r="M52" s="434"/>
      <c r="N52" s="434"/>
      <c r="O52" s="434"/>
      <c r="P52" s="434"/>
      <c r="Q52" s="434"/>
      <c r="R52" s="434"/>
      <c r="S52" s="434"/>
      <c r="T52" s="434"/>
      <c r="U52" s="434"/>
      <c r="V52" s="434"/>
      <c r="W52" s="434"/>
      <c r="X52" s="434"/>
      <c r="Y52" s="434"/>
    </row>
    <row r="53" spans="1:39" ht="27.1" customHeight="1" x14ac:dyDescent="0.25">
      <c r="A53" s="446"/>
      <c r="B53" s="434"/>
      <c r="C53" s="434"/>
      <c r="D53" s="434"/>
      <c r="E53" s="435"/>
      <c r="F53" s="173"/>
      <c r="G53" s="434"/>
      <c r="H53" s="434"/>
      <c r="I53" s="434"/>
      <c r="J53" s="434"/>
      <c r="K53" s="436"/>
      <c r="L53" s="446"/>
      <c r="M53" s="434"/>
      <c r="N53" s="434"/>
      <c r="O53" s="434"/>
      <c r="P53" s="434"/>
      <c r="Q53" s="434"/>
      <c r="R53" s="434"/>
      <c r="S53" s="434"/>
      <c r="T53" s="434"/>
      <c r="U53" s="434"/>
      <c r="V53" s="434"/>
      <c r="W53" s="434"/>
      <c r="X53" s="434"/>
      <c r="Y53" s="434"/>
    </row>
    <row r="54" spans="1:39" ht="27.1" customHeight="1" x14ac:dyDescent="0.25">
      <c r="A54" s="434"/>
      <c r="B54" s="434"/>
      <c r="C54" s="434"/>
      <c r="D54" s="434"/>
      <c r="E54" s="435"/>
      <c r="F54" s="173"/>
      <c r="G54" s="434"/>
      <c r="H54" s="434"/>
      <c r="I54" s="434"/>
      <c r="J54" s="434"/>
      <c r="K54" s="436"/>
      <c r="L54" s="446"/>
      <c r="M54" s="434"/>
      <c r="N54" s="434"/>
      <c r="O54" s="434"/>
      <c r="P54" s="434"/>
      <c r="Q54" s="434"/>
      <c r="R54" s="434"/>
      <c r="S54" s="434"/>
      <c r="T54" s="434"/>
      <c r="U54" s="434"/>
      <c r="V54" s="434"/>
      <c r="W54" s="434"/>
      <c r="X54" s="434"/>
      <c r="Y54" s="434"/>
    </row>
    <row r="55" spans="1:39" ht="27.1" customHeight="1" x14ac:dyDescent="0.25">
      <c r="A55" s="434"/>
      <c r="B55" s="434"/>
      <c r="C55" s="434"/>
      <c r="D55" s="434"/>
      <c r="E55" s="435"/>
      <c r="F55" s="173"/>
      <c r="G55" s="434"/>
      <c r="H55" s="434"/>
      <c r="I55" s="434"/>
      <c r="J55" s="434"/>
      <c r="K55" s="436"/>
      <c r="L55" s="446"/>
      <c r="M55" s="434"/>
      <c r="N55" s="434"/>
      <c r="O55" s="434"/>
      <c r="P55" s="434"/>
      <c r="Q55" s="434"/>
      <c r="R55" s="434"/>
      <c r="S55" s="434"/>
      <c r="T55" s="434"/>
      <c r="U55" s="434"/>
      <c r="V55" s="434"/>
      <c r="W55" s="434"/>
      <c r="X55" s="434"/>
      <c r="Y55" s="434"/>
    </row>
    <row r="56" spans="1:39" ht="17.3" customHeight="1" x14ac:dyDescent="0.25">
      <c r="A56" s="434"/>
      <c r="B56" s="434"/>
      <c r="C56" s="434"/>
      <c r="D56" s="434"/>
      <c r="E56" s="435"/>
      <c r="F56" s="173"/>
      <c r="G56" s="434"/>
      <c r="H56" s="434"/>
      <c r="I56" s="434"/>
      <c r="J56" s="434"/>
      <c r="K56" s="436"/>
      <c r="L56" s="446"/>
      <c r="M56" s="434"/>
      <c r="N56" s="434"/>
      <c r="O56" s="434"/>
      <c r="P56" s="434"/>
      <c r="Q56" s="434"/>
      <c r="R56" s="434"/>
      <c r="S56" s="434"/>
      <c r="T56" s="434"/>
      <c r="U56" s="434"/>
      <c r="V56" s="434"/>
      <c r="W56" s="434"/>
      <c r="X56" s="434"/>
      <c r="Y56" s="434"/>
    </row>
    <row r="57" spans="1:39" ht="17.3" customHeight="1" x14ac:dyDescent="0.25">
      <c r="A57" s="446"/>
      <c r="B57" s="434"/>
      <c r="C57" s="434"/>
      <c r="D57" s="434"/>
      <c r="E57" s="435"/>
      <c r="F57" s="173"/>
      <c r="G57" s="434"/>
      <c r="H57" s="434"/>
      <c r="I57" s="434"/>
      <c r="J57" s="434"/>
      <c r="K57" s="436"/>
      <c r="L57" s="446"/>
      <c r="M57" s="434"/>
      <c r="N57" s="434"/>
      <c r="O57" s="434"/>
      <c r="P57" s="434"/>
      <c r="Q57" s="434"/>
      <c r="R57" s="434"/>
      <c r="S57" s="434"/>
      <c r="T57" s="434"/>
      <c r="U57" s="434"/>
      <c r="V57" s="434"/>
      <c r="W57" s="434"/>
      <c r="X57" s="434"/>
      <c r="Y57" s="434"/>
    </row>
    <row r="58" spans="1:39" ht="17.3" customHeight="1" x14ac:dyDescent="0.25">
      <c r="A58" s="446"/>
      <c r="B58" s="434"/>
      <c r="C58" s="434"/>
      <c r="D58" s="434"/>
      <c r="E58" s="435"/>
      <c r="F58" s="173"/>
      <c r="G58" s="434"/>
      <c r="H58" s="434"/>
      <c r="I58" s="434"/>
      <c r="J58" s="434"/>
      <c r="K58" s="436"/>
      <c r="L58" s="446"/>
      <c r="M58" s="434"/>
      <c r="N58" s="434"/>
      <c r="O58" s="434"/>
      <c r="P58" s="434"/>
      <c r="Q58" s="434"/>
      <c r="R58" s="434"/>
      <c r="S58" s="434"/>
      <c r="T58" s="434"/>
      <c r="U58" s="434"/>
      <c r="V58" s="434"/>
      <c r="W58" s="434"/>
      <c r="X58" s="434"/>
      <c r="Y58" s="434"/>
    </row>
    <row r="59" spans="1:39" ht="17.3" customHeight="1" x14ac:dyDescent="0.25">
      <c r="A59" s="434"/>
      <c r="B59" s="434"/>
      <c r="C59" s="434"/>
      <c r="D59" s="434"/>
      <c r="E59" s="435"/>
      <c r="F59" s="173"/>
      <c r="G59" s="434"/>
      <c r="H59" s="434"/>
      <c r="I59" s="434"/>
      <c r="J59" s="434"/>
      <c r="K59" s="436"/>
      <c r="L59" s="446"/>
      <c r="M59" s="434"/>
      <c r="N59" s="434"/>
      <c r="O59" s="434"/>
      <c r="P59" s="434"/>
      <c r="Q59" s="434"/>
      <c r="R59" s="434"/>
      <c r="S59" s="434"/>
      <c r="T59" s="434"/>
      <c r="U59" s="434"/>
      <c r="V59" s="434"/>
      <c r="W59" s="434"/>
      <c r="X59" s="434"/>
      <c r="Y59" s="434"/>
    </row>
    <row r="60" spans="1:39" ht="12.7" x14ac:dyDescent="0.25">
      <c r="A60" s="2"/>
      <c r="B60" s="434"/>
      <c r="C60" s="434"/>
      <c r="D60" s="434"/>
      <c r="E60" s="435"/>
      <c r="F60" s="173"/>
      <c r="G60" s="434"/>
      <c r="H60" s="434"/>
      <c r="I60" s="434"/>
      <c r="J60" s="434"/>
      <c r="K60" s="436"/>
      <c r="L60" s="446"/>
      <c r="M60" s="434"/>
      <c r="N60" s="434"/>
      <c r="O60" s="434"/>
      <c r="P60" s="434"/>
      <c r="Q60" s="434"/>
      <c r="R60" s="434"/>
      <c r="S60" s="434"/>
      <c r="T60" s="434"/>
      <c r="U60" s="434"/>
      <c r="V60" s="434"/>
      <c r="W60" s="434"/>
      <c r="X60" s="434"/>
    </row>
    <row r="62" spans="1:39" ht="17.3" customHeight="1" thickBot="1" x14ac:dyDescent="0.3"/>
    <row r="63" spans="1:39" ht="17.3" customHeight="1" thickBot="1" x14ac:dyDescent="0.3">
      <c r="K63" s="2"/>
      <c r="L63" s="2"/>
      <c r="M63" s="2"/>
      <c r="O63" s="2484" t="s">
        <v>1141</v>
      </c>
      <c r="P63" s="2485"/>
      <c r="Q63" s="2485"/>
      <c r="R63" s="1942"/>
      <c r="S63" s="1942"/>
      <c r="T63" s="1943"/>
      <c r="U63" s="293"/>
      <c r="V63" s="461"/>
      <c r="W63" s="1942"/>
      <c r="X63" s="1942"/>
      <c r="Y63" s="1942"/>
      <c r="Z63" s="1943"/>
      <c r="AC63" s="1981"/>
      <c r="AD63" s="1635"/>
      <c r="AE63" s="1635"/>
      <c r="AF63" s="1635"/>
      <c r="AG63" s="1635"/>
      <c r="AH63" s="1635"/>
      <c r="AI63" s="1635"/>
      <c r="AJ63" s="1635"/>
      <c r="AK63" s="1635"/>
      <c r="AL63" s="1635"/>
      <c r="AM63" s="1636"/>
    </row>
    <row r="64" spans="1:39" ht="17.3" customHeight="1" thickBot="1" x14ac:dyDescent="0.3">
      <c r="K64" s="2"/>
      <c r="L64" s="2"/>
      <c r="M64" s="2"/>
      <c r="O64" s="2486"/>
      <c r="P64" s="2487"/>
      <c r="Q64" s="2487"/>
      <c r="R64" s="436"/>
      <c r="S64" s="436"/>
      <c r="T64" s="1944"/>
      <c r="U64" s="292"/>
      <c r="V64" s="1945"/>
      <c r="W64" s="1840" t="s">
        <v>1816</v>
      </c>
      <c r="X64" s="1867" t="s">
        <v>1693</v>
      </c>
      <c r="Y64" s="1835" t="s">
        <v>1607</v>
      </c>
      <c r="Z64" s="1944"/>
      <c r="AA64" s="1616"/>
      <c r="AC64" s="1637"/>
      <c r="AD64" s="1967" t="s">
        <v>149</v>
      </c>
      <c r="AE64" s="1967" t="s">
        <v>938</v>
      </c>
      <c r="AF64" s="4"/>
      <c r="AG64" s="3"/>
      <c r="AH64" s="3"/>
      <c r="AI64" s="3"/>
      <c r="AJ64" s="3"/>
      <c r="AK64" s="3"/>
      <c r="AL64" s="3"/>
      <c r="AM64" s="1638"/>
    </row>
    <row r="65" spans="11:39" ht="17.3" customHeight="1" thickBot="1" x14ac:dyDescent="0.3">
      <c r="K65" s="2"/>
      <c r="L65" s="2"/>
      <c r="M65" s="2"/>
      <c r="O65" s="1945"/>
      <c r="P65" s="436"/>
      <c r="Q65" s="436"/>
      <c r="R65" s="436"/>
      <c r="S65" s="436"/>
      <c r="T65" s="1944"/>
      <c r="U65" s="292"/>
      <c r="V65" s="1945"/>
      <c r="W65" s="1845"/>
      <c r="X65" s="296"/>
      <c r="Y65" s="1837"/>
      <c r="Z65" s="1944"/>
      <c r="AA65" s="1616"/>
      <c r="AC65" s="1637"/>
      <c r="AD65" s="1965" t="s">
        <v>1546</v>
      </c>
      <c r="AE65" s="1966">
        <v>0.1</v>
      </c>
      <c r="AF65" s="436"/>
      <c r="AG65" s="3"/>
      <c r="AH65" s="436"/>
      <c r="AI65" s="3"/>
      <c r="AJ65" s="3"/>
      <c r="AK65" s="3"/>
      <c r="AL65" s="3"/>
      <c r="AM65" s="1638"/>
    </row>
    <row r="66" spans="11:39" ht="27.8" customHeight="1" x14ac:dyDescent="0.25">
      <c r="K66" s="2"/>
      <c r="L66" s="2488" t="s">
        <v>1361</v>
      </c>
      <c r="M66" s="2"/>
      <c r="O66" s="1945"/>
      <c r="P66" s="1840" t="str">
        <f>'A3. UnitConversions'!A3</f>
        <v>[Select]</v>
      </c>
      <c r="Q66" s="1929" t="str">
        <f>'A3. UnitConversions'!B3</f>
        <v>Conversion factor to tonnes</v>
      </c>
      <c r="R66" s="436"/>
      <c r="S66" s="436"/>
      <c r="T66" s="1944"/>
      <c r="U66" s="1959"/>
      <c r="V66" s="1949"/>
      <c r="W66" s="1845"/>
      <c r="X66" s="296"/>
      <c r="Y66" s="1837"/>
      <c r="Z66" s="1944"/>
      <c r="AA66" s="1616"/>
      <c r="AC66" s="1637"/>
      <c r="AD66" s="1963" t="s">
        <v>1547</v>
      </c>
      <c r="AE66" s="1961">
        <v>0.5</v>
      </c>
      <c r="AF66" s="436"/>
      <c r="AG66" s="3"/>
      <c r="AH66" s="436"/>
      <c r="AI66" s="3"/>
      <c r="AJ66" s="3"/>
      <c r="AK66" s="3"/>
      <c r="AL66" s="3"/>
      <c r="AM66" s="1638"/>
    </row>
    <row r="67" spans="11:39" ht="17.3" customHeight="1" thickBot="1" x14ac:dyDescent="0.3">
      <c r="K67" s="446"/>
      <c r="L67" s="2489"/>
      <c r="M67" s="2"/>
      <c r="O67" s="1945"/>
      <c r="P67" s="1844" t="str">
        <f>'A3. UnitConversions'!A4</f>
        <v>kilograms</v>
      </c>
      <c r="Q67" s="1837">
        <f>'A3. UnitConversions'!B4</f>
        <v>1E-3</v>
      </c>
      <c r="R67" s="436"/>
      <c r="S67" s="436"/>
      <c r="T67" s="1944"/>
      <c r="U67" s="1959"/>
      <c r="V67" s="1949"/>
      <c r="W67" s="1845"/>
      <c r="X67" s="296"/>
      <c r="Y67" s="1837"/>
      <c r="Z67" s="1944"/>
      <c r="AA67" s="1616"/>
      <c r="AC67" s="1637"/>
      <c r="AD67" s="1963" t="s">
        <v>1548</v>
      </c>
      <c r="AE67" s="1961">
        <v>0</v>
      </c>
      <c r="AF67" s="436"/>
      <c r="AG67" s="3"/>
      <c r="AH67" s="436"/>
      <c r="AI67" s="3"/>
      <c r="AJ67" s="3"/>
      <c r="AK67" s="3"/>
      <c r="AL67" s="3"/>
      <c r="AM67" s="1638"/>
    </row>
    <row r="68" spans="11:39" ht="17.3" customHeight="1" x14ac:dyDescent="0.25">
      <c r="K68" s="446"/>
      <c r="L68" s="1985">
        <f>Q6</f>
        <v>0</v>
      </c>
      <c r="M68" s="2"/>
      <c r="N68" s="1616"/>
      <c r="O68" s="1946"/>
      <c r="P68" s="1968" t="str">
        <f>'A3. UnitConversions'!A5</f>
        <v xml:space="preserve">tonnes </v>
      </c>
      <c r="Q68" s="1930">
        <f>'A3. UnitConversions'!B5</f>
        <v>1</v>
      </c>
      <c r="R68" s="516"/>
      <c r="S68" s="516"/>
      <c r="T68" s="1947"/>
      <c r="U68" s="1015"/>
      <c r="V68" s="1978"/>
      <c r="W68" s="1968" t="s">
        <v>1608</v>
      </c>
      <c r="X68" s="1822">
        <v>1.3479891799999999</v>
      </c>
      <c r="Y68" s="1930">
        <v>0.6114376068905566</v>
      </c>
      <c r="Z68" s="1947"/>
      <c r="AA68" s="1616"/>
      <c r="AC68" s="1637"/>
      <c r="AD68" s="1963" t="s">
        <v>1549</v>
      </c>
      <c r="AE68" s="1961">
        <v>0</v>
      </c>
      <c r="AF68" s="436" t="s">
        <v>306</v>
      </c>
      <c r="AG68" s="3"/>
      <c r="AH68" s="3"/>
      <c r="AI68" s="3"/>
      <c r="AJ68" s="3"/>
      <c r="AK68" s="3"/>
      <c r="AL68" s="3"/>
      <c r="AM68" s="1638"/>
    </row>
    <row r="69" spans="11:39" ht="17.3" customHeight="1" x14ac:dyDescent="0.25">
      <c r="K69" s="446"/>
      <c r="L69" s="1698">
        <f>SUM(Q7:Q9)</f>
        <v>0</v>
      </c>
      <c r="M69" s="2"/>
      <c r="N69" s="1616"/>
      <c r="O69" s="1946"/>
      <c r="P69" s="1968" t="str">
        <f>'A3. UnitConversions'!A6</f>
        <v>tons (US, short)</v>
      </c>
      <c r="Q69" s="1930">
        <f>'A3. UnitConversions'!B6</f>
        <v>0.90718474000000004</v>
      </c>
      <c r="R69" s="516"/>
      <c r="S69" s="516"/>
      <c r="T69" s="1947"/>
      <c r="U69" s="1015"/>
      <c r="V69" s="1978"/>
      <c r="W69" s="1968" t="s">
        <v>1609</v>
      </c>
      <c r="X69" s="1939">
        <v>1.09219434</v>
      </c>
      <c r="Y69" s="1930">
        <v>0.49541101918118585</v>
      </c>
      <c r="Z69" s="1947"/>
      <c r="AA69" s="1616"/>
      <c r="AC69" s="1637"/>
      <c r="AD69" s="1963" t="s">
        <v>1951</v>
      </c>
      <c r="AE69" s="1961">
        <v>0.8</v>
      </c>
      <c r="AF69" s="436"/>
      <c r="AG69" s="3"/>
      <c r="AH69" s="436"/>
      <c r="AI69" s="3"/>
      <c r="AJ69" s="3"/>
      <c r="AK69" s="3"/>
      <c r="AL69" s="3"/>
      <c r="AM69" s="1638"/>
    </row>
    <row r="70" spans="11:39" ht="17.3" customHeight="1" thickBot="1" x14ac:dyDescent="0.3">
      <c r="K70" s="446"/>
      <c r="L70" s="1698">
        <f ca="1">SUM(Q16:Q17)</f>
        <v>0</v>
      </c>
      <c r="M70" s="2"/>
      <c r="N70" s="1616"/>
      <c r="O70" s="1946"/>
      <c r="P70" s="1969" t="str">
        <f>'A3. UnitConversions'!A7</f>
        <v>litres</v>
      </c>
      <c r="Q70" s="1931">
        <f>'A3. UnitConversions'!B7</f>
        <v>1</v>
      </c>
      <c r="R70" s="516"/>
      <c r="S70" s="516"/>
      <c r="T70" s="1947"/>
      <c r="U70" s="1011"/>
      <c r="V70" s="1978"/>
      <c r="W70" s="1968" t="s">
        <v>1610</v>
      </c>
      <c r="X70" s="1939">
        <v>1.1636835300000001</v>
      </c>
      <c r="Y70" s="1930">
        <v>0.52783797030266622</v>
      </c>
      <c r="Z70" s="1947"/>
      <c r="AA70" s="1616"/>
      <c r="AC70" s="1637"/>
      <c r="AD70" s="1963" t="s">
        <v>295</v>
      </c>
      <c r="AE70" s="1961">
        <v>0.8</v>
      </c>
      <c r="AF70" s="436"/>
      <c r="AG70" s="3"/>
      <c r="AH70" s="436"/>
      <c r="AI70" s="3"/>
      <c r="AJ70" s="3"/>
      <c r="AK70" s="3"/>
      <c r="AL70" s="3"/>
      <c r="AM70" s="1638"/>
    </row>
    <row r="71" spans="11:39" ht="17.3" customHeight="1" x14ac:dyDescent="0.25">
      <c r="K71" s="446"/>
      <c r="L71" s="1698">
        <f ca="1">Q13+Q18+Q20+Q19+Q21</f>
        <v>0</v>
      </c>
      <c r="M71" s="2"/>
      <c r="N71" s="1616"/>
      <c r="O71" s="1946"/>
      <c r="P71" s="1608"/>
      <c r="Q71" s="451"/>
      <c r="R71" s="451"/>
      <c r="S71" s="451"/>
      <c r="T71" s="1948"/>
      <c r="U71" s="1960"/>
      <c r="V71" s="1978"/>
      <c r="W71" s="1968" t="s">
        <v>1611</v>
      </c>
      <c r="X71" s="1939">
        <v>1.2366303000000001</v>
      </c>
      <c r="Y71" s="1930">
        <v>0.56092606859081107</v>
      </c>
      <c r="Z71" s="1947"/>
      <c r="AA71" s="1616"/>
      <c r="AC71" s="1637"/>
      <c r="AD71" s="1963" t="s">
        <v>299</v>
      </c>
      <c r="AE71" s="1961">
        <v>0.2</v>
      </c>
      <c r="AF71" s="436"/>
      <c r="AG71" s="3"/>
      <c r="AH71" s="436"/>
      <c r="AI71" s="3"/>
      <c r="AJ71" s="3"/>
      <c r="AK71" s="3"/>
      <c r="AL71" s="3"/>
      <c r="AM71" s="1638"/>
    </row>
    <row r="72" spans="11:39" ht="17.3" customHeight="1" thickBot="1" x14ac:dyDescent="0.3">
      <c r="K72" s="446"/>
      <c r="L72" s="1698">
        <f>Q22</f>
        <v>0</v>
      </c>
      <c r="M72" s="434"/>
      <c r="N72" s="292"/>
      <c r="O72" s="1949"/>
      <c r="P72" s="1970"/>
      <c r="Q72" s="441"/>
      <c r="R72" s="441"/>
      <c r="S72" s="441"/>
      <c r="T72" s="1950"/>
      <c r="U72" s="443"/>
      <c r="V72" s="1949"/>
      <c r="W72" s="1968" t="s">
        <v>1565</v>
      </c>
      <c r="X72" s="1823">
        <v>0.542157</v>
      </c>
      <c r="Y72" s="1837">
        <v>0.24591827854209003</v>
      </c>
      <c r="Z72" s="1944"/>
      <c r="AA72" s="1616"/>
      <c r="AC72" s="1637"/>
      <c r="AD72" s="1964" t="s">
        <v>300</v>
      </c>
      <c r="AE72" s="1962">
        <v>0.8</v>
      </c>
      <c r="AF72" s="436"/>
      <c r="AG72" s="3"/>
      <c r="AH72" s="436"/>
      <c r="AI72" s="3"/>
      <c r="AJ72" s="3"/>
      <c r="AK72" s="3"/>
      <c r="AL72" s="3"/>
      <c r="AM72" s="1638"/>
    </row>
    <row r="73" spans="11:39" ht="17.3" customHeight="1" thickBot="1" x14ac:dyDescent="0.3">
      <c r="K73" s="446"/>
      <c r="L73" s="1698">
        <f ca="1">IF(ISERROR(Q28),0,Q28)</f>
        <v>0</v>
      </c>
      <c r="M73" s="434"/>
      <c r="N73" s="292"/>
      <c r="O73" s="1949"/>
      <c r="P73" s="147"/>
      <c r="Q73" s="436"/>
      <c r="R73" s="441"/>
      <c r="S73" s="441"/>
      <c r="T73" s="1950"/>
      <c r="U73" s="443"/>
      <c r="V73" s="1949"/>
      <c r="W73" s="1968" t="s">
        <v>1566</v>
      </c>
      <c r="X73" s="1823">
        <v>1.9201279600000001</v>
      </c>
      <c r="Y73" s="1870">
        <v>0.87095539207966532</v>
      </c>
      <c r="Z73" s="1944"/>
      <c r="AA73" s="1616"/>
      <c r="AC73" s="1641"/>
      <c r="AD73" s="1642"/>
      <c r="AE73" s="1642"/>
      <c r="AF73" s="1642"/>
      <c r="AG73" s="1642"/>
      <c r="AH73" s="1642"/>
      <c r="AI73" s="1642"/>
      <c r="AJ73" s="1642"/>
      <c r="AK73" s="1642"/>
      <c r="AL73" s="1642"/>
      <c r="AM73" s="1643"/>
    </row>
    <row r="74" spans="11:39" ht="17.3" customHeight="1" x14ac:dyDescent="0.25">
      <c r="K74" s="446"/>
      <c r="L74" s="1982">
        <f ca="1">SUM(L68:L73)</f>
        <v>0</v>
      </c>
      <c r="M74" s="434"/>
      <c r="N74" s="292"/>
      <c r="O74" s="1949"/>
      <c r="P74" s="147"/>
      <c r="Q74" s="436"/>
      <c r="R74" s="441"/>
      <c r="S74" s="441"/>
      <c r="T74" s="1950"/>
      <c r="U74" s="443"/>
      <c r="V74" s="1949"/>
      <c r="W74" s="1968" t="s">
        <v>1567</v>
      </c>
      <c r="X74" s="1823">
        <v>0.80964922999999989</v>
      </c>
      <c r="Y74" s="1870">
        <v>0.36725071310437507</v>
      </c>
      <c r="Z74" s="1944"/>
      <c r="AA74" s="1616"/>
    </row>
    <row r="75" spans="11:39" ht="17.3" customHeight="1" thickBot="1" x14ac:dyDescent="0.3">
      <c r="K75" s="446"/>
      <c r="L75" s="1983">
        <f ca="1">L74/'1.GeneralInfo'!S12</f>
        <v>0</v>
      </c>
      <c r="M75" s="434"/>
      <c r="N75" s="292"/>
      <c r="O75" s="1945"/>
      <c r="P75" s="147"/>
      <c r="Q75" s="436"/>
      <c r="R75" s="436"/>
      <c r="S75" s="436"/>
      <c r="T75" s="1944"/>
      <c r="U75" s="292"/>
      <c r="V75" s="1945"/>
      <c r="W75" s="1968" t="s">
        <v>1224</v>
      </c>
      <c r="X75" s="1823">
        <v>2.0268021699999998</v>
      </c>
      <c r="Y75" s="1870">
        <v>0.91934199981144293</v>
      </c>
      <c r="Z75" s="1950"/>
      <c r="AA75" s="1616"/>
    </row>
    <row r="76" spans="11:39" ht="17.3" customHeight="1" thickBot="1" x14ac:dyDescent="0.3">
      <c r="K76" s="446"/>
      <c r="L76" s="434"/>
      <c r="M76" s="434"/>
      <c r="N76" s="292"/>
      <c r="O76" s="1945"/>
      <c r="P76" s="147"/>
      <c r="Q76" s="436"/>
      <c r="R76" s="517"/>
      <c r="S76" s="517"/>
      <c r="T76" s="1951"/>
      <c r="U76" s="292"/>
      <c r="V76" s="1945"/>
      <c r="W76" s="1968" t="s">
        <v>1568</v>
      </c>
      <c r="X76" s="1823">
        <v>2.4411402500000006</v>
      </c>
      <c r="Y76" s="1870">
        <v>1.1072825914998927</v>
      </c>
      <c r="Z76" s="1944"/>
      <c r="AA76" s="1616"/>
    </row>
    <row r="77" spans="11:39" ht="17.3" customHeight="1" x14ac:dyDescent="0.25">
      <c r="K77" s="446"/>
      <c r="L77" s="434"/>
      <c r="M77" s="434"/>
      <c r="N77" s="292"/>
      <c r="O77" s="1945"/>
      <c r="P77" s="1840" t="s">
        <v>768</v>
      </c>
      <c r="Q77" s="1835" t="s">
        <v>769</v>
      </c>
      <c r="R77" s="1377"/>
      <c r="S77" s="436"/>
      <c r="T77" s="1944"/>
      <c r="U77" s="292"/>
      <c r="V77" s="1945"/>
      <c r="W77" s="1968" t="s">
        <v>1569</v>
      </c>
      <c r="X77" s="296">
        <v>1.3469165299999999</v>
      </c>
      <c r="Y77" s="1837">
        <v>0.61095106103487606</v>
      </c>
      <c r="Z77" s="1944"/>
      <c r="AA77" s="1616"/>
    </row>
    <row r="78" spans="11:39" ht="17.3" customHeight="1" x14ac:dyDescent="0.25">
      <c r="K78" s="446"/>
      <c r="L78" s="434"/>
      <c r="M78" s="434"/>
      <c r="N78" s="292"/>
      <c r="O78" s="1945"/>
      <c r="P78" s="1971" t="str">
        <f>'A3. UnitConversions'!A31</f>
        <v>[Select]</v>
      </c>
      <c r="Q78" s="1952">
        <f>'A3. UnitConversions'!B31</f>
        <v>0</v>
      </c>
      <c r="R78" s="1378"/>
      <c r="S78" s="436"/>
      <c r="T78" s="1944"/>
      <c r="U78" s="292"/>
      <c r="V78" s="1945"/>
      <c r="W78" s="1968" t="s">
        <v>1570</v>
      </c>
      <c r="X78" s="296">
        <v>1.4101737799999998</v>
      </c>
      <c r="Y78" s="1837">
        <v>0.63964406698205856</v>
      </c>
      <c r="Z78" s="1944"/>
      <c r="AA78" s="1616"/>
    </row>
    <row r="79" spans="11:39" ht="17.3" customHeight="1" x14ac:dyDescent="0.25">
      <c r="K79" s="2"/>
      <c r="L79" s="2"/>
      <c r="M79" s="2"/>
      <c r="N79" s="1616"/>
      <c r="O79" s="1945"/>
      <c r="P79" s="1971" t="str">
        <f>'A3. UnitConversions'!A32</f>
        <v>kWh</v>
      </c>
      <c r="Q79" s="1952">
        <f>'A3. UnitConversions'!B32</f>
        <v>3.6</v>
      </c>
      <c r="R79" s="1378"/>
      <c r="S79" s="436"/>
      <c r="T79" s="1944"/>
      <c r="U79" s="292"/>
      <c r="V79" s="1945"/>
      <c r="W79" s="1968" t="s">
        <v>953</v>
      </c>
      <c r="X79" s="296">
        <v>1.74401316</v>
      </c>
      <c r="Y79" s="1837">
        <v>0.79107106255558923</v>
      </c>
      <c r="Z79" s="1944"/>
      <c r="AA79" s="1616"/>
    </row>
    <row r="80" spans="11:39" ht="17.3" customHeight="1" x14ac:dyDescent="0.25">
      <c r="N80" s="1616"/>
      <c r="O80" s="1945"/>
      <c r="P80" s="1971" t="str">
        <f>'A3. UnitConversions'!A33</f>
        <v>MJ</v>
      </c>
      <c r="Q80" s="1952">
        <f>'A3. UnitConversions'!B33</f>
        <v>1</v>
      </c>
      <c r="R80" s="1378"/>
      <c r="S80" s="436"/>
      <c r="T80" s="1944"/>
      <c r="U80" s="292"/>
      <c r="V80" s="1945"/>
      <c r="W80" s="1968" t="s">
        <v>1571</v>
      </c>
      <c r="X80" s="296">
        <v>0.13522724</v>
      </c>
      <c r="Y80" s="1837">
        <v>6.13380442801588E-2</v>
      </c>
      <c r="Z80" s="1944"/>
      <c r="AA80" s="1616"/>
    </row>
    <row r="81" spans="14:27" ht="17.3" customHeight="1" x14ac:dyDescent="0.25">
      <c r="N81" s="1616"/>
      <c r="O81" s="1945"/>
      <c r="P81" s="1971" t="str">
        <f>'A3. UnitConversions'!A34</f>
        <v>therms</v>
      </c>
      <c r="Q81" s="1952">
        <f>'A3. UnitConversions'!B34</f>
        <v>105.5</v>
      </c>
      <c r="R81" s="1378"/>
      <c r="S81" s="436"/>
      <c r="T81" s="1944"/>
      <c r="U81" s="292"/>
      <c r="V81" s="1945"/>
      <c r="W81" s="1968" t="s">
        <v>1869</v>
      </c>
      <c r="X81" s="296">
        <v>1.1318047499999999</v>
      </c>
      <c r="Y81" s="1837">
        <v>0.51337799892975744</v>
      </c>
      <c r="Z81" s="1944"/>
      <c r="AA81" s="1616"/>
    </row>
    <row r="82" spans="14:27" ht="17.3" customHeight="1" thickBot="1" x14ac:dyDescent="0.3">
      <c r="N82" s="1616"/>
      <c r="O82" s="1945"/>
      <c r="P82" s="1972" t="str">
        <f>'A3. UnitConversions'!A35</f>
        <v>Btu</v>
      </c>
      <c r="Q82" s="1953">
        <f>'A3. UnitConversions'!B35</f>
        <v>1.0549999999999999E-3</v>
      </c>
      <c r="R82" s="1378"/>
      <c r="S82" s="436"/>
      <c r="T82" s="1944"/>
      <c r="U82" s="292"/>
      <c r="V82" s="1945"/>
      <c r="W82" s="1968" t="s">
        <v>1870</v>
      </c>
      <c r="X82" s="296">
        <v>2.0986524600000003</v>
      </c>
      <c r="Y82" s="1837">
        <v>0.95193274313773035</v>
      </c>
      <c r="Z82" s="1944"/>
      <c r="AA82" s="1616"/>
    </row>
    <row r="83" spans="14:27" ht="17.3" customHeight="1" x14ac:dyDescent="0.25">
      <c r="N83" s="1616"/>
      <c r="O83" s="1945"/>
      <c r="P83" s="1970"/>
      <c r="Q83" s="436"/>
      <c r="R83" s="1378"/>
      <c r="S83" s="436"/>
      <c r="T83" s="1944"/>
      <c r="U83" s="292"/>
      <c r="V83" s="1945"/>
      <c r="W83" s="1968" t="s">
        <v>1871</v>
      </c>
      <c r="X83" s="296">
        <v>1.9171590200000002</v>
      </c>
      <c r="Y83" s="1837">
        <v>0.86960870354867748</v>
      </c>
      <c r="Z83" s="1944"/>
      <c r="AA83" s="1616"/>
    </row>
    <row r="84" spans="14:27" ht="17.3" customHeight="1" thickBot="1" x14ac:dyDescent="0.3">
      <c r="N84" s="1616"/>
      <c r="O84" s="1945"/>
      <c r="P84" s="1970"/>
      <c r="Q84" s="436"/>
      <c r="R84" s="1378"/>
      <c r="S84" s="436"/>
      <c r="T84" s="356"/>
      <c r="U84" s="292"/>
      <c r="V84" s="1945"/>
      <c r="W84" s="1968" t="s">
        <v>1872</v>
      </c>
      <c r="X84" s="296">
        <v>1.9047690100000001</v>
      </c>
      <c r="Y84" s="1837">
        <v>0.86398868954845376</v>
      </c>
      <c r="Z84" s="1944"/>
      <c r="AA84" s="1616"/>
    </row>
    <row r="85" spans="14:27" ht="17.3" customHeight="1" x14ac:dyDescent="0.25">
      <c r="O85" s="1945"/>
      <c r="P85" s="1973" t="str">
        <f>'A3. UnitConversions'!A39</f>
        <v>[Select]</v>
      </c>
      <c r="Q85" s="1954">
        <f>'A3. UnitConversions'!B39</f>
        <v>0</v>
      </c>
      <c r="R85" s="453"/>
      <c r="S85" s="436"/>
      <c r="T85" s="356"/>
      <c r="U85" s="292"/>
      <c r="V85" s="1945"/>
      <c r="W85" s="1968" t="s">
        <v>1873</v>
      </c>
      <c r="X85" s="296">
        <v>2.0683866100000001</v>
      </c>
      <c r="Y85" s="1837">
        <v>0.93820438450616583</v>
      </c>
      <c r="Z85" s="1944"/>
      <c r="AA85" s="1616"/>
    </row>
    <row r="86" spans="14:27" ht="17.3" customHeight="1" x14ac:dyDescent="0.25">
      <c r="O86" s="1945"/>
      <c r="P86" s="1971" t="str">
        <f>'A3. UnitConversions'!A40</f>
        <v>kg</v>
      </c>
      <c r="Q86" s="1870">
        <f>'A3. UnitConversions'!B40</f>
        <v>1</v>
      </c>
      <c r="R86" s="452"/>
      <c r="S86" s="436"/>
      <c r="T86" s="1944"/>
      <c r="U86" s="292"/>
      <c r="V86" s="1945"/>
      <c r="W86" s="1968" t="s">
        <v>1874</v>
      </c>
      <c r="X86" s="296">
        <v>1.1800985699999997</v>
      </c>
      <c r="Y86" s="1837">
        <v>0.53528370719991081</v>
      </c>
      <c r="Z86" s="1944"/>
      <c r="AA86" s="1616"/>
    </row>
    <row r="87" spans="14:27" ht="17.3" customHeight="1" x14ac:dyDescent="0.25">
      <c r="O87" s="1945"/>
      <c r="P87" s="1971" t="str">
        <f>'A3. UnitConversions'!A41</f>
        <v>tonnes</v>
      </c>
      <c r="Q87" s="1870">
        <f>'A3. UnitConversions'!B41</f>
        <v>1000</v>
      </c>
      <c r="R87" s="525"/>
      <c r="S87" s="436"/>
      <c r="T87" s="1944"/>
      <c r="U87" s="292"/>
      <c r="V87" s="1945"/>
      <c r="W87" s="1968" t="s">
        <v>1875</v>
      </c>
      <c r="X87" s="296">
        <v>0.75499229000000001</v>
      </c>
      <c r="Y87" s="1837">
        <v>0.34245874215282734</v>
      </c>
      <c r="Z87" s="1944"/>
      <c r="AA87" s="1616"/>
    </row>
    <row r="88" spans="14:27" ht="17.3" customHeight="1" thickBot="1" x14ac:dyDescent="0.3">
      <c r="O88" s="1945"/>
      <c r="P88" s="1852" t="s">
        <v>296</v>
      </c>
      <c r="Q88" s="1839">
        <v>1E-3</v>
      </c>
      <c r="R88" s="436"/>
      <c r="S88" s="436"/>
      <c r="T88" s="1944"/>
      <c r="U88" s="292"/>
      <c r="V88" s="1945"/>
      <c r="W88" s="1968" t="s">
        <v>1876</v>
      </c>
      <c r="X88" s="296">
        <v>1.3598625800000002</v>
      </c>
      <c r="Y88" s="1837">
        <v>0.61682329053651475</v>
      </c>
      <c r="Z88" s="1944"/>
      <c r="AA88" s="1616"/>
    </row>
    <row r="89" spans="14:27" ht="17.3" customHeight="1" x14ac:dyDescent="0.25">
      <c r="O89" s="1945"/>
      <c r="P89" s="142"/>
      <c r="Q89" s="2"/>
      <c r="R89" s="149"/>
      <c r="S89" s="436"/>
      <c r="T89" s="1944"/>
      <c r="U89" s="292"/>
      <c r="V89" s="1945"/>
      <c r="W89" s="1968" t="s">
        <v>1877</v>
      </c>
      <c r="X89" s="296">
        <v>1.26972033</v>
      </c>
      <c r="Y89" s="1837">
        <v>0.57593545372188215</v>
      </c>
      <c r="Z89" s="1944"/>
      <c r="AA89" s="1616"/>
    </row>
    <row r="90" spans="14:27" ht="17.3" customHeight="1" thickBot="1" x14ac:dyDescent="0.3">
      <c r="O90" s="1945"/>
      <c r="P90" s="142"/>
      <c r="Q90" s="2"/>
      <c r="R90" s="436"/>
      <c r="S90" s="436"/>
      <c r="T90" s="1944"/>
      <c r="U90" s="292"/>
      <c r="V90" s="1945"/>
      <c r="W90" s="1968" t="s">
        <v>1878</v>
      </c>
      <c r="X90" s="296">
        <v>1.3552916499999998</v>
      </c>
      <c r="Y90" s="1837">
        <v>0.61474995156471046</v>
      </c>
      <c r="Z90" s="1944"/>
      <c r="AA90" s="1616"/>
    </row>
    <row r="91" spans="14:27" ht="17.3" customHeight="1" x14ac:dyDescent="0.25">
      <c r="O91" s="1945"/>
      <c r="P91" s="1973" t="str">
        <f>'A3. UnitConversions'!A53</f>
        <v>[Select]</v>
      </c>
      <c r="Q91" s="1954">
        <f>'A3. UnitConversions'!B53</f>
        <v>0</v>
      </c>
      <c r="R91" s="436"/>
      <c r="S91" s="436"/>
      <c r="T91" s="1944"/>
      <c r="U91" s="292"/>
      <c r="V91" s="1945"/>
      <c r="W91" s="1968" t="s">
        <v>1879</v>
      </c>
      <c r="X91" s="296">
        <v>1.60407104</v>
      </c>
      <c r="Y91" s="1837">
        <v>0.7275943846819648</v>
      </c>
      <c r="Z91" s="1944"/>
      <c r="AA91" s="1616"/>
    </row>
    <row r="92" spans="14:27" ht="17.3" customHeight="1" x14ac:dyDescent="0.25">
      <c r="O92" s="1945"/>
      <c r="P92" s="1971" t="str">
        <f>'A3. UnitConversions'!A54</f>
        <v>Litres</v>
      </c>
      <c r="Q92" s="1870">
        <f>'A3. UnitConversions'!B54</f>
        <v>1</v>
      </c>
      <c r="R92" s="436"/>
      <c r="S92" s="436"/>
      <c r="T92" s="1944"/>
      <c r="U92" s="292"/>
      <c r="V92" s="1945"/>
      <c r="W92" s="1968" t="s">
        <v>1880</v>
      </c>
      <c r="X92" s="180">
        <v>1.23158857</v>
      </c>
      <c r="Y92" s="1837">
        <v>0.55863917833121091</v>
      </c>
      <c r="Z92" s="1944"/>
      <c r="AA92" s="1616"/>
    </row>
    <row r="93" spans="14:27" ht="17.3" customHeight="1" x14ac:dyDescent="0.25">
      <c r="O93" s="1945"/>
      <c r="P93" s="1971" t="str">
        <f>'A3. UnitConversions'!A55</f>
        <v>US Gallons</v>
      </c>
      <c r="Q93" s="1870">
        <f>'A3. UnitConversions'!B55</f>
        <v>3.785412</v>
      </c>
      <c r="R93" s="436"/>
      <c r="S93" s="436"/>
      <c r="T93" s="1944"/>
      <c r="U93" s="292"/>
      <c r="V93" s="1945"/>
      <c r="W93" s="1968" t="s">
        <v>1881</v>
      </c>
      <c r="X93" s="296">
        <v>1.85655291</v>
      </c>
      <c r="Y93" s="1837">
        <v>0.84211823447729672</v>
      </c>
      <c r="Z93" s="1944"/>
      <c r="AA93" s="1616"/>
    </row>
    <row r="94" spans="14:27" ht="17.3" customHeight="1" thickBot="1" x14ac:dyDescent="0.3">
      <c r="O94" s="1945"/>
      <c r="P94" s="1972" t="str">
        <f>'A3. UnitConversions'!A56</f>
        <v>Imperial Gallons</v>
      </c>
      <c r="Q94" s="1872">
        <f>'A3. UnitConversions'!B56</f>
        <v>4.5460900000000004</v>
      </c>
      <c r="R94" s="436"/>
      <c r="S94" s="436"/>
      <c r="T94" s="1638"/>
      <c r="U94" s="1616"/>
      <c r="V94" s="1945"/>
      <c r="W94" s="1968" t="s">
        <v>1882</v>
      </c>
      <c r="X94" s="296">
        <v>1.6005944499999998</v>
      </c>
      <c r="Y94" s="1837">
        <v>0.72601742998434649</v>
      </c>
      <c r="Z94" s="1944"/>
      <c r="AA94" s="1616"/>
    </row>
    <row r="95" spans="14:27" ht="17.3" customHeight="1" thickBot="1" x14ac:dyDescent="0.3">
      <c r="O95" s="1945"/>
      <c r="P95" s="142"/>
      <c r="Q95" s="2"/>
      <c r="R95" s="436"/>
      <c r="S95" s="436"/>
      <c r="T95" s="1638"/>
      <c r="U95" s="1616"/>
      <c r="V95" s="1945"/>
      <c r="W95" s="1968" t="s">
        <v>434</v>
      </c>
      <c r="X95" s="296">
        <v>1.6142647400000001</v>
      </c>
      <c r="Y95" s="1837">
        <v>0.73221816922403393</v>
      </c>
      <c r="Z95" s="1944"/>
      <c r="AA95" s="1616"/>
    </row>
    <row r="96" spans="14:27" ht="17.3" customHeight="1" x14ac:dyDescent="0.25">
      <c r="O96" s="1945"/>
      <c r="P96" s="1840" t="str">
        <f>'A3. UnitConversions'!A39</f>
        <v>[Select]</v>
      </c>
      <c r="Q96" s="1843">
        <f>'A3. UnitConversions'!B39</f>
        <v>0</v>
      </c>
      <c r="R96" s="436"/>
      <c r="S96" s="436"/>
      <c r="T96" s="1638"/>
      <c r="U96" s="1616"/>
      <c r="V96" s="1945"/>
      <c r="W96" s="1968" t="s">
        <v>1883</v>
      </c>
      <c r="X96" s="296">
        <v>1.4465741000000001</v>
      </c>
      <c r="Y96" s="1837">
        <v>0.65615497439961712</v>
      </c>
      <c r="Z96" s="1944"/>
      <c r="AA96" s="1616"/>
    </row>
    <row r="97" spans="15:27" ht="17.3" customHeight="1" x14ac:dyDescent="0.25">
      <c r="O97" s="1945"/>
      <c r="P97" s="1844" t="str">
        <f>'A3. UnitConversions'!A40</f>
        <v>kg</v>
      </c>
      <c r="Q97" s="1837">
        <f>'A3. UnitConversions'!B40</f>
        <v>1</v>
      </c>
      <c r="R97" s="436"/>
      <c r="S97" s="436"/>
      <c r="T97" s="1944"/>
      <c r="U97" s="292"/>
      <c r="V97" s="1945"/>
      <c r="W97" s="1968" t="s">
        <v>1884</v>
      </c>
      <c r="X97" s="296">
        <v>0.79424795999999998</v>
      </c>
      <c r="Y97" s="1837">
        <v>0.36026481454406523</v>
      </c>
      <c r="Z97" s="1944"/>
      <c r="AA97" s="1616"/>
    </row>
    <row r="98" spans="15:27" ht="17.3" customHeight="1" x14ac:dyDescent="0.25">
      <c r="O98" s="1945"/>
      <c r="P98" s="1844" t="str">
        <f>'A3. UnitConversions'!A41</f>
        <v>tonnes</v>
      </c>
      <c r="Q98" s="1837">
        <f>'A3. UnitConversions'!B41</f>
        <v>1000</v>
      </c>
      <c r="R98" s="436"/>
      <c r="S98" s="436"/>
      <c r="T98" s="1944"/>
      <c r="U98" s="292"/>
      <c r="V98" s="1945"/>
      <c r="W98" s="1968" t="s">
        <v>1885</v>
      </c>
      <c r="X98" s="296">
        <v>0.72251934000000007</v>
      </c>
      <c r="Y98" s="1837">
        <v>0.32772925980143586</v>
      </c>
      <c r="Z98" s="1944"/>
      <c r="AA98" s="1616"/>
    </row>
    <row r="99" spans="15:27" ht="17.3" customHeight="1" x14ac:dyDescent="0.25">
      <c r="O99" s="1945"/>
      <c r="P99" s="1844" t="str">
        <f>'A3. UnitConversions'!A42</f>
        <v>pounds</v>
      </c>
      <c r="Q99" s="1837">
        <f>'A3. UnitConversions'!B42</f>
        <v>0.45359237000000002</v>
      </c>
      <c r="R99" s="436"/>
      <c r="S99" s="436"/>
      <c r="T99" s="1944"/>
      <c r="U99" s="448"/>
      <c r="V99" s="1945"/>
      <c r="W99" s="1968" t="s">
        <v>1886</v>
      </c>
      <c r="X99" s="296">
        <v>1.9455188800000003</v>
      </c>
      <c r="Y99" s="1837">
        <v>0.8824725196589458</v>
      </c>
      <c r="Z99" s="1944"/>
      <c r="AA99" s="1616"/>
    </row>
    <row r="100" spans="15:27" ht="17.3" customHeight="1" thickBot="1" x14ac:dyDescent="0.3">
      <c r="O100" s="1945"/>
      <c r="P100" s="1852" t="str">
        <f>'A3. UnitConversions'!A43</f>
        <v xml:space="preserve">tons (US short) </v>
      </c>
      <c r="Q100" s="1839">
        <f>'A3. UnitConversions'!B43</f>
        <v>907.18474000000003</v>
      </c>
      <c r="R100" s="436"/>
      <c r="S100" s="436"/>
      <c r="T100" s="1944"/>
      <c r="U100" s="448"/>
      <c r="V100" s="1945"/>
      <c r="W100" s="1968" t="s">
        <v>1488</v>
      </c>
      <c r="X100" s="296">
        <v>0.83233536000000008</v>
      </c>
      <c r="Y100" s="1837">
        <v>0.37754096857720326</v>
      </c>
      <c r="Z100" s="1944"/>
      <c r="AA100" s="1616"/>
    </row>
    <row r="101" spans="15:27" ht="17.3" customHeight="1" x14ac:dyDescent="0.25">
      <c r="O101" s="1945"/>
      <c r="P101" s="142"/>
      <c r="Q101" s="2"/>
      <c r="R101" s="436"/>
      <c r="S101" s="436"/>
      <c r="T101" s="1944"/>
      <c r="U101" s="448"/>
      <c r="V101" s="1945"/>
      <c r="W101" s="1968" t="s">
        <v>1489</v>
      </c>
      <c r="X101" s="296">
        <v>1.2317762200000002</v>
      </c>
      <c r="Y101" s="1837">
        <v>0.55872429493944153</v>
      </c>
      <c r="Z101" s="1944"/>
      <c r="AA101" s="1616"/>
    </row>
    <row r="102" spans="15:27" ht="17.3" customHeight="1" thickBot="1" x14ac:dyDescent="0.3">
      <c r="O102" s="1945"/>
      <c r="P102" s="142"/>
      <c r="Q102" s="2"/>
      <c r="R102" s="436"/>
      <c r="S102" s="436"/>
      <c r="T102" s="356"/>
      <c r="U102" s="448"/>
      <c r="V102" s="1639"/>
      <c r="W102" s="1968" t="s">
        <v>1490</v>
      </c>
      <c r="X102" s="296">
        <v>2.3368430999999998</v>
      </c>
      <c r="Y102" s="1837">
        <v>1.059974200047147</v>
      </c>
      <c r="Z102" s="1944"/>
      <c r="AA102" s="1616"/>
    </row>
    <row r="103" spans="15:27" ht="17.3" customHeight="1" x14ac:dyDescent="0.25">
      <c r="O103" s="1945"/>
      <c r="P103" s="1840" t="str">
        <f>'A3. UnitConversions'!A45</f>
        <v>[Select]</v>
      </c>
      <c r="Q103" s="1835" t="str">
        <f>'A3. UnitConversions'!B45</f>
        <v>conversion to kgs</v>
      </c>
      <c r="R103" s="436"/>
      <c r="S103" s="436"/>
      <c r="T103" s="1944"/>
      <c r="U103" s="448"/>
      <c r="V103" s="1945"/>
      <c r="W103" s="1968" t="s">
        <v>1491</v>
      </c>
      <c r="X103" s="296">
        <v>1.78121515</v>
      </c>
      <c r="Y103" s="1837">
        <v>0.80794560136840554</v>
      </c>
      <c r="Z103" s="1944"/>
      <c r="AA103" s="1616"/>
    </row>
    <row r="104" spans="15:27" ht="17.3" customHeight="1" x14ac:dyDescent="0.25">
      <c r="O104" s="1945"/>
      <c r="P104" s="1844" t="str">
        <f>'A3. UnitConversions'!A46</f>
        <v>kWh</v>
      </c>
      <c r="Q104" s="1837">
        <f>'A3. UnitConversions'!B46</f>
        <v>7.5789473684210532E-2</v>
      </c>
      <c r="R104" s="436"/>
      <c r="S104" s="436"/>
      <c r="T104" s="1944"/>
      <c r="U104" s="448"/>
      <c r="V104" s="1945"/>
      <c r="W104" s="1968" t="s">
        <v>1492</v>
      </c>
      <c r="X104" s="296">
        <v>1.5693519899999999</v>
      </c>
      <c r="Y104" s="1837">
        <v>0.71184608850831632</v>
      </c>
      <c r="Z104" s="1944"/>
      <c r="AA104" s="1616"/>
    </row>
    <row r="105" spans="15:27" ht="17.3" customHeight="1" x14ac:dyDescent="0.25">
      <c r="O105" s="1945"/>
      <c r="P105" s="1844" t="str">
        <f>'A3. UnitConversions'!A47</f>
        <v>MJ</v>
      </c>
      <c r="Q105" s="1837">
        <f>'A3. UnitConversions'!B47</f>
        <v>2.1052631578947368E-2</v>
      </c>
      <c r="R105" s="436"/>
      <c r="S105" s="436"/>
      <c r="T105" s="1944"/>
      <c r="U105" s="448"/>
      <c r="V105" s="1945"/>
      <c r="W105" s="1968" t="s">
        <v>1493</v>
      </c>
      <c r="X105" s="296">
        <v>0.40329504999999999</v>
      </c>
      <c r="Y105" s="1837">
        <v>0.1829315575387685</v>
      </c>
      <c r="Z105" s="1944"/>
      <c r="AA105" s="1616"/>
    </row>
    <row r="106" spans="15:27" ht="17.3" customHeight="1" x14ac:dyDescent="0.25">
      <c r="O106" s="1945"/>
      <c r="P106" s="1844" t="str">
        <f>'A3. UnitConversions'!A48</f>
        <v>therms</v>
      </c>
      <c r="Q106" s="1837">
        <f>'A3. UnitConversions'!B48</f>
        <v>2.2210526315789472</v>
      </c>
      <c r="R106" s="436"/>
      <c r="S106" s="436"/>
      <c r="T106" s="1944"/>
      <c r="U106" s="448"/>
      <c r="V106" s="1945"/>
      <c r="W106" s="1968" t="s">
        <v>1494</v>
      </c>
      <c r="X106" s="296">
        <v>1.25133374</v>
      </c>
      <c r="Y106" s="1837">
        <v>0.56759543678756386</v>
      </c>
      <c r="Z106" s="1944"/>
      <c r="AA106" s="1616"/>
    </row>
    <row r="107" spans="15:27" ht="17.3" customHeight="1" thickBot="1" x14ac:dyDescent="0.3">
      <c r="O107" s="1945"/>
      <c r="P107" s="1852" t="str">
        <f>'A3. UnitConversions'!A49</f>
        <v>Btu</v>
      </c>
      <c r="Q107" s="1839">
        <f>'A3. UnitConversions'!B49</f>
        <v>2.2210526315789473E-5</v>
      </c>
      <c r="R107" s="436"/>
      <c r="S107" s="436"/>
      <c r="T107" s="1944"/>
      <c r="U107" s="448"/>
      <c r="V107" s="1945"/>
      <c r="W107" s="1968" t="s">
        <v>1495</v>
      </c>
      <c r="X107" s="296">
        <v>0.96578633000000003</v>
      </c>
      <c r="Y107" s="1837">
        <v>0.43807331033830216</v>
      </c>
      <c r="Z107" s="1944"/>
      <c r="AA107" s="1616"/>
    </row>
    <row r="108" spans="15:27" ht="17.3" customHeight="1" x14ac:dyDescent="0.25">
      <c r="O108" s="1945"/>
      <c r="P108" s="147"/>
      <c r="Q108" s="436"/>
      <c r="R108" s="436"/>
      <c r="S108" s="436"/>
      <c r="T108" s="1944"/>
      <c r="U108" s="448"/>
      <c r="V108" s="1945"/>
      <c r="W108" s="1968" t="s">
        <v>1773</v>
      </c>
      <c r="X108" s="296">
        <v>0.89872331999999999</v>
      </c>
      <c r="Y108" s="1837">
        <v>0.40765404069306843</v>
      </c>
      <c r="Z108" s="1944"/>
      <c r="AA108" s="1616"/>
    </row>
    <row r="109" spans="15:27" ht="17.3" customHeight="1" x14ac:dyDescent="0.25">
      <c r="O109" s="1945"/>
      <c r="P109" s="147"/>
      <c r="Q109" s="436"/>
      <c r="R109" s="436"/>
      <c r="S109" s="436"/>
      <c r="T109" s="1944"/>
      <c r="U109" s="448"/>
      <c r="V109" s="1945"/>
      <c r="W109" s="1968" t="s">
        <v>1774</v>
      </c>
      <c r="X109" s="296">
        <v>1.1874318800000001</v>
      </c>
      <c r="Y109" s="1837">
        <v>0.53861004066275564</v>
      </c>
      <c r="Z109" s="1944"/>
      <c r="AA109" s="1616"/>
    </row>
    <row r="110" spans="15:27" ht="17.3" customHeight="1" thickBot="1" x14ac:dyDescent="0.3">
      <c r="O110" s="1945"/>
      <c r="P110" s="147"/>
      <c r="Q110" s="436"/>
      <c r="R110" s="436"/>
      <c r="S110" s="436"/>
      <c r="T110" s="1944"/>
      <c r="U110" s="448"/>
      <c r="V110" s="1945"/>
      <c r="W110" s="1968" t="s">
        <v>1775</v>
      </c>
      <c r="X110" s="296">
        <v>1.2659004899999999</v>
      </c>
      <c r="Y110" s="1837">
        <v>0.57420280344326136</v>
      </c>
      <c r="Z110" s="1944"/>
      <c r="AA110" s="1616"/>
    </row>
    <row r="111" spans="15:27" ht="17.3" customHeight="1" x14ac:dyDescent="0.25">
      <c r="O111" s="1945"/>
      <c r="P111" s="1973" t="str">
        <f>'A3. UnitConversions'!A39</f>
        <v>[Select]</v>
      </c>
      <c r="Q111" s="1954">
        <f>'A3. UnitConversions'!B39</f>
        <v>0</v>
      </c>
      <c r="R111" s="436"/>
      <c r="S111" s="436"/>
      <c r="T111" s="1944"/>
      <c r="U111" s="292"/>
      <c r="V111" s="1945"/>
      <c r="W111" s="1968" t="s">
        <v>1776</v>
      </c>
      <c r="X111" s="296">
        <v>1.3604473500000001</v>
      </c>
      <c r="Y111" s="1837">
        <v>0.61708853774671957</v>
      </c>
      <c r="Z111" s="1944"/>
      <c r="AA111" s="1616"/>
    </row>
    <row r="112" spans="15:27" ht="17.3" customHeight="1" x14ac:dyDescent="0.25">
      <c r="O112" s="1945"/>
      <c r="P112" s="1971" t="str">
        <f>'A3. UnitConversions'!A40</f>
        <v>kg</v>
      </c>
      <c r="Q112" s="1870">
        <f>'A3. UnitConversions'!B40</f>
        <v>1</v>
      </c>
      <c r="R112" s="436"/>
      <c r="S112" s="436"/>
      <c r="T112" s="1944"/>
      <c r="U112" s="292"/>
      <c r="V112" s="1945"/>
      <c r="W112" s="1968" t="s">
        <v>1777</v>
      </c>
      <c r="X112" s="296">
        <v>2.1139897400000001</v>
      </c>
      <c r="Y112" s="1837">
        <v>0.95888961632228387</v>
      </c>
      <c r="Z112" s="1944"/>
      <c r="AA112" s="1616"/>
    </row>
    <row r="113" spans="15:27" ht="17.3" customHeight="1" x14ac:dyDescent="0.25">
      <c r="O113" s="1945"/>
      <c r="P113" s="1971" t="str">
        <f>'A3. UnitConversions'!A41</f>
        <v>tonnes</v>
      </c>
      <c r="Q113" s="1870">
        <f>'A3. UnitConversions'!B41</f>
        <v>1000</v>
      </c>
      <c r="R113" s="517"/>
      <c r="S113" s="517"/>
      <c r="T113" s="1951"/>
      <c r="U113" s="292"/>
      <c r="V113" s="1945"/>
      <c r="W113" s="1968" t="s">
        <v>1778</v>
      </c>
      <c r="X113" s="296">
        <v>1.036693E-2</v>
      </c>
      <c r="Y113" s="1837">
        <v>4.7023603483241005E-3</v>
      </c>
      <c r="Z113" s="1944"/>
      <c r="AA113" s="1616"/>
    </row>
    <row r="114" spans="15:27" ht="17.3" customHeight="1" x14ac:dyDescent="0.25">
      <c r="O114" s="1945"/>
      <c r="P114" s="1971" t="str">
        <f>'A3. UnitConversions'!A46</f>
        <v>kWh</v>
      </c>
      <c r="Q114" s="1870">
        <f>'A3. UnitConversions'!B46</f>
        <v>7.5789473684210532E-2</v>
      </c>
      <c r="R114" s="517"/>
      <c r="S114" s="517"/>
      <c r="T114" s="1951"/>
      <c r="U114" s="292"/>
      <c r="V114" s="1945"/>
      <c r="W114" s="1968" t="s">
        <v>1779</v>
      </c>
      <c r="X114" s="296">
        <v>1.20337067</v>
      </c>
      <c r="Y114" s="1837">
        <v>0.54583975419378794</v>
      </c>
      <c r="Z114" s="1944"/>
      <c r="AA114" s="1616"/>
    </row>
    <row r="115" spans="15:27" ht="17.3" customHeight="1" x14ac:dyDescent="0.25">
      <c r="O115" s="1945"/>
      <c r="P115" s="1971" t="str">
        <f>'A3. UnitConversions'!A47</f>
        <v>MJ</v>
      </c>
      <c r="Q115" s="1870">
        <f>'A3. UnitConversions'!B47</f>
        <v>2.1052631578947368E-2</v>
      </c>
      <c r="R115" s="436"/>
      <c r="S115" s="436"/>
      <c r="T115" s="1944"/>
      <c r="U115" s="292"/>
      <c r="V115" s="1945"/>
      <c r="W115" s="1968" t="s">
        <v>1780</v>
      </c>
      <c r="X115" s="296">
        <v>0.33330784000000002</v>
      </c>
      <c r="Y115" s="1837">
        <v>0.15118589308518082</v>
      </c>
      <c r="Z115" s="1944"/>
      <c r="AA115" s="1616"/>
    </row>
    <row r="116" spans="15:27" ht="17.3" customHeight="1" x14ac:dyDescent="0.25">
      <c r="O116" s="1945"/>
      <c r="P116" s="1971" t="str">
        <f>'A3. UnitConversions'!A48</f>
        <v>therms</v>
      </c>
      <c r="Q116" s="1870">
        <f>'A3. UnitConversions'!B48</f>
        <v>2.2210526315789472</v>
      </c>
      <c r="R116" s="436"/>
      <c r="S116" s="436"/>
      <c r="T116" s="1944"/>
      <c r="U116" s="292"/>
      <c r="V116" s="1945"/>
      <c r="W116" s="1968" t="s">
        <v>1781</v>
      </c>
      <c r="X116" s="296">
        <v>1.93835237</v>
      </c>
      <c r="Y116" s="1837">
        <v>0.87922184540341697</v>
      </c>
      <c r="Z116" s="1944"/>
      <c r="AA116" s="1616"/>
    </row>
    <row r="117" spans="15:27" ht="17.3" customHeight="1" x14ac:dyDescent="0.25">
      <c r="O117" s="1945"/>
      <c r="P117" s="1971" t="str">
        <f>'A3. UnitConversions'!A49</f>
        <v>Btu</v>
      </c>
      <c r="Q117" s="1870">
        <f>'A3. UnitConversions'!B49</f>
        <v>2.2210526315789473E-5</v>
      </c>
      <c r="R117" s="436"/>
      <c r="S117" s="436"/>
      <c r="T117" s="1944"/>
      <c r="U117" s="292"/>
      <c r="V117" s="1945"/>
      <c r="W117" s="1968" t="s">
        <v>1782</v>
      </c>
      <c r="X117" s="296">
        <v>1.72913888</v>
      </c>
      <c r="Y117" s="1837">
        <v>0.78432420263834568</v>
      </c>
      <c r="Z117" s="1944"/>
      <c r="AA117" s="1616"/>
    </row>
    <row r="118" spans="15:27" ht="17.3" customHeight="1" thickBot="1" x14ac:dyDescent="0.3">
      <c r="O118" s="1945"/>
      <c r="P118" s="1972" t="str">
        <f>'A3. UnitConversions'!A51</f>
        <v>cubic metres</v>
      </c>
      <c r="Q118" s="1872">
        <f>'A3. UnitConversions'!B51</f>
        <v>0.71399999999999997</v>
      </c>
      <c r="R118" s="517"/>
      <c r="S118" s="517"/>
      <c r="T118" s="1951"/>
      <c r="U118" s="292"/>
      <c r="V118" s="1945"/>
      <c r="W118" s="1969" t="s">
        <v>1783</v>
      </c>
      <c r="X118" s="1838">
        <v>2.2631250400000003</v>
      </c>
      <c r="Y118" s="1839">
        <v>1.0265362504999449</v>
      </c>
      <c r="Z118" s="1944"/>
      <c r="AA118" s="1616"/>
    </row>
    <row r="119" spans="15:27" ht="17.3" customHeight="1" x14ac:dyDescent="0.25">
      <c r="O119" s="1945"/>
      <c r="P119" s="4"/>
      <c r="Q119" s="3"/>
      <c r="R119" s="517"/>
      <c r="S119" s="517"/>
      <c r="T119" s="1951"/>
      <c r="U119" s="292"/>
      <c r="V119" s="1945"/>
      <c r="W119" s="436"/>
      <c r="X119" s="436"/>
      <c r="Y119" s="436"/>
      <c r="Z119" s="1944"/>
      <c r="AA119" s="1616"/>
    </row>
    <row r="120" spans="15:27" ht="17.3" customHeight="1" thickBot="1" x14ac:dyDescent="0.3">
      <c r="O120" s="1945"/>
      <c r="P120" s="1974"/>
      <c r="Q120" s="517"/>
      <c r="R120" s="436"/>
      <c r="S120" s="436"/>
      <c r="T120" s="1944"/>
      <c r="U120" s="292"/>
      <c r="V120" s="477"/>
      <c r="W120" s="1979"/>
      <c r="X120" s="1979"/>
      <c r="Y120" s="1979"/>
      <c r="Z120" s="1980"/>
      <c r="AA120" s="1616"/>
    </row>
    <row r="121" spans="15:27" ht="17.3" customHeight="1" x14ac:dyDescent="0.25">
      <c r="O121" s="1945"/>
      <c r="P121" s="147"/>
      <c r="Q121" s="436"/>
      <c r="R121" s="436"/>
      <c r="S121" s="436"/>
      <c r="T121" s="1944"/>
      <c r="U121" s="292"/>
      <c r="V121" s="292"/>
      <c r="W121" s="292"/>
      <c r="X121" s="292"/>
      <c r="Y121" s="292"/>
      <c r="Z121" s="292"/>
      <c r="AA121" s="1616"/>
    </row>
    <row r="122" spans="15:27" ht="17.3" customHeight="1" thickBot="1" x14ac:dyDescent="0.3">
      <c r="O122" s="1637"/>
      <c r="P122" s="4"/>
      <c r="Q122" s="3"/>
      <c r="R122" s="3"/>
      <c r="S122" s="3"/>
      <c r="T122" s="1638"/>
    </row>
    <row r="123" spans="15:27" ht="17.3" customHeight="1" x14ac:dyDescent="0.25">
      <c r="O123" s="1637"/>
      <c r="P123" s="1840"/>
      <c r="Q123" s="1955"/>
      <c r="R123" s="1867" t="s">
        <v>678</v>
      </c>
      <c r="S123" s="1835" t="s">
        <v>63</v>
      </c>
      <c r="T123" s="1638"/>
    </row>
    <row r="124" spans="15:27" ht="17.3" customHeight="1" x14ac:dyDescent="0.25">
      <c r="O124" s="1637"/>
      <c r="P124" s="1971" t="s">
        <v>1946</v>
      </c>
      <c r="Q124" s="1823">
        <v>0</v>
      </c>
      <c r="R124" s="296"/>
      <c r="S124" s="1837"/>
      <c r="T124" s="1638"/>
    </row>
    <row r="125" spans="15:27" ht="17.3" customHeight="1" x14ac:dyDescent="0.25">
      <c r="O125" s="1637"/>
      <c r="P125" s="1971" t="s">
        <v>444</v>
      </c>
      <c r="Q125" s="1823">
        <v>1</v>
      </c>
      <c r="R125" s="296">
        <v>0.8</v>
      </c>
      <c r="S125" s="1837">
        <v>0.58199999999999996</v>
      </c>
      <c r="T125" s="1638"/>
    </row>
    <row r="126" spans="15:27" ht="17.3" customHeight="1" x14ac:dyDescent="0.25">
      <c r="O126" s="1637"/>
      <c r="P126" s="1971" t="s">
        <v>276</v>
      </c>
      <c r="Q126" s="1823">
        <v>3.785412</v>
      </c>
      <c r="R126" s="1823">
        <v>3.0283296000000002</v>
      </c>
      <c r="S126" s="1870">
        <v>2.203109784</v>
      </c>
      <c r="T126" s="1638"/>
    </row>
    <row r="127" spans="15:27" ht="17.3" customHeight="1" thickBot="1" x14ac:dyDescent="0.3">
      <c r="O127" s="1637"/>
      <c r="P127" s="1972" t="s">
        <v>277</v>
      </c>
      <c r="Q127" s="1847">
        <v>4.5460900000000004</v>
      </c>
      <c r="R127" s="1838">
        <v>3.6368720000000003</v>
      </c>
      <c r="S127" s="1839">
        <v>2.6458243800000001</v>
      </c>
      <c r="T127" s="1638"/>
    </row>
    <row r="128" spans="15:27" ht="17.3" customHeight="1" x14ac:dyDescent="0.25">
      <c r="O128" s="1637"/>
      <c r="P128" s="4"/>
      <c r="Q128" s="3"/>
      <c r="R128" s="3"/>
      <c r="S128" s="3"/>
      <c r="T128" s="1638"/>
    </row>
    <row r="129" spans="15:20" ht="17.3" customHeight="1" x14ac:dyDescent="0.25">
      <c r="O129" s="1637"/>
      <c r="P129" s="4"/>
      <c r="Q129" s="3"/>
      <c r="R129" s="3"/>
      <c r="S129" s="3"/>
      <c r="T129" s="1638"/>
    </row>
    <row r="130" spans="15:20" ht="17.3" customHeight="1" x14ac:dyDescent="0.25">
      <c r="O130" s="1637"/>
      <c r="P130" s="4"/>
      <c r="Q130" s="3"/>
      <c r="R130" s="3"/>
      <c r="S130" s="3"/>
      <c r="T130" s="1638"/>
    </row>
    <row r="131" spans="15:20" ht="17.3" customHeight="1" thickBot="1" x14ac:dyDescent="0.3">
      <c r="O131" s="1637"/>
      <c r="P131" s="147"/>
      <c r="Q131" s="436"/>
      <c r="R131" s="3"/>
      <c r="S131" s="3"/>
      <c r="T131" s="1638"/>
    </row>
    <row r="132" spans="15:20" ht="17.3" customHeight="1" x14ac:dyDescent="0.25">
      <c r="O132" s="1637"/>
      <c r="P132" s="1975" t="s">
        <v>1479</v>
      </c>
      <c r="Q132" s="1956">
        <v>1</v>
      </c>
      <c r="R132" s="3"/>
      <c r="S132" s="3"/>
      <c r="T132" s="1638"/>
    </row>
    <row r="133" spans="15:20" ht="17.3" customHeight="1" x14ac:dyDescent="0.25">
      <c r="O133" s="1637"/>
      <c r="P133" s="1976" t="s">
        <v>1478</v>
      </c>
      <c r="Q133" s="1957">
        <v>1E-3</v>
      </c>
      <c r="R133" s="3"/>
      <c r="S133" s="3"/>
      <c r="T133" s="1638"/>
    </row>
    <row r="134" spans="15:20" ht="17.3" customHeight="1" x14ac:dyDescent="0.25">
      <c r="O134" s="1637"/>
      <c r="P134" s="1977" t="s">
        <v>1480</v>
      </c>
      <c r="Q134" s="1957">
        <v>2.2046000000000001</v>
      </c>
      <c r="R134" s="3"/>
      <c r="S134" s="3"/>
      <c r="T134" s="1638"/>
    </row>
    <row r="135" spans="15:20" ht="17.3" customHeight="1" thickBot="1" x14ac:dyDescent="0.3">
      <c r="O135" s="1637"/>
      <c r="P135" s="1747" t="s">
        <v>1481</v>
      </c>
      <c r="Q135" s="1958">
        <f>2.201/2000</f>
        <v>1.1005000000000001E-3</v>
      </c>
      <c r="R135" s="3"/>
      <c r="S135" s="3"/>
      <c r="T135" s="1638"/>
    </row>
    <row r="136" spans="15:20" ht="17.3" customHeight="1" x14ac:dyDescent="0.25">
      <c r="O136" s="1637"/>
      <c r="P136" s="4"/>
      <c r="Q136" s="3"/>
      <c r="R136" s="3"/>
      <c r="S136" s="3"/>
      <c r="T136" s="1638"/>
    </row>
    <row r="137" spans="15:20" ht="17.3" customHeight="1" x14ac:dyDescent="0.25">
      <c r="O137" s="1637"/>
      <c r="P137" s="4"/>
      <c r="Q137" s="3"/>
      <c r="R137" s="3"/>
      <c r="S137" s="3"/>
      <c r="T137" s="1638"/>
    </row>
    <row r="138" spans="15:20" ht="17.3" customHeight="1" x14ac:dyDescent="0.25">
      <c r="O138" s="1637"/>
      <c r="P138" s="4"/>
      <c r="Q138" s="3"/>
      <c r="R138" s="3"/>
      <c r="S138" s="3"/>
      <c r="T138" s="1638"/>
    </row>
    <row r="139" spans="15:20" ht="17.3" customHeight="1" thickBot="1" x14ac:dyDescent="0.3">
      <c r="O139" s="1945"/>
      <c r="P139" s="147"/>
      <c r="Q139" s="436"/>
      <c r="R139" s="3"/>
      <c r="S139" s="3"/>
      <c r="T139" s="1638"/>
    </row>
    <row r="140" spans="15:20" ht="17.3" customHeight="1" x14ac:dyDescent="0.25">
      <c r="O140" s="1945"/>
      <c r="P140" s="1840" t="s">
        <v>303</v>
      </c>
      <c r="Q140" s="1843">
        <v>0.6</v>
      </c>
      <c r="R140" s="3"/>
      <c r="S140" s="3"/>
      <c r="T140" s="1638"/>
    </row>
    <row r="141" spans="15:20" ht="17.3" customHeight="1" thickBot="1" x14ac:dyDescent="0.3">
      <c r="O141" s="1945"/>
      <c r="P141" s="1852" t="s">
        <v>302</v>
      </c>
      <c r="Q141" s="1839">
        <v>0.25</v>
      </c>
      <c r="R141" s="3"/>
      <c r="S141" s="3"/>
      <c r="T141" s="1638"/>
    </row>
    <row r="142" spans="15:20" ht="17.3" customHeight="1" x14ac:dyDescent="0.25">
      <c r="O142" s="1637"/>
      <c r="P142" s="4"/>
      <c r="Q142" s="3"/>
      <c r="R142" s="3"/>
      <c r="S142" s="3"/>
      <c r="T142" s="1638"/>
    </row>
    <row r="143" spans="15:20" ht="17.3" customHeight="1" thickBot="1" x14ac:dyDescent="0.3">
      <c r="O143" s="1637"/>
      <c r="P143" s="4"/>
      <c r="Q143" s="3"/>
      <c r="R143" s="3"/>
      <c r="S143" s="3"/>
      <c r="T143" s="1638"/>
    </row>
    <row r="144" spans="15:20" ht="17.3" customHeight="1" x14ac:dyDescent="0.25">
      <c r="O144" s="1637"/>
      <c r="P144" s="1840" t="s">
        <v>675</v>
      </c>
      <c r="Q144" s="1843">
        <v>9.9999999999999995E-7</v>
      </c>
      <c r="R144" s="3"/>
      <c r="S144" s="3"/>
      <c r="T144" s="1638"/>
    </row>
    <row r="145" spans="14:22" ht="17.3" customHeight="1" x14ac:dyDescent="0.25">
      <c r="O145" s="1637"/>
      <c r="P145" s="1844" t="s">
        <v>297</v>
      </c>
      <c r="Q145" s="1837">
        <v>1E-3</v>
      </c>
      <c r="R145" s="3"/>
      <c r="S145" s="3"/>
      <c r="T145" s="1638"/>
    </row>
    <row r="146" spans="14:22" ht="17.3" customHeight="1" thickBot="1" x14ac:dyDescent="0.3">
      <c r="O146" s="1637"/>
      <c r="P146" s="1852" t="s">
        <v>175</v>
      </c>
      <c r="Q146" s="1839">
        <v>1</v>
      </c>
      <c r="R146" s="3"/>
      <c r="S146" s="3"/>
      <c r="T146" s="1638"/>
    </row>
    <row r="147" spans="14:22" ht="17.3" customHeight="1" thickBot="1" x14ac:dyDescent="0.3">
      <c r="O147" s="1641"/>
      <c r="P147" s="1642"/>
      <c r="Q147" s="1642"/>
      <c r="R147" s="1642"/>
      <c r="S147" s="1642"/>
      <c r="T147" s="1643"/>
    </row>
    <row r="148" spans="14:22" ht="17.3" customHeight="1" x14ac:dyDescent="0.25">
      <c r="N148" s="1616"/>
      <c r="O148" s="1616"/>
      <c r="P148" s="1616"/>
      <c r="Q148" s="1616"/>
      <c r="R148" s="1616"/>
      <c r="S148" s="1616"/>
      <c r="T148" s="1616"/>
      <c r="U148" s="1616"/>
      <c r="V148" s="1616"/>
    </row>
    <row r="149" spans="14:22" ht="17.3" customHeight="1" x14ac:dyDescent="0.25">
      <c r="N149" s="1616"/>
      <c r="O149" s="1616"/>
      <c r="P149" s="1616"/>
      <c r="Q149" s="1616"/>
      <c r="R149" s="1616"/>
      <c r="S149" s="1616"/>
      <c r="T149" s="1616"/>
      <c r="U149" s="1616"/>
      <c r="V149" s="1616"/>
    </row>
    <row r="150" spans="14:22" ht="17.3" customHeight="1" x14ac:dyDescent="0.25">
      <c r="N150" s="1616"/>
      <c r="O150" s="1616"/>
      <c r="P150" s="1616"/>
      <c r="Q150" s="1616"/>
      <c r="R150" s="1616"/>
      <c r="S150" s="1616"/>
      <c r="T150" s="1616"/>
      <c r="U150" s="1616"/>
      <c r="V150" s="1616"/>
    </row>
    <row r="151" spans="14:22" ht="17.3" customHeight="1" x14ac:dyDescent="0.25">
      <c r="N151" s="1616"/>
      <c r="O151" s="1616"/>
      <c r="P151" s="1616"/>
      <c r="Q151" s="1616"/>
      <c r="R151" s="1616"/>
      <c r="S151" s="1616"/>
      <c r="T151" s="1616"/>
      <c r="U151" s="1616"/>
      <c r="V151" s="1616"/>
    </row>
    <row r="152" spans="14:22" ht="17.3" customHeight="1" x14ac:dyDescent="0.25">
      <c r="N152" s="1616"/>
      <c r="O152" s="1616"/>
      <c r="P152" s="1616"/>
      <c r="Q152" s="1616"/>
      <c r="R152" s="1616"/>
      <c r="S152" s="1616"/>
      <c r="T152" s="1616"/>
      <c r="U152" s="1616"/>
      <c r="V152" s="1616"/>
    </row>
  </sheetData>
  <sheetProtection password="838D" sheet="1" objects="1" scenarios="1"/>
  <customSheetViews>
    <customSheetView guid="{BD1481C3-A8C6-46E4-9B09-3BB5EA0E455E}" scale="75" fitToPage="1" showRuler="0">
      <selection activeCell="E19" sqref="E19"/>
      <pageMargins left="0.7" right="0.7" top="0.75" bottom="0.75" header="0.3" footer="0.3"/>
      <printOptions headings="1" gridLines="1"/>
      <pageSetup scale="63" orientation="portrait" horizontalDpi="1200" verticalDpi="1200"/>
      <headerFooter>
        <oddHeader>&amp;L&amp;A</oddHeader>
      </headerFooter>
    </customSheetView>
  </customSheetViews>
  <mergeCells count="7">
    <mergeCell ref="O63:Q64"/>
    <mergeCell ref="L66:L67"/>
    <mergeCell ref="C2:F3"/>
    <mergeCell ref="C26:C28"/>
    <mergeCell ref="C16:C22"/>
    <mergeCell ref="C13:C14"/>
    <mergeCell ref="C6:C9"/>
  </mergeCells>
  <phoneticPr fontId="0" type="noConversion"/>
  <dataValidations xWindow="921" yWindow="362" count="17">
    <dataValidation type="list" allowBlank="1" showInputMessage="1" showErrorMessage="1" sqref="F34" xr:uid="{00000000-0002-0000-0600-000000000000}">
      <formula1>$N$34:$N$37</formula1>
    </dataValidation>
    <dataValidation allowBlank="1" showErrorMessage="1" sqref="G10 G23" xr:uid="{00000000-0002-0000-0600-000001000000}"/>
    <dataValidation allowBlank="1" showErrorMessage="1" promptTitle="Coke generators" prompt="Input amount of electricity produced from coke generators used in factory" sqref="F10" xr:uid="{00000000-0002-0000-0600-000002000000}"/>
    <dataValidation type="decimal" allowBlank="1" showErrorMessage="1" errorTitle="Error: Incorrect Entry" error="Enter number without any spaces or units.  Figures with decimals will automatically be rounded to the two decimal places." sqref="F16:F20 F22" xr:uid="{00000000-0002-0000-0600-000003000000}">
      <formula1>0</formula1>
      <formula2>1E+29</formula2>
    </dataValidation>
    <dataValidation allowBlank="1" showErrorMessage="1" errorTitle="Error: Incorrect Entry" error="Enter number without any spaces or units.  Figures with decimals will automatically be rounded to the two decimal places." promptTitle="Sustainable firewood/fuelwood" prompt="Input kg of firewood or fuelwood grown on site and renewed" sqref="F23" xr:uid="{00000000-0002-0000-0600-000004000000}"/>
    <dataValidation allowBlank="1" showInputMessage="1" showErrorMessage="1" promptTitle="Factory Data" prompt="Complete this form if you wish to include your factory in this audit." sqref="C2 G2:H2" xr:uid="{00000000-0002-0000-0600-000005000000}"/>
    <dataValidation type="list" allowBlank="1" showErrorMessage="1" sqref="G6:G9" xr:uid="{00000000-0002-0000-0600-000006000000}">
      <formula1>$P$103:$P$105</formula1>
    </dataValidation>
    <dataValidation type="list" allowBlank="1" showErrorMessage="1" sqref="G22" xr:uid="{00000000-0002-0000-0600-000008000000}">
      <formula1>$P$79:$P$80</formula1>
    </dataValidation>
    <dataValidation type="list" allowBlank="1" showInputMessage="1" sqref="G26" xr:uid="{00000000-0002-0000-0600-000009000000}">
      <formula1>$P$91:$P$94</formula1>
    </dataValidation>
    <dataValidation type="list" allowBlank="1" showInputMessage="1" showErrorMessage="1" sqref="G27" xr:uid="{00000000-0002-0000-0600-00000A000000}">
      <formula1>$P$144:$P$146</formula1>
    </dataValidation>
    <dataValidation type="list" allowBlank="1" showInputMessage="1" showErrorMessage="1" sqref="F28" xr:uid="{00000000-0002-0000-0600-00000B000000}">
      <formula1>$AD$65:$AD$72</formula1>
    </dataValidation>
    <dataValidation type="list" allowBlank="1" showInputMessage="1" showErrorMessage="1" sqref="H27" xr:uid="{00000000-0002-0000-0600-00000C000000}">
      <formula1>$P$140:$P$141</formula1>
    </dataValidation>
    <dataValidation type="decimal" allowBlank="1" showInputMessage="1" showErrorMessage="1" errorTitle="Error: Incorrect Entry" error="Enter number without any spaces or units.  Figures with decimals will automatically be rounded to the two decimal places." sqref="F6:F9 F13" xr:uid="{00000000-0002-0000-0600-00000D000000}">
      <formula1>0</formula1>
      <formula2>1E+29</formula2>
    </dataValidation>
    <dataValidation type="list" allowBlank="1" showErrorMessage="1" sqref="G16:G18" xr:uid="{00000000-0002-0000-0600-00000E000000}">
      <formula1>$P$96:$P$100</formula1>
    </dataValidation>
    <dataValidation type="list" allowBlank="1" showErrorMessage="1" sqref="G19" xr:uid="{00000000-0002-0000-0600-00000F000000}">
      <formula1>$P$111:$P$118</formula1>
    </dataValidation>
    <dataValidation type="list" allowBlank="1" showInputMessage="1" showErrorMessage="1" sqref="G13 G20:G21" xr:uid="{00000000-0002-0000-0600-000010000000}">
      <formula1>$P$91:$P$94</formula1>
    </dataValidation>
    <dataValidation allowBlank="1" showErrorMessage="1" errorTitle="Error: Incorrect Entry" error="Enter number without any spaces or units.  Figures with decimals will automatically be rounded to the two decimal places." sqref="F21" xr:uid="{00000000-0002-0000-0600-000011000000}"/>
  </dataValidations>
  <printOptions headings="1" gridLines="1"/>
  <pageMargins left="0.75" right="0.75" top="1" bottom="1" header="0.5" footer="0.5"/>
  <pageSetup scale="63" orientation="portrait" horizontalDpi="1200" verticalDpi="1200"/>
  <headerFooter>
    <oddHeader>&amp;L&amp;A</oddHead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M161"/>
  <sheetViews>
    <sheetView workbookViewId="0">
      <pane ySplit="1" topLeftCell="A2" activePane="bottomLeft" state="frozen"/>
      <selection activeCell="E31" sqref="E31"/>
      <selection pane="bottomLeft"/>
    </sheetView>
  </sheetViews>
  <sheetFormatPr defaultColWidth="8.77734375" defaultRowHeight="12.7" x14ac:dyDescent="0.25"/>
  <cols>
    <col min="1" max="1" width="5.6640625" customWidth="1" collapsed="1"/>
    <col min="2" max="2" width="12.77734375" customWidth="1" collapsed="1"/>
    <col min="3" max="3" width="1.44140625" customWidth="1" collapsed="1"/>
    <col min="4" max="4" width="6.44140625" customWidth="1" collapsed="1"/>
    <col min="6" max="6" width="13.77734375" customWidth="1" collapsed="1"/>
    <col min="8" max="8" width="11.44140625" customWidth="1" collapsed="1"/>
    <col min="9" max="9" width="16.44140625" customWidth="1" collapsed="1"/>
    <col min="10" max="10" width="20.33203125" customWidth="1" collapsed="1"/>
    <col min="11" max="11" width="0.33203125" customWidth="1" collapsed="1"/>
    <col min="12" max="12" width="31.6640625" customWidth="1" collapsed="1"/>
    <col min="13" max="13" width="5.44140625" customWidth="1" collapsed="1"/>
    <col min="14" max="14" width="11.77734375" customWidth="1" collapsed="1"/>
    <col min="15" max="15" width="28.21875" customWidth="1" collapsed="1"/>
  </cols>
  <sheetData>
    <row r="1" spans="1:39" ht="97.5" customHeight="1" x14ac:dyDescent="0.25">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60"/>
      <c r="AA1" s="60"/>
      <c r="AB1" s="60"/>
      <c r="AC1" s="60"/>
      <c r="AD1" s="60"/>
      <c r="AE1" s="60"/>
      <c r="AF1" s="60"/>
      <c r="AG1" s="60"/>
      <c r="AH1" s="60"/>
      <c r="AI1" s="60"/>
      <c r="AJ1" s="60"/>
      <c r="AK1" s="60"/>
      <c r="AL1" s="60"/>
      <c r="AM1" s="60"/>
    </row>
    <row r="2" spans="1:39" ht="15.7" customHeight="1" thickBot="1" x14ac:dyDescent="0.3">
      <c r="A2" s="166"/>
      <c r="B2" s="166"/>
      <c r="C2" s="166"/>
      <c r="D2" s="166"/>
      <c r="E2" s="166"/>
      <c r="F2" s="166"/>
      <c r="G2" s="166"/>
      <c r="H2" s="166"/>
      <c r="I2" s="166"/>
      <c r="J2" s="166"/>
      <c r="K2" s="166"/>
      <c r="L2" s="166"/>
      <c r="M2" s="166"/>
      <c r="N2" s="166"/>
      <c r="O2" s="166"/>
      <c r="P2" s="166"/>
      <c r="Q2" s="166"/>
      <c r="R2" s="166"/>
      <c r="S2" s="166"/>
      <c r="T2" s="166"/>
      <c r="U2" s="166"/>
      <c r="V2" s="166"/>
      <c r="W2" s="166"/>
      <c r="X2" s="166"/>
      <c r="Y2" s="166"/>
      <c r="Z2" s="60"/>
      <c r="AA2" s="174"/>
      <c r="AB2" s="174"/>
      <c r="AC2" s="174"/>
      <c r="AD2" s="174"/>
      <c r="AE2" s="174"/>
      <c r="AF2" s="174"/>
      <c r="AG2" s="174"/>
      <c r="AH2" s="174"/>
      <c r="AI2" s="174"/>
      <c r="AJ2" s="174"/>
      <c r="AK2" s="174"/>
      <c r="AL2" s="174"/>
      <c r="AM2" s="60"/>
    </row>
    <row r="3" spans="1:39" ht="22.5" customHeight="1" x14ac:dyDescent="0.25">
      <c r="A3" s="166"/>
      <c r="B3" s="940"/>
      <c r="C3" s="941"/>
      <c r="D3" s="346"/>
      <c r="E3" s="118" t="s">
        <v>2061</v>
      </c>
      <c r="F3" s="118" t="s">
        <v>2062</v>
      </c>
      <c r="G3" s="118" t="s">
        <v>1458</v>
      </c>
      <c r="H3" s="118" t="s">
        <v>2062</v>
      </c>
      <c r="I3" s="118" t="s">
        <v>1459</v>
      </c>
      <c r="J3" s="118" t="s">
        <v>494</v>
      </c>
      <c r="K3" s="346"/>
      <c r="L3" s="346"/>
      <c r="M3" s="347"/>
      <c r="N3" s="166"/>
      <c r="O3" s="166"/>
      <c r="P3" s="166"/>
      <c r="Q3" s="166"/>
      <c r="R3" s="166"/>
      <c r="S3" s="166"/>
      <c r="T3" s="166"/>
      <c r="U3" s="166"/>
      <c r="V3" s="166"/>
      <c r="W3" s="166"/>
      <c r="X3" s="166"/>
      <c r="Y3" s="166"/>
      <c r="Z3" s="60"/>
      <c r="AA3" s="174" t="s">
        <v>1408</v>
      </c>
      <c r="AB3" s="174" t="s">
        <v>2043</v>
      </c>
      <c r="AC3" s="174" t="s">
        <v>446</v>
      </c>
      <c r="AD3" s="174" t="s">
        <v>1814</v>
      </c>
      <c r="AE3" s="174"/>
      <c r="AF3" s="174"/>
      <c r="AG3" s="174"/>
      <c r="AH3" s="174"/>
      <c r="AI3" s="174"/>
      <c r="AJ3" s="174"/>
      <c r="AK3" s="174"/>
      <c r="AL3" s="174"/>
      <c r="AM3" s="60"/>
    </row>
    <row r="4" spans="1:39" ht="12.85" customHeight="1" x14ac:dyDescent="0.25">
      <c r="A4" s="166"/>
      <c r="B4" s="942" t="s">
        <v>1456</v>
      </c>
      <c r="C4" s="943"/>
      <c r="D4" s="186">
        <v>1</v>
      </c>
      <c r="E4" s="1204">
        <f>IF(ISBLANK(Import!C233), "", Import!C233)</f>
        <v>0</v>
      </c>
      <c r="F4" s="1204" t="str">
        <f ca="1">IF(ISBLANK(Import!D233),OFFSET('2.CropManagement'!AB$182,SUMIF('2.CropManagement'!W$183:W$184,'1.GeneralInfo'!$E$8,'2.CropManagement'!X$183:X$184),0), Import!D233)</f>
        <v xml:space="preserve">tonnes </v>
      </c>
      <c r="G4" s="1204">
        <f>IF(ISBLANK(Import!E233), "", Import!E233)</f>
        <v>0</v>
      </c>
      <c r="H4" s="1204" t="str">
        <f ca="1">IF(ISBLANK(Import!F233),OFFSET('2.CropManagement'!AF$182,SUMIF('2.CropManagement'!W$183:W$184,'1.GeneralInfo'!$E$8,'2.CropManagement'!X$183:X$184),0), Import!F233)</f>
        <v>km</v>
      </c>
      <c r="I4" s="1204" t="str">
        <f>IF(ISBLANK(Import!G233), "", Import!G233)</f>
        <v/>
      </c>
      <c r="J4" s="1204" t="str">
        <f>IF(ISBLANK(Import!H233), "yes - returning empty", Import!H233)</f>
        <v>yes - returning empty</v>
      </c>
      <c r="K4" s="186"/>
      <c r="L4" s="2500" t="s">
        <v>1162</v>
      </c>
      <c r="M4" s="2501"/>
      <c r="N4" s="166"/>
      <c r="O4" s="166"/>
      <c r="P4" s="166"/>
      <c r="Q4" s="166"/>
      <c r="R4" s="166"/>
      <c r="S4" s="166"/>
      <c r="T4" s="166"/>
      <c r="U4" s="166"/>
      <c r="V4" s="166"/>
      <c r="W4" s="166"/>
      <c r="X4" s="166"/>
      <c r="Y4" s="166">
        <f ca="1">SUMIF('2.CropManagement'!X$157:X$160,'7.Transport'!F4,'2.CropManagement'!Y$157:Y$160)</f>
        <v>1</v>
      </c>
      <c r="Z4" s="60"/>
      <c r="AA4" s="174">
        <f t="shared" ref="AA4:AA11" ca="1" si="0">(AB4*AC4*AD4)* SUMIF(AH$65:AH$67,J4,AI$65:AI$67)</f>
        <v>0</v>
      </c>
      <c r="AB4" s="174">
        <f t="shared" ref="AB4:AB11" si="1">SUMIF(AH$41:AH$44,I4,AJ$41:AJ$44)</f>
        <v>0</v>
      </c>
      <c r="AC4" s="174">
        <f ca="1">SUMIF('2.CropManagement'!X$157:X$160,'7.Transport'!F4,'2.CropManagement'!Y$157:Y$160)*E4</f>
        <v>0</v>
      </c>
      <c r="AD4" s="174">
        <f t="shared" ref="AD4:AD11" ca="1" si="2">G4*SUMIF(AF$24:AF$25,H4,AH$24:AH$25)</f>
        <v>0</v>
      </c>
      <c r="AE4" s="174"/>
      <c r="AF4" s="174"/>
      <c r="AG4" s="174"/>
      <c r="AH4" s="174"/>
      <c r="AI4" s="174"/>
      <c r="AJ4" s="174"/>
      <c r="AK4" s="174"/>
      <c r="AL4" s="174"/>
      <c r="AM4" s="60"/>
    </row>
    <row r="5" spans="1:39" ht="17.3" customHeight="1" x14ac:dyDescent="0.25">
      <c r="A5" s="166"/>
      <c r="B5" s="944"/>
      <c r="C5" s="943"/>
      <c r="D5" s="186">
        <v>2</v>
      </c>
      <c r="E5" s="1204">
        <f>IF(ISBLANK(Import!C234), "", Import!C234)</f>
        <v>0</v>
      </c>
      <c r="F5" s="1204" t="str">
        <f ca="1">IF(ISBLANK(Import!D234),OFFSET('2.CropManagement'!AB$182,SUMIF('2.CropManagement'!W$183:W$184,'1.GeneralInfo'!$E$8,'2.CropManagement'!X$183:X$184),0), Import!D234)</f>
        <v xml:space="preserve">tonnes </v>
      </c>
      <c r="G5" s="1204">
        <f>IF(ISBLANK(Import!E234), "", Import!E234)</f>
        <v>0</v>
      </c>
      <c r="H5" s="1204" t="str">
        <f ca="1">IF(ISBLANK(Import!F234),OFFSET('2.CropManagement'!AF$182,SUMIF('2.CropManagement'!W$183:W$184,'1.GeneralInfo'!$E$8,'2.CropManagement'!X$183:X$184),0), Import!F234)</f>
        <v>km</v>
      </c>
      <c r="I5" s="1204" t="str">
        <f>IF(ISBLANK(Import!G234), "", Import!G234)</f>
        <v/>
      </c>
      <c r="J5" s="1204" t="str">
        <f>IF(ISBLANK(Import!H234), "yes - returning empty", Import!H234)</f>
        <v>yes - returning empty</v>
      </c>
      <c r="K5" s="186"/>
      <c r="L5" s="2500"/>
      <c r="M5" s="2501"/>
      <c r="N5" s="166"/>
      <c r="O5" s="166"/>
      <c r="P5" s="166"/>
      <c r="Q5" s="166"/>
      <c r="R5" s="166"/>
      <c r="S5" s="166"/>
      <c r="T5" s="166"/>
      <c r="U5" s="166"/>
      <c r="V5" s="166"/>
      <c r="W5" s="166"/>
      <c r="X5" s="166"/>
      <c r="Y5" s="166"/>
      <c r="Z5" s="60"/>
      <c r="AA5" s="174">
        <f t="shared" ca="1" si="0"/>
        <v>0</v>
      </c>
      <c r="AB5" s="174">
        <f t="shared" si="1"/>
        <v>0</v>
      </c>
      <c r="AC5" s="174">
        <f ca="1">SUMIF('2.CropManagement'!X$157:X$160,'7.Transport'!F5,'2.CropManagement'!Y$157:Y$160)*E5</f>
        <v>0</v>
      </c>
      <c r="AD5" s="174">
        <f t="shared" ca="1" si="2"/>
        <v>0</v>
      </c>
      <c r="AE5" s="174"/>
      <c r="AF5" s="174"/>
      <c r="AG5" s="174"/>
      <c r="AH5" s="174"/>
      <c r="AI5" s="174"/>
      <c r="AJ5" s="174"/>
      <c r="AK5" s="174"/>
      <c r="AL5" s="174"/>
      <c r="AM5" s="60"/>
    </row>
    <row r="6" spans="1:39" ht="12.85" customHeight="1" x14ac:dyDescent="0.25">
      <c r="A6" s="166"/>
      <c r="B6" s="944"/>
      <c r="C6" s="943"/>
      <c r="D6" s="186">
        <v>3</v>
      </c>
      <c r="E6" s="1204">
        <f>IF(ISBLANK(Import!C235), "", Import!C235)</f>
        <v>0</v>
      </c>
      <c r="F6" s="1204" t="str">
        <f ca="1">IF(ISBLANK(Import!D235),OFFSET('2.CropManagement'!AB$182,SUMIF('2.CropManagement'!W$183:W$184,'1.GeneralInfo'!$E$8,'2.CropManagement'!X$183:X$184),0), Import!D235)</f>
        <v xml:space="preserve">tonnes </v>
      </c>
      <c r="G6" s="1204">
        <f>IF(ISBLANK(Import!E235), "", Import!E235)</f>
        <v>0</v>
      </c>
      <c r="H6" s="1204" t="str">
        <f ca="1">IF(ISBLANK(Import!F235),OFFSET('2.CropManagement'!AF$182,SUMIF('2.CropManagement'!W$183:W$184,'1.GeneralInfo'!$E$8,'2.CropManagement'!X$183:X$184),0), Import!F235)</f>
        <v>km</v>
      </c>
      <c r="I6" s="1204" t="str">
        <f>IF(ISBLANK(Import!G235), "", Import!G235)</f>
        <v/>
      </c>
      <c r="J6" s="1204" t="str">
        <f>IF(ISBLANK(Import!H235), "yes - returning empty", Import!H235)</f>
        <v>yes - returning empty</v>
      </c>
      <c r="K6" s="186"/>
      <c r="L6" s="2500" t="s">
        <v>635</v>
      </c>
      <c r="M6" s="2501"/>
      <c r="N6" s="166"/>
      <c r="O6" s="166"/>
      <c r="P6" s="166"/>
      <c r="Q6" s="166"/>
      <c r="R6" s="166"/>
      <c r="S6" s="166"/>
      <c r="T6" s="166"/>
      <c r="U6" s="166"/>
      <c r="V6" s="166"/>
      <c r="W6" s="166"/>
      <c r="X6" s="166"/>
      <c r="Y6" s="166"/>
      <c r="Z6" s="60"/>
      <c r="AA6" s="174">
        <f t="shared" ca="1" si="0"/>
        <v>0</v>
      </c>
      <c r="AB6" s="174">
        <f t="shared" si="1"/>
        <v>0</v>
      </c>
      <c r="AC6" s="174">
        <f ca="1">SUMIF('2.CropManagement'!X$157:X$160,'7.Transport'!F6,'2.CropManagement'!Y$157:Y$160)*E6</f>
        <v>0</v>
      </c>
      <c r="AD6" s="174">
        <f t="shared" ca="1" si="2"/>
        <v>0</v>
      </c>
      <c r="AE6" s="174"/>
      <c r="AF6" s="174"/>
      <c r="AG6" s="174" t="s">
        <v>2040</v>
      </c>
      <c r="AH6" s="174"/>
      <c r="AI6" s="174"/>
      <c r="AJ6" s="174"/>
      <c r="AK6" s="174"/>
      <c r="AL6" s="174"/>
      <c r="AM6" s="60"/>
    </row>
    <row r="7" spans="1:39" ht="12.85" customHeight="1" x14ac:dyDescent="0.25">
      <c r="A7" s="166"/>
      <c r="B7" s="944"/>
      <c r="C7" s="943"/>
      <c r="D7" s="186">
        <v>4</v>
      </c>
      <c r="E7" s="1204">
        <f>IF(ISBLANK(Import!C236), "", Import!C236)</f>
        <v>0</v>
      </c>
      <c r="F7" s="1204" t="str">
        <f ca="1">IF(ISBLANK(Import!D236),OFFSET('2.CropManagement'!AB$182,SUMIF('2.CropManagement'!W$183:W$184,'1.GeneralInfo'!$E$8,'2.CropManagement'!X$183:X$184),0), Import!D236)</f>
        <v xml:space="preserve">tonnes </v>
      </c>
      <c r="G7" s="1204">
        <f>IF(ISBLANK(Import!E236), "", Import!E236)</f>
        <v>0</v>
      </c>
      <c r="H7" s="1204" t="str">
        <f ca="1">IF(ISBLANK(Import!F236),OFFSET('2.CropManagement'!AF$182,SUMIF('2.CropManagement'!W$183:W$184,'1.GeneralInfo'!$E$8,'2.CropManagement'!X$183:X$184),0), Import!F236)</f>
        <v>km</v>
      </c>
      <c r="I7" s="1204" t="str">
        <f>IF(ISBLANK(Import!G236), "", Import!G236)</f>
        <v/>
      </c>
      <c r="J7" s="1204" t="str">
        <f>IF(ISBLANK(Import!H236), "yes - returning empty", Import!H236)</f>
        <v>yes - returning empty</v>
      </c>
      <c r="K7" s="186"/>
      <c r="L7" s="2500"/>
      <c r="M7" s="2501"/>
      <c r="N7" s="166"/>
      <c r="O7" s="166"/>
      <c r="P7" s="166"/>
      <c r="Q7" s="166"/>
      <c r="R7" s="166"/>
      <c r="S7" s="166"/>
      <c r="T7" s="166"/>
      <c r="U7" s="166"/>
      <c r="V7" s="166"/>
      <c r="W7" s="166"/>
      <c r="X7" s="166"/>
      <c r="Y7" s="166"/>
      <c r="Z7" s="60"/>
      <c r="AA7" s="174">
        <f t="shared" ca="1" si="0"/>
        <v>0</v>
      </c>
      <c r="AB7" s="174">
        <f t="shared" si="1"/>
        <v>0</v>
      </c>
      <c r="AC7" s="174">
        <f ca="1">SUMIF('2.CropManagement'!X$157:X$160,'7.Transport'!F7,'2.CropManagement'!Y$157:Y$160)*E7</f>
        <v>0</v>
      </c>
      <c r="AD7" s="174">
        <f t="shared" ca="1" si="2"/>
        <v>0</v>
      </c>
      <c r="AE7" s="174"/>
      <c r="AF7" s="174"/>
      <c r="AG7" s="174"/>
      <c r="AH7" s="174"/>
      <c r="AI7" s="174"/>
      <c r="AJ7" s="174"/>
      <c r="AK7" s="174"/>
      <c r="AL7" s="174"/>
      <c r="AM7" s="60"/>
    </row>
    <row r="8" spans="1:39" x14ac:dyDescent="0.25">
      <c r="A8" s="166"/>
      <c r="B8" s="944"/>
      <c r="C8" s="943"/>
      <c r="D8" s="186">
        <v>5</v>
      </c>
      <c r="E8" s="1204">
        <f>IF(ISBLANK(Import!C237), "", Import!C237)</f>
        <v>0</v>
      </c>
      <c r="F8" s="1204" t="str">
        <f ca="1">IF(ISBLANK(Import!D237),OFFSET('2.CropManagement'!AB$182,SUMIF('2.CropManagement'!W$183:W$184,'1.GeneralInfo'!$E$8,'2.CropManagement'!X$183:X$184),0), Import!D237)</f>
        <v xml:space="preserve">tonnes </v>
      </c>
      <c r="G8" s="1204">
        <f>IF(ISBLANK(Import!E237), "", Import!E237)</f>
        <v>0</v>
      </c>
      <c r="H8" s="1204" t="str">
        <f ca="1">IF(ISBLANK(Import!F237),OFFSET('2.CropManagement'!AF$182,SUMIF('2.CropManagement'!W$183:W$184,'1.GeneralInfo'!$E$8,'2.CropManagement'!X$183:X$184),0), Import!F237)</f>
        <v>km</v>
      </c>
      <c r="I8" s="1204" t="str">
        <f>IF(ISBLANK(Import!G237), "", Import!G237)</f>
        <v/>
      </c>
      <c r="J8" s="1204" t="str">
        <f>IF(ISBLANK(Import!H237), "yes - returning empty", Import!H237)</f>
        <v>yes - returning empty</v>
      </c>
      <c r="K8" s="186"/>
      <c r="L8" s="2500"/>
      <c r="M8" s="2501"/>
      <c r="N8" s="166"/>
      <c r="O8" s="166"/>
      <c r="P8" s="166"/>
      <c r="Q8" s="166"/>
      <c r="R8" s="166"/>
      <c r="S8" s="166"/>
      <c r="T8" s="166"/>
      <c r="U8" s="166"/>
      <c r="V8" s="166"/>
      <c r="W8" s="166"/>
      <c r="X8" s="166"/>
      <c r="Y8" s="166"/>
      <c r="Z8" s="60"/>
      <c r="AA8" s="174">
        <f t="shared" ca="1" si="0"/>
        <v>0</v>
      </c>
      <c r="AB8" s="174">
        <f t="shared" si="1"/>
        <v>0</v>
      </c>
      <c r="AC8" s="174">
        <f ca="1">SUMIF('2.CropManagement'!X$157:X$160,'7.Transport'!F8,'2.CropManagement'!Y$157:Y$160)*E8</f>
        <v>0</v>
      </c>
      <c r="AD8" s="174">
        <f t="shared" ca="1" si="2"/>
        <v>0</v>
      </c>
      <c r="AE8" s="174"/>
      <c r="AF8" s="174"/>
      <c r="AG8" s="174" t="s">
        <v>2041</v>
      </c>
      <c r="AH8" s="174"/>
      <c r="AI8" s="174"/>
      <c r="AJ8" s="174"/>
      <c r="AK8" s="174"/>
      <c r="AL8" s="174"/>
      <c r="AM8" s="60"/>
    </row>
    <row r="9" spans="1:39" ht="12.85" customHeight="1" x14ac:dyDescent="0.25">
      <c r="A9" s="166"/>
      <c r="B9" s="944"/>
      <c r="C9" s="943"/>
      <c r="D9" s="186">
        <v>6</v>
      </c>
      <c r="E9" s="1204">
        <f>IF(ISBLANK(Import!C238), "", Import!C238)</f>
        <v>0</v>
      </c>
      <c r="F9" s="1204" t="str">
        <f ca="1">IF(ISBLANK(Import!D238),OFFSET('2.CropManagement'!AB$182,SUMIF('2.CropManagement'!W$183:W$184,'1.GeneralInfo'!$E$8,'2.CropManagement'!X$183:X$184),0), Import!D238)</f>
        <v xml:space="preserve">tonnes </v>
      </c>
      <c r="G9" s="1204">
        <f>IF(ISBLANK(Import!E238), "", Import!E238)</f>
        <v>0</v>
      </c>
      <c r="H9" s="1204" t="str">
        <f ca="1">IF(ISBLANK(Import!F238),OFFSET('2.CropManagement'!AF$182,SUMIF('2.CropManagement'!W$183:W$184,'1.GeneralInfo'!$E$8,'2.CropManagement'!X$183:X$184),0), Import!F238)</f>
        <v>km</v>
      </c>
      <c r="I9" s="1204" t="str">
        <f>IF(ISBLANK(Import!G238), "", Import!G238)</f>
        <v/>
      </c>
      <c r="J9" s="1204" t="str">
        <f>IF(ISBLANK(Import!H238), "yes - returning empty", Import!H238)</f>
        <v>yes - returning empty</v>
      </c>
      <c r="K9" s="186"/>
      <c r="L9" s="2500" t="s">
        <v>1163</v>
      </c>
      <c r="M9" s="2501"/>
      <c r="N9" s="166"/>
      <c r="O9" s="166"/>
      <c r="P9" s="166"/>
      <c r="Q9" s="166"/>
      <c r="R9" s="166"/>
      <c r="S9" s="166"/>
      <c r="T9" s="166"/>
      <c r="U9" s="166"/>
      <c r="V9" s="166"/>
      <c r="W9" s="166"/>
      <c r="X9" s="166"/>
      <c r="Y9" s="166"/>
      <c r="Z9" s="60"/>
      <c r="AA9" s="174">
        <f t="shared" ca="1" si="0"/>
        <v>0</v>
      </c>
      <c r="AB9" s="174">
        <f t="shared" si="1"/>
        <v>0</v>
      </c>
      <c r="AC9" s="174">
        <f ca="1">SUMIF('2.CropManagement'!X$157:X$160,'7.Transport'!F9,'2.CropManagement'!Y$157:Y$160)*E9</f>
        <v>0</v>
      </c>
      <c r="AD9" s="174">
        <f t="shared" ca="1" si="2"/>
        <v>0</v>
      </c>
      <c r="AE9" s="174"/>
      <c r="AF9" s="174"/>
      <c r="AG9" s="174" t="s">
        <v>2042</v>
      </c>
      <c r="AH9" s="174"/>
      <c r="AI9" s="174"/>
      <c r="AJ9" s="174"/>
      <c r="AK9" s="174"/>
      <c r="AL9" s="174"/>
      <c r="AM9" s="60"/>
    </row>
    <row r="10" spans="1:39" x14ac:dyDescent="0.25">
      <c r="A10" s="166"/>
      <c r="B10" s="944"/>
      <c r="C10" s="943"/>
      <c r="D10" s="186">
        <v>7</v>
      </c>
      <c r="E10" s="1204">
        <f>IF(ISBLANK(Import!C239), "", Import!C239)</f>
        <v>0</v>
      </c>
      <c r="F10" s="1204" t="str">
        <f ca="1">IF(ISBLANK(Import!D239),OFFSET('2.CropManagement'!AB$182,SUMIF('2.CropManagement'!W$183:W$184,'1.GeneralInfo'!$E$8,'2.CropManagement'!X$183:X$184),0), Import!D239)</f>
        <v xml:space="preserve">tonnes </v>
      </c>
      <c r="G10" s="1204">
        <f>IF(ISBLANK(Import!E239), "", Import!E239)</f>
        <v>0</v>
      </c>
      <c r="H10" s="1204" t="str">
        <f ca="1">IF(ISBLANK(Import!F239),OFFSET('2.CropManagement'!AF$182,SUMIF('2.CropManagement'!W$183:W$184,'1.GeneralInfo'!$E$8,'2.CropManagement'!X$183:X$184),0), Import!F239)</f>
        <v>km</v>
      </c>
      <c r="I10" s="1204" t="str">
        <f>IF(ISBLANK(Import!G239), "", Import!G239)</f>
        <v/>
      </c>
      <c r="J10" s="1204" t="str">
        <f>IF(ISBLANK(Import!H239), "yes - returning empty", Import!H239)</f>
        <v>yes - returning empty</v>
      </c>
      <c r="K10" s="186"/>
      <c r="L10" s="2500"/>
      <c r="M10" s="2501"/>
      <c r="N10" s="166"/>
      <c r="O10" s="166"/>
      <c r="P10" s="166"/>
      <c r="Q10" s="166"/>
      <c r="R10" s="166"/>
      <c r="S10" s="166"/>
      <c r="T10" s="166"/>
      <c r="U10" s="166"/>
      <c r="V10" s="166"/>
      <c r="W10" s="166"/>
      <c r="X10" s="166"/>
      <c r="Y10" s="166"/>
      <c r="Z10" s="60"/>
      <c r="AA10" s="174">
        <f t="shared" ca="1" si="0"/>
        <v>0</v>
      </c>
      <c r="AB10" s="174">
        <f t="shared" si="1"/>
        <v>0</v>
      </c>
      <c r="AC10" s="174">
        <f ca="1">SUMIF('2.CropManagement'!X$157:X$160,'7.Transport'!F10,'2.CropManagement'!Y$157:Y$160)*E10</f>
        <v>0</v>
      </c>
      <c r="AD10" s="174">
        <f t="shared" ca="1" si="2"/>
        <v>0</v>
      </c>
      <c r="AE10" s="174"/>
      <c r="AF10" s="174"/>
      <c r="AG10" s="174"/>
      <c r="AH10" s="174"/>
      <c r="AI10" s="174"/>
      <c r="AJ10" s="174"/>
      <c r="AK10" s="174"/>
      <c r="AL10" s="174"/>
      <c r="AM10" s="60"/>
    </row>
    <row r="11" spans="1:39" x14ac:dyDescent="0.25">
      <c r="A11" s="166"/>
      <c r="B11" s="944"/>
      <c r="C11" s="943"/>
      <c r="D11" s="1294">
        <v>8</v>
      </c>
      <c r="E11" s="1204">
        <f>IF(ISBLANK(Import!C240), "", Import!C240)</f>
        <v>0</v>
      </c>
      <c r="F11" s="1204" t="str">
        <f ca="1">IF(ISBLANK(Import!D240),OFFSET('2.CropManagement'!AB$182,SUMIF('2.CropManagement'!W$183:W$184,'1.GeneralInfo'!$E$8,'2.CropManagement'!X$183:X$184),0), Import!D240)</f>
        <v xml:space="preserve">tonnes </v>
      </c>
      <c r="G11" s="1204">
        <f>IF(ISBLANK(Import!E240), "", Import!E240)</f>
        <v>0</v>
      </c>
      <c r="H11" s="1204" t="str">
        <f ca="1">IF(ISBLANK(Import!F240),OFFSET('2.CropManagement'!AF$182,SUMIF('2.CropManagement'!W$183:W$184,'1.GeneralInfo'!$E$8,'2.CropManagement'!X$183:X$184),0), Import!F240)</f>
        <v>km</v>
      </c>
      <c r="I11" s="1204" t="str">
        <f>IF(ISBLANK(Import!G240), "", Import!G240)</f>
        <v/>
      </c>
      <c r="J11" s="1204" t="str">
        <f>IF(ISBLANK(Import!H240), "yes - returning empty", Import!H240)</f>
        <v>yes - returning empty</v>
      </c>
      <c r="K11" s="186"/>
      <c r="L11" s="186"/>
      <c r="M11" s="499"/>
      <c r="N11" s="166"/>
      <c r="O11" s="166"/>
      <c r="P11" s="166"/>
      <c r="Q11" s="166"/>
      <c r="R11" s="166"/>
      <c r="S11" s="166"/>
      <c r="T11" s="166"/>
      <c r="U11" s="166"/>
      <c r="V11" s="166"/>
      <c r="W11" s="166"/>
      <c r="X11" s="166"/>
      <c r="Y11" s="166"/>
      <c r="Z11" s="60"/>
      <c r="AA11" s="174">
        <f t="shared" ca="1" si="0"/>
        <v>0</v>
      </c>
      <c r="AB11" s="174">
        <f t="shared" si="1"/>
        <v>0</v>
      </c>
      <c r="AC11" s="174">
        <f ca="1">SUMIF('2.CropManagement'!X$157:X$160,'7.Transport'!F11,'2.CropManagement'!Y$157:Y$160)*E11</f>
        <v>0</v>
      </c>
      <c r="AD11" s="174">
        <f t="shared" ca="1" si="2"/>
        <v>0</v>
      </c>
      <c r="AE11" s="174"/>
      <c r="AF11" s="174"/>
      <c r="AG11" s="174"/>
      <c r="AH11" s="174"/>
      <c r="AI11" s="174"/>
      <c r="AJ11" s="174"/>
      <c r="AK11" s="174"/>
      <c r="AL11" s="174"/>
      <c r="AM11" s="60"/>
    </row>
    <row r="12" spans="1:39" ht="81.8" customHeight="1" thickBot="1" x14ac:dyDescent="0.3">
      <c r="A12" s="166"/>
      <c r="B12" s="945"/>
      <c r="C12" s="946"/>
      <c r="D12" s="493"/>
      <c r="E12" s="1295" t="s">
        <v>413</v>
      </c>
      <c r="F12" s="1296"/>
      <c r="G12" s="1297" t="s">
        <v>174</v>
      </c>
      <c r="H12" s="1296"/>
      <c r="I12" s="1367" t="str">
        <f>IF(ISBLANK(Import!D361), "(Type over this message to enter which materials you have included in this section.)", Import!D361)</f>
        <v>(Type over this message to enter which materials you have included in this section.)</v>
      </c>
      <c r="J12" s="493"/>
      <c r="K12" s="493"/>
      <c r="L12" s="493"/>
      <c r="M12" s="561"/>
      <c r="N12" s="166"/>
      <c r="O12" s="166"/>
      <c r="P12" s="166"/>
      <c r="Q12" s="166"/>
      <c r="R12" s="166"/>
      <c r="S12" s="166"/>
      <c r="T12" s="166"/>
      <c r="U12" s="166"/>
      <c r="V12" s="166"/>
      <c r="W12" s="166"/>
      <c r="X12" s="166"/>
      <c r="Y12" s="166"/>
      <c r="Z12" s="60"/>
      <c r="AA12" s="174"/>
      <c r="AB12" s="174"/>
      <c r="AC12" s="174"/>
      <c r="AD12" s="174"/>
      <c r="AE12" s="174"/>
      <c r="AF12" s="174"/>
      <c r="AG12" s="174"/>
      <c r="AH12" s="174"/>
      <c r="AI12" s="174"/>
      <c r="AJ12" s="174"/>
      <c r="AK12" s="174"/>
      <c r="AL12" s="174"/>
      <c r="AM12" s="60"/>
    </row>
    <row r="13" spans="1:39" ht="21.05" customHeight="1" x14ac:dyDescent="0.25">
      <c r="A13" s="166"/>
      <c r="B13" s="940"/>
      <c r="C13" s="941"/>
      <c r="D13" s="346"/>
      <c r="E13" s="118" t="s">
        <v>2061</v>
      </c>
      <c r="F13" s="118" t="s">
        <v>2062</v>
      </c>
      <c r="G13" s="118" t="s">
        <v>1458</v>
      </c>
      <c r="H13" s="118" t="s">
        <v>2062</v>
      </c>
      <c r="I13" s="118"/>
      <c r="J13" s="186"/>
      <c r="K13" s="346"/>
      <c r="L13" s="186"/>
      <c r="M13" s="347"/>
      <c r="N13" s="166"/>
      <c r="O13" s="166"/>
      <c r="P13" s="166"/>
      <c r="Q13" s="166"/>
      <c r="R13" s="166"/>
      <c r="S13" s="166"/>
      <c r="T13" s="166"/>
      <c r="U13" s="166"/>
      <c r="V13" s="166"/>
      <c r="W13" s="166"/>
      <c r="X13" s="166"/>
      <c r="Y13" s="166"/>
      <c r="Z13" s="60"/>
      <c r="AA13" s="174"/>
      <c r="AB13" s="174"/>
      <c r="AC13" s="174"/>
      <c r="AD13" s="174"/>
      <c r="AE13" s="174"/>
      <c r="AF13" s="174"/>
      <c r="AG13" s="174"/>
      <c r="AH13" s="174"/>
      <c r="AI13" s="174"/>
      <c r="AJ13" s="174"/>
      <c r="AK13" s="174"/>
      <c r="AL13" s="174"/>
      <c r="AM13" s="60"/>
    </row>
    <row r="14" spans="1:39" x14ac:dyDescent="0.25">
      <c r="A14" s="166"/>
      <c r="B14" s="942" t="s">
        <v>1457</v>
      </c>
      <c r="C14" s="943"/>
      <c r="D14" s="186">
        <v>1</v>
      </c>
      <c r="E14" s="1204">
        <f>IF(ISBLANK(Import!C243), "", Import!C243)</f>
        <v>0</v>
      </c>
      <c r="F14" s="1204" t="str">
        <f ca="1">IF(ISBLANK(Import!D243),OFFSET('2.CropManagement'!AB$182,SUMIF('2.CropManagement'!W$183:W$184,'1.GeneralInfo'!$E$8,'2.CropManagement'!X$183:X$184),0), Import!D243)</f>
        <v xml:space="preserve">tonnes </v>
      </c>
      <c r="G14" s="1204">
        <f>IF(ISBLANK(Import!E243), "", Import!E243)</f>
        <v>0</v>
      </c>
      <c r="H14" s="1204" t="str">
        <f ca="1">IF(ISBLANK(Import!F243),OFFSET('2.CropManagement'!AF$182,SUMIF('2.CropManagement'!W$183:W$184,'1.GeneralInfo'!$E$8,'2.CropManagement'!X$183:X$184),0), Import!F243)</f>
        <v>km</v>
      </c>
      <c r="I14" s="186"/>
      <c r="J14" s="186"/>
      <c r="K14" s="186"/>
      <c r="L14" s="186"/>
      <c r="M14" s="499"/>
      <c r="N14" s="166"/>
      <c r="O14" s="166"/>
      <c r="P14" s="166"/>
      <c r="Q14" s="166"/>
      <c r="R14" s="166"/>
      <c r="S14" s="166"/>
      <c r="T14" s="166"/>
      <c r="U14" s="166"/>
      <c r="V14" s="166"/>
      <c r="W14" s="166"/>
      <c r="X14" s="166"/>
      <c r="Y14" s="166"/>
      <c r="Z14" s="60"/>
      <c r="AA14" s="174">
        <f t="shared" ref="AA14:AA41" ca="1" si="3">AB14*AC14*AD14</f>
        <v>0</v>
      </c>
      <c r="AB14" s="174">
        <f t="shared" ref="AB14:AB21" si="4">AH$46</f>
        <v>2.1000000000000001E-2</v>
      </c>
      <c r="AC14" s="174">
        <f ca="1">SUMIF('2.CropManagement'!X$157:X$160,'7.Transport'!F14,'2.CropManagement'!Y$157:Y$160)*E14</f>
        <v>0</v>
      </c>
      <c r="AD14" s="174">
        <f t="shared" ref="AD14:AD21" ca="1" si="5">G14*SUMIF(AF$24:AF$25,H14,AH$24:AH$25)</f>
        <v>0</v>
      </c>
      <c r="AE14" s="174"/>
      <c r="AF14" s="174"/>
      <c r="AG14" s="174"/>
      <c r="AH14" s="174"/>
      <c r="AI14" s="174"/>
      <c r="AJ14" s="174"/>
      <c r="AK14" s="174"/>
      <c r="AL14" s="174"/>
      <c r="AM14" s="60"/>
    </row>
    <row r="15" spans="1:39" x14ac:dyDescent="0.25">
      <c r="A15" s="166"/>
      <c r="B15" s="944"/>
      <c r="C15" s="943"/>
      <c r="D15" s="186">
        <v>2</v>
      </c>
      <c r="E15" s="1204">
        <f>IF(ISBLANK(Import!C244), "", Import!C244)</f>
        <v>0</v>
      </c>
      <c r="F15" s="1204" t="str">
        <f ca="1">IF(ISBLANK(Import!D244),OFFSET('2.CropManagement'!AB$182,SUMIF('2.CropManagement'!W$183:W$184,'1.GeneralInfo'!$E$8,'2.CropManagement'!X$183:X$184),0), Import!D244)</f>
        <v xml:space="preserve">tonnes </v>
      </c>
      <c r="G15" s="1204">
        <f>IF(ISBLANK(Import!E244), "", Import!E244)</f>
        <v>0</v>
      </c>
      <c r="H15" s="1204" t="str">
        <f ca="1">IF(ISBLANK(Import!F244),OFFSET('2.CropManagement'!AF$182,SUMIF('2.CropManagement'!W$183:W$184,'1.GeneralInfo'!$E$8,'2.CropManagement'!X$183:X$184),0), Import!F244)</f>
        <v>km</v>
      </c>
      <c r="I15" s="186"/>
      <c r="J15" s="186"/>
      <c r="K15" s="186"/>
      <c r="L15" s="186"/>
      <c r="M15" s="499"/>
      <c r="N15" s="166"/>
      <c r="O15" s="166"/>
      <c r="P15" s="166"/>
      <c r="Q15" s="166"/>
      <c r="R15" s="166"/>
      <c r="S15" s="166"/>
      <c r="T15" s="166"/>
      <c r="U15" s="166"/>
      <c r="V15" s="166"/>
      <c r="W15" s="166"/>
      <c r="X15" s="166"/>
      <c r="Y15" s="166"/>
      <c r="Z15" s="60"/>
      <c r="AA15" s="174">
        <f t="shared" ca="1" si="3"/>
        <v>0</v>
      </c>
      <c r="AB15" s="174">
        <f t="shared" si="4"/>
        <v>2.1000000000000001E-2</v>
      </c>
      <c r="AC15" s="174">
        <f ca="1">SUMIF('2.CropManagement'!X$157:X$160,'7.Transport'!F15,'2.CropManagement'!Y$157:Y$160)*E15</f>
        <v>0</v>
      </c>
      <c r="AD15" s="174">
        <f t="shared" ca="1" si="5"/>
        <v>0</v>
      </c>
      <c r="AE15" s="174"/>
      <c r="AF15" s="174"/>
      <c r="AG15" s="174"/>
      <c r="AH15" s="174"/>
      <c r="AI15" s="174"/>
      <c r="AJ15" s="174"/>
      <c r="AK15" s="174"/>
      <c r="AL15" s="174"/>
      <c r="AM15" s="60"/>
    </row>
    <row r="16" spans="1:39" x14ac:dyDescent="0.25">
      <c r="A16" s="166"/>
      <c r="B16" s="944"/>
      <c r="C16" s="943"/>
      <c r="D16" s="186">
        <v>3</v>
      </c>
      <c r="E16" s="1204">
        <f>IF(ISBLANK(Import!C245), "", Import!C245)</f>
        <v>0</v>
      </c>
      <c r="F16" s="1204" t="str">
        <f ca="1">IF(ISBLANK(Import!D245),OFFSET('2.CropManagement'!AB$182,SUMIF('2.CropManagement'!W$183:W$184,'1.GeneralInfo'!$E$8,'2.CropManagement'!X$183:X$184),0), Import!D245)</f>
        <v xml:space="preserve">tonnes </v>
      </c>
      <c r="G16" s="1204">
        <f>IF(ISBLANK(Import!E245), "", Import!E245)</f>
        <v>0</v>
      </c>
      <c r="H16" s="1204" t="str">
        <f ca="1">IF(ISBLANK(Import!F245),OFFSET('2.CropManagement'!AF$182,SUMIF('2.CropManagement'!W$183:W$184,'1.GeneralInfo'!$E$8,'2.CropManagement'!X$183:X$184),0), Import!F245)</f>
        <v>km</v>
      </c>
      <c r="I16" s="186"/>
      <c r="J16" s="186"/>
      <c r="K16" s="186"/>
      <c r="L16" s="186"/>
      <c r="M16" s="499"/>
      <c r="N16" s="166"/>
      <c r="O16" s="166"/>
      <c r="P16" s="166"/>
      <c r="Q16" s="166"/>
      <c r="R16" s="166"/>
      <c r="S16" s="166"/>
      <c r="T16" s="166"/>
      <c r="U16" s="166"/>
      <c r="V16" s="166"/>
      <c r="W16" s="166"/>
      <c r="X16" s="166"/>
      <c r="Y16" s="166"/>
      <c r="Z16" s="60"/>
      <c r="AA16" s="174">
        <f t="shared" ca="1" si="3"/>
        <v>0</v>
      </c>
      <c r="AB16" s="174">
        <f t="shared" si="4"/>
        <v>2.1000000000000001E-2</v>
      </c>
      <c r="AC16" s="174">
        <f ca="1">SUMIF('2.CropManagement'!X$157:X$160,'7.Transport'!F16,'2.CropManagement'!Y$157:Y$160)*E16</f>
        <v>0</v>
      </c>
      <c r="AD16" s="174">
        <f t="shared" ca="1" si="5"/>
        <v>0</v>
      </c>
      <c r="AE16" s="174"/>
      <c r="AF16" s="174"/>
      <c r="AG16" s="174"/>
      <c r="AH16" s="174"/>
      <c r="AI16" s="174"/>
      <c r="AJ16" s="174"/>
      <c r="AK16" s="174"/>
      <c r="AL16" s="174"/>
      <c r="AM16" s="60"/>
    </row>
    <row r="17" spans="1:39" x14ac:dyDescent="0.25">
      <c r="A17" s="166"/>
      <c r="B17" s="944"/>
      <c r="C17" s="943"/>
      <c r="D17" s="186">
        <v>4</v>
      </c>
      <c r="E17" s="1204">
        <f>IF(ISBLANK(Import!C246), "", Import!C246)</f>
        <v>0</v>
      </c>
      <c r="F17" s="1204" t="str">
        <f ca="1">IF(ISBLANK(Import!D246),OFFSET('2.CropManagement'!AB$182,SUMIF('2.CropManagement'!W$183:W$184,'1.GeneralInfo'!$E$8,'2.CropManagement'!X$183:X$184),0), Import!D246)</f>
        <v xml:space="preserve">tonnes </v>
      </c>
      <c r="G17" s="1204">
        <f>IF(ISBLANK(Import!E246), "", Import!E246)</f>
        <v>0</v>
      </c>
      <c r="H17" s="1204" t="str">
        <f ca="1">IF(ISBLANK(Import!F246),OFFSET('2.CropManagement'!AF$182,SUMIF('2.CropManagement'!W$183:W$184,'1.GeneralInfo'!$E$8,'2.CropManagement'!X$183:X$184),0), Import!F246)</f>
        <v>km</v>
      </c>
      <c r="I17" s="186"/>
      <c r="J17" s="186"/>
      <c r="K17" s="186"/>
      <c r="L17" s="186"/>
      <c r="M17" s="499"/>
      <c r="N17" s="166"/>
      <c r="O17" s="166"/>
      <c r="P17" s="166"/>
      <c r="Q17" s="166"/>
      <c r="R17" s="166"/>
      <c r="S17" s="166"/>
      <c r="T17" s="166"/>
      <c r="U17" s="166"/>
      <c r="V17" s="166"/>
      <c r="W17" s="166"/>
      <c r="X17" s="166"/>
      <c r="Y17" s="166"/>
      <c r="Z17" s="60"/>
      <c r="AA17" s="174">
        <f t="shared" ca="1" si="3"/>
        <v>0</v>
      </c>
      <c r="AB17" s="174">
        <f t="shared" si="4"/>
        <v>2.1000000000000001E-2</v>
      </c>
      <c r="AC17" s="174">
        <f ca="1">SUMIF('2.CropManagement'!X$157:X$160,'7.Transport'!F17,'2.CropManagement'!Y$157:Y$160)*E17</f>
        <v>0</v>
      </c>
      <c r="AD17" s="174">
        <f t="shared" ca="1" si="5"/>
        <v>0</v>
      </c>
      <c r="AE17" s="174"/>
      <c r="AF17" s="174"/>
      <c r="AG17" s="174"/>
      <c r="AH17" s="174"/>
      <c r="AI17" s="174"/>
      <c r="AJ17" s="174"/>
      <c r="AK17" s="174"/>
      <c r="AL17" s="174"/>
      <c r="AM17" s="60"/>
    </row>
    <row r="18" spans="1:39" x14ac:dyDescent="0.25">
      <c r="A18" s="166"/>
      <c r="B18" s="944"/>
      <c r="C18" s="943"/>
      <c r="D18" s="186">
        <v>5</v>
      </c>
      <c r="E18" s="1204">
        <f>IF(ISBLANK(Import!C247), "", Import!C247)</f>
        <v>0</v>
      </c>
      <c r="F18" s="1204" t="str">
        <f ca="1">IF(ISBLANK(Import!D247),OFFSET('2.CropManagement'!AB$182,SUMIF('2.CropManagement'!W$183:W$184,'1.GeneralInfo'!$E$8,'2.CropManagement'!X$183:X$184),0), Import!D247)</f>
        <v xml:space="preserve">tonnes </v>
      </c>
      <c r="G18" s="1204">
        <f>IF(ISBLANK(Import!E247), "", Import!E247)</f>
        <v>0</v>
      </c>
      <c r="H18" s="1204" t="str">
        <f ca="1">IF(ISBLANK(Import!F247),OFFSET('2.CropManagement'!AF$182,SUMIF('2.CropManagement'!W$183:W$184,'1.GeneralInfo'!$E$8,'2.CropManagement'!X$183:X$184),0), Import!F247)</f>
        <v>km</v>
      </c>
      <c r="I18" s="186"/>
      <c r="J18" s="186"/>
      <c r="K18" s="186"/>
      <c r="L18" s="186"/>
      <c r="M18" s="499"/>
      <c r="N18" s="166"/>
      <c r="O18" s="166"/>
      <c r="P18" s="166"/>
      <c r="Q18" s="166"/>
      <c r="R18" s="166"/>
      <c r="S18" s="166"/>
      <c r="T18" s="166"/>
      <c r="U18" s="166"/>
      <c r="V18" s="166"/>
      <c r="W18" s="166"/>
      <c r="X18" s="166"/>
      <c r="Y18" s="166"/>
      <c r="Z18" s="60"/>
      <c r="AA18" s="174">
        <f t="shared" ca="1" si="3"/>
        <v>0</v>
      </c>
      <c r="AB18" s="174">
        <f t="shared" si="4"/>
        <v>2.1000000000000001E-2</v>
      </c>
      <c r="AC18" s="174">
        <f ca="1">SUMIF('2.CropManagement'!X$157:X$160,'7.Transport'!F18,'2.CropManagement'!Y$157:Y$160)*E18</f>
        <v>0</v>
      </c>
      <c r="AD18" s="174">
        <f t="shared" ca="1" si="5"/>
        <v>0</v>
      </c>
      <c r="AE18" s="174"/>
      <c r="AF18" s="174"/>
      <c r="AG18" s="174"/>
      <c r="AH18" s="174"/>
      <c r="AI18" s="174"/>
      <c r="AJ18" s="174"/>
      <c r="AK18" s="174"/>
      <c r="AL18" s="174"/>
      <c r="AM18" s="60"/>
    </row>
    <row r="19" spans="1:39" x14ac:dyDescent="0.25">
      <c r="A19" s="166"/>
      <c r="B19" s="944"/>
      <c r="C19" s="943"/>
      <c r="D19" s="186">
        <v>6</v>
      </c>
      <c r="E19" s="1204">
        <f>IF(ISBLANK(Import!C248), "", Import!C248)</f>
        <v>0</v>
      </c>
      <c r="F19" s="1204" t="str">
        <f ca="1">IF(ISBLANK(Import!D248),OFFSET('2.CropManagement'!AB$182,SUMIF('2.CropManagement'!W$183:W$184,'1.GeneralInfo'!$E$8,'2.CropManagement'!X$183:X$184),0), Import!D248)</f>
        <v xml:space="preserve">tonnes </v>
      </c>
      <c r="G19" s="1204">
        <f>IF(ISBLANK(Import!E248), "", Import!E248)</f>
        <v>0</v>
      </c>
      <c r="H19" s="1204" t="str">
        <f ca="1">IF(ISBLANK(Import!F248),OFFSET('2.CropManagement'!AF$182,SUMIF('2.CropManagement'!W$183:W$184,'1.GeneralInfo'!$E$8,'2.CropManagement'!X$183:X$184),0), Import!F248)</f>
        <v>km</v>
      </c>
      <c r="I19" s="186"/>
      <c r="J19" s="186"/>
      <c r="K19" s="186"/>
      <c r="L19" s="186"/>
      <c r="M19" s="499"/>
      <c r="N19" s="166"/>
      <c r="O19" s="166"/>
      <c r="P19" s="166"/>
      <c r="Q19" s="166"/>
      <c r="R19" s="166"/>
      <c r="S19" s="166"/>
      <c r="T19" s="166"/>
      <c r="U19" s="166"/>
      <c r="V19" s="166"/>
      <c r="W19" s="166"/>
      <c r="X19" s="166"/>
      <c r="Y19" s="166"/>
      <c r="Z19" s="60"/>
      <c r="AA19" s="174">
        <f t="shared" ca="1" si="3"/>
        <v>0</v>
      </c>
      <c r="AB19" s="174">
        <f t="shared" si="4"/>
        <v>2.1000000000000001E-2</v>
      </c>
      <c r="AC19" s="174">
        <f ca="1">SUMIF('2.CropManagement'!X$157:X$160,'7.Transport'!F19,'2.CropManagement'!Y$157:Y$160)*E19</f>
        <v>0</v>
      </c>
      <c r="AD19" s="174">
        <f t="shared" ca="1" si="5"/>
        <v>0</v>
      </c>
      <c r="AE19" s="174"/>
      <c r="AF19" s="174"/>
      <c r="AG19" s="174"/>
      <c r="AH19" s="174"/>
      <c r="AI19" s="174"/>
      <c r="AJ19" s="174"/>
      <c r="AK19" s="174"/>
      <c r="AL19" s="174"/>
      <c r="AM19" s="60"/>
    </row>
    <row r="20" spans="1:39" x14ac:dyDescent="0.25">
      <c r="A20" s="166"/>
      <c r="B20" s="944"/>
      <c r="C20" s="943"/>
      <c r="D20" s="186">
        <v>7</v>
      </c>
      <c r="E20" s="1204">
        <f>IF(ISBLANK(Import!C249), "", Import!C249)</f>
        <v>0</v>
      </c>
      <c r="F20" s="1204" t="str">
        <f ca="1">IF(ISBLANK(Import!D249),OFFSET('2.CropManagement'!AB$182,SUMIF('2.CropManagement'!W$183:W$184,'1.GeneralInfo'!$E$8,'2.CropManagement'!X$183:X$184),0), Import!D249)</f>
        <v xml:space="preserve">tonnes </v>
      </c>
      <c r="G20" s="1204">
        <f>IF(ISBLANK(Import!E249), "", Import!E249)</f>
        <v>0</v>
      </c>
      <c r="H20" s="1204" t="str">
        <f ca="1">IF(ISBLANK(Import!F249),OFFSET('2.CropManagement'!AF$182,SUMIF('2.CropManagement'!W$183:W$184,'1.GeneralInfo'!$E$8,'2.CropManagement'!X$183:X$184),0), Import!F249)</f>
        <v>km</v>
      </c>
      <c r="I20" s="186"/>
      <c r="J20" s="186"/>
      <c r="K20" s="186"/>
      <c r="L20" s="186"/>
      <c r="M20" s="499"/>
      <c r="N20" s="166"/>
      <c r="O20" s="166"/>
      <c r="P20" s="166"/>
      <c r="Q20" s="166"/>
      <c r="R20" s="166"/>
      <c r="S20" s="166"/>
      <c r="T20" s="166"/>
      <c r="U20" s="166"/>
      <c r="V20" s="166"/>
      <c r="W20" s="166"/>
      <c r="X20" s="166"/>
      <c r="Y20" s="166"/>
      <c r="Z20" s="60"/>
      <c r="AA20" s="174">
        <f t="shared" ca="1" si="3"/>
        <v>0</v>
      </c>
      <c r="AB20" s="174">
        <f t="shared" si="4"/>
        <v>2.1000000000000001E-2</v>
      </c>
      <c r="AC20" s="174">
        <f ca="1">SUMIF('2.CropManagement'!X$157:X$160,'7.Transport'!F20,'2.CropManagement'!Y$157:Y$160)*E20</f>
        <v>0</v>
      </c>
      <c r="AD20" s="174">
        <f t="shared" ca="1" si="5"/>
        <v>0</v>
      </c>
      <c r="AE20" s="174"/>
      <c r="AF20" s="174"/>
      <c r="AG20" s="174"/>
      <c r="AH20" s="174"/>
      <c r="AI20" s="174"/>
      <c r="AJ20" s="174"/>
      <c r="AK20" s="174"/>
      <c r="AL20" s="174"/>
      <c r="AM20" s="60"/>
    </row>
    <row r="21" spans="1:39" x14ac:dyDescent="0.25">
      <c r="A21" s="166"/>
      <c r="B21" s="944"/>
      <c r="C21" s="943"/>
      <c r="D21" s="1294">
        <v>8</v>
      </c>
      <c r="E21" s="1204">
        <f>IF(ISBLANK(Import!C250), "", Import!C250)</f>
        <v>0</v>
      </c>
      <c r="F21" s="1204" t="str">
        <f ca="1">IF(ISBLANK(Import!D250),OFFSET('2.CropManagement'!AB$182,SUMIF('2.CropManagement'!W$183:W$184,'1.GeneralInfo'!$E$8,'2.CropManagement'!X$183:X$184),0), Import!D250)</f>
        <v xml:space="preserve">tonnes </v>
      </c>
      <c r="G21" s="1204">
        <f>IF(ISBLANK(Import!E250), "", Import!E250)</f>
        <v>0</v>
      </c>
      <c r="H21" s="1204" t="str">
        <f ca="1">IF(ISBLANK(Import!F250),OFFSET('2.CropManagement'!AF$182,SUMIF('2.CropManagement'!W$183:W$184,'1.GeneralInfo'!$E$8,'2.CropManagement'!X$183:X$184),0), Import!F250)</f>
        <v>km</v>
      </c>
      <c r="I21" s="186"/>
      <c r="J21" s="186"/>
      <c r="K21" s="186"/>
      <c r="L21" s="186"/>
      <c r="M21" s="499"/>
      <c r="N21" s="166"/>
      <c r="O21" s="166"/>
      <c r="P21" s="166"/>
      <c r="Q21" s="166"/>
      <c r="R21" s="166"/>
      <c r="S21" s="166"/>
      <c r="T21" s="166"/>
      <c r="U21" s="166"/>
      <c r="V21" s="166"/>
      <c r="W21" s="166"/>
      <c r="X21" s="166"/>
      <c r="Y21" s="166"/>
      <c r="Z21" s="60"/>
      <c r="AA21" s="174">
        <f t="shared" ca="1" si="3"/>
        <v>0</v>
      </c>
      <c r="AB21" s="174">
        <f t="shared" si="4"/>
        <v>2.1000000000000001E-2</v>
      </c>
      <c r="AC21" s="174">
        <f ca="1">SUMIF('2.CropManagement'!X$157:X$160,'7.Transport'!F21,'2.CropManagement'!Y$157:Y$160)*E21</f>
        <v>0</v>
      </c>
      <c r="AD21" s="174">
        <f t="shared" ca="1" si="5"/>
        <v>0</v>
      </c>
      <c r="AE21" s="174"/>
      <c r="AF21" s="174"/>
      <c r="AG21" s="174"/>
      <c r="AH21" s="174"/>
      <c r="AI21" s="174"/>
      <c r="AJ21" s="174"/>
      <c r="AK21" s="174"/>
      <c r="AL21" s="174"/>
      <c r="AM21" s="60"/>
    </row>
    <row r="22" spans="1:39" ht="71.3" customHeight="1" thickBot="1" x14ac:dyDescent="0.3">
      <c r="A22" s="166"/>
      <c r="B22" s="945"/>
      <c r="C22" s="946"/>
      <c r="D22" s="493"/>
      <c r="E22" s="1295" t="s">
        <v>413</v>
      </c>
      <c r="F22" s="1296"/>
      <c r="G22" s="1301" t="s">
        <v>174</v>
      </c>
      <c r="H22" s="1300"/>
      <c r="I22" s="1367" t="str">
        <f>IF(ISBLANK(Import!D362), "(Type over this message to enter which materials you have included in this section.)", Import!D362)</f>
        <v>(Type over this message to enter which materials you have included in this section.)</v>
      </c>
      <c r="K22" s="493"/>
      <c r="M22" s="561"/>
      <c r="N22" s="166"/>
      <c r="O22" s="166"/>
      <c r="P22" s="166"/>
      <c r="Q22" s="166"/>
      <c r="R22" s="166"/>
      <c r="S22" s="166"/>
      <c r="T22" s="166"/>
      <c r="U22" s="166"/>
      <c r="V22" s="166"/>
      <c r="W22" s="166"/>
      <c r="X22" s="166"/>
      <c r="Y22" s="166"/>
      <c r="Z22" s="60"/>
      <c r="AA22" s="174"/>
      <c r="AB22" s="174"/>
      <c r="AC22" s="174"/>
      <c r="AD22" s="174"/>
      <c r="AE22" s="174"/>
      <c r="AF22" s="174"/>
      <c r="AG22" s="174"/>
      <c r="AH22" s="174"/>
      <c r="AI22" s="174"/>
      <c r="AJ22" s="174"/>
      <c r="AK22" s="174"/>
      <c r="AL22" s="174"/>
      <c r="AM22" s="60"/>
    </row>
    <row r="23" spans="1:39" ht="21.75" customHeight="1" x14ac:dyDescent="0.25">
      <c r="A23" s="142"/>
      <c r="B23" s="947"/>
      <c r="C23" s="948"/>
      <c r="D23" s="118"/>
      <c r="E23" s="118" t="s">
        <v>2061</v>
      </c>
      <c r="F23" s="118" t="s">
        <v>2062</v>
      </c>
      <c r="G23" s="118" t="s">
        <v>1458</v>
      </c>
      <c r="H23" s="118" t="s">
        <v>2062</v>
      </c>
      <c r="I23" s="118" t="s">
        <v>1273</v>
      </c>
      <c r="J23" s="118"/>
      <c r="K23" s="118"/>
      <c r="L23" s="118"/>
      <c r="M23" s="143"/>
      <c r="N23" s="142"/>
      <c r="O23" s="142"/>
      <c r="P23" s="142"/>
      <c r="Q23" s="142"/>
      <c r="R23" s="142"/>
      <c r="S23" s="142"/>
      <c r="T23" s="142"/>
      <c r="U23" s="142"/>
      <c r="V23" s="142"/>
      <c r="W23" s="142"/>
      <c r="X23" s="142"/>
      <c r="Y23" s="142"/>
      <c r="Z23" s="1"/>
      <c r="AA23" s="144"/>
      <c r="AB23" s="144"/>
      <c r="AC23" s="144"/>
      <c r="AD23" s="144"/>
      <c r="AE23" s="144"/>
      <c r="AF23" s="144"/>
      <c r="AG23" s="144"/>
      <c r="AH23" s="144"/>
      <c r="AI23" s="144"/>
      <c r="AJ23" s="144"/>
      <c r="AK23" s="144"/>
      <c r="AL23" s="144"/>
      <c r="AM23" s="1"/>
    </row>
    <row r="24" spans="1:39" x14ac:dyDescent="0.25">
      <c r="A24" s="166"/>
      <c r="B24" s="942" t="s">
        <v>1460</v>
      </c>
      <c r="C24" s="943"/>
      <c r="D24" s="186">
        <v>1</v>
      </c>
      <c r="E24" s="1204">
        <f>IF(ISBLANK(Import!C253), "", Import!C253)</f>
        <v>0</v>
      </c>
      <c r="F24" s="1204" t="str">
        <f ca="1">IF(ISBLANK(Import!D253),OFFSET('2.CropManagement'!AB$182,SUMIF('2.CropManagement'!W$183:W$184,'1.GeneralInfo'!$E$8,'2.CropManagement'!X$183:X$184),0), Import!D253)</f>
        <v xml:space="preserve">tonnes </v>
      </c>
      <c r="G24" s="1204">
        <f>IF(ISBLANK(Import!E253), "", Import!E253)</f>
        <v>0</v>
      </c>
      <c r="H24" s="1204" t="str">
        <f ca="1">IF(ISBLANK(Import!F253),OFFSET('2.CropManagement'!AF$182,SUMIF('2.CropManagement'!W$183:W$184,'1.GeneralInfo'!$E$8,'2.CropManagement'!X$183:X$184),0), Import!F253)</f>
        <v>km</v>
      </c>
      <c r="I24" s="1204" t="str">
        <f>IF(ISBLANK(Import!G253),(IF(AD24&lt;$AF$28,$AF$48,IF(AD24&lt;$AF$29,$AF$49,$AF$50))), Import!G253)</f>
        <v>Very Short Haul</v>
      </c>
      <c r="J24" s="186"/>
      <c r="K24" s="186"/>
      <c r="L24" s="100" t="s">
        <v>1112</v>
      </c>
      <c r="M24" s="499"/>
      <c r="N24" s="166"/>
      <c r="O24" s="166"/>
      <c r="P24" s="166"/>
      <c r="Q24" s="166"/>
      <c r="R24" s="166"/>
      <c r="S24" s="166"/>
      <c r="T24" s="166"/>
      <c r="U24" s="166"/>
      <c r="V24" s="166"/>
      <c r="W24" s="166"/>
      <c r="X24" s="166"/>
      <c r="Y24" s="166"/>
      <c r="Z24" s="60"/>
      <c r="AA24" s="174">
        <f t="shared" ca="1" si="3"/>
        <v>0</v>
      </c>
      <c r="AB24" s="174">
        <f t="shared" ref="AB24:AB31" si="6">SUMIF(AF$48:AF$50,I24,AH$48:AH$50)</f>
        <v>1.9362299999999999</v>
      </c>
      <c r="AC24" s="174">
        <f ca="1">SUMIF('2.CropManagement'!X$157:X$160,'7.Transport'!F24,'2.CropManagement'!Y$157:Y$160)*E24</f>
        <v>0</v>
      </c>
      <c r="AD24" s="174">
        <f t="shared" ref="AD24:AD31" ca="1" si="7">G24*SUMIF(AF$24:AF$25,H24,AH$24:AH$25)</f>
        <v>0</v>
      </c>
      <c r="AE24" s="174"/>
      <c r="AF24" s="174" t="s">
        <v>795</v>
      </c>
      <c r="AG24" s="174">
        <v>1</v>
      </c>
      <c r="AH24" s="174">
        <v>1</v>
      </c>
      <c r="AI24" s="174"/>
      <c r="AJ24" s="174"/>
      <c r="AK24" s="174"/>
      <c r="AL24" s="174"/>
      <c r="AM24" s="60"/>
    </row>
    <row r="25" spans="1:39" x14ac:dyDescent="0.25">
      <c r="A25" s="166"/>
      <c r="B25" s="944"/>
      <c r="C25" s="943"/>
      <c r="D25" s="186">
        <v>2</v>
      </c>
      <c r="E25" s="1204">
        <f>IF(ISBLANK(Import!C254), "", Import!C254)</f>
        <v>0</v>
      </c>
      <c r="F25" s="1204" t="str">
        <f ca="1">IF(ISBLANK(Import!D254),OFFSET('2.CropManagement'!AB$182,SUMIF('2.CropManagement'!W$183:W$184,'1.GeneralInfo'!$E$8,'2.CropManagement'!X$183:X$184),0), Import!D254)</f>
        <v xml:space="preserve">tonnes </v>
      </c>
      <c r="G25" s="1204">
        <f>IF(ISBLANK(Import!E254), "", Import!E254)</f>
        <v>0</v>
      </c>
      <c r="H25" s="1204" t="str">
        <f ca="1">IF(ISBLANK(Import!F254),OFFSET('2.CropManagement'!AF$182,SUMIF('2.CropManagement'!W$183:W$184,'1.GeneralInfo'!$E$8,'2.CropManagement'!X$183:X$184),0), Import!F254)</f>
        <v>km</v>
      </c>
      <c r="I25" s="1204" t="str">
        <f>IF(ISBLANK(Import!G254), IF(AD25&lt;$AF$28,$AF$48,IF(AD25&lt;$AF$29,$AF$49,$AF$50)), Import!G254)</f>
        <v>Very Short Haul</v>
      </c>
      <c r="J25" s="186"/>
      <c r="K25" s="186"/>
      <c r="L25" s="2494" t="s">
        <v>1125</v>
      </c>
      <c r="M25" s="499"/>
      <c r="N25" s="166"/>
      <c r="O25" s="166"/>
      <c r="P25" s="166"/>
      <c r="Q25" s="166"/>
      <c r="R25" s="166"/>
      <c r="S25" s="166"/>
      <c r="T25" s="166"/>
      <c r="U25" s="166"/>
      <c r="V25" s="166"/>
      <c r="W25" s="166"/>
      <c r="X25" s="166"/>
      <c r="Y25" s="166"/>
      <c r="Z25" s="60"/>
      <c r="AA25" s="174">
        <f t="shared" ca="1" si="3"/>
        <v>0</v>
      </c>
      <c r="AB25" s="174">
        <f t="shared" si="6"/>
        <v>1.9362299999999999</v>
      </c>
      <c r="AC25" s="174">
        <f ca="1">SUMIF('2.CropManagement'!X$157:X$160,'7.Transport'!F25,'2.CropManagement'!Y$157:Y$160)*E25</f>
        <v>0</v>
      </c>
      <c r="AD25" s="174">
        <f t="shared" ca="1" si="7"/>
        <v>0</v>
      </c>
      <c r="AE25" s="174"/>
      <c r="AF25" s="174" t="s">
        <v>796</v>
      </c>
      <c r="AG25" s="174">
        <v>2</v>
      </c>
      <c r="AH25" s="174">
        <v>1.6120000000000001</v>
      </c>
      <c r="AI25" s="174"/>
      <c r="AJ25" s="174"/>
      <c r="AK25" s="174"/>
      <c r="AL25" s="174"/>
      <c r="AM25" s="60"/>
    </row>
    <row r="26" spans="1:39" x14ac:dyDescent="0.25">
      <c r="A26" s="166"/>
      <c r="B26" s="944"/>
      <c r="C26" s="943"/>
      <c r="D26" s="186">
        <v>3</v>
      </c>
      <c r="E26" s="1204">
        <f>IF(ISBLANK(Import!C255), "", Import!C255)</f>
        <v>0</v>
      </c>
      <c r="F26" s="1204" t="str">
        <f ca="1">IF(ISBLANK(Import!D255),OFFSET('2.CropManagement'!AB$182,SUMIF('2.CropManagement'!W$183:W$184,'1.GeneralInfo'!$E$8,'2.CropManagement'!X$183:X$184),0), Import!D255)</f>
        <v xml:space="preserve">tonnes </v>
      </c>
      <c r="G26" s="1204">
        <f>IF(ISBLANK(Import!E255), "", Import!E255)</f>
        <v>0</v>
      </c>
      <c r="H26" s="1204" t="str">
        <f ca="1">IF(ISBLANK(Import!F255),OFFSET('2.CropManagement'!AF$182,SUMIF('2.CropManagement'!W$183:W$184,'1.GeneralInfo'!$E$8,'2.CropManagement'!X$183:X$184),0), Import!F255)</f>
        <v>km</v>
      </c>
      <c r="I26" s="1204" t="str">
        <f>IF(ISBLANK(Import!G255), IF(AD26&lt;$AF$28,$AF$48,IF(AD26&lt;$AF$29,$AF$49,$AF$50)), Import!G255)</f>
        <v>Very Short Haul</v>
      </c>
      <c r="J26" s="186"/>
      <c r="K26" s="186"/>
      <c r="L26" s="2495"/>
      <c r="M26" s="499"/>
      <c r="N26" s="166"/>
      <c r="O26" s="166"/>
      <c r="P26" s="166"/>
      <c r="Q26" s="166"/>
      <c r="R26" s="166"/>
      <c r="S26" s="166"/>
      <c r="T26" s="166"/>
      <c r="U26" s="166"/>
      <c r="V26" s="166"/>
      <c r="W26" s="166"/>
      <c r="X26" s="166"/>
      <c r="Y26" s="166"/>
      <c r="Z26" s="60"/>
      <c r="AA26" s="174">
        <f t="shared" ca="1" si="3"/>
        <v>0</v>
      </c>
      <c r="AB26" s="174">
        <f t="shared" si="6"/>
        <v>1.9362299999999999</v>
      </c>
      <c r="AC26" s="174">
        <f ca="1">SUMIF('2.CropManagement'!X$157:X$160,'7.Transport'!F26,'2.CropManagement'!Y$157:Y$160)*E26</f>
        <v>0</v>
      </c>
      <c r="AD26" s="174">
        <f t="shared" ca="1" si="7"/>
        <v>0</v>
      </c>
      <c r="AE26" s="174"/>
      <c r="AF26" s="174"/>
      <c r="AG26" s="174"/>
      <c r="AH26" s="174"/>
      <c r="AI26" s="174"/>
      <c r="AJ26" s="174"/>
      <c r="AK26" s="174"/>
      <c r="AL26" s="174"/>
      <c r="AM26" s="60"/>
    </row>
    <row r="27" spans="1:39" x14ac:dyDescent="0.25">
      <c r="A27" s="166"/>
      <c r="B27" s="944"/>
      <c r="C27" s="943"/>
      <c r="D27" s="186">
        <v>4</v>
      </c>
      <c r="E27" s="1204">
        <f>IF(ISBLANK(Import!C256), "", Import!C256)</f>
        <v>0</v>
      </c>
      <c r="F27" s="1204" t="str">
        <f ca="1">IF(ISBLANK(Import!D256),OFFSET('2.CropManagement'!AB$182,SUMIF('2.CropManagement'!W$183:W$184,'1.GeneralInfo'!$E$8,'2.CropManagement'!X$183:X$184),0), Import!D256)</f>
        <v xml:space="preserve">tonnes </v>
      </c>
      <c r="G27" s="1204">
        <f>IF(ISBLANK(Import!E256), "", Import!E256)</f>
        <v>0</v>
      </c>
      <c r="H27" s="1204" t="str">
        <f ca="1">IF(ISBLANK(Import!F256),OFFSET('2.CropManagement'!AF$182,SUMIF('2.CropManagement'!W$183:W$184,'1.GeneralInfo'!$E$8,'2.CropManagement'!X$183:X$184),0), Import!F256)</f>
        <v>km</v>
      </c>
      <c r="I27" s="1204" t="str">
        <f>IF(ISBLANK(Import!G256), IF(AD27&lt;$AF$28,$AF$48,IF(AD27&lt;$AF$29,$AF$49,$AF$50)), Import!G256)</f>
        <v>Very Short Haul</v>
      </c>
      <c r="J27" s="186"/>
      <c r="K27" s="186"/>
      <c r="L27" s="100" t="s">
        <v>1126</v>
      </c>
      <c r="M27" s="499"/>
      <c r="N27" s="166"/>
      <c r="O27" s="166"/>
      <c r="P27" s="166"/>
      <c r="Q27" s="166"/>
      <c r="R27" s="166"/>
      <c r="S27" s="166"/>
      <c r="T27" s="166"/>
      <c r="U27" s="166"/>
      <c r="V27" s="166"/>
      <c r="W27" s="166"/>
      <c r="X27" s="166"/>
      <c r="Y27" s="166"/>
      <c r="Z27" s="60"/>
      <c r="AA27" s="174">
        <f t="shared" ca="1" si="3"/>
        <v>0</v>
      </c>
      <c r="AB27" s="174">
        <f t="shared" si="6"/>
        <v>1.9362299999999999</v>
      </c>
      <c r="AC27" s="174">
        <f ca="1">SUMIF('2.CropManagement'!X$157:X$160,'7.Transport'!F27,'2.CropManagement'!Y$157:Y$160)*E27</f>
        <v>0</v>
      </c>
      <c r="AD27" s="174">
        <f t="shared" ca="1" si="7"/>
        <v>0</v>
      </c>
      <c r="AE27" s="174"/>
      <c r="AF27" s="174"/>
      <c r="AG27" s="174"/>
      <c r="AH27" s="174"/>
      <c r="AI27" s="174"/>
      <c r="AJ27" s="174"/>
      <c r="AK27" s="174"/>
      <c r="AL27" s="174"/>
      <c r="AM27" s="60"/>
    </row>
    <row r="28" spans="1:39" x14ac:dyDescent="0.25">
      <c r="A28" s="166"/>
      <c r="B28" s="944"/>
      <c r="C28" s="943"/>
      <c r="D28" s="186">
        <v>5</v>
      </c>
      <c r="E28" s="1204">
        <f>IF(ISBLANK(Import!C257), "", Import!C257)</f>
        <v>0</v>
      </c>
      <c r="F28" s="1204" t="str">
        <f ca="1">IF(ISBLANK(Import!D257),OFFSET('2.CropManagement'!AB$182,SUMIF('2.CropManagement'!W$183:W$184,'1.GeneralInfo'!$E$8,'2.CropManagement'!X$183:X$184),0), Import!D257)</f>
        <v xml:space="preserve">tonnes </v>
      </c>
      <c r="G28" s="1204">
        <f>IF(ISBLANK(Import!E257), "", Import!E257)</f>
        <v>0</v>
      </c>
      <c r="H28" s="1204" t="str">
        <f ca="1">IF(ISBLANK(Import!F257),OFFSET('2.CropManagement'!AF$182,SUMIF('2.CropManagement'!W$183:W$184,'1.GeneralInfo'!$E$8,'2.CropManagement'!X$183:X$184),0), Import!F257)</f>
        <v>km</v>
      </c>
      <c r="I28" s="1204" t="str">
        <f>IF(ISBLANK(Import!G257), IF(AD28&lt;$AF$28,$AF$48,IF(AD28&lt;$AF$29,$AF$49,$AF$50)), Import!G257)</f>
        <v>Very Short Haul</v>
      </c>
      <c r="J28" s="186"/>
      <c r="K28" s="186"/>
      <c r="L28" s="186"/>
      <c r="M28" s="499"/>
      <c r="N28" s="166"/>
      <c r="O28" s="166"/>
      <c r="P28" s="166"/>
      <c r="Q28" s="166"/>
      <c r="R28" s="166"/>
      <c r="S28" s="166"/>
      <c r="T28" s="166"/>
      <c r="U28" s="166"/>
      <c r="V28" s="166"/>
      <c r="W28" s="166"/>
      <c r="X28" s="166"/>
      <c r="Y28" s="166"/>
      <c r="Z28" s="60"/>
      <c r="AA28" s="174">
        <f t="shared" ca="1" si="3"/>
        <v>0</v>
      </c>
      <c r="AB28" s="174">
        <f t="shared" si="6"/>
        <v>1.9362299999999999</v>
      </c>
      <c r="AC28" s="174">
        <f ca="1">SUMIF('2.CropManagement'!X$157:X$160,'7.Transport'!F28,'2.CropManagement'!Y$157:Y$160)*E28</f>
        <v>0</v>
      </c>
      <c r="AD28" s="174">
        <f t="shared" ca="1" si="7"/>
        <v>0</v>
      </c>
      <c r="AE28" s="174"/>
      <c r="AF28" s="174">
        <f>500*AH25</f>
        <v>806</v>
      </c>
      <c r="AG28" s="174"/>
      <c r="AH28" s="174"/>
      <c r="AI28" s="174"/>
      <c r="AJ28" s="174"/>
      <c r="AK28" s="174"/>
      <c r="AL28" s="174"/>
      <c r="AM28" s="60"/>
    </row>
    <row r="29" spans="1:39" x14ac:dyDescent="0.25">
      <c r="A29" s="166"/>
      <c r="B29" s="944"/>
      <c r="C29" s="943"/>
      <c r="D29" s="186">
        <v>6</v>
      </c>
      <c r="E29" s="1204">
        <f>IF(ISBLANK(Import!C258), "", Import!C258)</f>
        <v>0</v>
      </c>
      <c r="F29" s="1204" t="str">
        <f ca="1">IF(ISBLANK(Import!D258),OFFSET('2.CropManagement'!AB$182,SUMIF('2.CropManagement'!W$183:W$184,'1.GeneralInfo'!$E$8,'2.CropManagement'!X$183:X$184),0), Import!D258)</f>
        <v xml:space="preserve">tonnes </v>
      </c>
      <c r="G29" s="1204">
        <f>IF(ISBLANK(Import!E258), "", Import!E258)</f>
        <v>0</v>
      </c>
      <c r="H29" s="1204" t="str">
        <f ca="1">IF(ISBLANK(Import!F258),OFFSET('2.CropManagement'!AF$182,SUMIF('2.CropManagement'!W$183:W$184,'1.GeneralInfo'!$E$8,'2.CropManagement'!X$183:X$184),0), Import!F258)</f>
        <v>km</v>
      </c>
      <c r="I29" s="1204" t="str">
        <f>IF(ISBLANK(Import!G258), IF(AD29&lt;$AF$28,$AF$48,IF(AD29&lt;$AF$29,$AF$49,$AF$50)), Import!G258)</f>
        <v>Very Short Haul</v>
      </c>
      <c r="J29" s="186"/>
      <c r="K29" s="186"/>
      <c r="L29" s="186"/>
      <c r="M29" s="499"/>
      <c r="N29" s="166"/>
      <c r="O29" s="166"/>
      <c r="P29" s="166"/>
      <c r="Q29" s="166"/>
      <c r="R29" s="166"/>
      <c r="S29" s="166"/>
      <c r="T29" s="166"/>
      <c r="U29" s="166"/>
      <c r="V29" s="166"/>
      <c r="W29" s="166"/>
      <c r="X29" s="166"/>
      <c r="Y29" s="166"/>
      <c r="Z29" s="60"/>
      <c r="AA29" s="174">
        <f t="shared" ca="1" si="3"/>
        <v>0</v>
      </c>
      <c r="AB29" s="174">
        <f t="shared" si="6"/>
        <v>1.9362299999999999</v>
      </c>
      <c r="AC29" s="174">
        <f ca="1">SUMIF('2.CropManagement'!X$157:X$160,'7.Transport'!F29,'2.CropManagement'!Y$157:Y$160)*E29</f>
        <v>0</v>
      </c>
      <c r="AD29" s="174">
        <f t="shared" ca="1" si="7"/>
        <v>0</v>
      </c>
      <c r="AE29" s="174"/>
      <c r="AF29" s="174">
        <f>1000*AH25</f>
        <v>1612</v>
      </c>
      <c r="AG29" s="174"/>
      <c r="AH29" s="174"/>
      <c r="AI29" s="174"/>
      <c r="AJ29" s="174"/>
      <c r="AK29" s="174"/>
      <c r="AL29" s="174"/>
      <c r="AM29" s="60"/>
    </row>
    <row r="30" spans="1:39" x14ac:dyDescent="0.25">
      <c r="A30" s="166"/>
      <c r="B30" s="944"/>
      <c r="C30" s="943"/>
      <c r="D30" s="186">
        <v>7</v>
      </c>
      <c r="E30" s="1204">
        <f>IF(ISBLANK(Import!C259), "", Import!C259)</f>
        <v>0</v>
      </c>
      <c r="F30" s="1204" t="str">
        <f ca="1">IF(ISBLANK(Import!D259),OFFSET('2.CropManagement'!AB$182,SUMIF('2.CropManagement'!W$183:W$184,'1.GeneralInfo'!$E$8,'2.CropManagement'!X$183:X$184),0), Import!D259)</f>
        <v xml:space="preserve">tonnes </v>
      </c>
      <c r="G30" s="1204">
        <f>IF(ISBLANK(Import!E259), "", Import!E259)</f>
        <v>0</v>
      </c>
      <c r="H30" s="1204" t="str">
        <f ca="1">IF(ISBLANK(Import!F259),OFFSET('2.CropManagement'!AF$182,SUMIF('2.CropManagement'!W$183:W$184,'1.GeneralInfo'!$E$8,'2.CropManagement'!X$183:X$184),0), Import!F259)</f>
        <v>km</v>
      </c>
      <c r="I30" s="1204" t="str">
        <f>IF(ISBLANK(Import!G259), IF(AD30&lt;$AF$28,$AF$48,IF(AD30&lt;$AF$29,$AF$49,$AF$50)), Import!G259)</f>
        <v>Very Short Haul</v>
      </c>
      <c r="J30" s="186"/>
      <c r="K30" s="186"/>
      <c r="L30" s="186"/>
      <c r="M30" s="499"/>
      <c r="N30" s="166"/>
      <c r="O30" s="166"/>
      <c r="P30" s="166"/>
      <c r="Q30" s="166"/>
      <c r="R30" s="166"/>
      <c r="S30" s="166"/>
      <c r="T30" s="166"/>
      <c r="U30" s="166"/>
      <c r="V30" s="166"/>
      <c r="W30" s="166"/>
      <c r="X30" s="166"/>
      <c r="Y30" s="166"/>
      <c r="Z30" s="60"/>
      <c r="AA30" s="174">
        <f t="shared" ca="1" si="3"/>
        <v>0</v>
      </c>
      <c r="AB30" s="174">
        <f t="shared" si="6"/>
        <v>1.9362299999999999</v>
      </c>
      <c r="AC30" s="174">
        <f ca="1">SUMIF('2.CropManagement'!X$157:X$160,'7.Transport'!F30,'2.CropManagement'!Y$157:Y$160)*E30</f>
        <v>0</v>
      </c>
      <c r="AD30" s="174">
        <f t="shared" ca="1" si="7"/>
        <v>0</v>
      </c>
      <c r="AE30" s="174"/>
      <c r="AF30" s="174"/>
      <c r="AG30" s="174"/>
      <c r="AH30" s="174"/>
      <c r="AI30" s="174"/>
      <c r="AJ30" s="174"/>
      <c r="AK30" s="174"/>
      <c r="AL30" s="174"/>
      <c r="AM30" s="60"/>
    </row>
    <row r="31" spans="1:39" x14ac:dyDescent="0.25">
      <c r="A31" s="166"/>
      <c r="B31" s="944"/>
      <c r="C31" s="943"/>
      <c r="D31" s="1294">
        <v>8</v>
      </c>
      <c r="E31" s="1204">
        <f>IF(ISBLANK(Import!C260), "", Import!C260)</f>
        <v>0</v>
      </c>
      <c r="F31" s="1204" t="str">
        <f ca="1">IF(ISBLANK(Import!D260),OFFSET('2.CropManagement'!AB$182,SUMIF('2.CropManagement'!W$183:W$184,'1.GeneralInfo'!$E$8,'2.CropManagement'!X$183:X$184),0), Import!D260)</f>
        <v xml:space="preserve">tonnes </v>
      </c>
      <c r="G31" s="1204">
        <f>IF(ISBLANK(Import!E260), "", Import!E260)</f>
        <v>0</v>
      </c>
      <c r="H31" s="1204" t="str">
        <f ca="1">IF(ISBLANK(Import!F260),OFFSET('2.CropManagement'!AF$182,SUMIF('2.CropManagement'!W$183:W$184,'1.GeneralInfo'!$E$8,'2.CropManagement'!X$183:X$184),0), Import!F260)</f>
        <v>km</v>
      </c>
      <c r="I31" s="1204" t="str">
        <f>IF(ISBLANK(Import!G260), IF(AD31&lt;$AF$28,$AF$48,IF(AD31&lt;$AF$29,$AF$49,$AF$50)), Import!G260)</f>
        <v>Very Short Haul</v>
      </c>
      <c r="J31" s="186"/>
      <c r="K31" s="186"/>
      <c r="L31" s="186"/>
      <c r="M31" s="499"/>
      <c r="N31" s="166"/>
      <c r="O31" s="166"/>
      <c r="P31" s="166"/>
      <c r="Q31" s="166"/>
      <c r="R31" s="166"/>
      <c r="S31" s="166"/>
      <c r="T31" s="166"/>
      <c r="U31" s="166"/>
      <c r="V31" s="166"/>
      <c r="W31" s="166"/>
      <c r="X31" s="166"/>
      <c r="Y31" s="166"/>
      <c r="Z31" s="60"/>
      <c r="AA31" s="174">
        <f t="shared" ca="1" si="3"/>
        <v>0</v>
      </c>
      <c r="AB31" s="174">
        <f t="shared" si="6"/>
        <v>1.9362299999999999</v>
      </c>
      <c r="AC31" s="174">
        <f ca="1">SUMIF('2.CropManagement'!X$157:X$160,'7.Transport'!F31,'2.CropManagement'!Y$157:Y$160)*E31</f>
        <v>0</v>
      </c>
      <c r="AD31" s="174">
        <f t="shared" ca="1" si="7"/>
        <v>0</v>
      </c>
      <c r="AE31" s="174"/>
      <c r="AF31" s="174"/>
      <c r="AG31" s="174"/>
      <c r="AH31" s="294" t="str">
        <f>'2.CropManagement'!X157</f>
        <v>kgs</v>
      </c>
      <c r="AI31" s="294">
        <f>'2.CropManagement'!Y157</f>
        <v>1E-3</v>
      </c>
      <c r="AJ31" s="174"/>
      <c r="AK31" s="174"/>
      <c r="AL31" s="174"/>
      <c r="AM31" s="60"/>
    </row>
    <row r="32" spans="1:39" ht="66.849999999999994" customHeight="1" thickBot="1" x14ac:dyDescent="0.3">
      <c r="A32" s="166"/>
      <c r="B32" s="945"/>
      <c r="C32" s="946"/>
      <c r="D32" s="493"/>
      <c r="E32" s="1295" t="s">
        <v>413</v>
      </c>
      <c r="F32" s="1296"/>
      <c r="G32" s="1297" t="s">
        <v>174</v>
      </c>
      <c r="H32" s="1288"/>
      <c r="I32" s="1367" t="str">
        <f>IF(ISBLANK(Import!D363), "(Type over this message to enter which materials you have included in this section.)", Import!D363)</f>
        <v>(Type over this message to enter which materials you have included in this section.)</v>
      </c>
      <c r="K32" s="493"/>
      <c r="M32" s="561"/>
      <c r="N32" s="166"/>
      <c r="O32" s="166"/>
      <c r="P32" s="166"/>
      <c r="Q32" s="166"/>
      <c r="R32" s="166"/>
      <c r="S32" s="166"/>
      <c r="T32" s="166"/>
      <c r="U32" s="166"/>
      <c r="V32" s="166"/>
      <c r="W32" s="166"/>
      <c r="X32" s="166"/>
      <c r="Y32" s="166"/>
      <c r="Z32" s="60"/>
      <c r="AA32" s="174"/>
      <c r="AB32" s="174"/>
      <c r="AC32" s="174"/>
      <c r="AD32" s="174"/>
      <c r="AE32" s="174"/>
      <c r="AF32" s="174"/>
      <c r="AG32" s="174"/>
      <c r="AH32" s="294" t="str">
        <f>'2.CropManagement'!X158</f>
        <v xml:space="preserve">tonnes </v>
      </c>
      <c r="AI32" s="294">
        <f>'2.CropManagement'!Y158</f>
        <v>1</v>
      </c>
      <c r="AJ32" s="174"/>
      <c r="AK32" s="174"/>
      <c r="AL32" s="174"/>
      <c r="AM32" s="60"/>
    </row>
    <row r="33" spans="1:39" ht="31.55" customHeight="1" x14ac:dyDescent="0.25">
      <c r="A33" s="166"/>
      <c r="B33" s="940"/>
      <c r="C33" s="941"/>
      <c r="D33" s="346"/>
      <c r="E33" s="118" t="s">
        <v>2061</v>
      </c>
      <c r="F33" s="118" t="s">
        <v>2062</v>
      </c>
      <c r="G33" s="118" t="s">
        <v>1458</v>
      </c>
      <c r="H33" s="118" t="s">
        <v>2062</v>
      </c>
      <c r="I33" s="118" t="s">
        <v>1273</v>
      </c>
      <c r="J33" s="346"/>
      <c r="K33" s="1045" t="s">
        <v>1720</v>
      </c>
      <c r="L33" s="346"/>
      <c r="M33" s="347"/>
      <c r="N33" s="166"/>
      <c r="O33" s="166"/>
      <c r="P33" s="166"/>
      <c r="Q33" s="166"/>
      <c r="R33" s="166"/>
      <c r="S33" s="166"/>
      <c r="T33" s="166"/>
      <c r="U33" s="166"/>
      <c r="V33" s="166"/>
      <c r="W33" s="166"/>
      <c r="X33" s="166"/>
      <c r="Y33" s="166"/>
      <c r="Z33" s="60"/>
      <c r="AA33" s="174"/>
      <c r="AB33" s="174"/>
      <c r="AC33" s="174"/>
      <c r="AD33" s="174"/>
      <c r="AE33" s="174"/>
      <c r="AF33" s="174"/>
      <c r="AG33" s="174"/>
      <c r="AH33" s="294" t="str">
        <f>'2.CropManagement'!X159</f>
        <v>tons (US, short)</v>
      </c>
      <c r="AI33" s="294">
        <f>'2.CropManagement'!Y159</f>
        <v>0.90718474000000004</v>
      </c>
      <c r="AJ33" s="174"/>
      <c r="AK33" s="174"/>
      <c r="AL33" s="174"/>
      <c r="AM33" s="60"/>
    </row>
    <row r="34" spans="1:39" x14ac:dyDescent="0.25">
      <c r="A34" s="166"/>
      <c r="B34" s="942" t="s">
        <v>1461</v>
      </c>
      <c r="C34" s="943"/>
      <c r="D34" s="186">
        <v>1</v>
      </c>
      <c r="E34" s="1204">
        <f>IF(ISBLANK(Import!C263), "", Import!C263)</f>
        <v>0</v>
      </c>
      <c r="F34" s="1204" t="str">
        <f ca="1">IF(ISBLANK(Import!D263),OFFSET('2.CropManagement'!AB$182,SUMIF('2.CropManagement'!W$183:W$184,'1.GeneralInfo'!$E$8,'2.CropManagement'!X$183:X$184),0), Import!D263)</f>
        <v xml:space="preserve">tonnes </v>
      </c>
      <c r="G34" s="1204">
        <f>IF(ISBLANK(Import!E263), "", Import!E263)</f>
        <v>0</v>
      </c>
      <c r="H34" s="1204" t="str">
        <f ca="1">IF(ISBLANK(Import!F263),OFFSET('2.CropManagement'!AF$182,SUMIF('2.CropManagement'!W$183:W$184,'1.GeneralInfo'!$E$8,'2.CropManagement'!X$183:X$184),0), Import!F263)</f>
        <v>km</v>
      </c>
      <c r="I34" s="1204" t="str">
        <f>IF(ISBLANK(Import!G263), "", Import!G263)</f>
        <v/>
      </c>
      <c r="J34" s="186"/>
      <c r="K34" s="100" t="s">
        <v>405</v>
      </c>
      <c r="L34" s="146"/>
      <c r="M34" s="499"/>
      <c r="N34" s="166"/>
      <c r="O34" s="166"/>
      <c r="P34" s="166"/>
      <c r="Q34" s="166"/>
      <c r="R34" s="166"/>
      <c r="S34" s="166"/>
      <c r="T34" s="166"/>
      <c r="U34" s="166"/>
      <c r="V34" s="166"/>
      <c r="W34" s="166"/>
      <c r="X34" s="166"/>
      <c r="Y34" s="166"/>
      <c r="Z34" s="60"/>
      <c r="AA34" s="174">
        <f t="shared" ca="1" si="3"/>
        <v>0</v>
      </c>
      <c r="AB34" s="174">
        <f t="shared" ref="AB34:AB41" si="8">SUMIF(AH$52:AH$59,I34,AJ$52:AJ$59)</f>
        <v>0</v>
      </c>
      <c r="AC34" s="174">
        <f ca="1">SUMIF('2.CropManagement'!X$157:X$160,'7.Transport'!F34,'2.CropManagement'!Y$157:Y$160)*E34</f>
        <v>0</v>
      </c>
      <c r="AD34" s="174">
        <f t="shared" ref="AD34:AD41" ca="1" si="9">G34*SUMIF(AF$24:AF$25,H34,AH$24:AH$25)</f>
        <v>0</v>
      </c>
      <c r="AE34" s="174"/>
      <c r="AF34" s="174"/>
      <c r="AG34" s="174"/>
      <c r="AH34" s="294" t="str">
        <f>'2.CropManagement'!X160</f>
        <v>litres</v>
      </c>
      <c r="AI34" s="294">
        <f>'2.CropManagement'!Y160</f>
        <v>1E-3</v>
      </c>
      <c r="AJ34" s="174"/>
      <c r="AK34" s="174"/>
      <c r="AL34" s="174"/>
      <c r="AM34" s="60"/>
    </row>
    <row r="35" spans="1:39" x14ac:dyDescent="0.25">
      <c r="A35" s="166"/>
      <c r="B35" s="944"/>
      <c r="C35" s="943"/>
      <c r="D35" s="186">
        <v>2</v>
      </c>
      <c r="E35" s="1204">
        <f>IF(ISBLANK(Import!C264), "", Import!C264)</f>
        <v>0</v>
      </c>
      <c r="F35" s="1204" t="str">
        <f ca="1">IF(ISBLANK(Import!D264),OFFSET('2.CropManagement'!AB$182,SUMIF('2.CropManagement'!W$183:W$184,'1.GeneralInfo'!$E$8,'2.CropManagement'!X$183:X$184),0), Import!D264)</f>
        <v xml:space="preserve">tonnes </v>
      </c>
      <c r="G35" s="1204">
        <f>IF(ISBLANK(Import!E264), "", Import!E264)</f>
        <v>0</v>
      </c>
      <c r="H35" s="1204" t="str">
        <f ca="1">IF(ISBLANK(Import!F264),OFFSET('2.CropManagement'!AF$182,SUMIF('2.CropManagement'!W$183:W$184,'1.GeneralInfo'!$E$8,'2.CropManagement'!X$183:X$184),0), Import!F264)</f>
        <v>km</v>
      </c>
      <c r="I35" s="1204" t="str">
        <f>IF(ISBLANK(Import!G264), "", Import!G264)</f>
        <v/>
      </c>
      <c r="J35" s="186"/>
      <c r="K35" s="100" t="s">
        <v>734</v>
      </c>
      <c r="L35" s="146"/>
      <c r="M35" s="499"/>
      <c r="N35" s="166"/>
      <c r="O35" s="166"/>
      <c r="P35" s="166"/>
      <c r="Q35" s="166"/>
      <c r="R35" s="166"/>
      <c r="S35" s="166"/>
      <c r="T35" s="166"/>
      <c r="U35" s="166"/>
      <c r="V35" s="166"/>
      <c r="W35" s="166"/>
      <c r="X35" s="166"/>
      <c r="Y35" s="166"/>
      <c r="Z35" s="60"/>
      <c r="AA35" s="174">
        <f t="shared" ca="1" si="3"/>
        <v>0</v>
      </c>
      <c r="AB35" s="174">
        <f t="shared" si="8"/>
        <v>0</v>
      </c>
      <c r="AC35" s="174">
        <f ca="1">SUMIF('2.CropManagement'!X$157:X$160,'7.Transport'!F35,'2.CropManagement'!Y$157:Y$160)*E35</f>
        <v>0</v>
      </c>
      <c r="AD35" s="174">
        <f t="shared" ca="1" si="9"/>
        <v>0</v>
      </c>
      <c r="AE35" s="174"/>
      <c r="AF35" s="174"/>
      <c r="AG35" s="174"/>
      <c r="AH35" s="174"/>
      <c r="AI35" s="174"/>
      <c r="AJ35" s="174"/>
      <c r="AK35" s="174"/>
      <c r="AL35" s="174"/>
      <c r="AM35" s="60"/>
    </row>
    <row r="36" spans="1:39" x14ac:dyDescent="0.25">
      <c r="A36" s="166"/>
      <c r="B36" s="944"/>
      <c r="C36" s="943"/>
      <c r="D36" s="186">
        <v>3</v>
      </c>
      <c r="E36" s="1204">
        <f>IF(ISBLANK(Import!C265), "", Import!C265)</f>
        <v>0</v>
      </c>
      <c r="F36" s="1204" t="str">
        <f ca="1">IF(ISBLANK(Import!D265),OFFSET('2.CropManagement'!AB$182,SUMIF('2.CropManagement'!W$183:W$184,'1.GeneralInfo'!$E$8,'2.CropManagement'!X$183:X$184),0), Import!D265)</f>
        <v xml:space="preserve">tonnes </v>
      </c>
      <c r="G36" s="1204">
        <f>IF(ISBLANK(Import!E265), "", Import!E265)</f>
        <v>0</v>
      </c>
      <c r="H36" s="1204" t="str">
        <f ca="1">IF(ISBLANK(Import!F265),OFFSET('2.CropManagement'!AF$182,SUMIF('2.CropManagement'!W$183:W$184,'1.GeneralInfo'!$E$8,'2.CropManagement'!X$183:X$184),0), Import!F265)</f>
        <v>km</v>
      </c>
      <c r="I36" s="1204" t="str">
        <f>IF(ISBLANK(Import!G265), "", Import!G265)</f>
        <v/>
      </c>
      <c r="J36" s="186"/>
      <c r="K36" s="100" t="s">
        <v>404</v>
      </c>
      <c r="L36" s="146"/>
      <c r="M36" s="499"/>
      <c r="N36" s="166"/>
      <c r="O36" s="166"/>
      <c r="P36" s="166"/>
      <c r="Q36" s="166"/>
      <c r="R36" s="166"/>
      <c r="S36" s="166"/>
      <c r="T36" s="166"/>
      <c r="U36" s="166"/>
      <c r="V36" s="166"/>
      <c r="W36" s="166"/>
      <c r="X36" s="166"/>
      <c r="Y36" s="166"/>
      <c r="Z36" s="60"/>
      <c r="AA36" s="174">
        <f t="shared" ca="1" si="3"/>
        <v>0</v>
      </c>
      <c r="AB36" s="174">
        <f t="shared" si="8"/>
        <v>0</v>
      </c>
      <c r="AC36" s="174">
        <f ca="1">SUMIF('2.CropManagement'!X$157:X$160,'7.Transport'!F36,'2.CropManagement'!Y$157:Y$160)*E36</f>
        <v>0</v>
      </c>
      <c r="AD36" s="174">
        <f t="shared" ca="1" si="9"/>
        <v>0</v>
      </c>
      <c r="AE36" s="174"/>
      <c r="AF36" s="174"/>
      <c r="AG36" s="174"/>
      <c r="AH36" s="174"/>
      <c r="AI36" s="174"/>
      <c r="AJ36" s="174"/>
      <c r="AK36" s="174"/>
      <c r="AL36" s="174"/>
      <c r="AM36" s="60"/>
    </row>
    <row r="37" spans="1:39" x14ac:dyDescent="0.25">
      <c r="A37" s="166"/>
      <c r="B37" s="944"/>
      <c r="C37" s="943"/>
      <c r="D37" s="186">
        <v>4</v>
      </c>
      <c r="E37" s="1204">
        <f>IF(ISBLANK(Import!C266), "", Import!C266)</f>
        <v>0</v>
      </c>
      <c r="F37" s="1204" t="str">
        <f ca="1">IF(ISBLANK(Import!D266),OFFSET('2.CropManagement'!AB$182,SUMIF('2.CropManagement'!W$183:W$184,'1.GeneralInfo'!$E$8,'2.CropManagement'!X$183:X$184),0), Import!D266)</f>
        <v xml:space="preserve">tonnes </v>
      </c>
      <c r="G37" s="1204">
        <f>IF(ISBLANK(Import!E266), "", Import!E266)</f>
        <v>0</v>
      </c>
      <c r="H37" s="1204" t="str">
        <f ca="1">IF(ISBLANK(Import!F266),OFFSET('2.CropManagement'!AF$182,SUMIF('2.CropManagement'!W$183:W$184,'1.GeneralInfo'!$E$8,'2.CropManagement'!X$183:X$184),0), Import!F266)</f>
        <v>km</v>
      </c>
      <c r="I37" s="1204" t="str">
        <f>IF(ISBLANK(Import!G266), "", Import!G266)</f>
        <v/>
      </c>
      <c r="J37" s="186"/>
      <c r="K37" s="100" t="s">
        <v>679</v>
      </c>
      <c r="L37" s="146"/>
      <c r="M37" s="499"/>
      <c r="N37" s="166"/>
      <c r="O37" s="166"/>
      <c r="P37" s="166"/>
      <c r="Q37" s="166"/>
      <c r="R37" s="166"/>
      <c r="S37" s="166"/>
      <c r="T37" s="166"/>
      <c r="U37" s="166"/>
      <c r="V37" s="166"/>
      <c r="W37" s="166"/>
      <c r="X37" s="166"/>
      <c r="Y37" s="166"/>
      <c r="Z37" s="60"/>
      <c r="AA37" s="174">
        <f t="shared" ca="1" si="3"/>
        <v>0</v>
      </c>
      <c r="AB37" s="174">
        <f t="shared" si="8"/>
        <v>0</v>
      </c>
      <c r="AC37" s="174">
        <f ca="1">SUMIF('2.CropManagement'!X$157:X$160,'7.Transport'!F37,'2.CropManagement'!Y$157:Y$160)*E37</f>
        <v>0</v>
      </c>
      <c r="AD37" s="174">
        <f t="shared" ca="1" si="9"/>
        <v>0</v>
      </c>
      <c r="AE37" s="174"/>
      <c r="AF37" s="174"/>
      <c r="AG37" s="174"/>
      <c r="AH37" s="174"/>
      <c r="AI37" s="174"/>
      <c r="AJ37" s="174"/>
      <c r="AK37" s="174"/>
      <c r="AL37" s="174"/>
      <c r="AM37" s="60"/>
    </row>
    <row r="38" spans="1:39" x14ac:dyDescent="0.25">
      <c r="A38" s="166"/>
      <c r="B38" s="944"/>
      <c r="C38" s="943"/>
      <c r="D38" s="186">
        <v>5</v>
      </c>
      <c r="E38" s="1204">
        <f>IF(ISBLANK(Import!C267), "", Import!C267)</f>
        <v>0</v>
      </c>
      <c r="F38" s="1204" t="str">
        <f ca="1">IF(ISBLANK(Import!D267),OFFSET('2.CropManagement'!AB$182,SUMIF('2.CropManagement'!W$183:W$184,'1.GeneralInfo'!$E$8,'2.CropManagement'!X$183:X$184),0), Import!D267)</f>
        <v xml:space="preserve">tonnes </v>
      </c>
      <c r="G38" s="1204">
        <f>IF(ISBLANK(Import!E267), "", Import!E267)</f>
        <v>0</v>
      </c>
      <c r="H38" s="1204" t="str">
        <f ca="1">IF(ISBLANK(Import!F267),OFFSET('2.CropManagement'!AF$182,SUMIF('2.CropManagement'!W$183:W$184,'1.GeneralInfo'!$E$8,'2.CropManagement'!X$183:X$184),0), Import!F267)</f>
        <v>km</v>
      </c>
      <c r="I38" s="1204" t="str">
        <f>IF(ISBLANK(Import!G267), "", Import!G267)</f>
        <v/>
      </c>
      <c r="J38" s="186"/>
      <c r="K38" s="100" t="s">
        <v>671</v>
      </c>
      <c r="L38" s="146"/>
      <c r="M38" s="499"/>
      <c r="N38" s="166"/>
      <c r="O38" s="166"/>
      <c r="P38" s="166"/>
      <c r="Q38" s="166"/>
      <c r="R38" s="166"/>
      <c r="S38" s="166"/>
      <c r="T38" s="166"/>
      <c r="U38" s="166"/>
      <c r="V38" s="166"/>
      <c r="W38" s="166"/>
      <c r="X38" s="166"/>
      <c r="Y38" s="166"/>
      <c r="Z38" s="60"/>
      <c r="AA38" s="174">
        <f t="shared" ca="1" si="3"/>
        <v>0</v>
      </c>
      <c r="AB38" s="174">
        <f t="shared" si="8"/>
        <v>0</v>
      </c>
      <c r="AC38" s="174">
        <f ca="1">SUMIF('2.CropManagement'!X$157:X$160,'7.Transport'!F38,'2.CropManagement'!Y$157:Y$160)*E38</f>
        <v>0</v>
      </c>
      <c r="AD38" s="174">
        <f t="shared" ca="1" si="9"/>
        <v>0</v>
      </c>
      <c r="AE38" s="174"/>
      <c r="AF38" s="174"/>
      <c r="AG38" s="174"/>
      <c r="AH38" s="174"/>
      <c r="AI38" s="174"/>
      <c r="AJ38" s="174"/>
      <c r="AK38" s="174"/>
      <c r="AL38" s="174"/>
      <c r="AM38" s="60"/>
    </row>
    <row r="39" spans="1:39" x14ac:dyDescent="0.25">
      <c r="A39" s="166"/>
      <c r="B39" s="944"/>
      <c r="C39" s="943"/>
      <c r="D39" s="186">
        <v>6</v>
      </c>
      <c r="E39" s="1204">
        <f>IF(ISBLANK(Import!C268), "", Import!C268)</f>
        <v>0</v>
      </c>
      <c r="F39" s="1204" t="str">
        <f ca="1">IF(ISBLANK(Import!D268),OFFSET('2.CropManagement'!AB$182,SUMIF('2.CropManagement'!W$183:W$184,'1.GeneralInfo'!$E$8,'2.CropManagement'!X$183:X$184),0), Import!D268)</f>
        <v xml:space="preserve">tonnes </v>
      </c>
      <c r="G39" s="1204">
        <f>IF(ISBLANK(Import!E268), "", Import!E268)</f>
        <v>0</v>
      </c>
      <c r="H39" s="1204" t="str">
        <f ca="1">IF(ISBLANK(Import!F268),OFFSET('2.CropManagement'!AF$182,SUMIF('2.CropManagement'!W$183:W$184,'1.GeneralInfo'!$E$8,'2.CropManagement'!X$183:X$184),0), Import!F268)</f>
        <v>km</v>
      </c>
      <c r="I39" s="1204" t="str">
        <f>IF(ISBLANK(Import!G268), "", Import!G268)</f>
        <v/>
      </c>
      <c r="J39" s="186"/>
      <c r="K39" s="100" t="s">
        <v>492</v>
      </c>
      <c r="L39" s="146"/>
      <c r="M39" s="499"/>
      <c r="N39" s="166"/>
      <c r="O39" s="166"/>
      <c r="P39" s="166"/>
      <c r="Q39" s="166"/>
      <c r="R39" s="166"/>
      <c r="S39" s="166"/>
      <c r="T39" s="166"/>
      <c r="U39" s="166"/>
      <c r="V39" s="166"/>
      <c r="W39" s="166"/>
      <c r="X39" s="166"/>
      <c r="Y39" s="166"/>
      <c r="Z39" s="60"/>
      <c r="AA39" s="174">
        <f t="shared" ca="1" si="3"/>
        <v>0</v>
      </c>
      <c r="AB39" s="174">
        <f t="shared" si="8"/>
        <v>0</v>
      </c>
      <c r="AC39" s="174">
        <f ca="1">SUMIF('2.CropManagement'!X$157:X$160,'7.Transport'!F39,'2.CropManagement'!Y$157:Y$160)*E39</f>
        <v>0</v>
      </c>
      <c r="AD39" s="174">
        <f t="shared" ca="1" si="9"/>
        <v>0</v>
      </c>
      <c r="AE39" s="174"/>
      <c r="AF39" s="174"/>
      <c r="AG39" s="174"/>
      <c r="AH39" s="174"/>
      <c r="AI39" s="174"/>
      <c r="AJ39" s="174"/>
      <c r="AK39" s="174"/>
      <c r="AL39" s="174"/>
      <c r="AM39" s="60"/>
    </row>
    <row r="40" spans="1:39" x14ac:dyDescent="0.25">
      <c r="A40" s="166"/>
      <c r="B40" s="944"/>
      <c r="C40" s="943"/>
      <c r="D40" s="186">
        <v>7</v>
      </c>
      <c r="E40" s="1204">
        <f>IF(ISBLANK(Import!C269), "", Import!C269)</f>
        <v>0</v>
      </c>
      <c r="F40" s="1204" t="str">
        <f ca="1">IF(ISBLANK(Import!D269),OFFSET('2.CropManagement'!AB$182,SUMIF('2.CropManagement'!W$183:W$184,'1.GeneralInfo'!$E$8,'2.CropManagement'!X$183:X$184),0), Import!D269)</f>
        <v xml:space="preserve">tonnes </v>
      </c>
      <c r="G40" s="1204">
        <f>IF(ISBLANK(Import!E269), "", Import!E269)</f>
        <v>0</v>
      </c>
      <c r="H40" s="1204" t="str">
        <f ca="1">IF(ISBLANK(Import!F269),OFFSET('2.CropManagement'!AF$182,SUMIF('2.CropManagement'!W$183:W$184,'1.GeneralInfo'!$E$8,'2.CropManagement'!X$183:X$184),0), Import!F269)</f>
        <v>km</v>
      </c>
      <c r="I40" s="1204" t="str">
        <f>IF(ISBLANK(Import!G269), "", Import!G269)</f>
        <v/>
      </c>
      <c r="J40" s="186"/>
      <c r="K40" s="100" t="s">
        <v>520</v>
      </c>
      <c r="L40" s="146"/>
      <c r="M40" s="499"/>
      <c r="N40" s="166"/>
      <c r="O40" s="166"/>
      <c r="P40" s="166"/>
      <c r="Q40" s="166"/>
      <c r="R40" s="166"/>
      <c r="S40" s="166"/>
      <c r="T40" s="166"/>
      <c r="U40" s="166"/>
      <c r="V40" s="166"/>
      <c r="W40" s="166"/>
      <c r="X40" s="166"/>
      <c r="Y40" s="166"/>
      <c r="Z40" s="60"/>
      <c r="AA40" s="174">
        <f t="shared" ca="1" si="3"/>
        <v>0</v>
      </c>
      <c r="AB40" s="174">
        <f t="shared" si="8"/>
        <v>0</v>
      </c>
      <c r="AC40" s="174">
        <f ca="1">SUMIF('2.CropManagement'!X$157:X$160,'7.Transport'!F40,'2.CropManagement'!Y$157:Y$160)*E40</f>
        <v>0</v>
      </c>
      <c r="AD40" s="174">
        <f t="shared" ca="1" si="9"/>
        <v>0</v>
      </c>
      <c r="AE40" s="174"/>
      <c r="AF40" s="174"/>
      <c r="AG40" s="174"/>
      <c r="AH40" s="174"/>
      <c r="AI40" s="174"/>
      <c r="AJ40" s="174"/>
      <c r="AK40" s="174"/>
      <c r="AL40" s="174"/>
      <c r="AM40" s="60"/>
    </row>
    <row r="41" spans="1:39" x14ac:dyDescent="0.25">
      <c r="A41" s="166"/>
      <c r="B41" s="944"/>
      <c r="C41" s="943"/>
      <c r="D41" s="1294">
        <v>8</v>
      </c>
      <c r="E41" s="1204">
        <f>IF(ISBLANK(Import!C270), "", Import!C270)</f>
        <v>0</v>
      </c>
      <c r="F41" s="1204" t="str">
        <f ca="1">IF(ISBLANK(Import!D270),OFFSET('2.CropManagement'!AB$182,SUMIF('2.CropManagement'!W$183:W$184,'1.GeneralInfo'!$E$8,'2.CropManagement'!X$183:X$184),0), Import!D270)</f>
        <v xml:space="preserve">tonnes </v>
      </c>
      <c r="G41" s="1204">
        <f>IF(ISBLANK(Import!E270), "", Import!E270)</f>
        <v>0</v>
      </c>
      <c r="H41" s="1204" t="str">
        <f ca="1">IF(ISBLANK(Import!F270),OFFSET('2.CropManagement'!AF$182,SUMIF('2.CropManagement'!W$183:W$184,'1.GeneralInfo'!$E$8,'2.CropManagement'!X$183:X$184),0), Import!F270)</f>
        <v>km</v>
      </c>
      <c r="I41" s="1204" t="str">
        <f>IF(ISBLANK(Import!G270), "", Import!G270)</f>
        <v/>
      </c>
      <c r="J41" s="186"/>
      <c r="K41" s="100" t="s">
        <v>521</v>
      </c>
      <c r="L41" s="146"/>
      <c r="M41" s="499"/>
      <c r="N41" s="166"/>
      <c r="O41" s="166"/>
      <c r="P41" s="166"/>
      <c r="Q41" s="166"/>
      <c r="R41" s="166"/>
      <c r="S41" s="166"/>
      <c r="T41" s="166"/>
      <c r="U41" s="166"/>
      <c r="V41" s="166"/>
      <c r="W41" s="166"/>
      <c r="X41" s="166"/>
      <c r="Y41" s="166"/>
      <c r="Z41" s="60"/>
      <c r="AA41" s="174">
        <f t="shared" ca="1" si="3"/>
        <v>0</v>
      </c>
      <c r="AB41" s="174">
        <f t="shared" si="8"/>
        <v>0</v>
      </c>
      <c r="AC41" s="174">
        <f ca="1">SUMIF('2.CropManagement'!X$157:X$160,'7.Transport'!F41,'2.CropManagement'!Y$157:Y$160)*E41</f>
        <v>0</v>
      </c>
      <c r="AD41" s="174">
        <f t="shared" ca="1" si="9"/>
        <v>0</v>
      </c>
      <c r="AE41" s="174"/>
      <c r="AF41" s="174"/>
      <c r="AG41" s="174" t="s">
        <v>1456</v>
      </c>
      <c r="AH41" s="174" t="s">
        <v>800</v>
      </c>
      <c r="AI41" s="174">
        <v>1</v>
      </c>
      <c r="AJ41" s="174">
        <v>0.12038</v>
      </c>
      <c r="AK41" s="174"/>
      <c r="AL41" s="174"/>
      <c r="AM41" s="60"/>
    </row>
    <row r="42" spans="1:39" ht="69.7" customHeight="1" thickBot="1" x14ac:dyDescent="0.3">
      <c r="A42" s="166"/>
      <c r="B42" s="945"/>
      <c r="C42" s="946"/>
      <c r="D42" s="493"/>
      <c r="E42" s="1299" t="s">
        <v>413</v>
      </c>
      <c r="F42" s="1300"/>
      <c r="G42" s="1366" t="s">
        <v>174</v>
      </c>
      <c r="H42" s="1365"/>
      <c r="I42" s="1367" t="str">
        <f>IF(ISBLANK(Import!D364), "(Type over this message to enter which materials you have included in this section.)", Import!D364)</f>
        <v>(Type over this message to enter which materials you have included in this section.)</v>
      </c>
      <c r="J42" s="1298"/>
      <c r="K42" s="493"/>
      <c r="L42" s="1298"/>
      <c r="M42" s="561"/>
      <c r="N42" s="166"/>
      <c r="O42" s="166"/>
      <c r="P42" s="166"/>
      <c r="Q42" s="166"/>
      <c r="R42" s="166"/>
      <c r="S42" s="166"/>
      <c r="T42" s="166"/>
      <c r="U42" s="166"/>
      <c r="V42" s="166"/>
      <c r="W42" s="166"/>
      <c r="X42" s="166"/>
      <c r="Y42" s="166"/>
      <c r="Z42" s="60"/>
      <c r="AA42" s="174"/>
      <c r="AB42" s="174"/>
      <c r="AC42" s="174"/>
      <c r="AD42" s="174"/>
      <c r="AE42" s="174"/>
      <c r="AF42" s="174"/>
      <c r="AG42" s="174"/>
      <c r="AH42" s="174" t="s">
        <v>801</v>
      </c>
      <c r="AI42" s="174">
        <v>2</v>
      </c>
      <c r="AJ42" s="174">
        <v>0.33950000000000002</v>
      </c>
      <c r="AK42" s="174"/>
      <c r="AL42" s="174"/>
      <c r="AM42" s="60"/>
    </row>
    <row r="43" spans="1:39" ht="5.2" customHeight="1" x14ac:dyDescent="0.25">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60"/>
      <c r="AA43" s="174"/>
      <c r="AB43" s="174"/>
      <c r="AC43" s="174"/>
      <c r="AD43" s="174"/>
      <c r="AE43" s="174"/>
      <c r="AF43" s="174"/>
      <c r="AG43" s="174"/>
      <c r="AH43" s="174" t="s">
        <v>661</v>
      </c>
      <c r="AI43" s="174">
        <v>3</v>
      </c>
      <c r="AJ43" s="174">
        <v>0.94450000000000001</v>
      </c>
      <c r="AK43" s="174"/>
      <c r="AL43" s="174"/>
      <c r="AM43" s="60"/>
    </row>
    <row r="44" spans="1:39" ht="5.2" customHeight="1" x14ac:dyDescent="0.25">
      <c r="A44" s="166"/>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60"/>
      <c r="AA44" s="174"/>
      <c r="AB44" s="174"/>
      <c r="AC44" s="174"/>
      <c r="AD44" s="174"/>
      <c r="AE44" s="174"/>
      <c r="AF44" s="174"/>
      <c r="AG44" s="174"/>
      <c r="AH44" s="174" t="s">
        <v>662</v>
      </c>
      <c r="AI44" s="174">
        <v>4</v>
      </c>
      <c r="AJ44" s="174">
        <v>0.34227000000000002</v>
      </c>
      <c r="AK44" s="174"/>
      <c r="AL44" s="174"/>
      <c r="AM44" s="60"/>
    </row>
    <row r="45" spans="1:39" ht="5.2" customHeight="1" thickBot="1" x14ac:dyDescent="0.3">
      <c r="A45" s="166"/>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60"/>
      <c r="AA45" s="174"/>
      <c r="AB45" s="174"/>
      <c r="AC45" s="174"/>
      <c r="AD45" s="174"/>
      <c r="AE45" s="174"/>
      <c r="AF45" s="174"/>
      <c r="AG45" s="174"/>
      <c r="AH45" s="174"/>
      <c r="AI45" s="174"/>
      <c r="AJ45" s="174"/>
      <c r="AK45" s="174"/>
      <c r="AL45" s="174"/>
      <c r="AM45" s="60"/>
    </row>
    <row r="46" spans="1:39" ht="13.25" thickBot="1" x14ac:dyDescent="0.3">
      <c r="A46" s="166"/>
      <c r="B46" s="998" t="s">
        <v>1602</v>
      </c>
      <c r="C46" s="949"/>
      <c r="D46" s="2508" t="str">
        <f>'2.CropManagement'!$G$35</f>
        <v>kg CO2 eq</v>
      </c>
      <c r="E46" s="2509"/>
      <c r="F46" s="166"/>
      <c r="G46" s="166"/>
      <c r="H46" s="166"/>
      <c r="I46" s="166"/>
      <c r="J46" s="166"/>
      <c r="K46" s="166"/>
      <c r="L46" s="166"/>
      <c r="M46" s="166"/>
      <c r="N46" s="166"/>
      <c r="O46" s="166"/>
      <c r="P46" s="166"/>
      <c r="Q46" s="166"/>
      <c r="R46" s="166"/>
      <c r="S46" s="166"/>
      <c r="T46" s="166"/>
      <c r="U46" s="166"/>
      <c r="V46" s="166"/>
      <c r="W46" s="166"/>
      <c r="X46" s="60"/>
      <c r="Y46" s="2512" t="s">
        <v>115</v>
      </c>
      <c r="Z46" s="2513"/>
      <c r="AA46" s="174"/>
      <c r="AB46" s="174"/>
      <c r="AC46" s="174"/>
      <c r="AD46" s="174"/>
      <c r="AE46" s="174" t="s">
        <v>1457</v>
      </c>
      <c r="AF46" s="174" t="s">
        <v>1457</v>
      </c>
      <c r="AG46" s="174">
        <v>1</v>
      </c>
      <c r="AH46" s="174">
        <v>2.1000000000000001E-2</v>
      </c>
      <c r="AI46" s="174"/>
      <c r="AJ46" s="174"/>
      <c r="AK46" s="60"/>
      <c r="AL46" s="60"/>
      <c r="AM46" s="60"/>
    </row>
    <row r="47" spans="1:39" x14ac:dyDescent="0.25">
      <c r="A47" s="166"/>
      <c r="B47" s="999" t="s">
        <v>1456</v>
      </c>
      <c r="C47" s="950"/>
      <c r="D47" s="2510">
        <f ca="1">SUMIF(AA$47:AA$50,D$46,AB$47:AB$50)*Y47</f>
        <v>0</v>
      </c>
      <c r="E47" s="2511"/>
      <c r="F47" s="166"/>
      <c r="G47" s="166"/>
      <c r="H47" s="166"/>
      <c r="I47" s="166"/>
      <c r="J47" s="166"/>
      <c r="K47" s="166"/>
      <c r="L47" s="166"/>
      <c r="M47" s="166"/>
      <c r="N47" s="166"/>
      <c r="O47" s="166"/>
      <c r="P47" s="166"/>
      <c r="Q47" s="166"/>
      <c r="R47" s="166"/>
      <c r="S47" s="166"/>
      <c r="T47" s="166"/>
      <c r="U47" s="166"/>
      <c r="V47" s="166"/>
      <c r="W47" s="166"/>
      <c r="X47" s="60"/>
      <c r="Y47" s="2496">
        <f ca="1">SUM(AA4:AA11)+AA77</f>
        <v>0</v>
      </c>
      <c r="Z47" s="2497"/>
      <c r="AA47" s="272" t="s">
        <v>1479</v>
      </c>
      <c r="AB47" s="286">
        <v>1</v>
      </c>
      <c r="AC47" s="174"/>
      <c r="AD47" s="174"/>
      <c r="AE47" s="174"/>
      <c r="AF47" s="174"/>
      <c r="AG47" s="174"/>
      <c r="AH47" s="174"/>
      <c r="AI47" s="174"/>
      <c r="AJ47" s="174"/>
      <c r="AK47" s="60"/>
      <c r="AL47" s="60"/>
      <c r="AM47" s="60"/>
    </row>
    <row r="48" spans="1:39" x14ac:dyDescent="0.25">
      <c r="A48" s="166"/>
      <c r="B48" s="999" t="s">
        <v>1457</v>
      </c>
      <c r="C48" s="950"/>
      <c r="D48" s="2510">
        <f ca="1">SUMIF(AA$47:AA$50,D$46,AB$47:AB$50)*Y48</f>
        <v>0</v>
      </c>
      <c r="E48" s="2511"/>
      <c r="F48" s="166"/>
      <c r="G48" s="166"/>
      <c r="H48" s="166"/>
      <c r="I48" s="166"/>
      <c r="J48" s="166"/>
      <c r="K48" s="166"/>
      <c r="L48" s="166"/>
      <c r="M48" s="166"/>
      <c r="N48" s="166"/>
      <c r="O48" s="166"/>
      <c r="P48" s="166"/>
      <c r="Q48" s="166"/>
      <c r="R48" s="166"/>
      <c r="S48" s="166"/>
      <c r="T48" s="166"/>
      <c r="U48" s="166"/>
      <c r="V48" s="166"/>
      <c r="W48" s="166"/>
      <c r="X48" s="60"/>
      <c r="Y48" s="2496">
        <f ca="1">SUM(AA14:AA21)+AA99</f>
        <v>0</v>
      </c>
      <c r="Z48" s="2497"/>
      <c r="AA48" s="278" t="s">
        <v>1478</v>
      </c>
      <c r="AB48" s="286">
        <v>1E-3</v>
      </c>
      <c r="AC48" s="174"/>
      <c r="AD48" s="174"/>
      <c r="AE48" s="174" t="s">
        <v>1460</v>
      </c>
      <c r="AF48" s="174" t="s">
        <v>1743</v>
      </c>
      <c r="AG48" s="174">
        <v>1</v>
      </c>
      <c r="AH48" s="174">
        <v>1.9362299999999999</v>
      </c>
      <c r="AI48" s="174"/>
      <c r="AJ48" s="174"/>
      <c r="AK48" s="60"/>
      <c r="AL48" s="60"/>
      <c r="AM48" s="60"/>
    </row>
    <row r="49" spans="1:39" x14ac:dyDescent="0.25">
      <c r="A49" s="166"/>
      <c r="B49" s="999" t="s">
        <v>1460</v>
      </c>
      <c r="C49" s="950"/>
      <c r="D49" s="2510">
        <f ca="1">SUMIF(AA$47:AA$50,D$46,AB$47:AB$50)*Y49</f>
        <v>0</v>
      </c>
      <c r="E49" s="2511"/>
      <c r="F49" s="166"/>
      <c r="G49" s="166"/>
      <c r="H49" s="166"/>
      <c r="I49" s="166"/>
      <c r="J49" s="166"/>
      <c r="K49" s="166"/>
      <c r="L49" s="166"/>
      <c r="M49" s="166"/>
      <c r="N49" s="166"/>
      <c r="O49" s="166"/>
      <c r="P49" s="166"/>
      <c r="Q49" s="166"/>
      <c r="R49" s="166"/>
      <c r="S49" s="166"/>
      <c r="T49" s="166"/>
      <c r="U49" s="166"/>
      <c r="V49" s="166"/>
      <c r="W49" s="166"/>
      <c r="X49" s="60"/>
      <c r="Y49" s="2496">
        <f ca="1">SUM(AA24:AA31)+AA121</f>
        <v>0</v>
      </c>
      <c r="Z49" s="2497"/>
      <c r="AA49" s="166" t="s">
        <v>1480</v>
      </c>
      <c r="AB49" s="286">
        <v>2.2046000000000001</v>
      </c>
      <c r="AC49" s="174"/>
      <c r="AD49" s="174"/>
      <c r="AE49" s="174"/>
      <c r="AF49" s="174" t="s">
        <v>1274</v>
      </c>
      <c r="AG49" s="174">
        <v>2</v>
      </c>
      <c r="AH49" s="174">
        <v>1.41831</v>
      </c>
      <c r="AI49" s="174"/>
      <c r="AJ49" s="174"/>
      <c r="AK49" s="60"/>
      <c r="AL49" s="60"/>
      <c r="AM49" s="60"/>
    </row>
    <row r="50" spans="1:39" ht="13.25" thickBot="1" x14ac:dyDescent="0.3">
      <c r="A50" s="166"/>
      <c r="B50" s="1000" t="s">
        <v>103</v>
      </c>
      <c r="C50" s="951"/>
      <c r="D50" s="2504">
        <f ca="1">SUMIF(AA$47:AA$50,D$46,AB$47:AB$50)*Y50</f>
        <v>0</v>
      </c>
      <c r="E50" s="2505"/>
      <c r="F50" s="166"/>
      <c r="G50" s="166"/>
      <c r="H50" s="166"/>
      <c r="I50" s="166"/>
      <c r="J50" s="166"/>
      <c r="K50" s="166"/>
      <c r="L50" s="166"/>
      <c r="M50" s="166"/>
      <c r="N50" s="166"/>
      <c r="O50" s="166"/>
      <c r="P50" s="166"/>
      <c r="Q50" s="166"/>
      <c r="R50" s="166"/>
      <c r="S50" s="166"/>
      <c r="T50" s="166"/>
      <c r="U50" s="166"/>
      <c r="V50" s="166"/>
      <c r="W50" s="166"/>
      <c r="X50" s="60"/>
      <c r="Y50" s="2496">
        <f ca="1">SUM(AA34:AA41)+AA143</f>
        <v>0</v>
      </c>
      <c r="Z50" s="2497"/>
      <c r="AA50" s="166" t="s">
        <v>1481</v>
      </c>
      <c r="AB50" s="286">
        <f>2.201/2000</f>
        <v>1.1005000000000001E-3</v>
      </c>
      <c r="AC50" s="174"/>
      <c r="AD50" s="174"/>
      <c r="AE50" s="174"/>
      <c r="AF50" s="174" t="s">
        <v>1275</v>
      </c>
      <c r="AG50" s="174">
        <v>3</v>
      </c>
      <c r="AH50" s="174">
        <v>0.60075999999999996</v>
      </c>
      <c r="AI50" s="174"/>
      <c r="AJ50" s="174"/>
      <c r="AK50" s="60"/>
      <c r="AL50" s="60"/>
      <c r="AM50" s="60"/>
    </row>
    <row r="51" spans="1:39" ht="67.55" customHeight="1" thickBot="1" x14ac:dyDescent="0.3">
      <c r="A51" s="166"/>
      <c r="B51" s="2502" t="s">
        <v>312</v>
      </c>
      <c r="C51" s="2503"/>
      <c r="D51" s="2506">
        <f ca="1">SUMIF(AA$47:AA$50,D$46,AB$47:AB$50)*Y51</f>
        <v>0</v>
      </c>
      <c r="E51" s="2507"/>
      <c r="F51" s="166"/>
      <c r="G51" s="166"/>
      <c r="H51" s="166"/>
      <c r="I51" s="166"/>
      <c r="J51" s="166"/>
      <c r="K51" s="166"/>
      <c r="L51" s="166"/>
      <c r="M51" s="166"/>
      <c r="N51" s="166"/>
      <c r="O51" s="166"/>
      <c r="P51" s="166"/>
      <c r="Q51" s="166"/>
      <c r="R51" s="166"/>
      <c r="S51" s="166"/>
      <c r="T51" s="166"/>
      <c r="U51" s="166"/>
      <c r="V51" s="166"/>
      <c r="W51" s="166"/>
      <c r="X51" s="60"/>
      <c r="Y51" s="2498">
        <f ca="1">SUM(Y47:Y50)</f>
        <v>0</v>
      </c>
      <c r="Z51" s="2499"/>
      <c r="AA51" s="174"/>
      <c r="AB51" s="174"/>
      <c r="AC51" s="174"/>
      <c r="AD51" s="174"/>
      <c r="AE51" s="174"/>
      <c r="AF51" s="174"/>
      <c r="AG51" s="174"/>
      <c r="AH51" s="174"/>
      <c r="AI51" s="174"/>
      <c r="AJ51" s="174"/>
      <c r="AK51" s="60"/>
      <c r="AL51" s="60"/>
      <c r="AM51" s="60"/>
    </row>
    <row r="52" spans="1:39" x14ac:dyDescent="0.25">
      <c r="A52" s="166"/>
      <c r="B52" s="166"/>
      <c r="C52" s="166"/>
      <c r="D52" s="166"/>
      <c r="E52" s="166"/>
      <c r="F52" s="166"/>
      <c r="G52" s="166"/>
      <c r="H52" s="166"/>
      <c r="I52" s="166"/>
      <c r="J52" s="166"/>
      <c r="K52" s="166"/>
      <c r="L52" s="166"/>
      <c r="M52" s="166"/>
      <c r="N52" s="166"/>
      <c r="O52" s="166"/>
      <c r="P52" s="166"/>
      <c r="Q52" s="166"/>
      <c r="R52" s="166"/>
      <c r="S52" s="166"/>
      <c r="T52" s="166"/>
      <c r="U52" s="166"/>
      <c r="V52" s="166"/>
      <c r="W52" s="166"/>
      <c r="X52" s="166"/>
      <c r="Y52" s="166"/>
      <c r="Z52" s="60"/>
      <c r="AA52" s="174"/>
      <c r="AB52" s="174"/>
      <c r="AC52" s="174"/>
      <c r="AD52" s="174"/>
      <c r="AE52" s="174"/>
      <c r="AF52" s="174"/>
      <c r="AG52" s="174" t="s">
        <v>1461</v>
      </c>
      <c r="AH52" s="174" t="s">
        <v>663</v>
      </c>
      <c r="AI52" s="174">
        <v>1</v>
      </c>
      <c r="AJ52" s="174">
        <v>2.0160000000000001E-2</v>
      </c>
      <c r="AK52" s="174"/>
      <c r="AL52" s="174"/>
      <c r="AM52" s="60"/>
    </row>
    <row r="53" spans="1:39" x14ac:dyDescent="0.25">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60"/>
      <c r="AA53" s="174"/>
      <c r="AB53" s="174"/>
      <c r="AC53" s="174"/>
      <c r="AD53" s="174"/>
      <c r="AE53" s="174"/>
      <c r="AF53" s="174"/>
      <c r="AG53" s="174"/>
      <c r="AH53" s="174" t="s">
        <v>664</v>
      </c>
      <c r="AI53" s="174">
        <v>2</v>
      </c>
      <c r="AJ53" s="174">
        <v>5.0400000000000002E-3</v>
      </c>
      <c r="AK53" s="174"/>
      <c r="AL53" s="174"/>
      <c r="AM53" s="60"/>
    </row>
    <row r="54" spans="1:39" x14ac:dyDescent="0.25">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60"/>
      <c r="AA54" s="174"/>
      <c r="AB54" s="174"/>
      <c r="AC54" s="174"/>
      <c r="AD54" s="174"/>
      <c r="AE54" s="174"/>
      <c r="AF54" s="174"/>
      <c r="AG54" s="174"/>
      <c r="AH54" s="174" t="s">
        <v>665</v>
      </c>
      <c r="AI54" s="174">
        <v>3</v>
      </c>
      <c r="AJ54" s="174">
        <v>4.0299999999999997E-3</v>
      </c>
      <c r="AK54" s="174"/>
      <c r="AL54" s="174"/>
      <c r="AM54" s="60"/>
    </row>
    <row r="55" spans="1:39" ht="13.25" thickBot="1" x14ac:dyDescent="0.3">
      <c r="A55" s="166"/>
      <c r="B55" s="166" t="s">
        <v>595</v>
      </c>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60"/>
      <c r="AA55" s="174"/>
      <c r="AB55" s="174"/>
      <c r="AC55" s="174"/>
      <c r="AD55" s="174"/>
      <c r="AE55" s="174"/>
      <c r="AF55" s="174"/>
      <c r="AG55" s="174"/>
      <c r="AH55" s="174" t="s">
        <v>666</v>
      </c>
      <c r="AI55" s="174">
        <v>4</v>
      </c>
      <c r="AJ55" s="174">
        <v>1.1089999999999999E-2</v>
      </c>
      <c r="AK55" s="174"/>
      <c r="AL55" s="174"/>
      <c r="AM55" s="60"/>
    </row>
    <row r="56" spans="1:39" x14ac:dyDescent="0.25">
      <c r="A56" s="166"/>
      <c r="B56" s="1542"/>
      <c r="C56" s="1543"/>
      <c r="D56" s="346"/>
      <c r="E56" s="118" t="s">
        <v>2061</v>
      </c>
      <c r="F56" s="118" t="s">
        <v>2062</v>
      </c>
      <c r="G56" s="118" t="s">
        <v>1458</v>
      </c>
      <c r="H56" s="118" t="s">
        <v>2062</v>
      </c>
      <c r="I56" s="118" t="s">
        <v>1459</v>
      </c>
      <c r="J56" s="118" t="s">
        <v>494</v>
      </c>
      <c r="K56" s="352"/>
      <c r="L56" s="346"/>
      <c r="M56" s="347"/>
      <c r="N56" s="166"/>
      <c r="O56" s="166"/>
      <c r="P56" s="166"/>
      <c r="Q56" s="166"/>
      <c r="R56" s="166"/>
      <c r="S56" s="166"/>
      <c r="T56" s="166"/>
      <c r="U56" s="166"/>
      <c r="V56" s="166"/>
      <c r="W56" s="166"/>
      <c r="X56" s="166"/>
      <c r="Y56" s="166"/>
      <c r="Z56" s="60"/>
      <c r="AA56" s="174" t="s">
        <v>1408</v>
      </c>
      <c r="AB56" s="174" t="s">
        <v>2043</v>
      </c>
      <c r="AC56" s="174" t="s">
        <v>446</v>
      </c>
      <c r="AD56" s="174" t="s">
        <v>1814</v>
      </c>
      <c r="AE56" s="174"/>
      <c r="AF56" s="174"/>
      <c r="AG56" s="174"/>
      <c r="AH56" s="174" t="s">
        <v>667</v>
      </c>
      <c r="AI56" s="174">
        <v>5</v>
      </c>
      <c r="AJ56" s="174">
        <v>7.0600000000000003E-3</v>
      </c>
      <c r="AK56" s="174"/>
      <c r="AL56" s="174"/>
      <c r="AM56" s="60"/>
    </row>
    <row r="57" spans="1:39" x14ac:dyDescent="0.25">
      <c r="A57" s="166"/>
      <c r="B57" s="942" t="s">
        <v>1456</v>
      </c>
      <c r="C57" s="943"/>
      <c r="D57" s="186">
        <v>9</v>
      </c>
      <c r="E57" s="1204">
        <f>IF(ISBLANK(Import!B407), "", Import!B407)</f>
        <v>0</v>
      </c>
      <c r="F57" s="1204" t="str">
        <f ca="1">IF(ISBLANK(Import!C407),OFFSET('2.CropManagement'!AV$48,SUMIF('2.CropManagement'!AQ$49:AQ$50,'1.GeneralInfo'!$E$8,'2.CropManagement'!AR$49:AR$50),0),(Import!C407))</f>
        <v>[Select]</v>
      </c>
      <c r="G57" s="1204">
        <f>IF(ISBLANK(Import!D407), "", Import!D407)</f>
        <v>0</v>
      </c>
      <c r="H57" s="1204" t="str">
        <f ca="1">IF(ISBLANK(Import!E407),OFFSET('2.CropManagement'!AZ$48,SUMIF('2.CropManagement'!AQ$49:AQ$50,'1.GeneralInfo'!$E$8,'2.CropManagement'!AR$49:AR$50),0),Import!E407)</f>
        <v>[Select]</v>
      </c>
      <c r="I57" s="1204">
        <f>IF(ISBLANK(Import!F407), "", Import!F407)</f>
        <v>0</v>
      </c>
      <c r="J57" s="1204" t="str">
        <f>IF(ISBLANK(Import!G407),AH$67,Import!G407)</f>
        <v>yes - returning empty</v>
      </c>
      <c r="K57" s="149"/>
      <c r="L57" s="2500" t="s">
        <v>1162</v>
      </c>
      <c r="M57" s="2501"/>
      <c r="N57" s="166"/>
      <c r="O57" s="166"/>
      <c r="P57" s="166"/>
      <c r="Q57" s="166"/>
      <c r="R57" s="166"/>
      <c r="S57" s="166"/>
      <c r="T57" s="166"/>
      <c r="U57" s="166"/>
      <c r="V57" s="166"/>
      <c r="W57" s="166"/>
      <c r="X57" s="166"/>
      <c r="Y57" s="166"/>
      <c r="Z57" s="60"/>
      <c r="AA57" s="174">
        <f ca="1">(AB57*AC57*AD57)* SUMIF(AH$65:AH$67,J57,AI$65:AI$67)</f>
        <v>0</v>
      </c>
      <c r="AB57" s="174">
        <f>SUMIF(AH$41:AH$44,I57,AJ$41:AJ$44)</f>
        <v>0</v>
      </c>
      <c r="AC57" s="174">
        <f ca="1">SUMIF('2.CropManagement'!X$157:X$160,'7.Transport'!F57,'2.CropManagement'!Y$157:Y$160)*E57</f>
        <v>0</v>
      </c>
      <c r="AD57" s="174">
        <f ca="1">G57*SUMIF(AF$24:AF$25,H57,AH$24:AH$25)</f>
        <v>0</v>
      </c>
      <c r="AE57" s="174"/>
      <c r="AF57" s="174"/>
      <c r="AG57" s="174"/>
      <c r="AH57" s="174" t="s">
        <v>803</v>
      </c>
      <c r="AI57" s="174">
        <v>6</v>
      </c>
      <c r="AJ57" s="174">
        <v>6.0499999999999998E-3</v>
      </c>
      <c r="AK57" s="174"/>
      <c r="AL57" s="174"/>
      <c r="AM57" s="60"/>
    </row>
    <row r="58" spans="1:39" x14ac:dyDescent="0.25">
      <c r="A58" s="166"/>
      <c r="B58" s="942" t="s">
        <v>1456</v>
      </c>
      <c r="C58" s="943"/>
      <c r="D58" s="186">
        <v>10</v>
      </c>
      <c r="E58" s="1204">
        <f>IF(ISBLANK(Import!B408), "", Import!B408)</f>
        <v>0</v>
      </c>
      <c r="F58" s="1204" t="str">
        <f ca="1">IF(ISBLANK(Import!C408),OFFSET('2.CropManagement'!AV$48,SUMIF('2.CropManagement'!AQ$49:AQ$50,'1.GeneralInfo'!$E$8,'2.CropManagement'!AR$49:AR$50),0),(Import!C408))</f>
        <v>[Select]</v>
      </c>
      <c r="G58" s="1204">
        <f>IF(ISBLANK(Import!D408), "", Import!D408)</f>
        <v>0</v>
      </c>
      <c r="H58" s="1204" t="str">
        <f ca="1">IF(ISBLANK(Import!E408),OFFSET('2.CropManagement'!AZ$48,SUMIF('2.CropManagement'!AQ$49:AQ$50,'1.GeneralInfo'!$E$8,'2.CropManagement'!AR$49:AR$50),0),Import!E408)</f>
        <v>[Select]</v>
      </c>
      <c r="I58" s="1204">
        <f>IF(ISBLANK(Import!F408), "", Import!F408)</f>
        <v>0</v>
      </c>
      <c r="J58" s="1204" t="str">
        <f>IF(ISBLANK(Import!G408),AH$67,Import!G408)</f>
        <v>yes - returning empty</v>
      </c>
      <c r="K58" s="149"/>
      <c r="L58" s="2500"/>
      <c r="M58" s="2501"/>
      <c r="N58" s="166"/>
      <c r="O58" s="166"/>
      <c r="P58" s="166"/>
      <c r="Q58" s="166"/>
      <c r="R58" s="166"/>
      <c r="S58" s="166"/>
      <c r="T58" s="166"/>
      <c r="U58" s="166"/>
      <c r="V58" s="166"/>
      <c r="W58" s="166"/>
      <c r="X58" s="166"/>
      <c r="Y58" s="166"/>
      <c r="Z58" s="166"/>
      <c r="AA58" s="174">
        <f t="shared" ref="AA58:AA76" ca="1" si="10">(AB58*AC58*AD58)* SUMIF(AH$65:AH$67,J58,AI$65:AI$67)</f>
        <v>0</v>
      </c>
      <c r="AB58" s="174">
        <f t="shared" ref="AB58:AB76" si="11">SUMIF(AH$41:AH$44,I58,AJ$41:AJ$44)</f>
        <v>0</v>
      </c>
      <c r="AC58" s="174">
        <f ca="1">SUMIF('2.CropManagement'!X$157:X$160,'7.Transport'!F58,'2.CropManagement'!Y$157:Y$160)*E58</f>
        <v>0</v>
      </c>
      <c r="AD58" s="174">
        <f t="shared" ref="AD58:AD76" ca="1" si="12">G58*SUMIF(AF$24:AF$25,H58,AH$24:AH$25)</f>
        <v>0</v>
      </c>
      <c r="AE58" s="166"/>
      <c r="AF58" s="166"/>
      <c r="AG58" s="166"/>
      <c r="AH58" s="166" t="s">
        <v>804</v>
      </c>
      <c r="AI58" s="166">
        <v>7</v>
      </c>
      <c r="AJ58" s="166">
        <v>1.512E-2</v>
      </c>
      <c r="AK58" s="166"/>
      <c r="AL58" s="166"/>
      <c r="AM58" s="166"/>
    </row>
    <row r="59" spans="1:39" x14ac:dyDescent="0.25">
      <c r="A59" s="166"/>
      <c r="B59" s="942" t="s">
        <v>1456</v>
      </c>
      <c r="C59" s="943"/>
      <c r="D59" s="186">
        <v>11</v>
      </c>
      <c r="E59" s="1204">
        <f>IF(ISBLANK(Import!B409), "", Import!B409)</f>
        <v>0</v>
      </c>
      <c r="F59" s="1204" t="str">
        <f ca="1">IF(ISBLANK(Import!C409),OFFSET('2.CropManagement'!AV$48,SUMIF('2.CropManagement'!AQ$49:AQ$50,'1.GeneralInfo'!$E$8,'2.CropManagement'!AR$49:AR$50),0),(Import!C409))</f>
        <v>[Select]</v>
      </c>
      <c r="G59" s="1204">
        <f>IF(ISBLANK(Import!D409), "", Import!D409)</f>
        <v>0</v>
      </c>
      <c r="H59" s="1204" t="str">
        <f ca="1">IF(ISBLANK(Import!E409),OFFSET('2.CropManagement'!AZ$48,SUMIF('2.CropManagement'!AQ$49:AQ$50,'1.GeneralInfo'!$E$8,'2.CropManagement'!AR$49:AR$50),0),Import!E409)</f>
        <v>[Select]</v>
      </c>
      <c r="I59" s="1204">
        <f>IF(ISBLANK(Import!F409), "", Import!F409)</f>
        <v>0</v>
      </c>
      <c r="J59" s="1204" t="str">
        <f>IF(ISBLANK(Import!G409),AH$67,Import!G409)</f>
        <v>yes - returning empty</v>
      </c>
      <c r="K59" s="149"/>
      <c r="L59" s="2500" t="s">
        <v>635</v>
      </c>
      <c r="M59" s="2501"/>
      <c r="N59" s="166"/>
      <c r="O59" s="166"/>
      <c r="P59" s="166"/>
      <c r="Q59" s="166"/>
      <c r="R59" s="166"/>
      <c r="S59" s="166"/>
      <c r="T59" s="166"/>
      <c r="U59" s="166"/>
      <c r="V59" s="166"/>
      <c r="W59" s="166"/>
      <c r="X59" s="166"/>
      <c r="Y59" s="166"/>
      <c r="Z59" s="166"/>
      <c r="AA59" s="174">
        <f t="shared" ca="1" si="10"/>
        <v>0</v>
      </c>
      <c r="AB59" s="174">
        <f t="shared" si="11"/>
        <v>0</v>
      </c>
      <c r="AC59" s="174">
        <f ca="1">SUMIF('2.CropManagement'!X$157:X$160,'7.Transport'!F59,'2.CropManagement'!Y$157:Y$160)*E59</f>
        <v>0</v>
      </c>
      <c r="AD59" s="174">
        <f t="shared" ca="1" si="12"/>
        <v>0</v>
      </c>
      <c r="AE59" s="166"/>
      <c r="AF59" s="166"/>
      <c r="AG59" s="166"/>
      <c r="AH59" s="166" t="s">
        <v>945</v>
      </c>
      <c r="AI59" s="166">
        <v>8</v>
      </c>
      <c r="AJ59" s="166">
        <v>1.311E-2</v>
      </c>
      <c r="AK59" s="166"/>
      <c r="AL59" s="166"/>
      <c r="AM59" s="166"/>
    </row>
    <row r="60" spans="1:39" x14ac:dyDescent="0.25">
      <c r="A60" s="166"/>
      <c r="B60" s="942" t="s">
        <v>1456</v>
      </c>
      <c r="C60" s="943"/>
      <c r="D60" s="186">
        <v>12</v>
      </c>
      <c r="E60" s="1204">
        <f>IF(ISBLANK(Import!B410), "", Import!B410)</f>
        <v>0</v>
      </c>
      <c r="F60" s="1204" t="str">
        <f ca="1">IF(ISBLANK(Import!C410),OFFSET('2.CropManagement'!AV$48,SUMIF('2.CropManagement'!AQ$49:AQ$50,'1.GeneralInfo'!$E$8,'2.CropManagement'!AR$49:AR$50),0),(Import!C410))</f>
        <v>[Select]</v>
      </c>
      <c r="G60" s="1204">
        <f>IF(ISBLANK(Import!D410), "", Import!D410)</f>
        <v>0</v>
      </c>
      <c r="H60" s="1204" t="str">
        <f ca="1">IF(ISBLANK(Import!E410),OFFSET('2.CropManagement'!AZ$48,SUMIF('2.CropManagement'!AQ$49:AQ$50,'1.GeneralInfo'!$E$8,'2.CropManagement'!AR$49:AR$50),0),Import!E410)</f>
        <v>[Select]</v>
      </c>
      <c r="I60" s="1204">
        <f>IF(ISBLANK(Import!F410), "", Import!F410)</f>
        <v>0</v>
      </c>
      <c r="J60" s="1204" t="str">
        <f>IF(ISBLANK(Import!G410),AH$67,Import!G410)</f>
        <v>yes - returning empty</v>
      </c>
      <c r="K60" s="149"/>
      <c r="L60" s="2500"/>
      <c r="M60" s="2501"/>
      <c r="N60" s="166"/>
      <c r="O60" s="166"/>
      <c r="P60" s="166"/>
      <c r="Q60" s="166"/>
      <c r="R60" s="166"/>
      <c r="S60" s="166"/>
      <c r="T60" s="166"/>
      <c r="U60" s="166"/>
      <c r="V60" s="166"/>
      <c r="W60" s="166"/>
      <c r="X60" s="166"/>
      <c r="Y60" s="166"/>
      <c r="Z60" s="166"/>
      <c r="AA60" s="174">
        <f t="shared" ca="1" si="10"/>
        <v>0</v>
      </c>
      <c r="AB60" s="174">
        <f t="shared" si="11"/>
        <v>0</v>
      </c>
      <c r="AC60" s="174">
        <f ca="1">SUMIF('2.CropManagement'!X$157:X$160,'7.Transport'!F60,'2.CropManagement'!Y$157:Y$160)*E60</f>
        <v>0</v>
      </c>
      <c r="AD60" s="174">
        <f t="shared" ca="1" si="12"/>
        <v>0</v>
      </c>
      <c r="AE60" s="166"/>
      <c r="AF60" s="166"/>
      <c r="AG60" s="166"/>
      <c r="AH60" s="166"/>
      <c r="AI60" s="166"/>
      <c r="AJ60" s="166"/>
      <c r="AK60" s="166"/>
      <c r="AL60" s="166"/>
      <c r="AM60" s="166"/>
    </row>
    <row r="61" spans="1:39" x14ac:dyDescent="0.25">
      <c r="A61" s="166"/>
      <c r="B61" s="942" t="s">
        <v>1456</v>
      </c>
      <c r="C61" s="943"/>
      <c r="D61" s="186">
        <v>13</v>
      </c>
      <c r="E61" s="1204">
        <f>IF(ISBLANK(Import!B411), "", Import!B411)</f>
        <v>0</v>
      </c>
      <c r="F61" s="1204" t="str">
        <f ca="1">IF(ISBLANK(Import!C411),OFFSET('2.CropManagement'!AV$48,SUMIF('2.CropManagement'!AQ$49:AQ$50,'1.GeneralInfo'!$E$8,'2.CropManagement'!AR$49:AR$50),0),(Import!C411))</f>
        <v>[Select]</v>
      </c>
      <c r="G61" s="1204">
        <f>IF(ISBLANK(Import!D411), "", Import!D411)</f>
        <v>0</v>
      </c>
      <c r="H61" s="1204" t="str">
        <f ca="1">IF(ISBLANK(Import!E411),OFFSET('2.CropManagement'!AZ$48,SUMIF('2.CropManagement'!AQ$49:AQ$50,'1.GeneralInfo'!$E$8,'2.CropManagement'!AR$49:AR$50),0),Import!E411)</f>
        <v>[Select]</v>
      </c>
      <c r="I61" s="1204">
        <f>IF(ISBLANK(Import!F411), "", Import!F411)</f>
        <v>0</v>
      </c>
      <c r="J61" s="1204" t="str">
        <f>IF(ISBLANK(Import!G411),AH$67,Import!G411)</f>
        <v>yes - returning empty</v>
      </c>
      <c r="K61" s="149"/>
      <c r="L61" s="2500"/>
      <c r="M61" s="2501"/>
      <c r="N61" s="166"/>
      <c r="O61" s="166"/>
      <c r="P61" s="166"/>
      <c r="Q61" s="166"/>
      <c r="R61" s="166"/>
      <c r="S61" s="166"/>
      <c r="T61" s="166"/>
      <c r="U61" s="166"/>
      <c r="V61" s="166"/>
      <c r="W61" s="166"/>
      <c r="X61" s="166"/>
      <c r="Y61" s="166"/>
      <c r="Z61" s="166"/>
      <c r="AA61" s="174">
        <f t="shared" ca="1" si="10"/>
        <v>0</v>
      </c>
      <c r="AB61" s="174">
        <f t="shared" si="11"/>
        <v>0</v>
      </c>
      <c r="AC61" s="174">
        <f ca="1">SUMIF('2.CropManagement'!X$157:X$160,'7.Transport'!F61,'2.CropManagement'!Y$157:Y$160)*E61</f>
        <v>0</v>
      </c>
      <c r="AD61" s="174">
        <f t="shared" ca="1" si="12"/>
        <v>0</v>
      </c>
      <c r="AE61" s="166"/>
      <c r="AF61" s="166"/>
      <c r="AG61" s="166"/>
      <c r="AH61" s="166"/>
      <c r="AI61" s="166"/>
      <c r="AJ61" s="166"/>
      <c r="AK61" s="166"/>
      <c r="AL61" s="166"/>
      <c r="AM61" s="166"/>
    </row>
    <row r="62" spans="1:39" x14ac:dyDescent="0.25">
      <c r="A62" s="166"/>
      <c r="B62" s="942" t="s">
        <v>1456</v>
      </c>
      <c r="C62" s="943"/>
      <c r="D62" s="186">
        <v>14</v>
      </c>
      <c r="E62" s="1204">
        <f>IF(ISBLANK(Import!B412), "", Import!B412)</f>
        <v>0</v>
      </c>
      <c r="F62" s="1204" t="str">
        <f ca="1">IF(ISBLANK(Import!C412),OFFSET('2.CropManagement'!AV$48,SUMIF('2.CropManagement'!AQ$49:AQ$50,'1.GeneralInfo'!$E$8,'2.CropManagement'!AR$49:AR$50),0),(Import!C412))</f>
        <v>[Select]</v>
      </c>
      <c r="G62" s="1204">
        <f>IF(ISBLANK(Import!D412), "", Import!D412)</f>
        <v>0</v>
      </c>
      <c r="H62" s="1204" t="str">
        <f ca="1">IF(ISBLANK(Import!E412),OFFSET('2.CropManagement'!AZ$48,SUMIF('2.CropManagement'!AQ$49:AQ$50,'1.GeneralInfo'!$E$8,'2.CropManagement'!AR$49:AR$50),0),Import!E412)</f>
        <v>[Select]</v>
      </c>
      <c r="I62" s="1204">
        <f>IF(ISBLANK(Import!F412), "", Import!F412)</f>
        <v>0</v>
      </c>
      <c r="J62" s="1204" t="str">
        <f>IF(ISBLANK(Import!G412),AH$67,Import!G412)</f>
        <v>yes - returning empty</v>
      </c>
      <c r="K62" s="149"/>
      <c r="L62" s="2500" t="s">
        <v>1163</v>
      </c>
      <c r="M62" s="2501"/>
      <c r="N62" s="166"/>
      <c r="O62" s="166"/>
      <c r="P62" s="166"/>
      <c r="Q62" s="166"/>
      <c r="R62" s="166"/>
      <c r="S62" s="166"/>
      <c r="T62" s="166"/>
      <c r="U62" s="166"/>
      <c r="V62" s="166"/>
      <c r="W62" s="166"/>
      <c r="X62" s="166"/>
      <c r="Y62" s="166"/>
      <c r="Z62" s="166"/>
      <c r="AA62" s="174">
        <f t="shared" ca="1" si="10"/>
        <v>0</v>
      </c>
      <c r="AB62" s="174">
        <f t="shared" si="11"/>
        <v>0</v>
      </c>
      <c r="AC62" s="174">
        <f ca="1">SUMIF('2.CropManagement'!X$157:X$160,'7.Transport'!F62,'2.CropManagement'!Y$157:Y$160)*E62</f>
        <v>0</v>
      </c>
      <c r="AD62" s="174">
        <f t="shared" ca="1" si="12"/>
        <v>0</v>
      </c>
      <c r="AE62" s="166"/>
      <c r="AF62" s="166"/>
      <c r="AG62" s="166"/>
      <c r="AH62" s="166"/>
      <c r="AI62" s="166"/>
      <c r="AJ62" s="166"/>
      <c r="AK62" s="166"/>
      <c r="AL62" s="166"/>
      <c r="AM62" s="166"/>
    </row>
    <row r="63" spans="1:39" x14ac:dyDescent="0.25">
      <c r="A63" s="166"/>
      <c r="B63" s="942" t="s">
        <v>1456</v>
      </c>
      <c r="C63" s="943"/>
      <c r="D63" s="186">
        <v>15</v>
      </c>
      <c r="E63" s="1204">
        <f>IF(ISBLANK(Import!B413), "", Import!B413)</f>
        <v>0</v>
      </c>
      <c r="F63" s="1204" t="str">
        <f ca="1">IF(ISBLANK(Import!C413),OFFSET('2.CropManagement'!AV$48,SUMIF('2.CropManagement'!AQ$49:AQ$50,'1.GeneralInfo'!$E$8,'2.CropManagement'!AR$49:AR$50),0),(Import!C413))</f>
        <v>[Select]</v>
      </c>
      <c r="G63" s="1204">
        <f>IF(ISBLANK(Import!D413), "", Import!D413)</f>
        <v>0</v>
      </c>
      <c r="H63" s="1204" t="str">
        <f ca="1">IF(ISBLANK(Import!E413),OFFSET('2.CropManagement'!AZ$48,SUMIF('2.CropManagement'!AQ$49:AQ$50,'1.GeneralInfo'!$E$8,'2.CropManagement'!AR$49:AR$50),0),Import!E413)</f>
        <v>[Select]</v>
      </c>
      <c r="I63" s="1204">
        <f>IF(ISBLANK(Import!F413), "", Import!F413)</f>
        <v>0</v>
      </c>
      <c r="J63" s="1204" t="str">
        <f>IF(ISBLANK(Import!G413),AH$67,Import!G413)</f>
        <v>yes - returning empty</v>
      </c>
      <c r="K63" s="149"/>
      <c r="L63" s="2500"/>
      <c r="M63" s="2501"/>
      <c r="N63" s="166"/>
      <c r="O63" s="166"/>
      <c r="P63" s="166"/>
      <c r="Q63" s="166"/>
      <c r="R63" s="166"/>
      <c r="S63" s="166"/>
      <c r="T63" s="166"/>
      <c r="U63" s="166"/>
      <c r="V63" s="166"/>
      <c r="W63" s="166"/>
      <c r="X63" s="166"/>
      <c r="Y63" s="166"/>
      <c r="Z63" s="166"/>
      <c r="AA63" s="174">
        <f t="shared" ca="1" si="10"/>
        <v>0</v>
      </c>
      <c r="AB63" s="174">
        <f t="shared" si="11"/>
        <v>0</v>
      </c>
      <c r="AC63" s="174">
        <f ca="1">SUMIF('2.CropManagement'!X$157:X$160,'7.Transport'!F63,'2.CropManagement'!Y$157:Y$160)*E63</f>
        <v>0</v>
      </c>
      <c r="AD63" s="174">
        <f t="shared" ca="1" si="12"/>
        <v>0</v>
      </c>
      <c r="AF63" s="166"/>
      <c r="AG63" s="166"/>
      <c r="AH63" s="166"/>
      <c r="AI63" s="166"/>
      <c r="AJ63" s="166"/>
      <c r="AK63" s="166"/>
      <c r="AL63" s="166"/>
      <c r="AM63" s="166"/>
    </row>
    <row r="64" spans="1:39" x14ac:dyDescent="0.25">
      <c r="A64" s="166"/>
      <c r="B64" s="942" t="s">
        <v>1456</v>
      </c>
      <c r="C64" s="943"/>
      <c r="D64" s="186">
        <v>16</v>
      </c>
      <c r="E64" s="1204">
        <f>IF(ISBLANK(Import!B414), "", Import!B414)</f>
        <v>0</v>
      </c>
      <c r="F64" s="1204" t="str">
        <f ca="1">IF(ISBLANK(Import!C414),OFFSET('2.CropManagement'!AV$48,SUMIF('2.CropManagement'!AQ$49:AQ$50,'1.GeneralInfo'!$E$8,'2.CropManagement'!AR$49:AR$50),0),(Import!C414))</f>
        <v>[Select]</v>
      </c>
      <c r="G64" s="1204">
        <f>IF(ISBLANK(Import!D414), "", Import!D414)</f>
        <v>0</v>
      </c>
      <c r="H64" s="1204" t="str">
        <f ca="1">IF(ISBLANK(Import!E414),OFFSET('2.CropManagement'!AZ$48,SUMIF('2.CropManagement'!AQ$49:AQ$50,'1.GeneralInfo'!$E$8,'2.CropManagement'!AR$49:AR$50),0),Import!E414)</f>
        <v>[Select]</v>
      </c>
      <c r="I64" s="1204">
        <f>IF(ISBLANK(Import!F414), "", Import!F414)</f>
        <v>0</v>
      </c>
      <c r="J64" s="1204" t="str">
        <f>IF(ISBLANK(Import!G414),AH$67,Import!G414)</f>
        <v>yes - returning empty</v>
      </c>
      <c r="K64" s="149"/>
      <c r="L64" s="186"/>
      <c r="M64" s="499"/>
      <c r="N64" s="166"/>
      <c r="O64" s="166"/>
      <c r="P64" s="166"/>
      <c r="Q64" s="166"/>
      <c r="R64" s="166"/>
      <c r="S64" s="166"/>
      <c r="T64" s="166"/>
      <c r="U64" s="166"/>
      <c r="V64" s="166"/>
      <c r="W64" s="166"/>
      <c r="X64" s="166"/>
      <c r="Y64" s="166"/>
      <c r="Z64" s="166"/>
      <c r="AA64" s="174">
        <f t="shared" ca="1" si="10"/>
        <v>0</v>
      </c>
      <c r="AB64" s="174">
        <f t="shared" si="11"/>
        <v>0</v>
      </c>
      <c r="AC64" s="174">
        <f ca="1">SUMIF('2.CropManagement'!X$157:X$160,'7.Transport'!F64,'2.CropManagement'!Y$157:Y$160)*E64</f>
        <v>0</v>
      </c>
      <c r="AD64" s="174">
        <f t="shared" ca="1" si="12"/>
        <v>0</v>
      </c>
      <c r="AF64" s="166"/>
      <c r="AG64" s="166"/>
      <c r="AH64" s="166"/>
      <c r="AI64" s="166" t="s">
        <v>478</v>
      </c>
      <c r="AJ64" s="166"/>
      <c r="AK64" s="166"/>
      <c r="AL64" s="166"/>
      <c r="AM64" s="166"/>
    </row>
    <row r="65" spans="1:39" x14ac:dyDescent="0.25">
      <c r="A65" s="166"/>
      <c r="B65" s="942" t="s">
        <v>1456</v>
      </c>
      <c r="C65" s="943"/>
      <c r="D65" s="186">
        <v>17</v>
      </c>
      <c r="E65" s="1204">
        <f>IF(ISBLANK(Import!B415), "", Import!B415)</f>
        <v>0</v>
      </c>
      <c r="F65" s="1204" t="str">
        <f ca="1">IF(ISBLANK(Import!C415),OFFSET('2.CropManagement'!AV$48,SUMIF('2.CropManagement'!AQ$49:AQ$50,'1.GeneralInfo'!$E$8,'2.CropManagement'!AR$49:AR$50),0),(Import!C415))</f>
        <v>[Select]</v>
      </c>
      <c r="G65" s="1204">
        <f>IF(ISBLANK(Import!D415), "", Import!D415)</f>
        <v>0</v>
      </c>
      <c r="H65" s="1204" t="str">
        <f ca="1">IF(ISBLANK(Import!E415),OFFSET('2.CropManagement'!AZ$48,SUMIF('2.CropManagement'!AQ$49:AQ$50,'1.GeneralInfo'!$E$8,'2.CropManagement'!AR$49:AR$50),0),Import!E415)</f>
        <v>[Select]</v>
      </c>
      <c r="I65" s="1204">
        <f>IF(ISBLANK(Import!F415), "", Import!F415)</f>
        <v>0</v>
      </c>
      <c r="J65" s="1204" t="str">
        <f>IF(ISBLANK(Import!G415),AH$67,Import!G415)</f>
        <v>yes - returning empty</v>
      </c>
      <c r="K65" s="149"/>
      <c r="L65" s="186"/>
      <c r="M65" s="499"/>
      <c r="N65" s="166"/>
      <c r="O65" s="166"/>
      <c r="P65" s="166"/>
      <c r="Q65" s="166"/>
      <c r="R65" s="166"/>
      <c r="S65" s="166"/>
      <c r="T65" s="166"/>
      <c r="U65" s="166"/>
      <c r="V65" s="166"/>
      <c r="W65" s="166"/>
      <c r="X65" s="166"/>
      <c r="Y65" s="166"/>
      <c r="Z65" s="166"/>
      <c r="AA65" s="174">
        <f t="shared" ca="1" si="10"/>
        <v>0</v>
      </c>
      <c r="AB65" s="174">
        <f t="shared" si="11"/>
        <v>0</v>
      </c>
      <c r="AC65" s="174">
        <f ca="1">SUMIF('2.CropManagement'!X$157:X$160,'7.Transport'!F65,'2.CropManagement'!Y$157:Y$160)*E65</f>
        <v>0</v>
      </c>
      <c r="AD65" s="174">
        <f t="shared" ca="1" si="12"/>
        <v>0</v>
      </c>
      <c r="AF65" s="166"/>
      <c r="AG65" s="166"/>
      <c r="AH65" s="166" t="s">
        <v>477</v>
      </c>
      <c r="AI65" s="166">
        <v>1</v>
      </c>
      <c r="AJ65" s="166"/>
      <c r="AK65" s="166"/>
      <c r="AL65" s="166"/>
      <c r="AM65" s="166"/>
    </row>
    <row r="66" spans="1:39" x14ac:dyDescent="0.25">
      <c r="A66" s="166"/>
      <c r="B66" s="942" t="s">
        <v>1456</v>
      </c>
      <c r="C66" s="943"/>
      <c r="D66" s="186">
        <v>18</v>
      </c>
      <c r="E66" s="1204">
        <f>IF(ISBLANK(Import!B416), "", Import!B416)</f>
        <v>0</v>
      </c>
      <c r="F66" s="1204" t="str">
        <f ca="1">IF(ISBLANK(Import!C416),OFFSET('2.CropManagement'!AV$48,SUMIF('2.CropManagement'!AQ$49:AQ$50,'1.GeneralInfo'!$E$8,'2.CropManagement'!AR$49:AR$50),0),(Import!C416))</f>
        <v>[Select]</v>
      </c>
      <c r="G66" s="1204">
        <f>IF(ISBLANK(Import!D416), "", Import!D416)</f>
        <v>0</v>
      </c>
      <c r="H66" s="1204" t="str">
        <f ca="1">IF(ISBLANK(Import!E416),OFFSET('2.CropManagement'!AZ$48,SUMIF('2.CropManagement'!AQ$49:AQ$50,'1.GeneralInfo'!$E$8,'2.CropManagement'!AR$49:AR$50),0),Import!E416)</f>
        <v>[Select]</v>
      </c>
      <c r="I66" s="1204">
        <f>IF(ISBLANK(Import!F416), "", Import!F416)</f>
        <v>0</v>
      </c>
      <c r="J66" s="1204" t="str">
        <f>IF(ISBLANK(Import!G416),AH$67,Import!G416)</f>
        <v>yes - returning empty</v>
      </c>
      <c r="K66" s="181"/>
      <c r="L66" s="186"/>
      <c r="M66" s="499"/>
      <c r="N66" s="166"/>
      <c r="O66" s="166"/>
      <c r="P66" s="166"/>
      <c r="Q66" s="166"/>
      <c r="R66" s="166"/>
      <c r="S66" s="166"/>
      <c r="T66" s="166"/>
      <c r="U66" s="166"/>
      <c r="V66" s="166"/>
      <c r="W66" s="166"/>
      <c r="X66" s="166"/>
      <c r="Y66" s="166"/>
      <c r="Z66" s="60"/>
      <c r="AA66" s="174">
        <f t="shared" ca="1" si="10"/>
        <v>0</v>
      </c>
      <c r="AB66" s="174">
        <f t="shared" si="11"/>
        <v>0</v>
      </c>
      <c r="AC66" s="174">
        <f ca="1">SUMIF('2.CropManagement'!X$157:X$160,'7.Transport'!F66,'2.CropManagement'!Y$157:Y$160)*E66</f>
        <v>0</v>
      </c>
      <c r="AD66" s="174">
        <f t="shared" ca="1" si="12"/>
        <v>0</v>
      </c>
      <c r="AF66" s="174"/>
      <c r="AG66" s="174"/>
      <c r="AH66" s="166" t="s">
        <v>479</v>
      </c>
      <c r="AI66" s="166">
        <v>1.333</v>
      </c>
      <c r="AJ66" s="166"/>
      <c r="AK66" s="166"/>
      <c r="AL66" s="174"/>
      <c r="AM66" s="60"/>
    </row>
    <row r="67" spans="1:39" x14ac:dyDescent="0.25">
      <c r="A67" s="166"/>
      <c r="B67" s="942" t="s">
        <v>1456</v>
      </c>
      <c r="C67" s="943"/>
      <c r="D67" s="186">
        <v>19</v>
      </c>
      <c r="E67" s="1204">
        <f>IF(ISBLANK(Import!B417), "", Import!B417)</f>
        <v>0</v>
      </c>
      <c r="F67" s="1204" t="str">
        <f ca="1">IF(ISBLANK(Import!C417),OFFSET('2.CropManagement'!AV$48,SUMIF('2.CropManagement'!AQ$49:AQ$50,'1.GeneralInfo'!$E$8,'2.CropManagement'!AR$49:AR$50),0),(Import!C417))</f>
        <v>[Select]</v>
      </c>
      <c r="G67" s="1204">
        <f>IF(ISBLANK(Import!D417), "", Import!D417)</f>
        <v>0</v>
      </c>
      <c r="H67" s="1204" t="str">
        <f ca="1">IF(ISBLANK(Import!E417),OFFSET('2.CropManagement'!AZ$48,SUMIF('2.CropManagement'!AQ$49:AQ$50,'1.GeneralInfo'!$E$8,'2.CropManagement'!AR$49:AR$50),0),Import!E417)</f>
        <v>[Select]</v>
      </c>
      <c r="I67" s="1204">
        <f>IF(ISBLANK(Import!F417), "", Import!F417)</f>
        <v>0</v>
      </c>
      <c r="J67" s="1204" t="str">
        <f>IF(ISBLANK(Import!G417),AH$67,Import!G417)</f>
        <v>yes - returning empty</v>
      </c>
      <c r="K67" s="181"/>
      <c r="L67" s="186"/>
      <c r="M67" s="499"/>
      <c r="N67" s="166"/>
      <c r="O67" s="166"/>
      <c r="P67" s="166"/>
      <c r="Q67" s="166"/>
      <c r="R67" s="166"/>
      <c r="S67" s="166"/>
      <c r="T67" s="166"/>
      <c r="U67" s="166"/>
      <c r="V67" s="166"/>
      <c r="W67" s="166"/>
      <c r="X67" s="166"/>
      <c r="Y67" s="166"/>
      <c r="Z67" s="60"/>
      <c r="AA67" s="174">
        <f t="shared" ca="1" si="10"/>
        <v>0</v>
      </c>
      <c r="AB67" s="174">
        <f t="shared" si="11"/>
        <v>0</v>
      </c>
      <c r="AC67" s="174">
        <f ca="1">SUMIF('2.CropManagement'!X$157:X$160,'7.Transport'!F67,'2.CropManagement'!Y$157:Y$160)*E67</f>
        <v>0</v>
      </c>
      <c r="AD67" s="174">
        <f t="shared" ca="1" si="12"/>
        <v>0</v>
      </c>
      <c r="AF67" s="174"/>
      <c r="AG67" s="174"/>
      <c r="AH67" s="174" t="s">
        <v>480</v>
      </c>
      <c r="AI67" s="174">
        <v>1.6667000000000001</v>
      </c>
      <c r="AJ67" s="174"/>
      <c r="AK67" s="174"/>
      <c r="AL67" s="174"/>
      <c r="AM67" s="60"/>
    </row>
    <row r="68" spans="1:39" x14ac:dyDescent="0.25">
      <c r="A68" s="166"/>
      <c r="B68" s="942" t="s">
        <v>1456</v>
      </c>
      <c r="C68" s="943"/>
      <c r="D68" s="186">
        <v>20</v>
      </c>
      <c r="E68" s="1204">
        <f>IF(ISBLANK(Import!B418), "", Import!B418)</f>
        <v>0</v>
      </c>
      <c r="F68" s="1204" t="str">
        <f ca="1">IF(ISBLANK(Import!C418),OFFSET('2.CropManagement'!AV$48,SUMIF('2.CropManagement'!AQ$49:AQ$50,'1.GeneralInfo'!$E$8,'2.CropManagement'!AR$49:AR$50),0),(Import!C418))</f>
        <v>[Select]</v>
      </c>
      <c r="G68" s="1204">
        <f>IF(ISBLANK(Import!D418), "", Import!D418)</f>
        <v>0</v>
      </c>
      <c r="H68" s="1204" t="str">
        <f ca="1">IF(ISBLANK(Import!E418),OFFSET('2.CropManagement'!AZ$48,SUMIF('2.CropManagement'!AQ$49:AQ$50,'1.GeneralInfo'!$E$8,'2.CropManagement'!AR$49:AR$50),0),Import!E418)</f>
        <v>[Select]</v>
      </c>
      <c r="I68" s="1204">
        <f>IF(ISBLANK(Import!F418), "", Import!F418)</f>
        <v>0</v>
      </c>
      <c r="J68" s="1204" t="str">
        <f>IF(ISBLANK(Import!G418),AH$67,Import!G418)</f>
        <v>yes - returning empty</v>
      </c>
      <c r="K68" s="181"/>
      <c r="L68" s="186"/>
      <c r="M68" s="499"/>
      <c r="N68" s="166"/>
      <c r="O68" s="166"/>
      <c r="P68" s="166"/>
      <c r="Q68" s="166"/>
      <c r="R68" s="166"/>
      <c r="S68" s="166"/>
      <c r="T68" s="166"/>
      <c r="U68" s="166"/>
      <c r="V68" s="166"/>
      <c r="W68" s="166"/>
      <c r="X68" s="166"/>
      <c r="Y68" s="166"/>
      <c r="Z68" s="60"/>
      <c r="AA68" s="174">
        <f t="shared" ca="1" si="10"/>
        <v>0</v>
      </c>
      <c r="AB68" s="174">
        <f t="shared" si="11"/>
        <v>0</v>
      </c>
      <c r="AC68" s="174">
        <f ca="1">SUMIF('2.CropManagement'!X$157:X$160,'7.Transport'!F68,'2.CropManagement'!Y$157:Y$160)*E68</f>
        <v>0</v>
      </c>
      <c r="AD68" s="174">
        <f t="shared" ca="1" si="12"/>
        <v>0</v>
      </c>
      <c r="AE68" s="174"/>
      <c r="AF68" s="174"/>
      <c r="AG68" s="174"/>
      <c r="AH68" s="174"/>
      <c r="AI68" s="174"/>
      <c r="AJ68" s="174"/>
      <c r="AK68" s="174"/>
      <c r="AL68" s="174"/>
      <c r="AM68" s="60"/>
    </row>
    <row r="69" spans="1:39" x14ac:dyDescent="0.25">
      <c r="A69" s="166"/>
      <c r="B69" s="942" t="s">
        <v>1456</v>
      </c>
      <c r="C69" s="943"/>
      <c r="D69" s="186">
        <v>21</v>
      </c>
      <c r="E69" s="1204">
        <f>IF(ISBLANK(Import!B419), "", Import!B419)</f>
        <v>0</v>
      </c>
      <c r="F69" s="1204" t="str">
        <f ca="1">IF(ISBLANK(Import!C419),OFFSET('2.CropManagement'!AV$48,SUMIF('2.CropManagement'!AQ$49:AQ$50,'1.GeneralInfo'!$E$8,'2.CropManagement'!AR$49:AR$50),0),(Import!C419))</f>
        <v>[Select]</v>
      </c>
      <c r="G69" s="1204">
        <f>IF(ISBLANK(Import!D419), "", Import!D419)</f>
        <v>0</v>
      </c>
      <c r="H69" s="1204" t="str">
        <f ca="1">IF(ISBLANK(Import!E419),OFFSET('2.CropManagement'!AZ$48,SUMIF('2.CropManagement'!AQ$49:AQ$50,'1.GeneralInfo'!$E$8,'2.CropManagement'!AR$49:AR$50),0),Import!E419)</f>
        <v>[Select]</v>
      </c>
      <c r="I69" s="1204">
        <f>IF(ISBLANK(Import!F419), "", Import!F419)</f>
        <v>0</v>
      </c>
      <c r="J69" s="1204" t="str">
        <f>IF(ISBLANK(Import!G419),AH$67,Import!G419)</f>
        <v>yes - returning empty</v>
      </c>
      <c r="K69" s="181"/>
      <c r="L69" s="186"/>
      <c r="M69" s="499"/>
      <c r="N69" s="166"/>
      <c r="O69" s="166"/>
      <c r="P69" s="166"/>
      <c r="Q69" s="166"/>
      <c r="R69" s="166"/>
      <c r="S69" s="166"/>
      <c r="T69" s="166"/>
      <c r="U69" s="166"/>
      <c r="V69" s="166"/>
      <c r="W69" s="166"/>
      <c r="X69" s="166"/>
      <c r="Y69" s="166"/>
      <c r="Z69" s="60"/>
      <c r="AA69" s="174">
        <f t="shared" ca="1" si="10"/>
        <v>0</v>
      </c>
      <c r="AB69" s="174">
        <f t="shared" si="11"/>
        <v>0</v>
      </c>
      <c r="AC69" s="174">
        <f ca="1">SUMIF('2.CropManagement'!X$157:X$160,'7.Transport'!F69,'2.CropManagement'!Y$157:Y$160)*E69</f>
        <v>0</v>
      </c>
      <c r="AD69" s="174">
        <f t="shared" ca="1" si="12"/>
        <v>0</v>
      </c>
      <c r="AE69" s="174"/>
      <c r="AF69" s="174"/>
      <c r="AG69" s="174"/>
      <c r="AH69" s="174"/>
      <c r="AI69" s="174"/>
      <c r="AJ69" s="174"/>
      <c r="AK69" s="174"/>
      <c r="AL69" s="174"/>
      <c r="AM69" s="60"/>
    </row>
    <row r="70" spans="1:39" x14ac:dyDescent="0.25">
      <c r="A70" s="166"/>
      <c r="B70" s="942" t="s">
        <v>1456</v>
      </c>
      <c r="C70" s="943"/>
      <c r="D70" s="186">
        <v>22</v>
      </c>
      <c r="E70" s="1204">
        <f>IF(ISBLANK(Import!B420), "", Import!B420)</f>
        <v>0</v>
      </c>
      <c r="F70" s="1204" t="str">
        <f ca="1">IF(ISBLANK(Import!C420),OFFSET('2.CropManagement'!AV$48,SUMIF('2.CropManagement'!AQ$49:AQ$50,'1.GeneralInfo'!$E$8,'2.CropManagement'!AR$49:AR$50),0),(Import!C420))</f>
        <v>[Select]</v>
      </c>
      <c r="G70" s="1204">
        <f>IF(ISBLANK(Import!D420), "", Import!D420)</f>
        <v>0</v>
      </c>
      <c r="H70" s="1204" t="str">
        <f ca="1">IF(ISBLANK(Import!E420),OFFSET('2.CropManagement'!AZ$48,SUMIF('2.CropManagement'!AQ$49:AQ$50,'1.GeneralInfo'!$E$8,'2.CropManagement'!AR$49:AR$50),0),Import!E420)</f>
        <v>[Select]</v>
      </c>
      <c r="I70" s="1204">
        <f>IF(ISBLANK(Import!F420), "", Import!F420)</f>
        <v>0</v>
      </c>
      <c r="J70" s="1204" t="str">
        <f>IF(ISBLANK(Import!G420),AH$67,Import!G420)</f>
        <v>yes - returning empty</v>
      </c>
      <c r="K70" s="181"/>
      <c r="L70" s="186"/>
      <c r="M70" s="499"/>
      <c r="N70" s="166"/>
      <c r="O70" s="166"/>
      <c r="P70" s="166"/>
      <c r="Q70" s="166"/>
      <c r="R70" s="166"/>
      <c r="S70" s="166"/>
      <c r="T70" s="166"/>
      <c r="U70" s="166"/>
      <c r="V70" s="166"/>
      <c r="W70" s="166"/>
      <c r="X70" s="166"/>
      <c r="Y70" s="166"/>
      <c r="Z70" s="60"/>
      <c r="AA70" s="174">
        <f t="shared" ca="1" si="10"/>
        <v>0</v>
      </c>
      <c r="AB70" s="174">
        <f t="shared" si="11"/>
        <v>0</v>
      </c>
      <c r="AC70" s="174">
        <f ca="1">SUMIF('2.CropManagement'!X$157:X$160,'7.Transport'!F70,'2.CropManagement'!Y$157:Y$160)*E70</f>
        <v>0</v>
      </c>
      <c r="AD70" s="174">
        <f t="shared" ca="1" si="12"/>
        <v>0</v>
      </c>
      <c r="AE70" s="174"/>
      <c r="AF70" s="174"/>
      <c r="AG70" s="174"/>
      <c r="AH70" s="174"/>
      <c r="AI70" s="174"/>
      <c r="AJ70" s="174"/>
      <c r="AK70" s="174"/>
      <c r="AL70" s="174"/>
      <c r="AM70" s="60"/>
    </row>
    <row r="71" spans="1:39" x14ac:dyDescent="0.25">
      <c r="A71" s="2"/>
      <c r="B71" s="942" t="s">
        <v>1456</v>
      </c>
      <c r="C71" s="943"/>
      <c r="D71" s="186">
        <v>23</v>
      </c>
      <c r="E71" s="1204">
        <f>IF(ISBLANK(Import!B421), "", Import!B421)</f>
        <v>0</v>
      </c>
      <c r="F71" s="1204" t="str">
        <f ca="1">IF(ISBLANK(Import!C421),OFFSET('2.CropManagement'!AV$48,SUMIF('2.CropManagement'!AQ$49:AQ$50,'1.GeneralInfo'!$E$8,'2.CropManagement'!AR$49:AR$50),0),(Import!C421))</f>
        <v>[Select]</v>
      </c>
      <c r="G71" s="1204">
        <f>IF(ISBLANK(Import!D421), "", Import!D421)</f>
        <v>0</v>
      </c>
      <c r="H71" s="1204" t="str">
        <f ca="1">IF(ISBLANK(Import!E421),OFFSET('2.CropManagement'!AZ$48,SUMIF('2.CropManagement'!AQ$49:AQ$50,'1.GeneralInfo'!$E$8,'2.CropManagement'!AR$49:AR$50),0),Import!E421)</f>
        <v>[Select]</v>
      </c>
      <c r="I71" s="1204">
        <f>IF(ISBLANK(Import!F421), "", Import!F421)</f>
        <v>0</v>
      </c>
      <c r="J71" s="1204" t="str">
        <f>IF(ISBLANK(Import!G421),AH$67,Import!G421)</f>
        <v>yes - returning empty</v>
      </c>
      <c r="K71" s="1319"/>
      <c r="L71" s="1544"/>
      <c r="M71" s="1545"/>
      <c r="N71" s="2"/>
      <c r="O71" s="2"/>
      <c r="P71" s="2"/>
      <c r="Q71" s="2"/>
      <c r="R71" s="2"/>
      <c r="S71" s="2"/>
      <c r="T71" s="2"/>
      <c r="U71" s="2"/>
      <c r="V71" s="2"/>
      <c r="AA71" s="174">
        <f t="shared" ca="1" si="10"/>
        <v>0</v>
      </c>
      <c r="AB71" s="174">
        <f t="shared" si="11"/>
        <v>0</v>
      </c>
      <c r="AC71" s="174">
        <f ca="1">SUMIF('2.CropManagement'!X$157:X$160,'7.Transport'!F71,'2.CropManagement'!Y$157:Y$160)*E71</f>
        <v>0</v>
      </c>
      <c r="AD71" s="174">
        <f t="shared" ca="1" si="12"/>
        <v>0</v>
      </c>
    </row>
    <row r="72" spans="1:39" x14ac:dyDescent="0.25">
      <c r="A72" s="2"/>
      <c r="B72" s="942" t="s">
        <v>1456</v>
      </c>
      <c r="C72" s="943"/>
      <c r="D72" s="186">
        <v>24</v>
      </c>
      <c r="E72" s="1204">
        <f>IF(ISBLANK(Import!B422), "", Import!B422)</f>
        <v>0</v>
      </c>
      <c r="F72" s="1204" t="str">
        <f ca="1">IF(ISBLANK(Import!C422),OFFSET('2.CropManagement'!AV$48,SUMIF('2.CropManagement'!AQ$49:AQ$50,'1.GeneralInfo'!$E$8,'2.CropManagement'!AR$49:AR$50),0),(Import!C422))</f>
        <v>[Select]</v>
      </c>
      <c r="G72" s="1204">
        <f>IF(ISBLANK(Import!D422), "", Import!D422)</f>
        <v>0</v>
      </c>
      <c r="H72" s="1204" t="str">
        <f ca="1">IF(ISBLANK(Import!E422),OFFSET('2.CropManagement'!AZ$48,SUMIF('2.CropManagement'!AQ$49:AQ$50,'1.GeneralInfo'!$E$8,'2.CropManagement'!AR$49:AR$50),0),Import!E422)</f>
        <v>[Select]</v>
      </c>
      <c r="I72" s="1204">
        <f>IF(ISBLANK(Import!F422), "", Import!F422)</f>
        <v>0</v>
      </c>
      <c r="J72" s="1204" t="str">
        <f>IF(ISBLANK(Import!G422),AH$67,Import!G422)</f>
        <v>yes - returning empty</v>
      </c>
      <c r="K72" s="1319"/>
      <c r="L72" s="1544"/>
      <c r="M72" s="1545"/>
      <c r="N72" s="2"/>
      <c r="O72" s="2"/>
      <c r="P72" s="2"/>
      <c r="Q72" s="2"/>
      <c r="R72" s="2"/>
      <c r="S72" s="2"/>
      <c r="T72" s="2"/>
      <c r="U72" s="2"/>
      <c r="V72" s="2"/>
      <c r="AA72" s="174">
        <f t="shared" ca="1" si="10"/>
        <v>0</v>
      </c>
      <c r="AB72" s="174">
        <f t="shared" si="11"/>
        <v>0</v>
      </c>
      <c r="AC72" s="174">
        <f ca="1">SUMIF('2.CropManagement'!X$157:X$160,'7.Transport'!F72,'2.CropManagement'!Y$157:Y$160)*E72</f>
        <v>0</v>
      </c>
      <c r="AD72" s="174">
        <f t="shared" ca="1" si="12"/>
        <v>0</v>
      </c>
    </row>
    <row r="73" spans="1:39" x14ac:dyDescent="0.25">
      <c r="A73" s="2"/>
      <c r="B73" s="942" t="s">
        <v>1456</v>
      </c>
      <c r="C73" s="943"/>
      <c r="D73" s="186">
        <v>25</v>
      </c>
      <c r="E73" s="1204">
        <f>IF(ISBLANK(Import!B423), "", Import!B423)</f>
        <v>0</v>
      </c>
      <c r="F73" s="1204" t="str">
        <f ca="1">IF(ISBLANK(Import!C423),OFFSET('2.CropManagement'!AV$48,SUMIF('2.CropManagement'!AQ$49:AQ$50,'1.GeneralInfo'!$E$8,'2.CropManagement'!AR$49:AR$50),0),(Import!C423))</f>
        <v>[Select]</v>
      </c>
      <c r="G73" s="1204">
        <f>IF(ISBLANK(Import!D423), "", Import!D423)</f>
        <v>0</v>
      </c>
      <c r="H73" s="1204" t="str">
        <f ca="1">IF(ISBLANK(Import!E423),OFFSET('2.CropManagement'!AZ$48,SUMIF('2.CropManagement'!AQ$49:AQ$50,'1.GeneralInfo'!$E$8,'2.CropManagement'!AR$49:AR$50),0),Import!E423)</f>
        <v>[Select]</v>
      </c>
      <c r="I73" s="1204">
        <f>IF(ISBLANK(Import!F423), "", Import!F423)</f>
        <v>0</v>
      </c>
      <c r="J73" s="1204" t="str">
        <f>IF(ISBLANK(Import!G423),AH$67,Import!G423)</f>
        <v>yes - returning empty</v>
      </c>
      <c r="K73" s="1319"/>
      <c r="L73" s="1544"/>
      <c r="M73" s="1545"/>
      <c r="N73" s="2"/>
      <c r="O73" s="2"/>
      <c r="P73" s="2"/>
      <c r="Q73" s="2"/>
      <c r="R73" s="2"/>
      <c r="S73" s="2"/>
      <c r="T73" s="2"/>
      <c r="U73" s="2"/>
      <c r="V73" s="2"/>
      <c r="AA73" s="174">
        <f t="shared" ca="1" si="10"/>
        <v>0</v>
      </c>
      <c r="AB73" s="174">
        <f t="shared" si="11"/>
        <v>0</v>
      </c>
      <c r="AC73" s="174">
        <f ca="1">SUMIF('2.CropManagement'!X$157:X$160,'7.Transport'!F73,'2.CropManagement'!Y$157:Y$160)*E73</f>
        <v>0</v>
      </c>
      <c r="AD73" s="174">
        <f t="shared" ca="1" si="12"/>
        <v>0</v>
      </c>
    </row>
    <row r="74" spans="1:39" x14ac:dyDescent="0.25">
      <c r="A74" s="2"/>
      <c r="B74" s="942" t="s">
        <v>1456</v>
      </c>
      <c r="C74" s="943"/>
      <c r="D74" s="186">
        <v>26</v>
      </c>
      <c r="E74" s="1204">
        <f>IF(ISBLANK(Import!B424), "", Import!B424)</f>
        <v>0</v>
      </c>
      <c r="F74" s="1204" t="str">
        <f ca="1">IF(ISBLANK(Import!C424),OFFSET('2.CropManagement'!AV$48,SUMIF('2.CropManagement'!AQ$49:AQ$50,'1.GeneralInfo'!$E$8,'2.CropManagement'!AR$49:AR$50),0),(Import!C424))</f>
        <v>[Select]</v>
      </c>
      <c r="G74" s="1204">
        <f>IF(ISBLANK(Import!D424), "", Import!D424)</f>
        <v>0</v>
      </c>
      <c r="H74" s="1204" t="str">
        <f ca="1">IF(ISBLANK(Import!E424),OFFSET('2.CropManagement'!AZ$48,SUMIF('2.CropManagement'!AQ$49:AQ$50,'1.GeneralInfo'!$E$8,'2.CropManagement'!AR$49:AR$50),0),Import!E424)</f>
        <v>[Select]</v>
      </c>
      <c r="I74" s="1204">
        <f>IF(ISBLANK(Import!F424), "", Import!F424)</f>
        <v>0</v>
      </c>
      <c r="J74" s="1204" t="str">
        <f>IF(ISBLANK(Import!G424),AH$67,Import!G424)</f>
        <v>yes - returning empty</v>
      </c>
      <c r="K74" s="1319"/>
      <c r="L74" s="1544"/>
      <c r="M74" s="1545"/>
      <c r="N74" s="2"/>
      <c r="O74" s="2"/>
      <c r="P74" s="2"/>
      <c r="Q74" s="2"/>
      <c r="R74" s="2"/>
      <c r="S74" s="2"/>
      <c r="T74" s="2"/>
      <c r="U74" s="2"/>
      <c r="V74" s="2"/>
      <c r="AA74" s="174">
        <f t="shared" ca="1" si="10"/>
        <v>0</v>
      </c>
      <c r="AB74" s="174">
        <f t="shared" si="11"/>
        <v>0</v>
      </c>
      <c r="AC74" s="174">
        <f ca="1">SUMIF('2.CropManagement'!X$157:X$160,'7.Transport'!F74,'2.CropManagement'!Y$157:Y$160)*E74</f>
        <v>0</v>
      </c>
      <c r="AD74" s="174">
        <f t="shared" ca="1" si="12"/>
        <v>0</v>
      </c>
    </row>
    <row r="75" spans="1:39" x14ac:dyDescent="0.25">
      <c r="A75" s="2"/>
      <c r="B75" s="942" t="s">
        <v>1456</v>
      </c>
      <c r="C75" s="943"/>
      <c r="D75" s="186">
        <v>27</v>
      </c>
      <c r="E75" s="1204">
        <f>IF(ISBLANK(Import!B425), "", Import!B425)</f>
        <v>0</v>
      </c>
      <c r="F75" s="1204" t="str">
        <f ca="1">IF(ISBLANK(Import!C425),OFFSET('2.CropManagement'!AV$48,SUMIF('2.CropManagement'!AQ$49:AQ$50,'1.GeneralInfo'!$E$8,'2.CropManagement'!AR$49:AR$50),0),(Import!C425))</f>
        <v>[Select]</v>
      </c>
      <c r="G75" s="1204">
        <f>IF(ISBLANK(Import!D425), "", Import!D425)</f>
        <v>0</v>
      </c>
      <c r="H75" s="1204" t="str">
        <f ca="1">IF(ISBLANK(Import!E425),OFFSET('2.CropManagement'!AZ$48,SUMIF('2.CropManagement'!AQ$49:AQ$50,'1.GeneralInfo'!$E$8,'2.CropManagement'!AR$49:AR$50),0),Import!E425)</f>
        <v>[Select]</v>
      </c>
      <c r="I75" s="1204">
        <f>IF(ISBLANK(Import!F425), "", Import!F425)</f>
        <v>0</v>
      </c>
      <c r="J75" s="1204" t="str">
        <f>IF(ISBLANK(Import!G425),AH$67,Import!G425)</f>
        <v>yes - returning empty</v>
      </c>
      <c r="K75" s="1319"/>
      <c r="L75" s="1544"/>
      <c r="M75" s="1545"/>
      <c r="N75" s="2"/>
      <c r="O75" s="2"/>
      <c r="P75" s="2"/>
      <c r="Q75" s="2"/>
      <c r="R75" s="2"/>
      <c r="S75" s="2"/>
      <c r="T75" s="2"/>
      <c r="U75" s="2"/>
      <c r="V75" s="2"/>
      <c r="AA75" s="174">
        <f t="shared" ca="1" si="10"/>
        <v>0</v>
      </c>
      <c r="AB75" s="174">
        <f t="shared" si="11"/>
        <v>0</v>
      </c>
      <c r="AC75" s="174">
        <f ca="1">SUMIF('2.CropManagement'!X$157:X$160,'7.Transport'!F75,'2.CropManagement'!Y$157:Y$160)*E75</f>
        <v>0</v>
      </c>
      <c r="AD75" s="174">
        <f t="shared" ca="1" si="12"/>
        <v>0</v>
      </c>
    </row>
    <row r="76" spans="1:39" ht="13.25" thickBot="1" x14ac:dyDescent="0.3">
      <c r="A76" s="2"/>
      <c r="B76" s="1546" t="s">
        <v>1456</v>
      </c>
      <c r="C76" s="946"/>
      <c r="D76" s="493">
        <v>28</v>
      </c>
      <c r="E76" s="1204">
        <f>IF(ISBLANK(Import!B426), "", Import!B426)</f>
        <v>0</v>
      </c>
      <c r="F76" s="1204" t="str">
        <f ca="1">IF(ISBLANK(Import!C426),OFFSET('2.CropManagement'!AV$48,SUMIF('2.CropManagement'!AQ$49:AQ$50,'1.GeneralInfo'!$E$8,'2.CropManagement'!AR$49:AR$50),0),(Import!C426))</f>
        <v>[Select]</v>
      </c>
      <c r="G76" s="1204">
        <f>IF(ISBLANK(Import!D426), "", Import!D426)</f>
        <v>0</v>
      </c>
      <c r="H76" s="1204" t="str">
        <f ca="1">IF(ISBLANK(Import!E426),OFFSET('2.CropManagement'!AZ$48,SUMIF('2.CropManagement'!AQ$49:AQ$50,'1.GeneralInfo'!$E$8,'2.CropManagement'!AR$49:AR$50),0),Import!E426)</f>
        <v>[Select]</v>
      </c>
      <c r="I76" s="1204">
        <f>IF(ISBLANK(Import!F426), "", Import!F426)</f>
        <v>0</v>
      </c>
      <c r="J76" s="1204" t="str">
        <f>IF(ISBLANK(Import!G426),AH$67,Import!G426)</f>
        <v>yes - returning empty</v>
      </c>
      <c r="K76" s="1298"/>
      <c r="L76" s="1547"/>
      <c r="M76" s="1548"/>
      <c r="N76" s="2"/>
      <c r="O76" s="2"/>
      <c r="P76" s="2"/>
      <c r="Q76" s="2"/>
      <c r="R76" s="2"/>
      <c r="S76" s="2"/>
      <c r="T76" s="2"/>
      <c r="U76" s="2"/>
      <c r="V76" s="2"/>
      <c r="AA76" s="174">
        <f t="shared" ca="1" si="10"/>
        <v>0</v>
      </c>
      <c r="AB76" s="174">
        <f t="shared" si="11"/>
        <v>0</v>
      </c>
      <c r="AC76" s="174">
        <f ca="1">SUMIF('2.CropManagement'!X$157:X$160,'7.Transport'!F76,'2.CropManagement'!Y$157:Y$160)*E76</f>
        <v>0</v>
      </c>
      <c r="AD76" s="174">
        <f t="shared" ca="1" si="12"/>
        <v>0</v>
      </c>
    </row>
    <row r="77" spans="1:39" ht="13.25" thickBot="1" x14ac:dyDescent="0.3">
      <c r="A77" s="2"/>
      <c r="B77" s="2"/>
      <c r="C77" s="2"/>
      <c r="D77" s="2"/>
      <c r="E77" s="2"/>
      <c r="F77" s="2"/>
      <c r="G77" s="2"/>
      <c r="H77" s="2"/>
      <c r="I77" s="2"/>
      <c r="J77" s="2"/>
      <c r="K77" s="2"/>
      <c r="L77" s="2"/>
      <c r="M77" s="2"/>
      <c r="N77" s="2"/>
      <c r="O77" s="2"/>
      <c r="P77" s="2"/>
      <c r="Q77" s="2"/>
      <c r="R77" s="2"/>
      <c r="S77" s="2"/>
      <c r="T77" s="2"/>
      <c r="U77" s="2"/>
      <c r="V77" s="2"/>
      <c r="Z77" t="s">
        <v>104</v>
      </c>
      <c r="AA77" s="174">
        <f ca="1">SUM(AA57:AA76)</f>
        <v>0</v>
      </c>
    </row>
    <row r="78" spans="1:39" x14ac:dyDescent="0.25">
      <c r="A78" s="2"/>
      <c r="B78" s="1551"/>
      <c r="C78" s="1552"/>
      <c r="D78" s="1549"/>
      <c r="E78" s="118" t="s">
        <v>2061</v>
      </c>
      <c r="F78" s="118" t="s">
        <v>2062</v>
      </c>
      <c r="G78" s="118" t="s">
        <v>1458</v>
      </c>
      <c r="H78" s="118" t="s">
        <v>2062</v>
      </c>
      <c r="I78" s="1549"/>
      <c r="J78" s="1549"/>
      <c r="K78" s="1549"/>
      <c r="L78" s="1549"/>
      <c r="M78" s="1550"/>
      <c r="N78" s="2"/>
      <c r="O78" s="2"/>
      <c r="P78" s="2"/>
      <c r="Q78" s="2"/>
      <c r="R78" s="2"/>
      <c r="S78" s="2"/>
      <c r="T78" s="2"/>
      <c r="U78" s="2"/>
      <c r="V78" s="2"/>
    </row>
    <row r="79" spans="1:39" x14ac:dyDescent="0.25">
      <c r="A79" s="2"/>
      <c r="B79" s="942" t="s">
        <v>1457</v>
      </c>
      <c r="C79" s="943"/>
      <c r="D79" s="186">
        <v>9</v>
      </c>
      <c r="E79" s="1204">
        <f>IF(ISBLANK(Import!B429),"",Import!B429)</f>
        <v>0</v>
      </c>
      <c r="F79" s="1204" t="str">
        <f ca="1">IF(ISBLANK(Import!C429),OFFSET('2.CropManagement'!AV$48,SUMIF('2.CropManagement'!AQ$49:AQ$50,'1.GeneralInfo'!$E$8,'2.CropManagement'!AR$49:AR$50),0),Import!C429)</f>
        <v>[Select]</v>
      </c>
      <c r="G79" s="1204">
        <f>IF(ISBLANK(Import!D429),"",Import!D429)</f>
        <v>0</v>
      </c>
      <c r="H79" s="1204" t="str">
        <f ca="1">IF(ISBLANK(Import!E429),OFFSET('2.CropManagement'!AZ$48,SUMIF('2.CropManagement'!AQ$49:AQ$50,'1.GeneralInfo'!$E$8,'2.CropManagement'!AR$49:AR$50),0),Import!E429)</f>
        <v>[Select]</v>
      </c>
      <c r="I79" s="1544"/>
      <c r="J79" s="1544"/>
      <c r="K79" s="1544"/>
      <c r="L79" s="1544"/>
      <c r="M79" s="1545"/>
      <c r="N79" s="2"/>
      <c r="O79" s="2"/>
      <c r="P79" s="2"/>
      <c r="Q79" s="2"/>
      <c r="R79" s="2"/>
      <c r="S79" s="2"/>
      <c r="T79" s="2"/>
      <c r="U79" s="2"/>
      <c r="V79" s="2"/>
      <c r="AA79" s="174">
        <f ca="1">AB79*AC79*AD79</f>
        <v>0</v>
      </c>
      <c r="AB79" s="174">
        <f>AH$46</f>
        <v>2.1000000000000001E-2</v>
      </c>
      <c r="AC79" s="174">
        <f ca="1">SUMIF('2.CropManagement'!X$157:X$160,'7.Transport'!F79,'2.CropManagement'!Y$157:Y$160)*E79</f>
        <v>0</v>
      </c>
      <c r="AD79" s="174">
        <f ca="1">G79*SUMIF(AF$24:AF$25,H79,AH$24:AH$25)</f>
        <v>0</v>
      </c>
    </row>
    <row r="80" spans="1:39" x14ac:dyDescent="0.25">
      <c r="A80" s="2"/>
      <c r="B80" s="942" t="s">
        <v>1457</v>
      </c>
      <c r="C80" s="943"/>
      <c r="D80" s="186">
        <v>10</v>
      </c>
      <c r="E80" s="1204">
        <f>IF(ISBLANK(Import!B430),"",Import!B430)</f>
        <v>0</v>
      </c>
      <c r="F80" s="1204" t="str">
        <f ca="1">IF(ISBLANK(Import!C430),OFFSET('2.CropManagement'!AV$48,SUMIF('2.CropManagement'!AQ$49:AQ$50,'1.GeneralInfo'!$E$8,'2.CropManagement'!AR$49:AR$50),0),Import!C430)</f>
        <v>[Select]</v>
      </c>
      <c r="G80" s="1204">
        <f>IF(ISBLANK(Import!D430),"",Import!D430)</f>
        <v>0</v>
      </c>
      <c r="H80" s="1204" t="str">
        <f ca="1">IF(ISBLANK(Import!E430),OFFSET('2.CropManagement'!AZ$48,SUMIF('2.CropManagement'!AQ$49:AQ$50,'1.GeneralInfo'!$E$8,'2.CropManagement'!AR$49:AR$50),0),Import!E430)</f>
        <v>[Select]</v>
      </c>
      <c r="I80" s="1544"/>
      <c r="J80" s="1544"/>
      <c r="K80" s="1544"/>
      <c r="L80" s="1544"/>
      <c r="M80" s="1545"/>
      <c r="N80" s="2"/>
      <c r="O80" s="2"/>
      <c r="P80" s="2"/>
      <c r="Q80" s="2"/>
      <c r="R80" s="2"/>
      <c r="S80" s="2"/>
      <c r="T80" s="2"/>
      <c r="U80" s="2"/>
      <c r="V80" s="2"/>
      <c r="AA80" s="174">
        <f t="shared" ref="AA80:AA98" ca="1" si="13">AB80*AC80*AD80</f>
        <v>0</v>
      </c>
      <c r="AB80" s="174">
        <f t="shared" ref="AB80:AB98" si="14">AH$46</f>
        <v>2.1000000000000001E-2</v>
      </c>
      <c r="AC80" s="174">
        <f ca="1">SUMIF('2.CropManagement'!X$157:X$160,'7.Transport'!F80,'2.CropManagement'!Y$157:Y$160)*E80</f>
        <v>0</v>
      </c>
      <c r="AD80" s="174">
        <f t="shared" ref="AD80:AD98" ca="1" si="15">G80*SUMIF(AF$24:AF$25,H80,AH$24:AH$25)</f>
        <v>0</v>
      </c>
    </row>
    <row r="81" spans="1:30" x14ac:dyDescent="0.25">
      <c r="A81" s="2"/>
      <c r="B81" s="942" t="s">
        <v>1457</v>
      </c>
      <c r="C81" s="943"/>
      <c r="D81" s="186">
        <v>11</v>
      </c>
      <c r="E81" s="1204">
        <f>IF(ISBLANK(Import!B431),"",Import!B431)</f>
        <v>0</v>
      </c>
      <c r="F81" s="1204" t="str">
        <f ca="1">IF(ISBLANK(Import!C431),OFFSET('2.CropManagement'!AV$48,SUMIF('2.CropManagement'!AQ$49:AQ$50,'1.GeneralInfo'!$E$8,'2.CropManagement'!AR$49:AR$50),0),Import!C431)</f>
        <v>[Select]</v>
      </c>
      <c r="G81" s="1204">
        <f>IF(ISBLANK(Import!D431),"",Import!D431)</f>
        <v>0</v>
      </c>
      <c r="H81" s="1204" t="str">
        <f ca="1">IF(ISBLANK(Import!E431),OFFSET('2.CropManagement'!AZ$48,SUMIF('2.CropManagement'!AQ$49:AQ$50,'1.GeneralInfo'!$E$8,'2.CropManagement'!AR$49:AR$50),0),Import!E431)</f>
        <v>[Select]</v>
      </c>
      <c r="I81" s="1544"/>
      <c r="J81" s="1544"/>
      <c r="K81" s="1544"/>
      <c r="L81" s="1544"/>
      <c r="M81" s="1545"/>
      <c r="N81" s="2"/>
      <c r="O81" s="2"/>
      <c r="P81" s="2"/>
      <c r="Q81" s="2"/>
      <c r="R81" s="2"/>
      <c r="S81" s="2"/>
      <c r="T81" s="2"/>
      <c r="U81" s="2"/>
      <c r="V81" s="2"/>
      <c r="AA81" s="174">
        <f t="shared" ca="1" si="13"/>
        <v>0</v>
      </c>
      <c r="AB81" s="174">
        <f t="shared" si="14"/>
        <v>2.1000000000000001E-2</v>
      </c>
      <c r="AC81" s="174">
        <f ca="1">SUMIF('2.CropManagement'!X$157:X$160,'7.Transport'!F81,'2.CropManagement'!Y$157:Y$160)*E81</f>
        <v>0</v>
      </c>
      <c r="AD81" s="174">
        <f t="shared" ca="1" si="15"/>
        <v>0</v>
      </c>
    </row>
    <row r="82" spans="1:30" x14ac:dyDescent="0.25">
      <c r="A82" s="2"/>
      <c r="B82" s="942" t="s">
        <v>1457</v>
      </c>
      <c r="C82" s="943"/>
      <c r="D82" s="186">
        <v>12</v>
      </c>
      <c r="E82" s="1204">
        <f>IF(ISBLANK(Import!B432),"",Import!B432)</f>
        <v>0</v>
      </c>
      <c r="F82" s="1204" t="str">
        <f ca="1">IF(ISBLANK(Import!C432),OFFSET('2.CropManagement'!AV$48,SUMIF('2.CropManagement'!AQ$49:AQ$50,'1.GeneralInfo'!$E$8,'2.CropManagement'!AR$49:AR$50),0),Import!C432)</f>
        <v>[Select]</v>
      </c>
      <c r="G82" s="1204">
        <f>IF(ISBLANK(Import!D432),"",Import!D432)</f>
        <v>0</v>
      </c>
      <c r="H82" s="1204" t="str">
        <f ca="1">IF(ISBLANK(Import!E432),OFFSET('2.CropManagement'!AZ$48,SUMIF('2.CropManagement'!AQ$49:AQ$50,'1.GeneralInfo'!$E$8,'2.CropManagement'!AR$49:AR$50),0),Import!E432)</f>
        <v>[Select]</v>
      </c>
      <c r="I82" s="1544"/>
      <c r="J82" s="1544"/>
      <c r="K82" s="1544"/>
      <c r="L82" s="1544"/>
      <c r="M82" s="1545"/>
      <c r="N82" s="2"/>
      <c r="O82" s="2"/>
      <c r="P82" s="2"/>
      <c r="Q82" s="2"/>
      <c r="R82" s="2"/>
      <c r="S82" s="2"/>
      <c r="T82" s="2"/>
      <c r="U82" s="2"/>
      <c r="V82" s="2"/>
      <c r="AA82" s="174">
        <f t="shared" ca="1" si="13"/>
        <v>0</v>
      </c>
      <c r="AB82" s="174">
        <f t="shared" si="14"/>
        <v>2.1000000000000001E-2</v>
      </c>
      <c r="AC82" s="174">
        <f ca="1">SUMIF('2.CropManagement'!X$157:X$160,'7.Transport'!F82,'2.CropManagement'!Y$157:Y$160)*E82</f>
        <v>0</v>
      </c>
      <c r="AD82" s="174">
        <f t="shared" ca="1" si="15"/>
        <v>0</v>
      </c>
    </row>
    <row r="83" spans="1:30" x14ac:dyDescent="0.25">
      <c r="A83" s="2"/>
      <c r="B83" s="942" t="s">
        <v>1457</v>
      </c>
      <c r="C83" s="943"/>
      <c r="D83" s="186">
        <v>13</v>
      </c>
      <c r="E83" s="1204">
        <f>IF(ISBLANK(Import!B433),"",Import!B433)</f>
        <v>0</v>
      </c>
      <c r="F83" s="1204" t="str">
        <f ca="1">IF(ISBLANK(Import!C433),OFFSET('2.CropManagement'!AV$48,SUMIF('2.CropManagement'!AQ$49:AQ$50,'1.GeneralInfo'!$E$8,'2.CropManagement'!AR$49:AR$50),0),Import!C433)</f>
        <v>[Select]</v>
      </c>
      <c r="G83" s="1204">
        <f>IF(ISBLANK(Import!D433),"",Import!D433)</f>
        <v>0</v>
      </c>
      <c r="H83" s="1204" t="str">
        <f ca="1">IF(ISBLANK(Import!E433),OFFSET('2.CropManagement'!AZ$48,SUMIF('2.CropManagement'!AQ$49:AQ$50,'1.GeneralInfo'!$E$8,'2.CropManagement'!AR$49:AR$50),0),Import!E433)</f>
        <v>[Select]</v>
      </c>
      <c r="I83" s="1544"/>
      <c r="J83" s="1544"/>
      <c r="K83" s="1544"/>
      <c r="L83" s="1544"/>
      <c r="M83" s="1545"/>
      <c r="N83" s="2"/>
      <c r="O83" s="2"/>
      <c r="P83" s="2"/>
      <c r="Q83" s="2"/>
      <c r="R83" s="2"/>
      <c r="S83" s="2"/>
      <c r="T83" s="2"/>
      <c r="U83" s="2"/>
      <c r="V83" s="2"/>
      <c r="AA83" s="174">
        <f t="shared" ca="1" si="13"/>
        <v>0</v>
      </c>
      <c r="AB83" s="174">
        <f t="shared" si="14"/>
        <v>2.1000000000000001E-2</v>
      </c>
      <c r="AC83" s="174">
        <f ca="1">SUMIF('2.CropManagement'!X$157:X$160,'7.Transport'!F83,'2.CropManagement'!Y$157:Y$160)*E83</f>
        <v>0</v>
      </c>
      <c r="AD83" s="174">
        <f t="shared" ca="1" si="15"/>
        <v>0</v>
      </c>
    </row>
    <row r="84" spans="1:30" x14ac:dyDescent="0.25">
      <c r="A84" s="2"/>
      <c r="B84" s="942" t="s">
        <v>1457</v>
      </c>
      <c r="C84" s="943"/>
      <c r="D84" s="186">
        <v>14</v>
      </c>
      <c r="E84" s="1204">
        <f>IF(ISBLANK(Import!B434),"",Import!B434)</f>
        <v>0</v>
      </c>
      <c r="F84" s="1204" t="str">
        <f ca="1">IF(ISBLANK(Import!C434),OFFSET('2.CropManagement'!AV$48,SUMIF('2.CropManagement'!AQ$49:AQ$50,'1.GeneralInfo'!$E$8,'2.CropManagement'!AR$49:AR$50),0),Import!C434)</f>
        <v>[Select]</v>
      </c>
      <c r="G84" s="1204">
        <f>IF(ISBLANK(Import!D434),"",Import!D434)</f>
        <v>0</v>
      </c>
      <c r="H84" s="1204" t="str">
        <f ca="1">IF(ISBLANK(Import!E434),OFFSET('2.CropManagement'!AZ$48,SUMIF('2.CropManagement'!AQ$49:AQ$50,'1.GeneralInfo'!$E$8,'2.CropManagement'!AR$49:AR$50),0),Import!E434)</f>
        <v>[Select]</v>
      </c>
      <c r="I84" s="1544"/>
      <c r="J84" s="1544"/>
      <c r="K84" s="1544"/>
      <c r="L84" s="1544"/>
      <c r="M84" s="1545"/>
      <c r="N84" s="2"/>
      <c r="O84" s="2"/>
      <c r="P84" s="2"/>
      <c r="Q84" s="2"/>
      <c r="R84" s="2"/>
      <c r="S84" s="2"/>
      <c r="T84" s="2"/>
      <c r="U84" s="2"/>
      <c r="V84" s="2"/>
      <c r="AA84" s="174">
        <f t="shared" ca="1" si="13"/>
        <v>0</v>
      </c>
      <c r="AB84" s="174">
        <f t="shared" si="14"/>
        <v>2.1000000000000001E-2</v>
      </c>
      <c r="AC84" s="174">
        <f ca="1">SUMIF('2.CropManagement'!X$157:X$160,'7.Transport'!F84,'2.CropManagement'!Y$157:Y$160)*E84</f>
        <v>0</v>
      </c>
      <c r="AD84" s="174">
        <f t="shared" ca="1" si="15"/>
        <v>0</v>
      </c>
    </row>
    <row r="85" spans="1:30" x14ac:dyDescent="0.25">
      <c r="A85" s="2"/>
      <c r="B85" s="942" t="s">
        <v>1457</v>
      </c>
      <c r="C85" s="943"/>
      <c r="D85" s="186">
        <v>15</v>
      </c>
      <c r="E85" s="1204">
        <f>IF(ISBLANK(Import!B435),"",Import!B435)</f>
        <v>0</v>
      </c>
      <c r="F85" s="1204" t="str">
        <f ca="1">IF(ISBLANK(Import!C435),OFFSET('2.CropManagement'!AV$48,SUMIF('2.CropManagement'!AQ$49:AQ$50,'1.GeneralInfo'!$E$8,'2.CropManagement'!AR$49:AR$50),0),Import!C435)</f>
        <v>[Select]</v>
      </c>
      <c r="G85" s="1204">
        <f>IF(ISBLANK(Import!D435),"",Import!D435)</f>
        <v>0</v>
      </c>
      <c r="H85" s="1204" t="str">
        <f ca="1">IF(ISBLANK(Import!E435),OFFSET('2.CropManagement'!AZ$48,SUMIF('2.CropManagement'!AQ$49:AQ$50,'1.GeneralInfo'!$E$8,'2.CropManagement'!AR$49:AR$50),0),Import!E435)</f>
        <v>[Select]</v>
      </c>
      <c r="I85" s="1544"/>
      <c r="J85" s="1544"/>
      <c r="K85" s="1544"/>
      <c r="L85" s="1544"/>
      <c r="M85" s="1545"/>
      <c r="N85" s="2"/>
      <c r="O85" s="2"/>
      <c r="P85" s="2"/>
      <c r="Q85" s="2"/>
      <c r="R85" s="2"/>
      <c r="S85" s="2"/>
      <c r="T85" s="2"/>
      <c r="U85" s="2"/>
      <c r="V85" s="2"/>
      <c r="AA85" s="174">
        <f t="shared" ca="1" si="13"/>
        <v>0</v>
      </c>
      <c r="AB85" s="174">
        <f t="shared" si="14"/>
        <v>2.1000000000000001E-2</v>
      </c>
      <c r="AC85" s="174">
        <f ca="1">SUMIF('2.CropManagement'!X$157:X$160,'7.Transport'!F85,'2.CropManagement'!Y$157:Y$160)*E85</f>
        <v>0</v>
      </c>
      <c r="AD85" s="174">
        <f t="shared" ca="1" si="15"/>
        <v>0</v>
      </c>
    </row>
    <row r="86" spans="1:30" x14ac:dyDescent="0.25">
      <c r="A86" s="2"/>
      <c r="B86" s="942" t="s">
        <v>1457</v>
      </c>
      <c r="C86" s="943"/>
      <c r="D86" s="186">
        <v>16</v>
      </c>
      <c r="E86" s="1204">
        <f>IF(ISBLANK(Import!B436),"",Import!B436)</f>
        <v>0</v>
      </c>
      <c r="F86" s="1204" t="str">
        <f ca="1">IF(ISBLANK(Import!C436),OFFSET('2.CropManagement'!AV$48,SUMIF('2.CropManagement'!AQ$49:AQ$50,'1.GeneralInfo'!$E$8,'2.CropManagement'!AR$49:AR$50),0),Import!C436)</f>
        <v>[Select]</v>
      </c>
      <c r="G86" s="1204">
        <f>IF(ISBLANK(Import!D436),"",Import!D436)</f>
        <v>0</v>
      </c>
      <c r="H86" s="1204" t="str">
        <f ca="1">IF(ISBLANK(Import!E436),OFFSET('2.CropManagement'!AZ$48,SUMIF('2.CropManagement'!AQ$49:AQ$50,'1.GeneralInfo'!$E$8,'2.CropManagement'!AR$49:AR$50),0),Import!E436)</f>
        <v>[Select]</v>
      </c>
      <c r="I86" s="1544"/>
      <c r="J86" s="1544"/>
      <c r="K86" s="1544"/>
      <c r="L86" s="1544"/>
      <c r="M86" s="1545"/>
      <c r="N86" s="2"/>
      <c r="O86" s="2"/>
      <c r="P86" s="2"/>
      <c r="Q86" s="2"/>
      <c r="R86" s="2"/>
      <c r="S86" s="2"/>
      <c r="T86" s="2"/>
      <c r="U86" s="2"/>
      <c r="V86" s="2"/>
      <c r="AA86" s="174">
        <f t="shared" ca="1" si="13"/>
        <v>0</v>
      </c>
      <c r="AB86" s="174">
        <f t="shared" si="14"/>
        <v>2.1000000000000001E-2</v>
      </c>
      <c r="AC86" s="174">
        <f ca="1">SUMIF('2.CropManagement'!X$157:X$160,'7.Transport'!F86,'2.CropManagement'!Y$157:Y$160)*E86</f>
        <v>0</v>
      </c>
      <c r="AD86" s="174">
        <f t="shared" ca="1" si="15"/>
        <v>0</v>
      </c>
    </row>
    <row r="87" spans="1:30" x14ac:dyDescent="0.25">
      <c r="A87" s="2"/>
      <c r="B87" s="942" t="s">
        <v>1457</v>
      </c>
      <c r="C87" s="943"/>
      <c r="D87" s="186">
        <v>17</v>
      </c>
      <c r="E87" s="1204">
        <f>IF(ISBLANK(Import!B437),"",Import!B437)</f>
        <v>0</v>
      </c>
      <c r="F87" s="1204" t="str">
        <f ca="1">IF(ISBLANK(Import!C437),OFFSET('2.CropManagement'!AV$48,SUMIF('2.CropManagement'!AQ$49:AQ$50,'1.GeneralInfo'!$E$8,'2.CropManagement'!AR$49:AR$50),0),Import!C437)</f>
        <v>[Select]</v>
      </c>
      <c r="G87" s="1204">
        <f>IF(ISBLANK(Import!D437),"",Import!D437)</f>
        <v>0</v>
      </c>
      <c r="H87" s="1204" t="str">
        <f ca="1">IF(ISBLANK(Import!E437),OFFSET('2.CropManagement'!AZ$48,SUMIF('2.CropManagement'!AQ$49:AQ$50,'1.GeneralInfo'!$E$8,'2.CropManagement'!AR$49:AR$50),0),Import!E437)</f>
        <v>[Select]</v>
      </c>
      <c r="I87" s="1544"/>
      <c r="J87" s="1544"/>
      <c r="K87" s="1544"/>
      <c r="L87" s="1544"/>
      <c r="M87" s="1545"/>
      <c r="N87" s="2"/>
      <c r="O87" s="2"/>
      <c r="P87" s="2"/>
      <c r="Q87" s="2"/>
      <c r="R87" s="2"/>
      <c r="S87" s="2"/>
      <c r="T87" s="2"/>
      <c r="U87" s="2"/>
      <c r="V87" s="2"/>
      <c r="AA87" s="174">
        <f t="shared" ca="1" si="13"/>
        <v>0</v>
      </c>
      <c r="AB87" s="174">
        <f t="shared" si="14"/>
        <v>2.1000000000000001E-2</v>
      </c>
      <c r="AC87" s="174">
        <f ca="1">SUMIF('2.CropManagement'!X$157:X$160,'7.Transport'!F87,'2.CropManagement'!Y$157:Y$160)*E87</f>
        <v>0</v>
      </c>
      <c r="AD87" s="174">
        <f t="shared" ca="1" si="15"/>
        <v>0</v>
      </c>
    </row>
    <row r="88" spans="1:30" x14ac:dyDescent="0.25">
      <c r="A88" s="2"/>
      <c r="B88" s="942" t="s">
        <v>1457</v>
      </c>
      <c r="C88" s="943"/>
      <c r="D88" s="186">
        <v>18</v>
      </c>
      <c r="E88" s="1204">
        <f>IF(ISBLANK(Import!B438),"",Import!B438)</f>
        <v>0</v>
      </c>
      <c r="F88" s="1204" t="str">
        <f ca="1">IF(ISBLANK(Import!C438),OFFSET('2.CropManagement'!AV$48,SUMIF('2.CropManagement'!AQ$49:AQ$50,'1.GeneralInfo'!$E$8,'2.CropManagement'!AR$49:AR$50),0),Import!C438)</f>
        <v>[Select]</v>
      </c>
      <c r="G88" s="1204">
        <f>IF(ISBLANK(Import!D438),"",Import!D438)</f>
        <v>0</v>
      </c>
      <c r="H88" s="1204" t="str">
        <f ca="1">IF(ISBLANK(Import!E438),OFFSET('2.CropManagement'!AZ$48,SUMIF('2.CropManagement'!AQ$49:AQ$50,'1.GeneralInfo'!$E$8,'2.CropManagement'!AR$49:AR$50),0),Import!E438)</f>
        <v>[Select]</v>
      </c>
      <c r="I88" s="1544"/>
      <c r="J88" s="1544"/>
      <c r="K88" s="1544"/>
      <c r="L88" s="1544"/>
      <c r="M88" s="1545"/>
      <c r="N88" s="2"/>
      <c r="O88" s="2"/>
      <c r="P88" s="2"/>
      <c r="Q88" s="2"/>
      <c r="R88" s="2"/>
      <c r="S88" s="2"/>
      <c r="T88" s="2"/>
      <c r="U88" s="2"/>
      <c r="V88" s="2"/>
      <c r="AA88" s="174">
        <f t="shared" ca="1" si="13"/>
        <v>0</v>
      </c>
      <c r="AB88" s="174">
        <f t="shared" si="14"/>
        <v>2.1000000000000001E-2</v>
      </c>
      <c r="AC88" s="174">
        <f ca="1">SUMIF('2.CropManagement'!X$157:X$160,'7.Transport'!F88,'2.CropManagement'!Y$157:Y$160)*E88</f>
        <v>0</v>
      </c>
      <c r="AD88" s="174">
        <f t="shared" ca="1" si="15"/>
        <v>0</v>
      </c>
    </row>
    <row r="89" spans="1:30" x14ac:dyDescent="0.25">
      <c r="A89" s="2"/>
      <c r="B89" s="942" t="s">
        <v>1457</v>
      </c>
      <c r="C89" s="943"/>
      <c r="D89" s="186">
        <v>19</v>
      </c>
      <c r="E89" s="1204">
        <f>IF(ISBLANK(Import!B439),"",Import!B439)</f>
        <v>0</v>
      </c>
      <c r="F89" s="1204" t="str">
        <f ca="1">IF(ISBLANK(Import!C439),OFFSET('2.CropManagement'!AV$48,SUMIF('2.CropManagement'!AQ$49:AQ$50,'1.GeneralInfo'!$E$8,'2.CropManagement'!AR$49:AR$50),0),Import!C439)</f>
        <v>[Select]</v>
      </c>
      <c r="G89" s="1204">
        <f>IF(ISBLANK(Import!D439),"",Import!D439)</f>
        <v>0</v>
      </c>
      <c r="H89" s="1204" t="str">
        <f ca="1">IF(ISBLANK(Import!E439),OFFSET('2.CropManagement'!AZ$48,SUMIF('2.CropManagement'!AQ$49:AQ$50,'1.GeneralInfo'!$E$8,'2.CropManagement'!AR$49:AR$50),0),Import!E439)</f>
        <v>[Select]</v>
      </c>
      <c r="I89" s="1544"/>
      <c r="J89" s="1544"/>
      <c r="K89" s="1544"/>
      <c r="L89" s="1544"/>
      <c r="M89" s="1545"/>
      <c r="N89" s="2"/>
      <c r="O89" s="2"/>
      <c r="P89" s="2"/>
      <c r="Q89" s="2"/>
      <c r="R89" s="2"/>
      <c r="S89" s="2"/>
      <c r="T89" s="2"/>
      <c r="U89" s="2"/>
      <c r="V89" s="2"/>
      <c r="AA89" s="174">
        <f t="shared" ca="1" si="13"/>
        <v>0</v>
      </c>
      <c r="AB89" s="174">
        <f t="shared" si="14"/>
        <v>2.1000000000000001E-2</v>
      </c>
      <c r="AC89" s="174">
        <f ca="1">SUMIF('2.CropManagement'!X$157:X$160,'7.Transport'!F89,'2.CropManagement'!Y$157:Y$160)*E89</f>
        <v>0</v>
      </c>
      <c r="AD89" s="174">
        <f t="shared" ca="1" si="15"/>
        <v>0</v>
      </c>
    </row>
    <row r="90" spans="1:30" x14ac:dyDescent="0.25">
      <c r="A90" s="2"/>
      <c r="B90" s="942" t="s">
        <v>1457</v>
      </c>
      <c r="C90" s="943"/>
      <c r="D90" s="186">
        <v>20</v>
      </c>
      <c r="E90" s="1204">
        <f>IF(ISBLANK(Import!B440),"",Import!B440)</f>
        <v>0</v>
      </c>
      <c r="F90" s="1204" t="str">
        <f ca="1">IF(ISBLANK(Import!C440),OFFSET('2.CropManagement'!AV$48,SUMIF('2.CropManagement'!AQ$49:AQ$50,'1.GeneralInfo'!$E$8,'2.CropManagement'!AR$49:AR$50),0),Import!C440)</f>
        <v>[Select]</v>
      </c>
      <c r="G90" s="1204">
        <f>IF(ISBLANK(Import!D440),"",Import!D440)</f>
        <v>0</v>
      </c>
      <c r="H90" s="1204" t="str">
        <f ca="1">IF(ISBLANK(Import!E440),OFFSET('2.CropManagement'!AZ$48,SUMIF('2.CropManagement'!AQ$49:AQ$50,'1.GeneralInfo'!$E$8,'2.CropManagement'!AR$49:AR$50),0),Import!E440)</f>
        <v>[Select]</v>
      </c>
      <c r="I90" s="1544"/>
      <c r="J90" s="1544"/>
      <c r="K90" s="1544"/>
      <c r="L90" s="1544"/>
      <c r="M90" s="1545"/>
      <c r="N90" s="2"/>
      <c r="O90" s="2"/>
      <c r="P90" s="2"/>
      <c r="Q90" s="2"/>
      <c r="R90" s="2"/>
      <c r="S90" s="2"/>
      <c r="T90" s="2"/>
      <c r="U90" s="2"/>
      <c r="V90" s="2"/>
      <c r="AA90" s="174">
        <f t="shared" ca="1" si="13"/>
        <v>0</v>
      </c>
      <c r="AB90" s="174">
        <f t="shared" si="14"/>
        <v>2.1000000000000001E-2</v>
      </c>
      <c r="AC90" s="174">
        <f ca="1">SUMIF('2.CropManagement'!X$157:X$160,'7.Transport'!F90,'2.CropManagement'!Y$157:Y$160)*E90</f>
        <v>0</v>
      </c>
      <c r="AD90" s="174">
        <f t="shared" ca="1" si="15"/>
        <v>0</v>
      </c>
    </row>
    <row r="91" spans="1:30" x14ac:dyDescent="0.25">
      <c r="A91" s="2"/>
      <c r="B91" s="942" t="s">
        <v>1457</v>
      </c>
      <c r="C91" s="943"/>
      <c r="D91" s="186">
        <v>21</v>
      </c>
      <c r="E91" s="1204">
        <f>IF(ISBLANK(Import!B441),"",Import!B441)</f>
        <v>0</v>
      </c>
      <c r="F91" s="1204" t="str">
        <f ca="1">IF(ISBLANK(Import!C441),OFFSET('2.CropManagement'!AV$48,SUMIF('2.CropManagement'!AQ$49:AQ$50,'1.GeneralInfo'!$E$8,'2.CropManagement'!AR$49:AR$50),0),Import!C441)</f>
        <v>[Select]</v>
      </c>
      <c r="G91" s="1204">
        <f>IF(ISBLANK(Import!D441),"",Import!D441)</f>
        <v>0</v>
      </c>
      <c r="H91" s="1204" t="str">
        <f ca="1">IF(ISBLANK(Import!E441),OFFSET('2.CropManagement'!AZ$48,SUMIF('2.CropManagement'!AQ$49:AQ$50,'1.GeneralInfo'!$E$8,'2.CropManagement'!AR$49:AR$50),0),Import!E441)</f>
        <v>[Select]</v>
      </c>
      <c r="I91" s="1544"/>
      <c r="J91" s="1544"/>
      <c r="K91" s="1544"/>
      <c r="L91" s="1544"/>
      <c r="M91" s="1545"/>
      <c r="N91" s="2"/>
      <c r="O91" s="2"/>
      <c r="P91" s="2"/>
      <c r="Q91" s="2"/>
      <c r="R91" s="2"/>
      <c r="S91" s="2"/>
      <c r="T91" s="2"/>
      <c r="U91" s="2"/>
      <c r="V91" s="2"/>
      <c r="AA91" s="174">
        <f t="shared" ca="1" si="13"/>
        <v>0</v>
      </c>
      <c r="AB91" s="174">
        <f t="shared" si="14"/>
        <v>2.1000000000000001E-2</v>
      </c>
      <c r="AC91" s="174">
        <f ca="1">SUMIF('2.CropManagement'!X$157:X$160,'7.Transport'!F91,'2.CropManagement'!Y$157:Y$160)*E91</f>
        <v>0</v>
      </c>
      <c r="AD91" s="174">
        <f t="shared" ca="1" si="15"/>
        <v>0</v>
      </c>
    </row>
    <row r="92" spans="1:30" x14ac:dyDescent="0.25">
      <c r="A92" s="2"/>
      <c r="B92" s="942" t="s">
        <v>1457</v>
      </c>
      <c r="C92" s="943"/>
      <c r="D92" s="186">
        <v>22</v>
      </c>
      <c r="E92" s="1204">
        <f>IF(ISBLANK(Import!B442),"",Import!B442)</f>
        <v>0</v>
      </c>
      <c r="F92" s="1204" t="str">
        <f ca="1">IF(ISBLANK(Import!C442),OFFSET('2.CropManagement'!AV$48,SUMIF('2.CropManagement'!AQ$49:AQ$50,'1.GeneralInfo'!$E$8,'2.CropManagement'!AR$49:AR$50),0),Import!C442)</f>
        <v>[Select]</v>
      </c>
      <c r="G92" s="1204">
        <f>IF(ISBLANK(Import!D442),"",Import!D442)</f>
        <v>0</v>
      </c>
      <c r="H92" s="1204" t="str">
        <f ca="1">IF(ISBLANK(Import!E442),OFFSET('2.CropManagement'!AZ$48,SUMIF('2.CropManagement'!AQ$49:AQ$50,'1.GeneralInfo'!$E$8,'2.CropManagement'!AR$49:AR$50),0),Import!E442)</f>
        <v>[Select]</v>
      </c>
      <c r="I92" s="1544"/>
      <c r="J92" s="1544"/>
      <c r="K92" s="1544"/>
      <c r="L92" s="1544"/>
      <c r="M92" s="1545"/>
      <c r="N92" s="2"/>
      <c r="O92" s="2"/>
      <c r="P92" s="2"/>
      <c r="Q92" s="2"/>
      <c r="R92" s="2"/>
      <c r="S92" s="2"/>
      <c r="T92" s="2"/>
      <c r="U92" s="2"/>
      <c r="V92" s="2"/>
      <c r="AA92" s="174">
        <f t="shared" ca="1" si="13"/>
        <v>0</v>
      </c>
      <c r="AB92" s="174">
        <f t="shared" si="14"/>
        <v>2.1000000000000001E-2</v>
      </c>
      <c r="AC92" s="174">
        <f ca="1">SUMIF('2.CropManagement'!X$157:X$160,'7.Transport'!F92,'2.CropManagement'!Y$157:Y$160)*E92</f>
        <v>0</v>
      </c>
      <c r="AD92" s="174">
        <f t="shared" ca="1" si="15"/>
        <v>0</v>
      </c>
    </row>
    <row r="93" spans="1:30" x14ac:dyDescent="0.25">
      <c r="A93" s="2"/>
      <c r="B93" s="942" t="s">
        <v>1457</v>
      </c>
      <c r="C93" s="943"/>
      <c r="D93" s="186">
        <v>23</v>
      </c>
      <c r="E93" s="1204">
        <f>IF(ISBLANK(Import!B443),"",Import!B443)</f>
        <v>0</v>
      </c>
      <c r="F93" s="1204" t="str">
        <f ca="1">IF(ISBLANK(Import!C443),OFFSET('2.CropManagement'!AV$48,SUMIF('2.CropManagement'!AQ$49:AQ$50,'1.GeneralInfo'!$E$8,'2.CropManagement'!AR$49:AR$50),0),Import!C443)</f>
        <v>[Select]</v>
      </c>
      <c r="G93" s="1204">
        <f>IF(ISBLANK(Import!D443),"",Import!D443)</f>
        <v>0</v>
      </c>
      <c r="H93" s="1204" t="str">
        <f ca="1">IF(ISBLANK(Import!E443),OFFSET('2.CropManagement'!AZ$48,SUMIF('2.CropManagement'!AQ$49:AQ$50,'1.GeneralInfo'!$E$8,'2.CropManagement'!AR$49:AR$50),0),Import!E443)</f>
        <v>[Select]</v>
      </c>
      <c r="I93" s="1544"/>
      <c r="J93" s="1544"/>
      <c r="K93" s="1544"/>
      <c r="L93" s="1544"/>
      <c r="M93" s="1545"/>
      <c r="N93" s="2"/>
      <c r="O93" s="2"/>
      <c r="P93" s="2"/>
      <c r="Q93" s="2"/>
      <c r="R93" s="2"/>
      <c r="S93" s="2"/>
      <c r="T93" s="2"/>
      <c r="U93" s="2"/>
      <c r="V93" s="2"/>
      <c r="AA93" s="174">
        <f t="shared" ca="1" si="13"/>
        <v>0</v>
      </c>
      <c r="AB93" s="174">
        <f t="shared" si="14"/>
        <v>2.1000000000000001E-2</v>
      </c>
      <c r="AC93" s="174">
        <f ca="1">SUMIF('2.CropManagement'!X$157:X$160,'7.Transport'!F93,'2.CropManagement'!Y$157:Y$160)*E93</f>
        <v>0</v>
      </c>
      <c r="AD93" s="174">
        <f t="shared" ca="1" si="15"/>
        <v>0</v>
      </c>
    </row>
    <row r="94" spans="1:30" x14ac:dyDescent="0.25">
      <c r="A94" s="2"/>
      <c r="B94" s="942" t="s">
        <v>1457</v>
      </c>
      <c r="C94" s="943"/>
      <c r="D94" s="186">
        <v>24</v>
      </c>
      <c r="E94" s="1204">
        <f>IF(ISBLANK(Import!B444),"",Import!B444)</f>
        <v>0</v>
      </c>
      <c r="F94" s="1204" t="str">
        <f ca="1">IF(ISBLANK(Import!C444),OFFSET('2.CropManagement'!AV$48,SUMIF('2.CropManagement'!AQ$49:AQ$50,'1.GeneralInfo'!$E$8,'2.CropManagement'!AR$49:AR$50),0),Import!C444)</f>
        <v>[Select]</v>
      </c>
      <c r="G94" s="1204">
        <f>IF(ISBLANK(Import!D444),"",Import!D444)</f>
        <v>0</v>
      </c>
      <c r="H94" s="1204" t="str">
        <f ca="1">IF(ISBLANK(Import!E444),OFFSET('2.CropManagement'!AZ$48,SUMIF('2.CropManagement'!AQ$49:AQ$50,'1.GeneralInfo'!$E$8,'2.CropManagement'!AR$49:AR$50),0),Import!E444)</f>
        <v>[Select]</v>
      </c>
      <c r="I94" s="1544"/>
      <c r="J94" s="1544"/>
      <c r="K94" s="1544"/>
      <c r="L94" s="1544"/>
      <c r="M94" s="1545"/>
      <c r="N94" s="2"/>
      <c r="O94" s="2"/>
      <c r="P94" s="2"/>
      <c r="Q94" s="2"/>
      <c r="R94" s="2"/>
      <c r="S94" s="2"/>
      <c r="T94" s="2"/>
      <c r="U94" s="2"/>
      <c r="V94" s="2"/>
      <c r="AA94" s="174">
        <f t="shared" ca="1" si="13"/>
        <v>0</v>
      </c>
      <c r="AB94" s="174">
        <f t="shared" si="14"/>
        <v>2.1000000000000001E-2</v>
      </c>
      <c r="AC94" s="174">
        <f ca="1">SUMIF('2.CropManagement'!X$157:X$160,'7.Transport'!F94,'2.CropManagement'!Y$157:Y$160)*E94</f>
        <v>0</v>
      </c>
      <c r="AD94" s="174">
        <f t="shared" ca="1" si="15"/>
        <v>0</v>
      </c>
    </row>
    <row r="95" spans="1:30" x14ac:dyDescent="0.25">
      <c r="A95" s="2"/>
      <c r="B95" s="942" t="s">
        <v>1457</v>
      </c>
      <c r="C95" s="943"/>
      <c r="D95" s="186">
        <v>25</v>
      </c>
      <c r="E95" s="1204">
        <f>IF(ISBLANK(Import!B445),"",Import!B445)</f>
        <v>0</v>
      </c>
      <c r="F95" s="1204" t="str">
        <f ca="1">IF(ISBLANK(Import!C445),OFFSET('2.CropManagement'!AV$48,SUMIF('2.CropManagement'!AQ$49:AQ$50,'1.GeneralInfo'!$E$8,'2.CropManagement'!AR$49:AR$50),0),Import!C445)</f>
        <v>[Select]</v>
      </c>
      <c r="G95" s="1204">
        <f>IF(ISBLANK(Import!D445),"",Import!D445)</f>
        <v>0</v>
      </c>
      <c r="H95" s="1204" t="str">
        <f ca="1">IF(ISBLANK(Import!E445),OFFSET('2.CropManagement'!AZ$48,SUMIF('2.CropManagement'!AQ$49:AQ$50,'1.GeneralInfo'!$E$8,'2.CropManagement'!AR$49:AR$50),0),Import!E445)</f>
        <v>[Select]</v>
      </c>
      <c r="I95" s="1544"/>
      <c r="J95" s="1544"/>
      <c r="K95" s="1544"/>
      <c r="L95" s="1544"/>
      <c r="M95" s="1545"/>
      <c r="N95" s="2"/>
      <c r="O95" s="2"/>
      <c r="P95" s="2"/>
      <c r="Q95" s="2"/>
      <c r="R95" s="2"/>
      <c r="S95" s="2"/>
      <c r="T95" s="2"/>
      <c r="U95" s="2"/>
      <c r="V95" s="2"/>
      <c r="AA95" s="174">
        <f t="shared" ca="1" si="13"/>
        <v>0</v>
      </c>
      <c r="AB95" s="174">
        <f t="shared" si="14"/>
        <v>2.1000000000000001E-2</v>
      </c>
      <c r="AC95" s="174">
        <f ca="1">SUMIF('2.CropManagement'!X$157:X$160,'7.Transport'!F95,'2.CropManagement'!Y$157:Y$160)*E95</f>
        <v>0</v>
      </c>
      <c r="AD95" s="174">
        <f t="shared" ca="1" si="15"/>
        <v>0</v>
      </c>
    </row>
    <row r="96" spans="1:30" x14ac:dyDescent="0.25">
      <c r="A96" s="2"/>
      <c r="B96" s="942" t="s">
        <v>1457</v>
      </c>
      <c r="C96" s="943"/>
      <c r="D96" s="186">
        <v>26</v>
      </c>
      <c r="E96" s="1204">
        <f>IF(ISBLANK(Import!B446),"",Import!B446)</f>
        <v>0</v>
      </c>
      <c r="F96" s="1204" t="str">
        <f ca="1">IF(ISBLANK(Import!C446),OFFSET('2.CropManagement'!AV$48,SUMIF('2.CropManagement'!AQ$49:AQ$50,'1.GeneralInfo'!$E$8,'2.CropManagement'!AR$49:AR$50),0),Import!C446)</f>
        <v>[Select]</v>
      </c>
      <c r="G96" s="1204">
        <f>IF(ISBLANK(Import!D446),"",Import!D446)</f>
        <v>0</v>
      </c>
      <c r="H96" s="1204" t="str">
        <f ca="1">IF(ISBLANK(Import!E446),OFFSET('2.CropManagement'!AZ$48,SUMIF('2.CropManagement'!AQ$49:AQ$50,'1.GeneralInfo'!$E$8,'2.CropManagement'!AR$49:AR$50),0),Import!E446)</f>
        <v>[Select]</v>
      </c>
      <c r="I96" s="1544"/>
      <c r="J96" s="1544"/>
      <c r="K96" s="1544"/>
      <c r="L96" s="1544"/>
      <c r="M96" s="1545"/>
      <c r="N96" s="2"/>
      <c r="O96" s="2"/>
      <c r="P96" s="2"/>
      <c r="Q96" s="2"/>
      <c r="R96" s="2"/>
      <c r="S96" s="2"/>
      <c r="T96" s="2"/>
      <c r="U96" s="2"/>
      <c r="V96" s="2"/>
      <c r="AA96" s="174">
        <f t="shared" ca="1" si="13"/>
        <v>0</v>
      </c>
      <c r="AB96" s="174">
        <f t="shared" si="14"/>
        <v>2.1000000000000001E-2</v>
      </c>
      <c r="AC96" s="174">
        <f ca="1">SUMIF('2.CropManagement'!X$157:X$160,'7.Transport'!F96,'2.CropManagement'!Y$157:Y$160)*E96</f>
        <v>0</v>
      </c>
      <c r="AD96" s="174">
        <f t="shared" ca="1" si="15"/>
        <v>0</v>
      </c>
    </row>
    <row r="97" spans="1:30" x14ac:dyDescent="0.25">
      <c r="A97" s="2"/>
      <c r="B97" s="942" t="s">
        <v>1457</v>
      </c>
      <c r="C97" s="943"/>
      <c r="D97" s="186">
        <v>27</v>
      </c>
      <c r="E97" s="1204">
        <f>IF(ISBLANK(Import!B447),"",Import!B447)</f>
        <v>0</v>
      </c>
      <c r="F97" s="1204" t="str">
        <f ca="1">IF(ISBLANK(Import!C447),OFFSET('2.CropManagement'!AV$48,SUMIF('2.CropManagement'!AQ$49:AQ$50,'1.GeneralInfo'!$E$8,'2.CropManagement'!AR$49:AR$50),0),Import!C447)</f>
        <v>[Select]</v>
      </c>
      <c r="G97" s="1204">
        <f>IF(ISBLANK(Import!D447),"",Import!D447)</f>
        <v>0</v>
      </c>
      <c r="H97" s="1204" t="str">
        <f ca="1">IF(ISBLANK(Import!E447),OFFSET('2.CropManagement'!AZ$48,SUMIF('2.CropManagement'!AQ$49:AQ$50,'1.GeneralInfo'!$E$8,'2.CropManagement'!AR$49:AR$50),0),Import!E447)</f>
        <v>[Select]</v>
      </c>
      <c r="I97" s="1544"/>
      <c r="J97" s="1544"/>
      <c r="K97" s="1544"/>
      <c r="L97" s="1544"/>
      <c r="M97" s="1545"/>
      <c r="N97" s="2"/>
      <c r="O97" s="2"/>
      <c r="P97" s="2"/>
      <c r="Q97" s="2"/>
      <c r="R97" s="2"/>
      <c r="S97" s="2"/>
      <c r="T97" s="2"/>
      <c r="U97" s="2"/>
      <c r="V97" s="2"/>
      <c r="AA97" s="174">
        <f t="shared" ca="1" si="13"/>
        <v>0</v>
      </c>
      <c r="AB97" s="174">
        <f t="shared" si="14"/>
        <v>2.1000000000000001E-2</v>
      </c>
      <c r="AC97" s="174">
        <f ca="1">SUMIF('2.CropManagement'!X$157:X$160,'7.Transport'!F97,'2.CropManagement'!Y$157:Y$160)*E97</f>
        <v>0</v>
      </c>
      <c r="AD97" s="174">
        <f t="shared" ca="1" si="15"/>
        <v>0</v>
      </c>
    </row>
    <row r="98" spans="1:30" ht="13.25" thickBot="1" x14ac:dyDescent="0.3">
      <c r="A98" s="2"/>
      <c r="B98" s="1546" t="s">
        <v>1457</v>
      </c>
      <c r="C98" s="946"/>
      <c r="D98" s="493">
        <v>28</v>
      </c>
      <c r="E98" s="1204">
        <f>IF(ISBLANK(Import!B448),"",Import!B448)</f>
        <v>0</v>
      </c>
      <c r="F98" s="1204" t="str">
        <f ca="1">IF(ISBLANK(Import!C448),OFFSET('2.CropManagement'!AV$48,SUMIF('2.CropManagement'!AQ$49:AQ$50,'1.GeneralInfo'!$E$8,'2.CropManagement'!AR$49:AR$50),0),Import!C448)</f>
        <v>[Select]</v>
      </c>
      <c r="G98" s="1204">
        <f>IF(ISBLANK(Import!D448),"",Import!D448)</f>
        <v>0</v>
      </c>
      <c r="H98" s="1204" t="str">
        <f ca="1">IF(ISBLANK(Import!E448),OFFSET('2.CropManagement'!AZ$48,SUMIF('2.CropManagement'!AQ$49:AQ$50,'1.GeneralInfo'!$E$8,'2.CropManagement'!AR$49:AR$50),0),Import!E448)</f>
        <v>[Select]</v>
      </c>
      <c r="I98" s="1547"/>
      <c r="J98" s="1547"/>
      <c r="K98" s="1547"/>
      <c r="L98" s="1547"/>
      <c r="M98" s="1548"/>
      <c r="N98" s="2"/>
      <c r="O98" s="2"/>
      <c r="P98" s="2"/>
      <c r="Q98" s="2"/>
      <c r="R98" s="2"/>
      <c r="S98" s="2"/>
      <c r="T98" s="2"/>
      <c r="U98" s="2"/>
      <c r="V98" s="2"/>
      <c r="AA98" s="174">
        <f t="shared" ca="1" si="13"/>
        <v>0</v>
      </c>
      <c r="AB98" s="174">
        <f t="shared" si="14"/>
        <v>2.1000000000000001E-2</v>
      </c>
      <c r="AC98" s="174">
        <f ca="1">SUMIF('2.CropManagement'!X$157:X$160,'7.Transport'!F98,'2.CropManagement'!Y$157:Y$160)*E98</f>
        <v>0</v>
      </c>
      <c r="AD98" s="174">
        <f t="shared" ca="1" si="15"/>
        <v>0</v>
      </c>
    </row>
    <row r="99" spans="1:30" ht="13.25" thickBot="1" x14ac:dyDescent="0.3">
      <c r="A99" s="2"/>
      <c r="B99" s="2"/>
      <c r="C99" s="2"/>
      <c r="D99" s="2"/>
      <c r="E99" s="2"/>
      <c r="F99" s="2"/>
      <c r="G99" s="2"/>
      <c r="H99" s="2"/>
      <c r="I99" s="2"/>
      <c r="J99" s="2"/>
      <c r="K99" s="2"/>
      <c r="L99" s="2"/>
      <c r="M99" s="2"/>
      <c r="N99" s="2"/>
      <c r="O99" s="2"/>
      <c r="P99" s="2"/>
      <c r="Q99" s="2"/>
      <c r="R99" s="2"/>
      <c r="S99" s="2"/>
      <c r="T99" s="2"/>
      <c r="U99" s="2"/>
      <c r="V99" s="2"/>
      <c r="Z99" t="s">
        <v>104</v>
      </c>
      <c r="AA99" s="174">
        <f ca="1">SUM(AA79:AA98)</f>
        <v>0</v>
      </c>
    </row>
    <row r="100" spans="1:30" x14ac:dyDescent="0.25">
      <c r="A100" s="2"/>
      <c r="B100" s="947"/>
      <c r="C100" s="948"/>
      <c r="D100" s="118"/>
      <c r="E100" s="118" t="s">
        <v>2061</v>
      </c>
      <c r="F100" s="118" t="s">
        <v>2062</v>
      </c>
      <c r="G100" s="118" t="s">
        <v>1458</v>
      </c>
      <c r="H100" s="118" t="s">
        <v>2062</v>
      </c>
      <c r="I100" s="118" t="s">
        <v>1273</v>
      </c>
      <c r="J100" s="1549"/>
      <c r="K100" s="1549"/>
      <c r="L100" s="1549"/>
      <c r="M100" s="1550"/>
      <c r="N100" s="2"/>
      <c r="O100" s="2"/>
      <c r="P100" s="2"/>
      <c r="Q100" s="2"/>
      <c r="R100" s="2"/>
      <c r="S100" s="2"/>
      <c r="T100" s="2"/>
      <c r="U100" s="2"/>
      <c r="V100" s="2"/>
    </row>
    <row r="101" spans="1:30" x14ac:dyDescent="0.25">
      <c r="A101" s="2"/>
      <c r="B101" s="942" t="s">
        <v>1460</v>
      </c>
      <c r="C101" s="943"/>
      <c r="D101" s="186">
        <v>9</v>
      </c>
      <c r="E101" s="1204">
        <f>IF(ISBLANK(Import!B451),"",Import!B451)</f>
        <v>0</v>
      </c>
      <c r="F101" s="1204" t="str">
        <f ca="1">IF(ISBLANK(Import!C451),OFFSET('2.CropManagement'!AV$48,SUMIF('2.CropManagement'!AQ$49:AQ$50,'1.GeneralInfo'!$E$8,'2.CropManagement'!AR$49:AR$50),0),Import!C451)</f>
        <v>[Select]</v>
      </c>
      <c r="G101" s="1204">
        <f>IF(ISBLANK(Import!D451),"",Import!D451)</f>
        <v>0</v>
      </c>
      <c r="H101" s="1204" t="str">
        <f ca="1">IF(ISBLANK(Import!E451),OFFSET('2.CropManagement'!AZ$48,SUMIF('2.CropManagement'!AQ$49:AQ$50,'1.GeneralInfo'!$E$8,'2.CropManagement'!AR$49:AR$50),0),Import!E451)</f>
        <v>[Select]</v>
      </c>
      <c r="I101" s="1204" t="str">
        <f ca="1">IF(ISBLANK(Import!F451),IF(AD101&lt;$AF$28,$AF$48,IF(AD101&lt;$AF$29,$AF$49,$AF$50)),Import!F451)</f>
        <v>Very Short Haul</v>
      </c>
      <c r="J101" s="1544"/>
      <c r="K101" s="1544"/>
      <c r="L101" s="100" t="s">
        <v>1112</v>
      </c>
      <c r="M101" s="1545"/>
      <c r="N101" s="2"/>
      <c r="O101" s="2"/>
      <c r="P101" s="2"/>
      <c r="Q101" s="2"/>
      <c r="R101" s="2"/>
      <c r="S101" s="2"/>
      <c r="T101" s="2"/>
      <c r="U101" s="2"/>
      <c r="V101" s="2"/>
      <c r="AA101" s="174">
        <f ca="1">AB101*AC101*AD101</f>
        <v>0</v>
      </c>
      <c r="AB101" s="174">
        <f ca="1">SUMIF(AF$48:AF$50,I101,AH$48:AH$50)</f>
        <v>1.9362299999999999</v>
      </c>
      <c r="AC101" s="174">
        <f ca="1">SUMIF('2.CropManagement'!X$157:X$160,'7.Transport'!F101,'2.CropManagement'!Y$157:Y$160)*E101</f>
        <v>0</v>
      </c>
      <c r="AD101" s="174">
        <f ca="1">G101*SUMIF(AF$24:AF$25,H101,AH$24:AH$25)</f>
        <v>0</v>
      </c>
    </row>
    <row r="102" spans="1:30" x14ac:dyDescent="0.25">
      <c r="A102" s="2"/>
      <c r="B102" s="942" t="s">
        <v>1460</v>
      </c>
      <c r="C102" s="943"/>
      <c r="D102" s="186">
        <v>10</v>
      </c>
      <c r="E102" s="1204">
        <f>IF(ISBLANK(Import!B452),"",Import!B452)</f>
        <v>0</v>
      </c>
      <c r="F102" s="1204" t="str">
        <f ca="1">IF(ISBLANK(Import!C452),OFFSET('2.CropManagement'!AV$48,SUMIF('2.CropManagement'!AQ$49:AQ$50,'1.GeneralInfo'!$E$8,'2.CropManagement'!AR$49:AR$50),0),Import!C452)</f>
        <v>[Select]</v>
      </c>
      <c r="G102" s="1204">
        <f>IF(ISBLANK(Import!D452),"",Import!D452)</f>
        <v>0</v>
      </c>
      <c r="H102" s="1204" t="str">
        <f ca="1">IF(ISBLANK(Import!E452),OFFSET('2.CropManagement'!AZ$48,SUMIF('2.CropManagement'!AQ$49:AQ$50,'1.GeneralInfo'!$E$8,'2.CropManagement'!AR$49:AR$50),0),Import!E452)</f>
        <v>[Select]</v>
      </c>
      <c r="I102" s="1204" t="str">
        <f ca="1">IF(ISBLANK(Import!F452),IF(AD102&lt;$AF$28,$AF$48,IF(AD102&lt;$AF$29,$AF$49,$AF$50)),Import!F452)</f>
        <v>Very Short Haul</v>
      </c>
      <c r="J102" s="1544"/>
      <c r="K102" s="1544"/>
      <c r="L102" s="2494" t="s">
        <v>1125</v>
      </c>
      <c r="M102" s="1545"/>
      <c r="N102" s="2"/>
      <c r="O102" s="2"/>
      <c r="P102" s="2"/>
      <c r="Q102" s="2"/>
      <c r="R102" s="2"/>
      <c r="S102" s="2"/>
      <c r="T102" s="2"/>
      <c r="U102" s="2"/>
      <c r="V102" s="2"/>
      <c r="AA102" s="174">
        <f t="shared" ref="AA102:AA120" ca="1" si="16">AB102*AC102*AD102</f>
        <v>0</v>
      </c>
      <c r="AB102" s="174">
        <f t="shared" ref="AB102:AB120" ca="1" si="17">SUMIF(AF$48:AF$50,I102,AH$48:AH$50)</f>
        <v>1.9362299999999999</v>
      </c>
      <c r="AC102" s="174">
        <f ca="1">SUMIF('2.CropManagement'!X$157:X$160,'7.Transport'!F102,'2.CropManagement'!Y$157:Y$160)*E102</f>
        <v>0</v>
      </c>
      <c r="AD102" s="174">
        <f t="shared" ref="AD102:AD120" ca="1" si="18">G102*SUMIF(AF$24:AF$25,H102,AH$24:AH$25)</f>
        <v>0</v>
      </c>
    </row>
    <row r="103" spans="1:30" x14ac:dyDescent="0.25">
      <c r="A103" s="2"/>
      <c r="B103" s="942" t="s">
        <v>1460</v>
      </c>
      <c r="C103" s="943"/>
      <c r="D103" s="186">
        <v>11</v>
      </c>
      <c r="E103" s="1204">
        <f>IF(ISBLANK(Import!B453),"",Import!B453)</f>
        <v>0</v>
      </c>
      <c r="F103" s="1204" t="str">
        <f ca="1">IF(ISBLANK(Import!C453),OFFSET('2.CropManagement'!AV$48,SUMIF('2.CropManagement'!AQ$49:AQ$50,'1.GeneralInfo'!$E$8,'2.CropManagement'!AR$49:AR$50),0),Import!C453)</f>
        <v>[Select]</v>
      </c>
      <c r="G103" s="1204">
        <f>IF(ISBLANK(Import!D453),"",Import!D453)</f>
        <v>0</v>
      </c>
      <c r="H103" s="1204" t="str">
        <f ca="1">IF(ISBLANK(Import!E453),OFFSET('2.CropManagement'!AZ$48,SUMIF('2.CropManagement'!AQ$49:AQ$50,'1.GeneralInfo'!$E$8,'2.CropManagement'!AR$49:AR$50),0),Import!E453)</f>
        <v>[Select]</v>
      </c>
      <c r="I103" s="1204" t="str">
        <f ca="1">IF(ISBLANK(Import!F453),IF(AD103&lt;$AF$28,$AF$48,IF(AD103&lt;$AF$29,$AF$49,$AF$50)),Import!F453)</f>
        <v>Very Short Haul</v>
      </c>
      <c r="J103" s="1544"/>
      <c r="K103" s="1544"/>
      <c r="L103" s="2495"/>
      <c r="M103" s="1545"/>
      <c r="N103" s="2"/>
      <c r="O103" s="2"/>
      <c r="P103" s="2"/>
      <c r="Q103" s="2"/>
      <c r="R103" s="2"/>
      <c r="S103" s="2"/>
      <c r="T103" s="2"/>
      <c r="U103" s="2"/>
      <c r="V103" s="2"/>
      <c r="AA103" s="174">
        <f t="shared" ca="1" si="16"/>
        <v>0</v>
      </c>
      <c r="AB103" s="174">
        <f t="shared" ca="1" si="17"/>
        <v>1.9362299999999999</v>
      </c>
      <c r="AC103" s="174">
        <f ca="1">SUMIF('2.CropManagement'!X$157:X$160,'7.Transport'!F103,'2.CropManagement'!Y$157:Y$160)*E103</f>
        <v>0</v>
      </c>
      <c r="AD103" s="174">
        <f t="shared" ca="1" si="18"/>
        <v>0</v>
      </c>
    </row>
    <row r="104" spans="1:30" x14ac:dyDescent="0.25">
      <c r="A104" s="2"/>
      <c r="B104" s="942" t="s">
        <v>1460</v>
      </c>
      <c r="C104" s="943"/>
      <c r="D104" s="186">
        <v>12</v>
      </c>
      <c r="E104" s="1204">
        <f>IF(ISBLANK(Import!B454),"",Import!B454)</f>
        <v>0</v>
      </c>
      <c r="F104" s="1204" t="str">
        <f ca="1">IF(ISBLANK(Import!C454),OFFSET('2.CropManagement'!AV$48,SUMIF('2.CropManagement'!AQ$49:AQ$50,'1.GeneralInfo'!$E$8,'2.CropManagement'!AR$49:AR$50),0),Import!C454)</f>
        <v>[Select]</v>
      </c>
      <c r="G104" s="1204">
        <f>IF(ISBLANK(Import!D454),"",Import!D454)</f>
        <v>0</v>
      </c>
      <c r="H104" s="1204" t="str">
        <f ca="1">IF(ISBLANK(Import!E454),OFFSET('2.CropManagement'!AZ$48,SUMIF('2.CropManagement'!AQ$49:AQ$50,'1.GeneralInfo'!$E$8,'2.CropManagement'!AR$49:AR$50),0),Import!E454)</f>
        <v>[Select]</v>
      </c>
      <c r="I104" s="1204" t="str">
        <f ca="1">IF(ISBLANK(Import!F454),IF(AD104&lt;$AF$28,$AF$48,IF(AD104&lt;$AF$29,$AF$49,$AF$50)),Import!F454)</f>
        <v>Very Short Haul</v>
      </c>
      <c r="J104" s="1544"/>
      <c r="K104" s="1544"/>
      <c r="L104" s="100" t="s">
        <v>1126</v>
      </c>
      <c r="M104" s="1545"/>
      <c r="N104" s="2"/>
      <c r="O104" s="2"/>
      <c r="P104" s="2"/>
      <c r="Q104" s="2"/>
      <c r="R104" s="2"/>
      <c r="S104" s="2"/>
      <c r="T104" s="2"/>
      <c r="U104" s="2"/>
      <c r="V104" s="2"/>
      <c r="AA104" s="174">
        <f t="shared" ca="1" si="16"/>
        <v>0</v>
      </c>
      <c r="AB104" s="174">
        <f t="shared" ca="1" si="17"/>
        <v>1.9362299999999999</v>
      </c>
      <c r="AC104" s="174">
        <f ca="1">SUMIF('2.CropManagement'!X$157:X$160,'7.Transport'!F104,'2.CropManagement'!Y$157:Y$160)*E104</f>
        <v>0</v>
      </c>
      <c r="AD104" s="174">
        <f t="shared" ca="1" si="18"/>
        <v>0</v>
      </c>
    </row>
    <row r="105" spans="1:30" x14ac:dyDescent="0.25">
      <c r="A105" s="2"/>
      <c r="B105" s="942" t="s">
        <v>1460</v>
      </c>
      <c r="C105" s="943"/>
      <c r="D105" s="186">
        <v>13</v>
      </c>
      <c r="E105" s="1204">
        <f>IF(ISBLANK(Import!B455),"",Import!B455)</f>
        <v>0</v>
      </c>
      <c r="F105" s="1204" t="str">
        <f ca="1">IF(ISBLANK(Import!C455),OFFSET('2.CropManagement'!AV$48,SUMIF('2.CropManagement'!AQ$49:AQ$50,'1.GeneralInfo'!$E$8,'2.CropManagement'!AR$49:AR$50),0),Import!C455)</f>
        <v>[Select]</v>
      </c>
      <c r="G105" s="1204">
        <f>IF(ISBLANK(Import!D455),"",Import!D455)</f>
        <v>0</v>
      </c>
      <c r="H105" s="1204" t="str">
        <f ca="1">IF(ISBLANK(Import!E455),OFFSET('2.CropManagement'!AZ$48,SUMIF('2.CropManagement'!AQ$49:AQ$50,'1.GeneralInfo'!$E$8,'2.CropManagement'!AR$49:AR$50),0),Import!E455)</f>
        <v>[Select]</v>
      </c>
      <c r="I105" s="1204" t="str">
        <f ca="1">IF(ISBLANK(Import!F455),IF(AD105&lt;$AF$28,$AF$48,IF(AD105&lt;$AF$29,$AF$49,$AF$50)),Import!F455)</f>
        <v>Very Short Haul</v>
      </c>
      <c r="J105" s="1544"/>
      <c r="K105" s="1544"/>
      <c r="L105" s="1544"/>
      <c r="M105" s="1545"/>
      <c r="N105" s="2"/>
      <c r="O105" s="2"/>
      <c r="P105" s="2"/>
      <c r="Q105" s="2"/>
      <c r="R105" s="2"/>
      <c r="S105" s="2"/>
      <c r="T105" s="2"/>
      <c r="U105" s="2"/>
      <c r="V105" s="2"/>
      <c r="AA105" s="174">
        <f t="shared" ca="1" si="16"/>
        <v>0</v>
      </c>
      <c r="AB105" s="174">
        <f t="shared" ca="1" si="17"/>
        <v>1.9362299999999999</v>
      </c>
      <c r="AC105" s="174">
        <f ca="1">SUMIF('2.CropManagement'!X$157:X$160,'7.Transport'!F105,'2.CropManagement'!Y$157:Y$160)*E105</f>
        <v>0</v>
      </c>
      <c r="AD105" s="174">
        <f t="shared" ca="1" si="18"/>
        <v>0</v>
      </c>
    </row>
    <row r="106" spans="1:30" x14ac:dyDescent="0.25">
      <c r="A106" s="2"/>
      <c r="B106" s="942" t="s">
        <v>1460</v>
      </c>
      <c r="C106" s="943"/>
      <c r="D106" s="186">
        <v>14</v>
      </c>
      <c r="E106" s="1204">
        <f>IF(ISBLANK(Import!B456),"",Import!B456)</f>
        <v>0</v>
      </c>
      <c r="F106" s="1204" t="str">
        <f ca="1">IF(ISBLANK(Import!C456),OFFSET('2.CropManagement'!AV$48,SUMIF('2.CropManagement'!AQ$49:AQ$50,'1.GeneralInfo'!$E$8,'2.CropManagement'!AR$49:AR$50),0),Import!C456)</f>
        <v>[Select]</v>
      </c>
      <c r="G106" s="1204">
        <f>IF(ISBLANK(Import!D456),"",Import!D456)</f>
        <v>0</v>
      </c>
      <c r="H106" s="1204" t="str">
        <f ca="1">IF(ISBLANK(Import!E456),OFFSET('2.CropManagement'!AZ$48,SUMIF('2.CropManagement'!AQ$49:AQ$50,'1.GeneralInfo'!$E$8,'2.CropManagement'!AR$49:AR$50),0),Import!E456)</f>
        <v>[Select]</v>
      </c>
      <c r="I106" s="1204" t="str">
        <f ca="1">IF(ISBLANK(Import!F456),IF(AD106&lt;$AF$28,$AF$48,IF(AD106&lt;$AF$29,$AF$49,$AF$50)),Import!F456)</f>
        <v>Very Short Haul</v>
      </c>
      <c r="J106" s="1544"/>
      <c r="K106" s="1544"/>
      <c r="L106" s="1544"/>
      <c r="M106" s="1545"/>
      <c r="N106" s="2"/>
      <c r="O106" s="2"/>
      <c r="P106" s="2"/>
      <c r="Q106" s="2"/>
      <c r="R106" s="2"/>
      <c r="S106" s="2"/>
      <c r="T106" s="2"/>
      <c r="U106" s="2"/>
      <c r="V106" s="2"/>
      <c r="AA106" s="174">
        <f t="shared" ca="1" si="16"/>
        <v>0</v>
      </c>
      <c r="AB106" s="174">
        <f t="shared" ca="1" si="17"/>
        <v>1.9362299999999999</v>
      </c>
      <c r="AC106" s="174">
        <f ca="1">SUMIF('2.CropManagement'!X$157:X$160,'7.Transport'!F106,'2.CropManagement'!Y$157:Y$160)*E106</f>
        <v>0</v>
      </c>
      <c r="AD106" s="174">
        <f t="shared" ca="1" si="18"/>
        <v>0</v>
      </c>
    </row>
    <row r="107" spans="1:30" x14ac:dyDescent="0.25">
      <c r="A107" s="2"/>
      <c r="B107" s="942" t="s">
        <v>1460</v>
      </c>
      <c r="C107" s="943"/>
      <c r="D107" s="186">
        <v>15</v>
      </c>
      <c r="E107" s="1204">
        <f>IF(ISBLANK(Import!B457),"",Import!B457)</f>
        <v>0</v>
      </c>
      <c r="F107" s="1204" t="str">
        <f ca="1">IF(ISBLANK(Import!C457),OFFSET('2.CropManagement'!AV$48,SUMIF('2.CropManagement'!AQ$49:AQ$50,'1.GeneralInfo'!$E$8,'2.CropManagement'!AR$49:AR$50),0),Import!C457)</f>
        <v>[Select]</v>
      </c>
      <c r="G107" s="1204">
        <f>IF(ISBLANK(Import!D457),"",Import!D457)</f>
        <v>0</v>
      </c>
      <c r="H107" s="1204" t="str">
        <f ca="1">IF(ISBLANK(Import!E457),OFFSET('2.CropManagement'!AZ$48,SUMIF('2.CropManagement'!AQ$49:AQ$50,'1.GeneralInfo'!$E$8,'2.CropManagement'!AR$49:AR$50),0),Import!E457)</f>
        <v>[Select]</v>
      </c>
      <c r="I107" s="1204" t="str">
        <f ca="1">IF(ISBLANK(Import!F457),IF(AD107&lt;$AF$28,$AF$48,IF(AD107&lt;$AF$29,$AF$49,$AF$50)),Import!F457)</f>
        <v>Very Short Haul</v>
      </c>
      <c r="J107" s="1544"/>
      <c r="K107" s="1544"/>
      <c r="L107" s="1544"/>
      <c r="M107" s="1545"/>
      <c r="N107" s="2"/>
      <c r="O107" s="2"/>
      <c r="P107" s="2"/>
      <c r="Q107" s="2"/>
      <c r="R107" s="2"/>
      <c r="S107" s="2"/>
      <c r="T107" s="2"/>
      <c r="U107" s="2"/>
      <c r="V107" s="2"/>
      <c r="AA107" s="174">
        <f t="shared" ca="1" si="16"/>
        <v>0</v>
      </c>
      <c r="AB107" s="174">
        <f t="shared" ca="1" si="17"/>
        <v>1.9362299999999999</v>
      </c>
      <c r="AC107" s="174">
        <f ca="1">SUMIF('2.CropManagement'!X$157:X$160,'7.Transport'!F107,'2.CropManagement'!Y$157:Y$160)*E107</f>
        <v>0</v>
      </c>
      <c r="AD107" s="174">
        <f t="shared" ca="1" si="18"/>
        <v>0</v>
      </c>
    </row>
    <row r="108" spans="1:30" x14ac:dyDescent="0.25">
      <c r="A108" s="2"/>
      <c r="B108" s="942" t="s">
        <v>1460</v>
      </c>
      <c r="C108" s="943"/>
      <c r="D108" s="186">
        <v>16</v>
      </c>
      <c r="E108" s="1204">
        <f>IF(ISBLANK(Import!B458),"",Import!B458)</f>
        <v>0</v>
      </c>
      <c r="F108" s="1204" t="str">
        <f ca="1">IF(ISBLANK(Import!C458),OFFSET('2.CropManagement'!AV$48,SUMIF('2.CropManagement'!AQ$49:AQ$50,'1.GeneralInfo'!$E$8,'2.CropManagement'!AR$49:AR$50),0),Import!C458)</f>
        <v>[Select]</v>
      </c>
      <c r="G108" s="1204">
        <f>IF(ISBLANK(Import!D458),"",Import!D458)</f>
        <v>0</v>
      </c>
      <c r="H108" s="1204" t="str">
        <f ca="1">IF(ISBLANK(Import!E458),OFFSET('2.CropManagement'!AZ$48,SUMIF('2.CropManagement'!AQ$49:AQ$50,'1.GeneralInfo'!$E$8,'2.CropManagement'!AR$49:AR$50),0),Import!E458)</f>
        <v>[Select]</v>
      </c>
      <c r="I108" s="1204" t="str">
        <f ca="1">IF(ISBLANK(Import!F458),IF(AD108&lt;$AF$28,$AF$48,IF(AD108&lt;$AF$29,$AF$49,$AF$50)),Import!F458)</f>
        <v>Very Short Haul</v>
      </c>
      <c r="J108" s="1544"/>
      <c r="K108" s="1544"/>
      <c r="L108" s="1544"/>
      <c r="M108" s="1545"/>
      <c r="N108" s="2"/>
      <c r="O108" s="2"/>
      <c r="P108" s="2"/>
      <c r="Q108" s="2"/>
      <c r="R108" s="2"/>
      <c r="S108" s="2"/>
      <c r="T108" s="2"/>
      <c r="U108" s="2"/>
      <c r="V108" s="2"/>
      <c r="AA108" s="174">
        <f t="shared" ca="1" si="16"/>
        <v>0</v>
      </c>
      <c r="AB108" s="174">
        <f t="shared" ca="1" si="17"/>
        <v>1.9362299999999999</v>
      </c>
      <c r="AC108" s="174">
        <f ca="1">SUMIF('2.CropManagement'!X$157:X$160,'7.Transport'!F108,'2.CropManagement'!Y$157:Y$160)*E108</f>
        <v>0</v>
      </c>
      <c r="AD108" s="174">
        <f t="shared" ca="1" si="18"/>
        <v>0</v>
      </c>
    </row>
    <row r="109" spans="1:30" x14ac:dyDescent="0.25">
      <c r="A109" s="2"/>
      <c r="B109" s="942" t="s">
        <v>1460</v>
      </c>
      <c r="C109" s="943"/>
      <c r="D109" s="186">
        <v>17</v>
      </c>
      <c r="E109" s="1204">
        <f>IF(ISBLANK(Import!B459),"",Import!B459)</f>
        <v>0</v>
      </c>
      <c r="F109" s="1204" t="str">
        <f ca="1">IF(ISBLANK(Import!C459),OFFSET('2.CropManagement'!AV$48,SUMIF('2.CropManagement'!AQ$49:AQ$50,'1.GeneralInfo'!$E$8,'2.CropManagement'!AR$49:AR$50),0),Import!C459)</f>
        <v>[Select]</v>
      </c>
      <c r="G109" s="1204">
        <f>IF(ISBLANK(Import!D459),"",Import!D459)</f>
        <v>0</v>
      </c>
      <c r="H109" s="1204" t="str">
        <f ca="1">IF(ISBLANK(Import!E459),OFFSET('2.CropManagement'!AZ$48,SUMIF('2.CropManagement'!AQ$49:AQ$50,'1.GeneralInfo'!$E$8,'2.CropManagement'!AR$49:AR$50),0),Import!E459)</f>
        <v>[Select]</v>
      </c>
      <c r="I109" s="1204" t="str">
        <f ca="1">IF(ISBLANK(Import!F459),IF(AD109&lt;$AF$28,$AF$48,IF(AD109&lt;$AF$29,$AF$49,$AF$50)),Import!F459)</f>
        <v>Very Short Haul</v>
      </c>
      <c r="J109" s="1544"/>
      <c r="K109" s="1544"/>
      <c r="L109" s="1544"/>
      <c r="M109" s="1545"/>
      <c r="N109" s="2"/>
      <c r="O109" s="2"/>
      <c r="P109" s="2"/>
      <c r="Q109" s="2"/>
      <c r="R109" s="2"/>
      <c r="S109" s="2"/>
      <c r="T109" s="2"/>
      <c r="U109" s="2"/>
      <c r="V109" s="2"/>
      <c r="AA109" s="174">
        <f t="shared" ca="1" si="16"/>
        <v>0</v>
      </c>
      <c r="AB109" s="174">
        <f t="shared" ca="1" si="17"/>
        <v>1.9362299999999999</v>
      </c>
      <c r="AC109" s="174">
        <f ca="1">SUMIF('2.CropManagement'!X$157:X$160,'7.Transport'!F109,'2.CropManagement'!Y$157:Y$160)*E109</f>
        <v>0</v>
      </c>
      <c r="AD109" s="174">
        <f t="shared" ca="1" si="18"/>
        <v>0</v>
      </c>
    </row>
    <row r="110" spans="1:30" x14ac:dyDescent="0.25">
      <c r="A110" s="2"/>
      <c r="B110" s="942" t="s">
        <v>1460</v>
      </c>
      <c r="C110" s="943"/>
      <c r="D110" s="186">
        <v>18</v>
      </c>
      <c r="E110" s="1204">
        <f>IF(ISBLANK(Import!B460),"",Import!B460)</f>
        <v>0</v>
      </c>
      <c r="F110" s="1204" t="str">
        <f ca="1">IF(ISBLANK(Import!C460),OFFSET('2.CropManagement'!AV$48,SUMIF('2.CropManagement'!AQ$49:AQ$50,'1.GeneralInfo'!$E$8,'2.CropManagement'!AR$49:AR$50),0),Import!C460)</f>
        <v>[Select]</v>
      </c>
      <c r="G110" s="1204">
        <f>IF(ISBLANK(Import!D460),"",Import!D460)</f>
        <v>0</v>
      </c>
      <c r="H110" s="1204" t="str">
        <f ca="1">IF(ISBLANK(Import!E460),OFFSET('2.CropManagement'!AZ$48,SUMIF('2.CropManagement'!AQ$49:AQ$50,'1.GeneralInfo'!$E$8,'2.CropManagement'!AR$49:AR$50),0),Import!E460)</f>
        <v>[Select]</v>
      </c>
      <c r="I110" s="1204" t="str">
        <f ca="1">IF(ISBLANK(Import!F460),IF(AD110&lt;$AF$28,$AF$48,IF(AD110&lt;$AF$29,$AF$49,$AF$50)),Import!F460)</f>
        <v>Very Short Haul</v>
      </c>
      <c r="J110" s="1544"/>
      <c r="K110" s="1544"/>
      <c r="L110" s="1544"/>
      <c r="M110" s="1545"/>
      <c r="N110" s="2"/>
      <c r="O110" s="2"/>
      <c r="P110" s="2"/>
      <c r="Q110" s="2"/>
      <c r="R110" s="2"/>
      <c r="S110" s="2"/>
      <c r="T110" s="2"/>
      <c r="U110" s="2"/>
      <c r="V110" s="2"/>
      <c r="AA110" s="174">
        <f t="shared" ca="1" si="16"/>
        <v>0</v>
      </c>
      <c r="AB110" s="174">
        <f t="shared" ca="1" si="17"/>
        <v>1.9362299999999999</v>
      </c>
      <c r="AC110" s="174">
        <f ca="1">SUMIF('2.CropManagement'!X$157:X$160,'7.Transport'!F110,'2.CropManagement'!Y$157:Y$160)*E110</f>
        <v>0</v>
      </c>
      <c r="AD110" s="174">
        <f t="shared" ca="1" si="18"/>
        <v>0</v>
      </c>
    </row>
    <row r="111" spans="1:30" x14ac:dyDescent="0.25">
      <c r="A111" s="2"/>
      <c r="B111" s="942" t="s">
        <v>1460</v>
      </c>
      <c r="C111" s="943"/>
      <c r="D111" s="186">
        <v>19</v>
      </c>
      <c r="E111" s="1204">
        <f>IF(ISBLANK(Import!B461),"",Import!B461)</f>
        <v>0</v>
      </c>
      <c r="F111" s="1204" t="str">
        <f ca="1">IF(ISBLANK(Import!C461),OFFSET('2.CropManagement'!AV$48,SUMIF('2.CropManagement'!AQ$49:AQ$50,'1.GeneralInfo'!$E$8,'2.CropManagement'!AR$49:AR$50),0),Import!C461)</f>
        <v>[Select]</v>
      </c>
      <c r="G111" s="1204">
        <f>IF(ISBLANK(Import!D461),"",Import!D461)</f>
        <v>0</v>
      </c>
      <c r="H111" s="1204" t="str">
        <f ca="1">IF(ISBLANK(Import!E461),OFFSET('2.CropManagement'!AZ$48,SUMIF('2.CropManagement'!AQ$49:AQ$50,'1.GeneralInfo'!$E$8,'2.CropManagement'!AR$49:AR$50),0),Import!E461)</f>
        <v>[Select]</v>
      </c>
      <c r="I111" s="1204" t="str">
        <f ca="1">IF(ISBLANK(Import!F461),IF(AD111&lt;$AF$28,$AF$48,IF(AD111&lt;$AF$29,$AF$49,$AF$50)),Import!F461)</f>
        <v>Very Short Haul</v>
      </c>
      <c r="J111" s="1544"/>
      <c r="K111" s="1544"/>
      <c r="L111" s="1544"/>
      <c r="M111" s="1545"/>
      <c r="N111" s="2"/>
      <c r="O111" s="2"/>
      <c r="P111" s="2"/>
      <c r="Q111" s="2"/>
      <c r="R111" s="2"/>
      <c r="S111" s="2"/>
      <c r="T111" s="2"/>
      <c r="U111" s="2"/>
      <c r="V111" s="2"/>
      <c r="AA111" s="174">
        <f t="shared" ca="1" si="16"/>
        <v>0</v>
      </c>
      <c r="AB111" s="174">
        <f t="shared" ca="1" si="17"/>
        <v>1.9362299999999999</v>
      </c>
      <c r="AC111" s="174">
        <f ca="1">SUMIF('2.CropManagement'!X$157:X$160,'7.Transport'!F111,'2.CropManagement'!Y$157:Y$160)*E111</f>
        <v>0</v>
      </c>
      <c r="AD111" s="174">
        <f t="shared" ca="1" si="18"/>
        <v>0</v>
      </c>
    </row>
    <row r="112" spans="1:30" x14ac:dyDescent="0.25">
      <c r="A112" s="2"/>
      <c r="B112" s="942" t="s">
        <v>1460</v>
      </c>
      <c r="C112" s="943"/>
      <c r="D112" s="186">
        <v>20</v>
      </c>
      <c r="E112" s="1204">
        <f>IF(ISBLANK(Import!B462),"",Import!B462)</f>
        <v>0</v>
      </c>
      <c r="F112" s="1204" t="str">
        <f ca="1">IF(ISBLANK(Import!C462),OFFSET('2.CropManagement'!AV$48,SUMIF('2.CropManagement'!AQ$49:AQ$50,'1.GeneralInfo'!$E$8,'2.CropManagement'!AR$49:AR$50),0),Import!C462)</f>
        <v>[Select]</v>
      </c>
      <c r="G112" s="1204">
        <f>IF(ISBLANK(Import!D462),"",Import!D462)</f>
        <v>0</v>
      </c>
      <c r="H112" s="1204" t="str">
        <f ca="1">IF(ISBLANK(Import!E462),OFFSET('2.CropManagement'!AZ$48,SUMIF('2.CropManagement'!AQ$49:AQ$50,'1.GeneralInfo'!$E$8,'2.CropManagement'!AR$49:AR$50),0),Import!E462)</f>
        <v>[Select]</v>
      </c>
      <c r="I112" s="1204" t="str">
        <f ca="1">IF(ISBLANK(Import!F462),IF(AD112&lt;$AF$28,$AF$48,IF(AD112&lt;$AF$29,$AF$49,$AF$50)),Import!F462)</f>
        <v>Very Short Haul</v>
      </c>
      <c r="J112" s="1544"/>
      <c r="K112" s="1544"/>
      <c r="L112" s="1544"/>
      <c r="M112" s="1545"/>
      <c r="N112" s="2"/>
      <c r="O112" s="2"/>
      <c r="P112" s="2"/>
      <c r="Q112" s="2"/>
      <c r="R112" s="2"/>
      <c r="S112" s="2"/>
      <c r="T112" s="2"/>
      <c r="U112" s="2"/>
      <c r="V112" s="2"/>
      <c r="AA112" s="174">
        <f t="shared" ca="1" si="16"/>
        <v>0</v>
      </c>
      <c r="AB112" s="174">
        <f t="shared" ca="1" si="17"/>
        <v>1.9362299999999999</v>
      </c>
      <c r="AC112" s="174">
        <f ca="1">SUMIF('2.CropManagement'!X$157:X$160,'7.Transport'!F112,'2.CropManagement'!Y$157:Y$160)*E112</f>
        <v>0</v>
      </c>
      <c r="AD112" s="174">
        <f t="shared" ca="1" si="18"/>
        <v>0</v>
      </c>
    </row>
    <row r="113" spans="1:30" x14ac:dyDescent="0.25">
      <c r="A113" s="2"/>
      <c r="B113" s="942" t="s">
        <v>1460</v>
      </c>
      <c r="C113" s="943"/>
      <c r="D113" s="186">
        <v>21</v>
      </c>
      <c r="E113" s="1204">
        <f>IF(ISBLANK(Import!B463),"",Import!B463)</f>
        <v>0</v>
      </c>
      <c r="F113" s="1204" t="str">
        <f ca="1">IF(ISBLANK(Import!C463),OFFSET('2.CropManagement'!AV$48,SUMIF('2.CropManagement'!AQ$49:AQ$50,'1.GeneralInfo'!$E$8,'2.CropManagement'!AR$49:AR$50),0),Import!C463)</f>
        <v>[Select]</v>
      </c>
      <c r="G113" s="1204">
        <f>IF(ISBLANK(Import!D463),"",Import!D463)</f>
        <v>0</v>
      </c>
      <c r="H113" s="1204" t="str">
        <f ca="1">IF(ISBLANK(Import!E463),OFFSET('2.CropManagement'!AZ$48,SUMIF('2.CropManagement'!AQ$49:AQ$50,'1.GeneralInfo'!$E$8,'2.CropManagement'!AR$49:AR$50),0),Import!E463)</f>
        <v>[Select]</v>
      </c>
      <c r="I113" s="1204" t="str">
        <f ca="1">IF(ISBLANK(Import!F463),IF(AD113&lt;$AF$28,$AF$48,IF(AD113&lt;$AF$29,$AF$49,$AF$50)),Import!F463)</f>
        <v>Very Short Haul</v>
      </c>
      <c r="J113" s="1544"/>
      <c r="K113" s="1544"/>
      <c r="L113" s="1544"/>
      <c r="M113" s="1545"/>
      <c r="N113" s="2"/>
      <c r="O113" s="2"/>
      <c r="P113" s="2"/>
      <c r="Q113" s="2"/>
      <c r="R113" s="2"/>
      <c r="S113" s="2"/>
      <c r="T113" s="2"/>
      <c r="U113" s="2"/>
      <c r="V113" s="2"/>
      <c r="AA113" s="174">
        <f t="shared" ca="1" si="16"/>
        <v>0</v>
      </c>
      <c r="AB113" s="174">
        <f t="shared" ca="1" si="17"/>
        <v>1.9362299999999999</v>
      </c>
      <c r="AC113" s="174">
        <f ca="1">SUMIF('2.CropManagement'!X$157:X$160,'7.Transport'!F113,'2.CropManagement'!Y$157:Y$160)*E113</f>
        <v>0</v>
      </c>
      <c r="AD113" s="174">
        <f t="shared" ca="1" si="18"/>
        <v>0</v>
      </c>
    </row>
    <row r="114" spans="1:30" x14ac:dyDescent="0.25">
      <c r="A114" s="2"/>
      <c r="B114" s="942" t="s">
        <v>1460</v>
      </c>
      <c r="C114" s="943"/>
      <c r="D114" s="186">
        <v>22</v>
      </c>
      <c r="E114" s="1204">
        <f>IF(ISBLANK(Import!B464),"",Import!B464)</f>
        <v>0</v>
      </c>
      <c r="F114" s="1204" t="str">
        <f ca="1">IF(ISBLANK(Import!C464),OFFSET('2.CropManagement'!AV$48,SUMIF('2.CropManagement'!AQ$49:AQ$50,'1.GeneralInfo'!$E$8,'2.CropManagement'!AR$49:AR$50),0),Import!C464)</f>
        <v>[Select]</v>
      </c>
      <c r="G114" s="1204">
        <f>IF(ISBLANK(Import!D464),"",Import!D464)</f>
        <v>0</v>
      </c>
      <c r="H114" s="1204" t="str">
        <f ca="1">IF(ISBLANK(Import!E464),OFFSET('2.CropManagement'!AZ$48,SUMIF('2.CropManagement'!AQ$49:AQ$50,'1.GeneralInfo'!$E$8,'2.CropManagement'!AR$49:AR$50),0),Import!E464)</f>
        <v>[Select]</v>
      </c>
      <c r="I114" s="1204" t="str">
        <f ca="1">IF(ISBLANK(Import!F464),IF(AD114&lt;$AF$28,$AF$48,IF(AD114&lt;$AF$29,$AF$49,$AF$50)),Import!F464)</f>
        <v>Very Short Haul</v>
      </c>
      <c r="J114" s="1544"/>
      <c r="K114" s="1544"/>
      <c r="L114" s="1544"/>
      <c r="M114" s="1545"/>
      <c r="N114" s="2"/>
      <c r="O114" s="2"/>
      <c r="P114" s="2"/>
      <c r="Q114" s="2"/>
      <c r="R114" s="2"/>
      <c r="S114" s="2"/>
      <c r="T114" s="2"/>
      <c r="U114" s="2"/>
      <c r="V114" s="2"/>
      <c r="AA114" s="174">
        <f t="shared" ca="1" si="16"/>
        <v>0</v>
      </c>
      <c r="AB114" s="174">
        <f t="shared" ca="1" si="17"/>
        <v>1.9362299999999999</v>
      </c>
      <c r="AC114" s="174">
        <f ca="1">SUMIF('2.CropManagement'!X$157:X$160,'7.Transport'!F114,'2.CropManagement'!Y$157:Y$160)*E114</f>
        <v>0</v>
      </c>
      <c r="AD114" s="174">
        <f t="shared" ca="1" si="18"/>
        <v>0</v>
      </c>
    </row>
    <row r="115" spans="1:30" x14ac:dyDescent="0.25">
      <c r="A115" s="2"/>
      <c r="B115" s="942" t="s">
        <v>1460</v>
      </c>
      <c r="C115" s="943"/>
      <c r="D115" s="186">
        <v>23</v>
      </c>
      <c r="E115" s="1204">
        <f>IF(ISBLANK(Import!B465),"",Import!B465)</f>
        <v>0</v>
      </c>
      <c r="F115" s="1204" t="str">
        <f ca="1">IF(ISBLANK(Import!C465),OFFSET('2.CropManagement'!AV$48,SUMIF('2.CropManagement'!AQ$49:AQ$50,'1.GeneralInfo'!$E$8,'2.CropManagement'!AR$49:AR$50),0),Import!C465)</f>
        <v>[Select]</v>
      </c>
      <c r="G115" s="1204">
        <f>IF(ISBLANK(Import!D465),"",Import!D465)</f>
        <v>0</v>
      </c>
      <c r="H115" s="1204" t="str">
        <f ca="1">IF(ISBLANK(Import!E465),OFFSET('2.CropManagement'!AZ$48,SUMIF('2.CropManagement'!AQ$49:AQ$50,'1.GeneralInfo'!$E$8,'2.CropManagement'!AR$49:AR$50),0),Import!E465)</f>
        <v>[Select]</v>
      </c>
      <c r="I115" s="1204" t="str">
        <f ca="1">IF(ISBLANK(Import!F465),IF(AD115&lt;$AF$28,$AF$48,IF(AD115&lt;$AF$29,$AF$49,$AF$50)),Import!F465)</f>
        <v>Very Short Haul</v>
      </c>
      <c r="J115" s="1544"/>
      <c r="K115" s="1544"/>
      <c r="L115" s="1544"/>
      <c r="M115" s="1545"/>
      <c r="N115" s="2"/>
      <c r="O115" s="2"/>
      <c r="P115" s="2"/>
      <c r="Q115" s="2"/>
      <c r="R115" s="2"/>
      <c r="S115" s="2"/>
      <c r="T115" s="2"/>
      <c r="U115" s="2"/>
      <c r="V115" s="2"/>
      <c r="AA115" s="174">
        <f t="shared" ca="1" si="16"/>
        <v>0</v>
      </c>
      <c r="AB115" s="174">
        <f t="shared" ca="1" si="17"/>
        <v>1.9362299999999999</v>
      </c>
      <c r="AC115" s="174">
        <f ca="1">SUMIF('2.CropManagement'!X$157:X$160,'7.Transport'!F115,'2.CropManagement'!Y$157:Y$160)*E115</f>
        <v>0</v>
      </c>
      <c r="AD115" s="174">
        <f t="shared" ca="1" si="18"/>
        <v>0</v>
      </c>
    </row>
    <row r="116" spans="1:30" x14ac:dyDescent="0.25">
      <c r="A116" s="2"/>
      <c r="B116" s="942" t="s">
        <v>1460</v>
      </c>
      <c r="C116" s="943"/>
      <c r="D116" s="186">
        <v>24</v>
      </c>
      <c r="E116" s="1204">
        <f>IF(ISBLANK(Import!B466),"",Import!B466)</f>
        <v>0</v>
      </c>
      <c r="F116" s="1204" t="str">
        <f ca="1">IF(ISBLANK(Import!C466),OFFSET('2.CropManagement'!AV$48,SUMIF('2.CropManagement'!AQ$49:AQ$50,'1.GeneralInfo'!$E$8,'2.CropManagement'!AR$49:AR$50),0),Import!C466)</f>
        <v>[Select]</v>
      </c>
      <c r="G116" s="1204">
        <f>IF(ISBLANK(Import!D466),"",Import!D466)</f>
        <v>0</v>
      </c>
      <c r="H116" s="1204" t="str">
        <f ca="1">IF(ISBLANK(Import!E466),OFFSET('2.CropManagement'!AZ$48,SUMIF('2.CropManagement'!AQ$49:AQ$50,'1.GeneralInfo'!$E$8,'2.CropManagement'!AR$49:AR$50),0),Import!E466)</f>
        <v>[Select]</v>
      </c>
      <c r="I116" s="1204" t="str">
        <f ca="1">IF(ISBLANK(Import!F466),IF(AD116&lt;$AF$28,$AF$48,IF(AD116&lt;$AF$29,$AF$49,$AF$50)),Import!F466)</f>
        <v>Very Short Haul</v>
      </c>
      <c r="J116" s="1544"/>
      <c r="K116" s="1544"/>
      <c r="L116" s="1544"/>
      <c r="M116" s="1545"/>
      <c r="N116" s="2"/>
      <c r="O116" s="2"/>
      <c r="P116" s="2"/>
      <c r="Q116" s="2"/>
      <c r="R116" s="2"/>
      <c r="S116" s="2"/>
      <c r="T116" s="2"/>
      <c r="U116" s="2"/>
      <c r="V116" s="2"/>
      <c r="AA116" s="174">
        <f t="shared" ca="1" si="16"/>
        <v>0</v>
      </c>
      <c r="AB116" s="174">
        <f t="shared" ca="1" si="17"/>
        <v>1.9362299999999999</v>
      </c>
      <c r="AC116" s="174">
        <f ca="1">SUMIF('2.CropManagement'!X$157:X$160,'7.Transport'!F116,'2.CropManagement'!Y$157:Y$160)*E116</f>
        <v>0</v>
      </c>
      <c r="AD116" s="174">
        <f t="shared" ca="1" si="18"/>
        <v>0</v>
      </c>
    </row>
    <row r="117" spans="1:30" x14ac:dyDescent="0.25">
      <c r="A117" s="2"/>
      <c r="B117" s="942" t="s">
        <v>1460</v>
      </c>
      <c r="C117" s="943"/>
      <c r="D117" s="186">
        <v>25</v>
      </c>
      <c r="E117" s="1204">
        <f>IF(ISBLANK(Import!B467),"",Import!B467)</f>
        <v>0</v>
      </c>
      <c r="F117" s="1204" t="str">
        <f ca="1">IF(ISBLANK(Import!C467),OFFSET('2.CropManagement'!AV$48,SUMIF('2.CropManagement'!AQ$49:AQ$50,'1.GeneralInfo'!$E$8,'2.CropManagement'!AR$49:AR$50),0),Import!C467)</f>
        <v>[Select]</v>
      </c>
      <c r="G117" s="1204">
        <f>IF(ISBLANK(Import!D467),"",Import!D467)</f>
        <v>0</v>
      </c>
      <c r="H117" s="1204" t="str">
        <f ca="1">IF(ISBLANK(Import!E467),OFFSET('2.CropManagement'!AZ$48,SUMIF('2.CropManagement'!AQ$49:AQ$50,'1.GeneralInfo'!$E$8,'2.CropManagement'!AR$49:AR$50),0),Import!E467)</f>
        <v>[Select]</v>
      </c>
      <c r="I117" s="1204" t="str">
        <f ca="1">IF(ISBLANK(Import!F467),IF(AD117&lt;$AF$28,$AF$48,IF(AD117&lt;$AF$29,$AF$49,$AF$50)),Import!F467)</f>
        <v>Very Short Haul</v>
      </c>
      <c r="J117" s="1544"/>
      <c r="K117" s="1544"/>
      <c r="L117" s="1544"/>
      <c r="M117" s="1545"/>
      <c r="N117" s="2"/>
      <c r="O117" s="2"/>
      <c r="P117" s="2"/>
      <c r="Q117" s="2"/>
      <c r="R117" s="2"/>
      <c r="S117" s="2"/>
      <c r="T117" s="2"/>
      <c r="U117" s="2"/>
      <c r="V117" s="2"/>
      <c r="AA117" s="174">
        <f t="shared" ca="1" si="16"/>
        <v>0</v>
      </c>
      <c r="AB117" s="174">
        <f t="shared" ca="1" si="17"/>
        <v>1.9362299999999999</v>
      </c>
      <c r="AC117" s="174">
        <f ca="1">SUMIF('2.CropManagement'!X$157:X$160,'7.Transport'!F117,'2.CropManagement'!Y$157:Y$160)*E117</f>
        <v>0</v>
      </c>
      <c r="AD117" s="174">
        <f t="shared" ca="1" si="18"/>
        <v>0</v>
      </c>
    </row>
    <row r="118" spans="1:30" x14ac:dyDescent="0.25">
      <c r="A118" s="2"/>
      <c r="B118" s="942" t="s">
        <v>1460</v>
      </c>
      <c r="C118" s="943"/>
      <c r="D118" s="186">
        <v>26</v>
      </c>
      <c r="E118" s="1204">
        <f>IF(ISBLANK(Import!B468),"",Import!B468)</f>
        <v>0</v>
      </c>
      <c r="F118" s="1204" t="str">
        <f ca="1">IF(ISBLANK(Import!C468),OFFSET('2.CropManagement'!AV$48,SUMIF('2.CropManagement'!AQ$49:AQ$50,'1.GeneralInfo'!$E$8,'2.CropManagement'!AR$49:AR$50),0),Import!C468)</f>
        <v>[Select]</v>
      </c>
      <c r="G118" s="1204">
        <f>IF(ISBLANK(Import!D468),"",Import!D468)</f>
        <v>0</v>
      </c>
      <c r="H118" s="1204" t="str">
        <f ca="1">IF(ISBLANK(Import!E468),OFFSET('2.CropManagement'!AZ$48,SUMIF('2.CropManagement'!AQ$49:AQ$50,'1.GeneralInfo'!$E$8,'2.CropManagement'!AR$49:AR$50),0),Import!E468)</f>
        <v>[Select]</v>
      </c>
      <c r="I118" s="1204" t="str">
        <f ca="1">IF(ISBLANK(Import!F468),IF(AD118&lt;$AF$28,$AF$48,IF(AD118&lt;$AF$29,$AF$49,$AF$50)),Import!F468)</f>
        <v>Very Short Haul</v>
      </c>
      <c r="J118" s="1544"/>
      <c r="K118" s="1544"/>
      <c r="L118" s="1544"/>
      <c r="M118" s="1545"/>
      <c r="N118" s="2"/>
      <c r="O118" s="2"/>
      <c r="P118" s="2"/>
      <c r="Q118" s="2"/>
      <c r="R118" s="2"/>
      <c r="S118" s="2"/>
      <c r="T118" s="2"/>
      <c r="U118" s="2"/>
      <c r="V118" s="2"/>
      <c r="AA118" s="174">
        <f t="shared" ca="1" si="16"/>
        <v>0</v>
      </c>
      <c r="AB118" s="174">
        <f t="shared" ca="1" si="17"/>
        <v>1.9362299999999999</v>
      </c>
      <c r="AC118" s="174">
        <f ca="1">SUMIF('2.CropManagement'!X$157:X$160,'7.Transport'!F118,'2.CropManagement'!Y$157:Y$160)*E118</f>
        <v>0</v>
      </c>
      <c r="AD118" s="174">
        <f t="shared" ca="1" si="18"/>
        <v>0</v>
      </c>
    </row>
    <row r="119" spans="1:30" x14ac:dyDescent="0.25">
      <c r="A119" s="2"/>
      <c r="B119" s="942" t="s">
        <v>1460</v>
      </c>
      <c r="C119" s="943"/>
      <c r="D119" s="186">
        <v>27</v>
      </c>
      <c r="E119" s="1204">
        <f>IF(ISBLANK(Import!B469),"",Import!B469)</f>
        <v>0</v>
      </c>
      <c r="F119" s="1204" t="str">
        <f ca="1">IF(ISBLANK(Import!C469),OFFSET('2.CropManagement'!AV$48,SUMIF('2.CropManagement'!AQ$49:AQ$50,'1.GeneralInfo'!$E$8,'2.CropManagement'!AR$49:AR$50),0),Import!C469)</f>
        <v>[Select]</v>
      </c>
      <c r="G119" s="1204">
        <f>IF(ISBLANK(Import!D469),"",Import!D469)</f>
        <v>0</v>
      </c>
      <c r="H119" s="1204" t="str">
        <f ca="1">IF(ISBLANK(Import!E469),OFFSET('2.CropManagement'!AZ$48,SUMIF('2.CropManagement'!AQ$49:AQ$50,'1.GeneralInfo'!$E$8,'2.CropManagement'!AR$49:AR$50),0),Import!E469)</f>
        <v>[Select]</v>
      </c>
      <c r="I119" s="1204" t="str">
        <f ca="1">IF(ISBLANK(Import!F469),IF(AD119&lt;$AF$28,$AF$48,IF(AD119&lt;$AF$29,$AF$49,$AF$50)),Import!F469)</f>
        <v>Very Short Haul</v>
      </c>
      <c r="J119" s="1544"/>
      <c r="K119" s="1544"/>
      <c r="L119" s="1544"/>
      <c r="M119" s="1545"/>
      <c r="N119" s="2"/>
      <c r="O119" s="2"/>
      <c r="P119" s="2"/>
      <c r="Q119" s="2"/>
      <c r="R119" s="2"/>
      <c r="S119" s="2"/>
      <c r="T119" s="2"/>
      <c r="U119" s="2"/>
      <c r="V119" s="2"/>
      <c r="AA119" s="174">
        <f t="shared" ca="1" si="16"/>
        <v>0</v>
      </c>
      <c r="AB119" s="174">
        <f t="shared" ca="1" si="17"/>
        <v>1.9362299999999999</v>
      </c>
      <c r="AC119" s="174">
        <f ca="1">SUMIF('2.CropManagement'!X$157:X$160,'7.Transport'!F119,'2.CropManagement'!Y$157:Y$160)*E119</f>
        <v>0</v>
      </c>
      <c r="AD119" s="174">
        <f t="shared" ca="1" si="18"/>
        <v>0</v>
      </c>
    </row>
    <row r="120" spans="1:30" ht="13.25" thickBot="1" x14ac:dyDescent="0.3">
      <c r="A120" s="2"/>
      <c r="B120" s="1546" t="s">
        <v>1460</v>
      </c>
      <c r="C120" s="946"/>
      <c r="D120" s="493">
        <v>28</v>
      </c>
      <c r="E120" s="1204">
        <f>IF(ISBLANK(Import!B470),"",Import!B470)</f>
        <v>0</v>
      </c>
      <c r="F120" s="1204" t="str">
        <f ca="1">IF(ISBLANK(Import!C470),OFFSET('2.CropManagement'!AV$48,SUMIF('2.CropManagement'!AQ$49:AQ$50,'1.GeneralInfo'!$E$8,'2.CropManagement'!AR$49:AR$50),0),Import!C470)</f>
        <v>[Select]</v>
      </c>
      <c r="G120" s="1204">
        <f>IF(ISBLANK(Import!D470),"",Import!D470)</f>
        <v>0</v>
      </c>
      <c r="H120" s="1204" t="str">
        <f ca="1">IF(ISBLANK(Import!E470),OFFSET('2.CropManagement'!AZ$48,SUMIF('2.CropManagement'!AQ$49:AQ$50,'1.GeneralInfo'!$E$8,'2.CropManagement'!AR$49:AR$50),0),Import!E470)</f>
        <v>[Select]</v>
      </c>
      <c r="I120" s="1204" t="str">
        <f ca="1">IF(ISBLANK(Import!F470),IF(AD120&lt;$AF$28,$AF$48,IF(AD120&lt;$AF$29,$AF$49,$AF$50)),Import!F470)</f>
        <v>Very Short Haul</v>
      </c>
      <c r="J120" s="1547"/>
      <c r="K120" s="1547"/>
      <c r="L120" s="1547"/>
      <c r="M120" s="1548"/>
      <c r="N120" s="2"/>
      <c r="O120" s="2"/>
      <c r="P120" s="2"/>
      <c r="Q120" s="2"/>
      <c r="R120" s="2"/>
      <c r="S120" s="2"/>
      <c r="T120" s="2"/>
      <c r="U120" s="2"/>
      <c r="V120" s="2"/>
      <c r="AA120" s="174">
        <f t="shared" ca="1" si="16"/>
        <v>0</v>
      </c>
      <c r="AB120" s="174">
        <f t="shared" ca="1" si="17"/>
        <v>1.9362299999999999</v>
      </c>
      <c r="AC120" s="174">
        <f ca="1">SUMIF('2.CropManagement'!X$157:X$160,'7.Transport'!F120,'2.CropManagement'!Y$157:Y$160)*E120</f>
        <v>0</v>
      </c>
      <c r="AD120" s="174">
        <f t="shared" ca="1" si="18"/>
        <v>0</v>
      </c>
    </row>
    <row r="121" spans="1:30" ht="13.25" thickBot="1" x14ac:dyDescent="0.3">
      <c r="A121" s="2"/>
      <c r="B121" s="2"/>
      <c r="C121" s="2"/>
      <c r="D121" s="2"/>
      <c r="E121" s="2"/>
      <c r="F121" s="2"/>
      <c r="G121" s="2"/>
      <c r="H121" s="2"/>
      <c r="I121" s="2"/>
      <c r="J121" s="2"/>
      <c r="K121" s="2"/>
      <c r="L121" s="2"/>
      <c r="M121" s="2"/>
      <c r="N121" s="2"/>
      <c r="O121" s="2"/>
      <c r="P121" s="2"/>
      <c r="Q121" s="2"/>
      <c r="R121" s="2"/>
      <c r="S121" s="2"/>
      <c r="T121" s="2"/>
      <c r="U121" s="2"/>
      <c r="V121" s="2"/>
      <c r="Z121" t="s">
        <v>104</v>
      </c>
      <c r="AA121" s="174">
        <f ca="1">SUM(AA101:AA120)</f>
        <v>0</v>
      </c>
    </row>
    <row r="122" spans="1:30" x14ac:dyDescent="0.25">
      <c r="A122" s="2"/>
      <c r="B122" s="940"/>
      <c r="C122" s="941"/>
      <c r="D122" s="346"/>
      <c r="E122" s="118" t="s">
        <v>2061</v>
      </c>
      <c r="F122" s="118" t="s">
        <v>2062</v>
      </c>
      <c r="G122" s="118" t="s">
        <v>1458</v>
      </c>
      <c r="H122" s="118" t="s">
        <v>2062</v>
      </c>
      <c r="I122" s="118" t="s">
        <v>1273</v>
      </c>
      <c r="J122" s="1549"/>
      <c r="K122" s="1045" t="s">
        <v>1720</v>
      </c>
      <c r="L122" s="346"/>
      <c r="M122" s="1550"/>
      <c r="N122" s="2"/>
      <c r="O122" s="2"/>
      <c r="P122" s="2"/>
      <c r="Q122" s="2"/>
      <c r="R122" s="2"/>
      <c r="S122" s="2"/>
      <c r="T122" s="2"/>
      <c r="U122" s="2"/>
      <c r="V122" s="2"/>
    </row>
    <row r="123" spans="1:30" x14ac:dyDescent="0.25">
      <c r="A123" s="2"/>
      <c r="B123" s="942" t="s">
        <v>1461</v>
      </c>
      <c r="C123" s="943"/>
      <c r="D123" s="186">
        <v>9</v>
      </c>
      <c r="E123" s="1204">
        <f>IF(ISBLANK(Import!B473),"",Import!B473)</f>
        <v>0</v>
      </c>
      <c r="F123" s="1204" t="str">
        <f ca="1">IF(ISBLANK(Import!C473),OFFSET('2.CropManagement'!AV$48,SUMIF('2.CropManagement'!AQ$49:AQ$50,'1.GeneralInfo'!$E$8,'2.CropManagement'!AR$49:AR$50),0),Import!C473)</f>
        <v>[Select]</v>
      </c>
      <c r="G123" s="1204">
        <f>IF(ISBLANK(Import!D473),"",Import!D473)</f>
        <v>0</v>
      </c>
      <c r="H123" s="1204" t="str">
        <f ca="1">IF(ISBLANK(Import!E473),OFFSET('2.CropManagement'!AZ$48,SUMIF('2.CropManagement'!AQ$49:AQ$50,'1.GeneralInfo'!$E$8,'2.CropManagement'!AR$49:AR$50),0),Import!E473)</f>
        <v>[Select]</v>
      </c>
      <c r="I123" s="1204">
        <f>IF(ISBLANK(Import!F473),"",Import!F473)</f>
        <v>0</v>
      </c>
      <c r="J123" s="1544"/>
      <c r="K123" s="100" t="s">
        <v>405</v>
      </c>
      <c r="L123" s="186"/>
      <c r="M123" s="1545"/>
      <c r="N123" s="2"/>
      <c r="O123" s="2"/>
      <c r="P123" s="2"/>
      <c r="Q123" s="2"/>
      <c r="R123" s="2"/>
      <c r="S123" s="2"/>
      <c r="T123" s="2"/>
      <c r="U123" s="2"/>
      <c r="V123" s="2"/>
      <c r="AA123" s="174">
        <f ca="1">AB123*AC123*AD123</f>
        <v>0</v>
      </c>
      <c r="AB123" s="174">
        <f>SUMIF(AH$52:AH$59,I123,AJ$52:AJ$59)</f>
        <v>0</v>
      </c>
      <c r="AC123" s="174">
        <f ca="1">SUMIF('2.CropManagement'!X$157:X$160,'7.Transport'!F123,'2.CropManagement'!Y$157:Y$160)*E123</f>
        <v>0</v>
      </c>
      <c r="AD123" s="174">
        <f ca="1">G123*SUMIF(AF$24:AF$25,H123,AH$24:AH$25)</f>
        <v>0</v>
      </c>
    </row>
    <row r="124" spans="1:30" x14ac:dyDescent="0.25">
      <c r="A124" s="2"/>
      <c r="B124" s="942" t="s">
        <v>1461</v>
      </c>
      <c r="C124" s="943"/>
      <c r="D124" s="186">
        <v>10</v>
      </c>
      <c r="E124" s="1204">
        <f>IF(ISBLANK(Import!B474),"",Import!B474)</f>
        <v>0</v>
      </c>
      <c r="F124" s="1204" t="str">
        <f ca="1">IF(ISBLANK(Import!C474),OFFSET('2.CropManagement'!AV$48,SUMIF('2.CropManagement'!AQ$49:AQ$50,'1.GeneralInfo'!$E$8,'2.CropManagement'!AR$49:AR$50),0),Import!C474)</f>
        <v>[Select]</v>
      </c>
      <c r="G124" s="1204">
        <f>IF(ISBLANK(Import!D474),"",Import!D474)</f>
        <v>0</v>
      </c>
      <c r="H124" s="1204" t="str">
        <f ca="1">IF(ISBLANK(Import!E474),OFFSET('2.CropManagement'!AZ$48,SUMIF('2.CropManagement'!AQ$49:AQ$50,'1.GeneralInfo'!$E$8,'2.CropManagement'!AR$49:AR$50),0),Import!E474)</f>
        <v>[Select]</v>
      </c>
      <c r="I124" s="1204">
        <f>IF(ISBLANK(Import!F474),"",Import!F474)</f>
        <v>0</v>
      </c>
      <c r="J124" s="1544"/>
      <c r="K124" s="100" t="s">
        <v>734</v>
      </c>
      <c r="L124" s="186"/>
      <c r="M124" s="1545"/>
      <c r="N124" s="2"/>
      <c r="O124" s="2"/>
      <c r="P124" s="2"/>
      <c r="Q124" s="2"/>
      <c r="R124" s="2"/>
      <c r="S124" s="2"/>
      <c r="T124" s="2"/>
      <c r="U124" s="2"/>
      <c r="V124" s="2"/>
      <c r="AA124" s="174">
        <f t="shared" ref="AA124:AA142" ca="1" si="19">AB124*AC124*AD124</f>
        <v>0</v>
      </c>
      <c r="AB124" s="174">
        <f t="shared" ref="AB124:AB142" si="20">SUMIF(AH$52:AH$59,I124,AJ$52:AJ$59)</f>
        <v>0</v>
      </c>
      <c r="AC124" s="174">
        <f ca="1">SUMIF('2.CropManagement'!X$157:X$160,'7.Transport'!F124,'2.CropManagement'!Y$157:Y$160)*E124</f>
        <v>0</v>
      </c>
      <c r="AD124" s="174">
        <f t="shared" ref="AD124:AD142" ca="1" si="21">G124*SUMIF(AF$24:AF$25,H124,AH$24:AH$25)</f>
        <v>0</v>
      </c>
    </row>
    <row r="125" spans="1:30" x14ac:dyDescent="0.25">
      <c r="A125" s="2"/>
      <c r="B125" s="942" t="s">
        <v>1461</v>
      </c>
      <c r="C125" s="943"/>
      <c r="D125" s="186">
        <v>11</v>
      </c>
      <c r="E125" s="1204">
        <f>IF(ISBLANK(Import!B475),"",Import!B475)</f>
        <v>0</v>
      </c>
      <c r="F125" s="1204" t="str">
        <f ca="1">IF(ISBLANK(Import!C475),OFFSET('2.CropManagement'!AV$48,SUMIF('2.CropManagement'!AQ$49:AQ$50,'1.GeneralInfo'!$E$8,'2.CropManagement'!AR$49:AR$50),0),Import!C475)</f>
        <v>[Select]</v>
      </c>
      <c r="G125" s="1204">
        <f>IF(ISBLANK(Import!D475),"",Import!D475)</f>
        <v>0</v>
      </c>
      <c r="H125" s="1204" t="str">
        <f ca="1">IF(ISBLANK(Import!E475),OFFSET('2.CropManagement'!AZ$48,SUMIF('2.CropManagement'!AQ$49:AQ$50,'1.GeneralInfo'!$E$8,'2.CropManagement'!AR$49:AR$50),0),Import!E475)</f>
        <v>[Select]</v>
      </c>
      <c r="I125" s="1204">
        <f>IF(ISBLANK(Import!F475),"",Import!F475)</f>
        <v>0</v>
      </c>
      <c r="J125" s="1544"/>
      <c r="K125" s="100" t="s">
        <v>404</v>
      </c>
      <c r="L125" s="186"/>
      <c r="M125" s="1545"/>
      <c r="N125" s="2"/>
      <c r="O125" s="2"/>
      <c r="P125" s="2"/>
      <c r="Q125" s="2"/>
      <c r="R125" s="2"/>
      <c r="S125" s="2"/>
      <c r="T125" s="2"/>
      <c r="U125" s="2"/>
      <c r="V125" s="2"/>
      <c r="AA125" s="174">
        <f t="shared" ca="1" si="19"/>
        <v>0</v>
      </c>
      <c r="AB125" s="174">
        <f t="shared" si="20"/>
        <v>0</v>
      </c>
      <c r="AC125" s="174">
        <f ca="1">SUMIF('2.CropManagement'!X$157:X$160,'7.Transport'!F125,'2.CropManagement'!Y$157:Y$160)*E125</f>
        <v>0</v>
      </c>
      <c r="AD125" s="174">
        <f t="shared" ca="1" si="21"/>
        <v>0</v>
      </c>
    </row>
    <row r="126" spans="1:30" x14ac:dyDescent="0.25">
      <c r="A126" s="2"/>
      <c r="B126" s="942" t="s">
        <v>1461</v>
      </c>
      <c r="C126" s="943"/>
      <c r="D126" s="186">
        <v>12</v>
      </c>
      <c r="E126" s="1204">
        <f>IF(ISBLANK(Import!B476),"",Import!B476)</f>
        <v>0</v>
      </c>
      <c r="F126" s="1204" t="str">
        <f ca="1">IF(ISBLANK(Import!C476),OFFSET('2.CropManagement'!AV$48,SUMIF('2.CropManagement'!AQ$49:AQ$50,'1.GeneralInfo'!$E$8,'2.CropManagement'!AR$49:AR$50),0),Import!C476)</f>
        <v>[Select]</v>
      </c>
      <c r="G126" s="1204">
        <f>IF(ISBLANK(Import!D476),"",Import!D476)</f>
        <v>0</v>
      </c>
      <c r="H126" s="1204" t="str">
        <f ca="1">IF(ISBLANK(Import!E476),OFFSET('2.CropManagement'!AZ$48,SUMIF('2.CropManagement'!AQ$49:AQ$50,'1.GeneralInfo'!$E$8,'2.CropManagement'!AR$49:AR$50),0),Import!E476)</f>
        <v>[Select]</v>
      </c>
      <c r="I126" s="1204">
        <f>IF(ISBLANK(Import!F476),"",Import!F476)</f>
        <v>0</v>
      </c>
      <c r="J126" s="1544"/>
      <c r="K126" s="100" t="s">
        <v>679</v>
      </c>
      <c r="L126" s="186"/>
      <c r="M126" s="1545"/>
      <c r="N126" s="2"/>
      <c r="O126" s="2"/>
      <c r="P126" s="2"/>
      <c r="Q126" s="2"/>
      <c r="R126" s="2"/>
      <c r="S126" s="2"/>
      <c r="T126" s="2"/>
      <c r="U126" s="2"/>
      <c r="V126" s="2"/>
      <c r="AA126" s="174">
        <f t="shared" ca="1" si="19"/>
        <v>0</v>
      </c>
      <c r="AB126" s="174">
        <f t="shared" si="20"/>
        <v>0</v>
      </c>
      <c r="AC126" s="174">
        <f ca="1">SUMIF('2.CropManagement'!X$157:X$160,'7.Transport'!F126,'2.CropManagement'!Y$157:Y$160)*E126</f>
        <v>0</v>
      </c>
      <c r="AD126" s="174">
        <f t="shared" ca="1" si="21"/>
        <v>0</v>
      </c>
    </row>
    <row r="127" spans="1:30" x14ac:dyDescent="0.25">
      <c r="A127" s="2"/>
      <c r="B127" s="942" t="s">
        <v>1461</v>
      </c>
      <c r="C127" s="943"/>
      <c r="D127" s="186">
        <v>13</v>
      </c>
      <c r="E127" s="1204">
        <f>IF(ISBLANK(Import!B477),"",Import!B477)</f>
        <v>0</v>
      </c>
      <c r="F127" s="1204" t="str">
        <f ca="1">IF(ISBLANK(Import!C477),OFFSET('2.CropManagement'!AV$48,SUMIF('2.CropManagement'!AQ$49:AQ$50,'1.GeneralInfo'!$E$8,'2.CropManagement'!AR$49:AR$50),0),Import!C477)</f>
        <v>[Select]</v>
      </c>
      <c r="G127" s="1204">
        <f>IF(ISBLANK(Import!D477),"",Import!D477)</f>
        <v>0</v>
      </c>
      <c r="H127" s="1204" t="str">
        <f ca="1">IF(ISBLANK(Import!E477),OFFSET('2.CropManagement'!AZ$48,SUMIF('2.CropManagement'!AQ$49:AQ$50,'1.GeneralInfo'!$E$8,'2.CropManagement'!AR$49:AR$50),0),Import!E477)</f>
        <v>[Select]</v>
      </c>
      <c r="I127" s="1204">
        <f>IF(ISBLANK(Import!F477),"",Import!F477)</f>
        <v>0</v>
      </c>
      <c r="J127" s="1544"/>
      <c r="K127" s="100" t="s">
        <v>671</v>
      </c>
      <c r="L127" s="186"/>
      <c r="M127" s="1545"/>
      <c r="N127" s="2"/>
      <c r="O127" s="2"/>
      <c r="P127" s="2"/>
      <c r="Q127" s="2"/>
      <c r="R127" s="2"/>
      <c r="S127" s="2"/>
      <c r="T127" s="2"/>
      <c r="U127" s="2"/>
      <c r="V127" s="2"/>
      <c r="AA127" s="174">
        <f t="shared" ca="1" si="19"/>
        <v>0</v>
      </c>
      <c r="AB127" s="174">
        <f t="shared" si="20"/>
        <v>0</v>
      </c>
      <c r="AC127" s="174">
        <f ca="1">SUMIF('2.CropManagement'!X$157:X$160,'7.Transport'!F127,'2.CropManagement'!Y$157:Y$160)*E127</f>
        <v>0</v>
      </c>
      <c r="AD127" s="174">
        <f t="shared" ca="1" si="21"/>
        <v>0</v>
      </c>
    </row>
    <row r="128" spans="1:30" x14ac:dyDescent="0.25">
      <c r="A128" s="2"/>
      <c r="B128" s="942" t="s">
        <v>1461</v>
      </c>
      <c r="C128" s="943"/>
      <c r="D128" s="186">
        <v>14</v>
      </c>
      <c r="E128" s="1204">
        <f>IF(ISBLANK(Import!B478),"",Import!B478)</f>
        <v>0</v>
      </c>
      <c r="F128" s="1204" t="str">
        <f ca="1">IF(ISBLANK(Import!C478),OFFSET('2.CropManagement'!AV$48,SUMIF('2.CropManagement'!AQ$49:AQ$50,'1.GeneralInfo'!$E$8,'2.CropManagement'!AR$49:AR$50),0),Import!C478)</f>
        <v>[Select]</v>
      </c>
      <c r="G128" s="1204">
        <f>IF(ISBLANK(Import!D478),"",Import!D478)</f>
        <v>0</v>
      </c>
      <c r="H128" s="1204" t="str">
        <f ca="1">IF(ISBLANK(Import!E478),OFFSET('2.CropManagement'!AZ$48,SUMIF('2.CropManagement'!AQ$49:AQ$50,'1.GeneralInfo'!$E$8,'2.CropManagement'!AR$49:AR$50),0),Import!E478)</f>
        <v>[Select]</v>
      </c>
      <c r="I128" s="1204">
        <f>IF(ISBLANK(Import!F478),"",Import!F478)</f>
        <v>0</v>
      </c>
      <c r="J128" s="1544"/>
      <c r="K128" s="100" t="s">
        <v>492</v>
      </c>
      <c r="L128" s="186"/>
      <c r="M128" s="1545"/>
      <c r="N128" s="2"/>
      <c r="O128" s="2"/>
      <c r="P128" s="2"/>
      <c r="Q128" s="2"/>
      <c r="R128" s="2"/>
      <c r="S128" s="2"/>
      <c r="T128" s="2"/>
      <c r="U128" s="2"/>
      <c r="V128" s="2"/>
      <c r="AA128" s="174">
        <f t="shared" ca="1" si="19"/>
        <v>0</v>
      </c>
      <c r="AB128" s="174">
        <f t="shared" si="20"/>
        <v>0</v>
      </c>
      <c r="AC128" s="174">
        <f ca="1">SUMIF('2.CropManagement'!X$157:X$160,'7.Transport'!F128,'2.CropManagement'!Y$157:Y$160)*E128</f>
        <v>0</v>
      </c>
      <c r="AD128" s="174">
        <f t="shared" ca="1" si="21"/>
        <v>0</v>
      </c>
    </row>
    <row r="129" spans="1:30" x14ac:dyDescent="0.25">
      <c r="A129" s="2"/>
      <c r="B129" s="942" t="s">
        <v>1461</v>
      </c>
      <c r="C129" s="943"/>
      <c r="D129" s="186">
        <v>15</v>
      </c>
      <c r="E129" s="1204">
        <f>IF(ISBLANK(Import!B479),"",Import!B479)</f>
        <v>0</v>
      </c>
      <c r="F129" s="1204" t="str">
        <f ca="1">IF(ISBLANK(Import!C479),OFFSET('2.CropManagement'!AV$48,SUMIF('2.CropManagement'!AQ$49:AQ$50,'1.GeneralInfo'!$E$8,'2.CropManagement'!AR$49:AR$50),0),Import!C479)</f>
        <v>[Select]</v>
      </c>
      <c r="G129" s="1204">
        <f>IF(ISBLANK(Import!D479),"",Import!D479)</f>
        <v>0</v>
      </c>
      <c r="H129" s="1204" t="str">
        <f ca="1">IF(ISBLANK(Import!E479),OFFSET('2.CropManagement'!AZ$48,SUMIF('2.CropManagement'!AQ$49:AQ$50,'1.GeneralInfo'!$E$8,'2.CropManagement'!AR$49:AR$50),0),Import!E479)</f>
        <v>[Select]</v>
      </c>
      <c r="I129" s="1204">
        <f>IF(ISBLANK(Import!F479),"",Import!F479)</f>
        <v>0</v>
      </c>
      <c r="J129" s="1544"/>
      <c r="K129" s="100" t="s">
        <v>520</v>
      </c>
      <c r="L129" s="186"/>
      <c r="M129" s="1545"/>
      <c r="N129" s="2"/>
      <c r="O129" s="2"/>
      <c r="P129" s="2"/>
      <c r="Q129" s="2"/>
      <c r="R129" s="2"/>
      <c r="S129" s="2"/>
      <c r="T129" s="2"/>
      <c r="U129" s="2"/>
      <c r="V129" s="2"/>
      <c r="AA129" s="174">
        <f t="shared" ca="1" si="19"/>
        <v>0</v>
      </c>
      <c r="AB129" s="174">
        <f t="shared" si="20"/>
        <v>0</v>
      </c>
      <c r="AC129" s="174">
        <f ca="1">SUMIF('2.CropManagement'!X$157:X$160,'7.Transport'!F129,'2.CropManagement'!Y$157:Y$160)*E129</f>
        <v>0</v>
      </c>
      <c r="AD129" s="174">
        <f t="shared" ca="1" si="21"/>
        <v>0</v>
      </c>
    </row>
    <row r="130" spans="1:30" x14ac:dyDescent="0.25">
      <c r="A130" s="2"/>
      <c r="B130" s="942" t="s">
        <v>1461</v>
      </c>
      <c r="C130" s="943"/>
      <c r="D130" s="186">
        <v>16</v>
      </c>
      <c r="E130" s="1204">
        <f>IF(ISBLANK(Import!B480),"",Import!B480)</f>
        <v>0</v>
      </c>
      <c r="F130" s="1204" t="str">
        <f ca="1">IF(ISBLANK(Import!C480),OFFSET('2.CropManagement'!AV$48,SUMIF('2.CropManagement'!AQ$49:AQ$50,'1.GeneralInfo'!$E$8,'2.CropManagement'!AR$49:AR$50),0),Import!C480)</f>
        <v>[Select]</v>
      </c>
      <c r="G130" s="1204">
        <f>IF(ISBLANK(Import!D480),"",Import!D480)</f>
        <v>0</v>
      </c>
      <c r="H130" s="1204" t="str">
        <f ca="1">IF(ISBLANK(Import!E480),OFFSET('2.CropManagement'!AZ$48,SUMIF('2.CropManagement'!AQ$49:AQ$50,'1.GeneralInfo'!$E$8,'2.CropManagement'!AR$49:AR$50),0),Import!E480)</f>
        <v>[Select]</v>
      </c>
      <c r="I130" s="1204">
        <f>IF(ISBLANK(Import!F480),"",Import!F480)</f>
        <v>0</v>
      </c>
      <c r="J130" s="1544"/>
      <c r="K130" s="100" t="s">
        <v>521</v>
      </c>
      <c r="L130" s="186"/>
      <c r="M130" s="1545"/>
      <c r="N130" s="2"/>
      <c r="O130" s="2"/>
      <c r="P130" s="2"/>
      <c r="Q130" s="2"/>
      <c r="R130" s="2"/>
      <c r="S130" s="2"/>
      <c r="T130" s="2"/>
      <c r="U130" s="2"/>
      <c r="V130" s="2"/>
      <c r="AA130" s="174">
        <f t="shared" ca="1" si="19"/>
        <v>0</v>
      </c>
      <c r="AB130" s="174">
        <f t="shared" si="20"/>
        <v>0</v>
      </c>
      <c r="AC130" s="174">
        <f ca="1">SUMIF('2.CropManagement'!X$157:X$160,'7.Transport'!F130,'2.CropManagement'!Y$157:Y$160)*E130</f>
        <v>0</v>
      </c>
      <c r="AD130" s="174">
        <f t="shared" ca="1" si="21"/>
        <v>0</v>
      </c>
    </row>
    <row r="131" spans="1:30" x14ac:dyDescent="0.25">
      <c r="A131" s="2"/>
      <c r="B131" s="942" t="s">
        <v>1461</v>
      </c>
      <c r="C131" s="943"/>
      <c r="D131" s="186">
        <v>17</v>
      </c>
      <c r="E131" s="1204">
        <f>IF(ISBLANK(Import!B481),"",Import!B481)</f>
        <v>0</v>
      </c>
      <c r="F131" s="1204" t="str">
        <f ca="1">IF(ISBLANK(Import!C481),OFFSET('2.CropManagement'!AV$48,SUMIF('2.CropManagement'!AQ$49:AQ$50,'1.GeneralInfo'!$E$8,'2.CropManagement'!AR$49:AR$50),0),Import!C481)</f>
        <v>[Select]</v>
      </c>
      <c r="G131" s="1204">
        <f>IF(ISBLANK(Import!D481),"",Import!D481)</f>
        <v>0</v>
      </c>
      <c r="H131" s="1204" t="str">
        <f ca="1">IF(ISBLANK(Import!E481),OFFSET('2.CropManagement'!AZ$48,SUMIF('2.CropManagement'!AQ$49:AQ$50,'1.GeneralInfo'!$E$8,'2.CropManagement'!AR$49:AR$50),0),Import!E481)</f>
        <v>[Select]</v>
      </c>
      <c r="I131" s="1204">
        <f>IF(ISBLANK(Import!F481),"",Import!F481)</f>
        <v>0</v>
      </c>
      <c r="J131" s="1544"/>
      <c r="K131" s="1544"/>
      <c r="L131" s="1544"/>
      <c r="M131" s="1545"/>
      <c r="N131" s="2"/>
      <c r="O131" s="2"/>
      <c r="P131" s="2"/>
      <c r="Q131" s="2"/>
      <c r="R131" s="2"/>
      <c r="S131" s="2"/>
      <c r="T131" s="2"/>
      <c r="U131" s="2"/>
      <c r="V131" s="2"/>
      <c r="AA131" s="174">
        <f t="shared" ca="1" si="19"/>
        <v>0</v>
      </c>
      <c r="AB131" s="174">
        <f t="shared" si="20"/>
        <v>0</v>
      </c>
      <c r="AC131" s="174">
        <f ca="1">SUMIF('2.CropManagement'!X$157:X$160,'7.Transport'!F131,'2.CropManagement'!Y$157:Y$160)*E131</f>
        <v>0</v>
      </c>
      <c r="AD131" s="174">
        <f t="shared" ca="1" si="21"/>
        <v>0</v>
      </c>
    </row>
    <row r="132" spans="1:30" x14ac:dyDescent="0.25">
      <c r="A132" s="2"/>
      <c r="B132" s="942" t="s">
        <v>1461</v>
      </c>
      <c r="C132" s="943"/>
      <c r="D132" s="186">
        <v>18</v>
      </c>
      <c r="E132" s="1204">
        <f>IF(ISBLANK(Import!B482),"",Import!B482)</f>
        <v>0</v>
      </c>
      <c r="F132" s="1204" t="str">
        <f ca="1">IF(ISBLANK(Import!C482),OFFSET('2.CropManagement'!AV$48,SUMIF('2.CropManagement'!AQ$49:AQ$50,'1.GeneralInfo'!$E$8,'2.CropManagement'!AR$49:AR$50),0),Import!C482)</f>
        <v>[Select]</v>
      </c>
      <c r="G132" s="1204">
        <f>IF(ISBLANK(Import!D482),"",Import!D482)</f>
        <v>0</v>
      </c>
      <c r="H132" s="1204" t="str">
        <f ca="1">IF(ISBLANK(Import!E482),OFFSET('2.CropManagement'!AZ$48,SUMIF('2.CropManagement'!AQ$49:AQ$50,'1.GeneralInfo'!$E$8,'2.CropManagement'!AR$49:AR$50),0),Import!E482)</f>
        <v>[Select]</v>
      </c>
      <c r="I132" s="1204">
        <f>IF(ISBLANK(Import!F482),"",Import!F482)</f>
        <v>0</v>
      </c>
      <c r="J132" s="1544"/>
      <c r="K132" s="1544"/>
      <c r="L132" s="1544"/>
      <c r="M132" s="1545"/>
      <c r="N132" s="2"/>
      <c r="O132" s="2"/>
      <c r="P132" s="2"/>
      <c r="Q132" s="2"/>
      <c r="R132" s="2"/>
      <c r="S132" s="2"/>
      <c r="T132" s="2"/>
      <c r="U132" s="2"/>
      <c r="V132" s="2"/>
      <c r="AA132" s="174">
        <f t="shared" ca="1" si="19"/>
        <v>0</v>
      </c>
      <c r="AB132" s="174">
        <f t="shared" si="20"/>
        <v>0</v>
      </c>
      <c r="AC132" s="174">
        <f ca="1">SUMIF('2.CropManagement'!X$157:X$160,'7.Transport'!F132,'2.CropManagement'!Y$157:Y$160)*E132</f>
        <v>0</v>
      </c>
      <c r="AD132" s="174">
        <f t="shared" ca="1" si="21"/>
        <v>0</v>
      </c>
    </row>
    <row r="133" spans="1:30" x14ac:dyDescent="0.25">
      <c r="A133" s="2"/>
      <c r="B133" s="942" t="s">
        <v>1461</v>
      </c>
      <c r="C133" s="943"/>
      <c r="D133" s="186">
        <v>19</v>
      </c>
      <c r="E133" s="1204">
        <f>IF(ISBLANK(Import!B483),"",Import!B483)</f>
        <v>0</v>
      </c>
      <c r="F133" s="1204" t="str">
        <f ca="1">IF(ISBLANK(Import!C483),OFFSET('2.CropManagement'!AV$48,SUMIF('2.CropManagement'!AQ$49:AQ$50,'1.GeneralInfo'!$E$8,'2.CropManagement'!AR$49:AR$50),0),Import!C483)</f>
        <v>[Select]</v>
      </c>
      <c r="G133" s="1204">
        <f>IF(ISBLANK(Import!D483),"",Import!D483)</f>
        <v>0</v>
      </c>
      <c r="H133" s="1204" t="str">
        <f ca="1">IF(ISBLANK(Import!E483),OFFSET('2.CropManagement'!AZ$48,SUMIF('2.CropManagement'!AQ$49:AQ$50,'1.GeneralInfo'!$E$8,'2.CropManagement'!AR$49:AR$50),0),Import!E483)</f>
        <v>[Select]</v>
      </c>
      <c r="I133" s="1204">
        <f>IF(ISBLANK(Import!F483),"",Import!F483)</f>
        <v>0</v>
      </c>
      <c r="J133" s="1544"/>
      <c r="K133" s="1544"/>
      <c r="L133" s="1544"/>
      <c r="M133" s="1545"/>
      <c r="N133" s="2"/>
      <c r="O133" s="2"/>
      <c r="P133" s="2"/>
      <c r="Q133" s="2"/>
      <c r="R133" s="2"/>
      <c r="S133" s="2"/>
      <c r="T133" s="2"/>
      <c r="U133" s="2"/>
      <c r="V133" s="2"/>
      <c r="AA133" s="174">
        <f t="shared" ca="1" si="19"/>
        <v>0</v>
      </c>
      <c r="AB133" s="174">
        <f t="shared" si="20"/>
        <v>0</v>
      </c>
      <c r="AC133" s="174">
        <f ca="1">SUMIF('2.CropManagement'!X$157:X$160,'7.Transport'!F133,'2.CropManagement'!Y$157:Y$160)*E133</f>
        <v>0</v>
      </c>
      <c r="AD133" s="174">
        <f t="shared" ca="1" si="21"/>
        <v>0</v>
      </c>
    </row>
    <row r="134" spans="1:30" x14ac:dyDescent="0.25">
      <c r="A134" s="2"/>
      <c r="B134" s="942" t="s">
        <v>1461</v>
      </c>
      <c r="C134" s="943"/>
      <c r="D134" s="186">
        <v>20</v>
      </c>
      <c r="E134" s="1204">
        <f>IF(ISBLANK(Import!B484),"",Import!B484)</f>
        <v>0</v>
      </c>
      <c r="F134" s="1204" t="str">
        <f ca="1">IF(ISBLANK(Import!C484),OFFSET('2.CropManagement'!AV$48,SUMIF('2.CropManagement'!AQ$49:AQ$50,'1.GeneralInfo'!$E$8,'2.CropManagement'!AR$49:AR$50),0),Import!C484)</f>
        <v>[Select]</v>
      </c>
      <c r="G134" s="1204">
        <f>IF(ISBLANK(Import!D484),"",Import!D484)</f>
        <v>0</v>
      </c>
      <c r="H134" s="1204" t="str">
        <f ca="1">IF(ISBLANK(Import!E484),OFFSET('2.CropManagement'!AZ$48,SUMIF('2.CropManagement'!AQ$49:AQ$50,'1.GeneralInfo'!$E$8,'2.CropManagement'!AR$49:AR$50),0),Import!E484)</f>
        <v>[Select]</v>
      </c>
      <c r="I134" s="1204">
        <f>IF(ISBLANK(Import!F484),"",Import!F484)</f>
        <v>0</v>
      </c>
      <c r="J134" s="1544"/>
      <c r="K134" s="1544"/>
      <c r="L134" s="1544"/>
      <c r="M134" s="1545"/>
      <c r="N134" s="2"/>
      <c r="O134" s="2"/>
      <c r="P134" s="2"/>
      <c r="Q134" s="2"/>
      <c r="R134" s="2"/>
      <c r="S134" s="2"/>
      <c r="T134" s="2"/>
      <c r="U134" s="2"/>
      <c r="V134" s="2"/>
      <c r="AA134" s="174">
        <f t="shared" ca="1" si="19"/>
        <v>0</v>
      </c>
      <c r="AB134" s="174">
        <f t="shared" si="20"/>
        <v>0</v>
      </c>
      <c r="AC134" s="174">
        <f ca="1">SUMIF('2.CropManagement'!X$157:X$160,'7.Transport'!F134,'2.CropManagement'!Y$157:Y$160)*E134</f>
        <v>0</v>
      </c>
      <c r="AD134" s="174">
        <f t="shared" ca="1" si="21"/>
        <v>0</v>
      </c>
    </row>
    <row r="135" spans="1:30" x14ac:dyDescent="0.25">
      <c r="A135" s="2"/>
      <c r="B135" s="942" t="s">
        <v>1461</v>
      </c>
      <c r="C135" s="943"/>
      <c r="D135" s="186">
        <v>21</v>
      </c>
      <c r="E135" s="1204">
        <f>IF(ISBLANK(Import!B485),"",Import!B485)</f>
        <v>0</v>
      </c>
      <c r="F135" s="1204" t="str">
        <f ca="1">IF(ISBLANK(Import!C485),OFFSET('2.CropManagement'!AV$48,SUMIF('2.CropManagement'!AQ$49:AQ$50,'1.GeneralInfo'!$E$8,'2.CropManagement'!AR$49:AR$50),0),Import!C485)</f>
        <v>[Select]</v>
      </c>
      <c r="G135" s="1204">
        <f>IF(ISBLANK(Import!D485),"",Import!D485)</f>
        <v>0</v>
      </c>
      <c r="H135" s="1204" t="str">
        <f ca="1">IF(ISBLANK(Import!E485),OFFSET('2.CropManagement'!AZ$48,SUMIF('2.CropManagement'!AQ$49:AQ$50,'1.GeneralInfo'!$E$8,'2.CropManagement'!AR$49:AR$50),0),Import!E485)</f>
        <v>[Select]</v>
      </c>
      <c r="I135" s="1204">
        <f>IF(ISBLANK(Import!F485),"",Import!F485)</f>
        <v>0</v>
      </c>
      <c r="J135" s="1544"/>
      <c r="K135" s="1544"/>
      <c r="L135" s="1544"/>
      <c r="M135" s="1545"/>
      <c r="N135" s="2"/>
      <c r="O135" s="2"/>
      <c r="P135" s="2"/>
      <c r="Q135" s="2"/>
      <c r="R135" s="2"/>
      <c r="S135" s="2"/>
      <c r="T135" s="2"/>
      <c r="U135" s="2"/>
      <c r="V135" s="2"/>
      <c r="AA135" s="174">
        <f t="shared" ca="1" si="19"/>
        <v>0</v>
      </c>
      <c r="AB135" s="174">
        <f t="shared" si="20"/>
        <v>0</v>
      </c>
      <c r="AC135" s="174">
        <f ca="1">SUMIF('2.CropManagement'!X$157:X$160,'7.Transport'!F135,'2.CropManagement'!Y$157:Y$160)*E135</f>
        <v>0</v>
      </c>
      <c r="AD135" s="174">
        <f t="shared" ca="1" si="21"/>
        <v>0</v>
      </c>
    </row>
    <row r="136" spans="1:30" x14ac:dyDescent="0.25">
      <c r="A136" s="2"/>
      <c r="B136" s="942" t="s">
        <v>1461</v>
      </c>
      <c r="C136" s="943"/>
      <c r="D136" s="186">
        <v>22</v>
      </c>
      <c r="E136" s="1204">
        <f>IF(ISBLANK(Import!B486),"",Import!B486)</f>
        <v>0</v>
      </c>
      <c r="F136" s="1204" t="str">
        <f ca="1">IF(ISBLANK(Import!C486),OFFSET('2.CropManagement'!AV$48,SUMIF('2.CropManagement'!AQ$49:AQ$50,'1.GeneralInfo'!$E$8,'2.CropManagement'!AR$49:AR$50),0),Import!C486)</f>
        <v>[Select]</v>
      </c>
      <c r="G136" s="1204">
        <f>IF(ISBLANK(Import!D486),"",Import!D486)</f>
        <v>0</v>
      </c>
      <c r="H136" s="1204" t="str">
        <f ca="1">IF(ISBLANK(Import!E486),OFFSET('2.CropManagement'!AZ$48,SUMIF('2.CropManagement'!AQ$49:AQ$50,'1.GeneralInfo'!$E$8,'2.CropManagement'!AR$49:AR$50),0),Import!E486)</f>
        <v>[Select]</v>
      </c>
      <c r="I136" s="1204">
        <f>IF(ISBLANK(Import!F486),"",Import!F486)</f>
        <v>0</v>
      </c>
      <c r="J136" s="1544"/>
      <c r="K136" s="1544"/>
      <c r="L136" s="1544"/>
      <c r="M136" s="1545"/>
      <c r="N136" s="2"/>
      <c r="O136" s="2"/>
      <c r="P136" s="2"/>
      <c r="Q136" s="2"/>
      <c r="R136" s="2"/>
      <c r="S136" s="2"/>
      <c r="T136" s="2"/>
      <c r="U136" s="2"/>
      <c r="V136" s="2"/>
      <c r="AA136" s="174">
        <f t="shared" ca="1" si="19"/>
        <v>0</v>
      </c>
      <c r="AB136" s="174">
        <f t="shared" si="20"/>
        <v>0</v>
      </c>
      <c r="AC136" s="174">
        <f ca="1">SUMIF('2.CropManagement'!X$157:X$160,'7.Transport'!F136,'2.CropManagement'!Y$157:Y$160)*E136</f>
        <v>0</v>
      </c>
      <c r="AD136" s="174">
        <f t="shared" ca="1" si="21"/>
        <v>0</v>
      </c>
    </row>
    <row r="137" spans="1:30" x14ac:dyDescent="0.25">
      <c r="A137" s="2"/>
      <c r="B137" s="942" t="s">
        <v>1461</v>
      </c>
      <c r="C137" s="943"/>
      <c r="D137" s="186">
        <v>23</v>
      </c>
      <c r="E137" s="1204">
        <f>IF(ISBLANK(Import!B487),"",Import!B487)</f>
        <v>0</v>
      </c>
      <c r="F137" s="1204" t="str">
        <f ca="1">IF(ISBLANK(Import!C487),OFFSET('2.CropManagement'!AV$48,SUMIF('2.CropManagement'!AQ$49:AQ$50,'1.GeneralInfo'!$E$8,'2.CropManagement'!AR$49:AR$50),0),Import!C487)</f>
        <v>[Select]</v>
      </c>
      <c r="G137" s="1204">
        <f>IF(ISBLANK(Import!D487),"",Import!D487)</f>
        <v>0</v>
      </c>
      <c r="H137" s="1204" t="str">
        <f ca="1">IF(ISBLANK(Import!E487),OFFSET('2.CropManagement'!AZ$48,SUMIF('2.CropManagement'!AQ$49:AQ$50,'1.GeneralInfo'!$E$8,'2.CropManagement'!AR$49:AR$50),0),Import!E487)</f>
        <v>[Select]</v>
      </c>
      <c r="I137" s="1204">
        <f>IF(ISBLANK(Import!F487),"",Import!F487)</f>
        <v>0</v>
      </c>
      <c r="J137" s="1544"/>
      <c r="K137" s="1544"/>
      <c r="L137" s="1544"/>
      <c r="M137" s="1545"/>
      <c r="N137" s="2"/>
      <c r="O137" s="2"/>
      <c r="P137" s="2"/>
      <c r="Q137" s="2"/>
      <c r="R137" s="2"/>
      <c r="S137" s="2"/>
      <c r="T137" s="2"/>
      <c r="U137" s="2"/>
      <c r="V137" s="2"/>
      <c r="AA137" s="174">
        <f t="shared" ca="1" si="19"/>
        <v>0</v>
      </c>
      <c r="AB137" s="174">
        <f t="shared" si="20"/>
        <v>0</v>
      </c>
      <c r="AC137" s="174">
        <f ca="1">SUMIF('2.CropManagement'!X$157:X$160,'7.Transport'!F137,'2.CropManagement'!Y$157:Y$160)*E137</f>
        <v>0</v>
      </c>
      <c r="AD137" s="174">
        <f t="shared" ca="1" si="21"/>
        <v>0</v>
      </c>
    </row>
    <row r="138" spans="1:30" x14ac:dyDescent="0.25">
      <c r="A138" s="2"/>
      <c r="B138" s="942" t="s">
        <v>1461</v>
      </c>
      <c r="C138" s="943"/>
      <c r="D138" s="186">
        <v>24</v>
      </c>
      <c r="E138" s="1204">
        <f>IF(ISBLANK(Import!B488),"",Import!B488)</f>
        <v>0</v>
      </c>
      <c r="F138" s="1204" t="str">
        <f ca="1">IF(ISBLANK(Import!C488),OFFSET('2.CropManagement'!AV$48,SUMIF('2.CropManagement'!AQ$49:AQ$50,'1.GeneralInfo'!$E$8,'2.CropManagement'!AR$49:AR$50),0),Import!C488)</f>
        <v>[Select]</v>
      </c>
      <c r="G138" s="1204">
        <f>IF(ISBLANK(Import!D488),"",Import!D488)</f>
        <v>0</v>
      </c>
      <c r="H138" s="1204" t="str">
        <f ca="1">IF(ISBLANK(Import!E488),OFFSET('2.CropManagement'!AZ$48,SUMIF('2.CropManagement'!AQ$49:AQ$50,'1.GeneralInfo'!$E$8,'2.CropManagement'!AR$49:AR$50),0),Import!E488)</f>
        <v>[Select]</v>
      </c>
      <c r="I138" s="1204">
        <f>IF(ISBLANK(Import!F488),"",Import!F488)</f>
        <v>0</v>
      </c>
      <c r="J138" s="1544"/>
      <c r="K138" s="1544"/>
      <c r="L138" s="1544"/>
      <c r="M138" s="1545"/>
      <c r="N138" s="2"/>
      <c r="O138" s="2"/>
      <c r="P138" s="2"/>
      <c r="Q138" s="2"/>
      <c r="R138" s="2"/>
      <c r="S138" s="2"/>
      <c r="T138" s="2"/>
      <c r="U138" s="2"/>
      <c r="V138" s="2"/>
      <c r="AA138" s="174">
        <f t="shared" ca="1" si="19"/>
        <v>0</v>
      </c>
      <c r="AB138" s="174">
        <f t="shared" si="20"/>
        <v>0</v>
      </c>
      <c r="AC138" s="174">
        <f ca="1">SUMIF('2.CropManagement'!X$157:X$160,'7.Transport'!F138,'2.CropManagement'!Y$157:Y$160)*E138</f>
        <v>0</v>
      </c>
      <c r="AD138" s="174">
        <f t="shared" ca="1" si="21"/>
        <v>0</v>
      </c>
    </row>
    <row r="139" spans="1:30" x14ac:dyDescent="0.25">
      <c r="A139" s="2"/>
      <c r="B139" s="942" t="s">
        <v>1461</v>
      </c>
      <c r="C139" s="943"/>
      <c r="D139" s="186">
        <v>25</v>
      </c>
      <c r="E139" s="1204">
        <f>IF(ISBLANK(Import!B489),"",Import!B489)</f>
        <v>0</v>
      </c>
      <c r="F139" s="1204" t="str">
        <f ca="1">IF(ISBLANK(Import!C489),OFFSET('2.CropManagement'!AV$48,SUMIF('2.CropManagement'!AQ$49:AQ$50,'1.GeneralInfo'!$E$8,'2.CropManagement'!AR$49:AR$50),0),Import!C489)</f>
        <v>[Select]</v>
      </c>
      <c r="G139" s="1204">
        <f>IF(ISBLANK(Import!D489),"",Import!D489)</f>
        <v>0</v>
      </c>
      <c r="H139" s="1204" t="str">
        <f ca="1">IF(ISBLANK(Import!E489),OFFSET('2.CropManagement'!AZ$48,SUMIF('2.CropManagement'!AQ$49:AQ$50,'1.GeneralInfo'!$E$8,'2.CropManagement'!AR$49:AR$50),0),Import!E489)</f>
        <v>[Select]</v>
      </c>
      <c r="I139" s="1204">
        <f>IF(ISBLANK(Import!F489),"",Import!F489)</f>
        <v>0</v>
      </c>
      <c r="J139" s="1544"/>
      <c r="K139" s="1544"/>
      <c r="L139" s="1544"/>
      <c r="M139" s="1545"/>
      <c r="N139" s="2"/>
      <c r="O139" s="2"/>
      <c r="P139" s="2"/>
      <c r="Q139" s="2"/>
      <c r="R139" s="2"/>
      <c r="S139" s="2"/>
      <c r="T139" s="2"/>
      <c r="U139" s="2"/>
      <c r="V139" s="2"/>
      <c r="AA139" s="174">
        <f t="shared" ca="1" si="19"/>
        <v>0</v>
      </c>
      <c r="AB139" s="174">
        <f t="shared" si="20"/>
        <v>0</v>
      </c>
      <c r="AC139" s="174">
        <f ca="1">SUMIF('2.CropManagement'!X$157:X$160,'7.Transport'!F139,'2.CropManagement'!Y$157:Y$160)*E139</f>
        <v>0</v>
      </c>
      <c r="AD139" s="174">
        <f t="shared" ca="1" si="21"/>
        <v>0</v>
      </c>
    </row>
    <row r="140" spans="1:30" x14ac:dyDescent="0.25">
      <c r="A140" s="2"/>
      <c r="B140" s="942" t="s">
        <v>1461</v>
      </c>
      <c r="C140" s="943"/>
      <c r="D140" s="186">
        <v>26</v>
      </c>
      <c r="E140" s="1204">
        <f>IF(ISBLANK(Import!B490),"",Import!B490)</f>
        <v>0</v>
      </c>
      <c r="F140" s="1204" t="str">
        <f ca="1">IF(ISBLANK(Import!C490),OFFSET('2.CropManagement'!AV$48,SUMIF('2.CropManagement'!AQ$49:AQ$50,'1.GeneralInfo'!$E$8,'2.CropManagement'!AR$49:AR$50),0),Import!C490)</f>
        <v>[Select]</v>
      </c>
      <c r="G140" s="1204">
        <f>IF(ISBLANK(Import!D490),"",Import!D490)</f>
        <v>0</v>
      </c>
      <c r="H140" s="1204" t="str">
        <f ca="1">IF(ISBLANK(Import!E490),OFFSET('2.CropManagement'!AZ$48,SUMIF('2.CropManagement'!AQ$49:AQ$50,'1.GeneralInfo'!$E$8,'2.CropManagement'!AR$49:AR$50),0),Import!E490)</f>
        <v>[Select]</v>
      </c>
      <c r="I140" s="1204">
        <f>IF(ISBLANK(Import!F490),"",Import!F490)</f>
        <v>0</v>
      </c>
      <c r="J140" s="1544"/>
      <c r="K140" s="1544"/>
      <c r="L140" s="1544"/>
      <c r="M140" s="1545"/>
      <c r="N140" s="2"/>
      <c r="O140" s="2"/>
      <c r="P140" s="2"/>
      <c r="Q140" s="2"/>
      <c r="R140" s="2"/>
      <c r="S140" s="2"/>
      <c r="T140" s="2"/>
      <c r="U140" s="2"/>
      <c r="V140" s="2"/>
      <c r="AA140" s="174">
        <f t="shared" ca="1" si="19"/>
        <v>0</v>
      </c>
      <c r="AB140" s="174">
        <f t="shared" si="20"/>
        <v>0</v>
      </c>
      <c r="AC140" s="174">
        <f ca="1">SUMIF('2.CropManagement'!X$157:X$160,'7.Transport'!F140,'2.CropManagement'!Y$157:Y$160)*E140</f>
        <v>0</v>
      </c>
      <c r="AD140" s="174">
        <f t="shared" ca="1" si="21"/>
        <v>0</v>
      </c>
    </row>
    <row r="141" spans="1:30" x14ac:dyDescent="0.25">
      <c r="A141" s="2"/>
      <c r="B141" s="942" t="s">
        <v>1461</v>
      </c>
      <c r="C141" s="943"/>
      <c r="D141" s="186">
        <v>27</v>
      </c>
      <c r="E141" s="1204">
        <f>IF(ISBLANK(Import!B491),"",Import!B491)</f>
        <v>0</v>
      </c>
      <c r="F141" s="1204" t="str">
        <f ca="1">IF(ISBLANK(Import!C491),OFFSET('2.CropManagement'!AV$48,SUMIF('2.CropManagement'!AQ$49:AQ$50,'1.GeneralInfo'!$E$8,'2.CropManagement'!AR$49:AR$50),0),Import!C491)</f>
        <v>[Select]</v>
      </c>
      <c r="G141" s="1204">
        <f>IF(ISBLANK(Import!D491),"",Import!D491)</f>
        <v>0</v>
      </c>
      <c r="H141" s="1204" t="str">
        <f ca="1">IF(ISBLANK(Import!E491),OFFSET('2.CropManagement'!AZ$48,SUMIF('2.CropManagement'!AQ$49:AQ$50,'1.GeneralInfo'!$E$8,'2.CropManagement'!AR$49:AR$50),0),Import!E491)</f>
        <v>[Select]</v>
      </c>
      <c r="I141" s="1204">
        <f>IF(ISBLANK(Import!F491),"",Import!F491)</f>
        <v>0</v>
      </c>
      <c r="J141" s="1544"/>
      <c r="K141" s="1544"/>
      <c r="L141" s="1544"/>
      <c r="M141" s="1545"/>
      <c r="N141" s="2"/>
      <c r="O141" s="2"/>
      <c r="P141" s="2"/>
      <c r="Q141" s="2"/>
      <c r="R141" s="2"/>
      <c r="S141" s="2"/>
      <c r="T141" s="2"/>
      <c r="U141" s="2"/>
      <c r="V141" s="2"/>
      <c r="AA141" s="174">
        <f t="shared" ca="1" si="19"/>
        <v>0</v>
      </c>
      <c r="AB141" s="174">
        <f t="shared" si="20"/>
        <v>0</v>
      </c>
      <c r="AC141" s="174">
        <f ca="1">SUMIF('2.CropManagement'!X$157:X$160,'7.Transport'!F141,'2.CropManagement'!Y$157:Y$160)*E141</f>
        <v>0</v>
      </c>
      <c r="AD141" s="174">
        <f t="shared" ca="1" si="21"/>
        <v>0</v>
      </c>
    </row>
    <row r="142" spans="1:30" ht="13.25" thickBot="1" x14ac:dyDescent="0.3">
      <c r="A142" s="2"/>
      <c r="B142" s="1546" t="s">
        <v>1461</v>
      </c>
      <c r="C142" s="946"/>
      <c r="D142" s="493">
        <v>28</v>
      </c>
      <c r="E142" s="1204">
        <f>IF(ISBLANK(Import!B492),"",Import!B492)</f>
        <v>0</v>
      </c>
      <c r="F142" s="1204" t="str">
        <f ca="1">IF(ISBLANK(Import!C492),OFFSET('2.CropManagement'!AV$48,SUMIF('2.CropManagement'!AQ$49:AQ$50,'1.GeneralInfo'!$E$8,'2.CropManagement'!AR$49:AR$50),0),Import!C492)</f>
        <v>[Select]</v>
      </c>
      <c r="G142" s="1204">
        <f>IF(ISBLANK(Import!D492),"",Import!D492)</f>
        <v>0</v>
      </c>
      <c r="H142" s="1204" t="str">
        <f ca="1">IF(ISBLANK(Import!E492),OFFSET('2.CropManagement'!AZ$48,SUMIF('2.CropManagement'!AQ$49:AQ$50,'1.GeneralInfo'!$E$8,'2.CropManagement'!AR$49:AR$50),0),Import!E492)</f>
        <v>[Select]</v>
      </c>
      <c r="I142" s="1204">
        <f>IF(ISBLANK(Import!F492),"",Import!F492)</f>
        <v>0</v>
      </c>
      <c r="J142" s="1547"/>
      <c r="K142" s="1547"/>
      <c r="L142" s="1547"/>
      <c r="M142" s="1548"/>
      <c r="N142" s="2"/>
      <c r="O142" s="2"/>
      <c r="P142" s="2"/>
      <c r="Q142" s="2"/>
      <c r="R142" s="2"/>
      <c r="S142" s="2"/>
      <c r="T142" s="2"/>
      <c r="U142" s="2"/>
      <c r="V142" s="2"/>
      <c r="AA142" s="174">
        <f t="shared" ca="1" si="19"/>
        <v>0</v>
      </c>
      <c r="AB142" s="174">
        <f t="shared" si="20"/>
        <v>0</v>
      </c>
      <c r="AC142" s="174">
        <f ca="1">SUMIF('2.CropManagement'!X$157:X$160,'7.Transport'!F142,'2.CropManagement'!Y$157:Y$160)*E142</f>
        <v>0</v>
      </c>
      <c r="AD142" s="174">
        <f t="shared" ca="1" si="21"/>
        <v>0</v>
      </c>
    </row>
    <row r="143" spans="1:30" x14ac:dyDescent="0.25">
      <c r="A143" s="2"/>
      <c r="B143" s="3"/>
      <c r="C143" s="3"/>
      <c r="D143" s="3"/>
      <c r="E143" s="3"/>
      <c r="F143" s="3"/>
      <c r="G143" s="3"/>
      <c r="H143" s="3"/>
      <c r="I143" s="3"/>
      <c r="J143" s="3"/>
      <c r="K143" s="3"/>
      <c r="L143" s="3"/>
      <c r="M143" s="3"/>
      <c r="N143" s="2"/>
      <c r="O143" s="2"/>
      <c r="P143" s="2"/>
      <c r="Q143" s="2"/>
      <c r="R143" s="2"/>
      <c r="S143" s="2"/>
      <c r="T143" s="2"/>
      <c r="U143" s="2"/>
      <c r="V143" s="2"/>
      <c r="Z143" t="s">
        <v>104</v>
      </c>
      <c r="AA143" s="174">
        <f ca="1">SUM(AA123:AA142)</f>
        <v>0</v>
      </c>
    </row>
    <row r="144" spans="1:30" x14ac:dyDescent="0.25">
      <c r="A144" s="2"/>
      <c r="B144" s="2"/>
      <c r="C144" s="2"/>
      <c r="D144" s="2"/>
      <c r="E144" s="2"/>
      <c r="F144" s="2"/>
      <c r="G144" s="2"/>
      <c r="H144" s="2"/>
      <c r="I144" s="2"/>
      <c r="J144" s="2"/>
      <c r="K144" s="2"/>
      <c r="L144" s="2"/>
      <c r="M144" s="2"/>
      <c r="N144" s="2"/>
      <c r="O144" s="2"/>
      <c r="P144" s="2"/>
      <c r="Q144" s="2"/>
      <c r="R144" s="2"/>
      <c r="S144" s="2"/>
      <c r="T144" s="2"/>
      <c r="U144" s="2"/>
      <c r="V144" s="2"/>
    </row>
    <row r="145" spans="1:22" x14ac:dyDescent="0.25">
      <c r="A145" s="2"/>
      <c r="B145" s="2"/>
      <c r="C145" s="2"/>
      <c r="D145" s="2"/>
      <c r="E145" s="2"/>
      <c r="F145" s="2"/>
      <c r="G145" s="2"/>
      <c r="H145" s="2"/>
      <c r="I145" s="2"/>
      <c r="J145" s="2"/>
      <c r="K145" s="2"/>
      <c r="L145" s="2"/>
      <c r="M145" s="2"/>
      <c r="N145" s="2"/>
      <c r="O145" s="2"/>
      <c r="P145" s="2"/>
      <c r="Q145" s="2"/>
      <c r="R145" s="2"/>
      <c r="S145" s="2"/>
      <c r="T145" s="2"/>
      <c r="U145" s="2"/>
      <c r="V145" s="2"/>
    </row>
    <row r="146" spans="1:22" x14ac:dyDescent="0.25">
      <c r="A146" s="2"/>
      <c r="B146" s="2"/>
      <c r="C146" s="2"/>
      <c r="D146" s="2"/>
      <c r="E146" s="2"/>
      <c r="F146" s="2"/>
      <c r="G146" s="2"/>
      <c r="H146" s="2"/>
      <c r="I146" s="2"/>
      <c r="J146" s="2"/>
      <c r="K146" s="2"/>
      <c r="L146" s="2"/>
      <c r="M146" s="2"/>
      <c r="N146" s="2"/>
      <c r="O146" s="2"/>
      <c r="P146" s="2"/>
      <c r="Q146" s="2"/>
      <c r="R146" s="2"/>
      <c r="S146" s="2"/>
      <c r="T146" s="2"/>
      <c r="U146" s="2"/>
      <c r="V146" s="2"/>
    </row>
    <row r="147" spans="1:22" x14ac:dyDescent="0.25">
      <c r="A147" s="2"/>
      <c r="B147" s="2"/>
      <c r="C147" s="2"/>
      <c r="D147" s="2"/>
      <c r="E147" s="2"/>
      <c r="F147" s="2"/>
      <c r="G147" s="2"/>
      <c r="H147" s="2"/>
      <c r="I147" s="2"/>
      <c r="J147" s="2"/>
      <c r="K147" s="2"/>
      <c r="L147" s="2"/>
      <c r="M147" s="2"/>
      <c r="N147" s="2"/>
      <c r="O147" s="2"/>
      <c r="P147" s="2"/>
      <c r="Q147" s="2"/>
      <c r="R147" s="2"/>
      <c r="S147" s="2"/>
      <c r="T147" s="2"/>
      <c r="U147" s="2"/>
      <c r="V147" s="2"/>
    </row>
    <row r="148" spans="1:22" x14ac:dyDescent="0.25">
      <c r="A148" s="2"/>
      <c r="B148" s="2"/>
      <c r="C148" s="2"/>
      <c r="D148" s="2"/>
      <c r="E148" s="2"/>
      <c r="F148" s="2"/>
      <c r="G148" s="2"/>
      <c r="H148" s="2"/>
      <c r="I148" s="2"/>
      <c r="J148" s="2"/>
      <c r="K148" s="2"/>
      <c r="L148" s="2"/>
      <c r="M148" s="2"/>
      <c r="N148" s="2"/>
      <c r="O148" s="2"/>
      <c r="P148" s="2"/>
      <c r="Q148" s="2"/>
      <c r="R148" s="2"/>
      <c r="S148" s="2"/>
      <c r="T148" s="2"/>
      <c r="U148" s="2"/>
      <c r="V148" s="2"/>
    </row>
    <row r="149" spans="1:22" x14ac:dyDescent="0.25">
      <c r="A149" s="2"/>
      <c r="B149" s="2"/>
      <c r="C149" s="2"/>
      <c r="D149" s="2"/>
      <c r="E149" s="2"/>
      <c r="F149" s="2"/>
      <c r="G149" s="2"/>
      <c r="H149" s="2"/>
      <c r="I149" s="2"/>
      <c r="J149" s="2"/>
      <c r="K149" s="2"/>
      <c r="L149" s="2"/>
      <c r="M149" s="2"/>
      <c r="N149" s="2"/>
      <c r="O149" s="2"/>
      <c r="P149" s="2"/>
      <c r="Q149" s="2"/>
      <c r="R149" s="2"/>
      <c r="S149" s="2"/>
      <c r="T149" s="2"/>
      <c r="U149" s="2"/>
      <c r="V149" s="2"/>
    </row>
    <row r="150" spans="1:22" x14ac:dyDescent="0.25">
      <c r="A150" s="2"/>
      <c r="B150" s="2"/>
      <c r="C150" s="2"/>
      <c r="D150" s="2"/>
      <c r="E150" s="2"/>
      <c r="F150" s="2"/>
      <c r="G150" s="2"/>
      <c r="H150" s="2"/>
      <c r="I150" s="2"/>
      <c r="J150" s="2"/>
      <c r="K150" s="2"/>
      <c r="L150" s="2"/>
      <c r="M150" s="2"/>
      <c r="N150" s="2"/>
      <c r="O150" s="2"/>
      <c r="P150" s="2"/>
      <c r="Q150" s="2"/>
      <c r="R150" s="2"/>
      <c r="S150" s="2"/>
      <c r="T150" s="2"/>
      <c r="U150" s="2"/>
      <c r="V150" s="2"/>
    </row>
    <row r="151" spans="1:22" x14ac:dyDescent="0.25">
      <c r="A151" s="2"/>
      <c r="B151" s="2"/>
      <c r="C151" s="2"/>
      <c r="D151" s="2"/>
      <c r="E151" s="2"/>
      <c r="F151" s="2"/>
      <c r="G151" s="2"/>
      <c r="H151" s="2"/>
      <c r="I151" s="2"/>
      <c r="J151" s="2"/>
      <c r="K151" s="2"/>
      <c r="L151" s="2"/>
      <c r="M151" s="2"/>
      <c r="N151" s="2"/>
      <c r="O151" s="2"/>
      <c r="P151" s="2"/>
      <c r="Q151" s="2"/>
      <c r="R151" s="2"/>
      <c r="S151" s="2"/>
      <c r="T151" s="2"/>
      <c r="U151" s="2"/>
      <c r="V151" s="2"/>
    </row>
    <row r="152" spans="1:22" x14ac:dyDescent="0.25">
      <c r="A152" s="2"/>
      <c r="B152" s="2"/>
      <c r="C152" s="2"/>
      <c r="D152" s="2"/>
      <c r="E152" s="2"/>
      <c r="F152" s="2"/>
      <c r="G152" s="2"/>
      <c r="H152" s="2"/>
      <c r="I152" s="2"/>
      <c r="J152" s="2"/>
      <c r="K152" s="2"/>
      <c r="L152" s="2"/>
      <c r="M152" s="2"/>
      <c r="N152" s="2"/>
      <c r="O152" s="2"/>
      <c r="P152" s="2"/>
      <c r="Q152" s="2"/>
      <c r="R152" s="2"/>
      <c r="S152" s="2"/>
      <c r="T152" s="2"/>
      <c r="U152" s="2"/>
      <c r="V152" s="2"/>
    </row>
    <row r="153" spans="1:22" x14ac:dyDescent="0.25">
      <c r="A153" s="2"/>
      <c r="B153" s="2"/>
      <c r="C153" s="2"/>
      <c r="D153" s="2"/>
      <c r="E153" s="2"/>
      <c r="F153" s="2"/>
      <c r="G153" s="2"/>
      <c r="H153" s="2"/>
      <c r="I153" s="2"/>
      <c r="J153" s="2"/>
      <c r="K153" s="2"/>
      <c r="L153" s="2"/>
      <c r="M153" s="2"/>
      <c r="N153" s="2"/>
      <c r="O153" s="2"/>
      <c r="P153" s="2"/>
      <c r="Q153" s="2"/>
      <c r="R153" s="2"/>
      <c r="S153" s="2"/>
      <c r="T153" s="2"/>
      <c r="U153" s="2"/>
      <c r="V153" s="2"/>
    </row>
    <row r="154" spans="1:22" x14ac:dyDescent="0.25">
      <c r="A154" s="2"/>
      <c r="B154" s="2"/>
      <c r="C154" s="2"/>
      <c r="D154" s="2"/>
      <c r="E154" s="2"/>
      <c r="F154" s="2"/>
      <c r="G154" s="2"/>
      <c r="H154" s="2"/>
      <c r="I154" s="2"/>
      <c r="J154" s="2"/>
      <c r="K154" s="2"/>
      <c r="L154" s="2"/>
      <c r="M154" s="2"/>
      <c r="N154" s="2"/>
      <c r="O154" s="2"/>
      <c r="P154" s="2"/>
      <c r="Q154" s="2"/>
      <c r="R154" s="2"/>
      <c r="S154" s="2"/>
      <c r="T154" s="2"/>
      <c r="U154" s="2"/>
      <c r="V154" s="2"/>
    </row>
    <row r="155" spans="1:22" x14ac:dyDescent="0.25">
      <c r="A155" s="2"/>
      <c r="B155" s="2"/>
      <c r="C155" s="2"/>
      <c r="D155" s="2"/>
      <c r="E155" s="2"/>
      <c r="F155" s="2"/>
      <c r="G155" s="2"/>
      <c r="H155" s="2"/>
      <c r="I155" s="2"/>
      <c r="J155" s="2"/>
      <c r="K155" s="2"/>
      <c r="L155" s="2"/>
      <c r="M155" s="2"/>
      <c r="N155" s="2"/>
      <c r="O155" s="2"/>
      <c r="P155" s="2"/>
      <c r="Q155" s="2"/>
      <c r="R155" s="2"/>
      <c r="S155" s="2"/>
      <c r="T155" s="2"/>
      <c r="U155" s="2"/>
      <c r="V155" s="2"/>
    </row>
    <row r="156" spans="1:22" x14ac:dyDescent="0.25">
      <c r="A156" s="2"/>
      <c r="B156" s="2"/>
      <c r="C156" s="2"/>
      <c r="D156" s="2"/>
      <c r="E156" s="2"/>
      <c r="F156" s="2"/>
      <c r="G156" s="2"/>
      <c r="H156" s="2"/>
      <c r="I156" s="2"/>
      <c r="J156" s="2"/>
      <c r="K156" s="2"/>
      <c r="L156" s="2"/>
      <c r="M156" s="2"/>
      <c r="N156" s="2"/>
      <c r="O156" s="2"/>
      <c r="P156" s="2"/>
      <c r="Q156" s="2"/>
      <c r="R156" s="2"/>
      <c r="S156" s="2"/>
      <c r="T156" s="2"/>
      <c r="U156" s="2"/>
      <c r="V156" s="2"/>
    </row>
    <row r="157" spans="1:22" x14ac:dyDescent="0.25">
      <c r="A157" s="2"/>
      <c r="B157" s="2"/>
      <c r="C157" s="2"/>
      <c r="D157" s="2"/>
      <c r="E157" s="2"/>
      <c r="F157" s="2"/>
      <c r="G157" s="2"/>
      <c r="H157" s="2"/>
      <c r="I157" s="2"/>
      <c r="J157" s="2"/>
      <c r="K157" s="2"/>
      <c r="L157" s="2"/>
      <c r="M157" s="2"/>
      <c r="N157" s="2"/>
      <c r="O157" s="2"/>
      <c r="P157" s="2"/>
      <c r="Q157" s="2"/>
      <c r="R157" s="2"/>
      <c r="S157" s="2"/>
      <c r="T157" s="2"/>
      <c r="U157" s="2"/>
      <c r="V157" s="2"/>
    </row>
    <row r="158" spans="1:22" x14ac:dyDescent="0.25">
      <c r="A158" s="2"/>
      <c r="B158" s="2"/>
      <c r="C158" s="2"/>
      <c r="D158" s="2"/>
      <c r="E158" s="2"/>
      <c r="F158" s="2"/>
      <c r="G158" s="2"/>
      <c r="H158" s="2"/>
      <c r="I158" s="2"/>
      <c r="J158" s="2"/>
      <c r="K158" s="2"/>
      <c r="L158" s="2"/>
      <c r="M158" s="2"/>
      <c r="N158" s="2"/>
      <c r="O158" s="2"/>
      <c r="P158" s="2"/>
      <c r="Q158" s="2"/>
      <c r="R158" s="2"/>
      <c r="S158" s="2"/>
      <c r="T158" s="2"/>
      <c r="U158" s="2"/>
      <c r="V158" s="2"/>
    </row>
    <row r="159" spans="1:22" x14ac:dyDescent="0.25">
      <c r="A159" s="2"/>
      <c r="B159" s="2"/>
      <c r="C159" s="2"/>
      <c r="D159" s="2"/>
      <c r="E159" s="2"/>
      <c r="F159" s="2"/>
      <c r="G159" s="2"/>
      <c r="H159" s="2"/>
      <c r="I159" s="2"/>
      <c r="J159" s="2"/>
      <c r="K159" s="2"/>
      <c r="L159" s="2"/>
      <c r="M159" s="2"/>
      <c r="N159" s="2"/>
      <c r="O159" s="2"/>
      <c r="P159" s="2"/>
      <c r="Q159" s="2"/>
      <c r="R159" s="2"/>
      <c r="S159" s="2"/>
      <c r="T159" s="2"/>
      <c r="U159" s="2"/>
      <c r="V159" s="2"/>
    </row>
    <row r="160" spans="1:22" x14ac:dyDescent="0.25">
      <c r="A160" s="2"/>
      <c r="B160" s="2"/>
      <c r="C160" s="2"/>
      <c r="D160" s="2"/>
      <c r="E160" s="2"/>
      <c r="F160" s="2"/>
      <c r="G160" s="2"/>
      <c r="H160" s="2"/>
      <c r="I160" s="2"/>
      <c r="J160" s="2"/>
      <c r="K160" s="2"/>
      <c r="L160" s="2"/>
      <c r="M160" s="2"/>
      <c r="N160" s="2"/>
      <c r="O160" s="2"/>
      <c r="P160" s="2"/>
      <c r="Q160" s="2"/>
      <c r="R160" s="2"/>
      <c r="S160" s="2"/>
      <c r="T160" s="2"/>
      <c r="U160" s="2"/>
      <c r="V160" s="2"/>
    </row>
    <row r="161" spans="1:22" x14ac:dyDescent="0.25">
      <c r="A161" s="2"/>
      <c r="B161" s="2"/>
      <c r="C161" s="2"/>
      <c r="D161" s="2"/>
      <c r="E161" s="2"/>
      <c r="F161" s="2"/>
      <c r="G161" s="2"/>
      <c r="H161" s="2"/>
      <c r="I161" s="2"/>
      <c r="J161" s="2"/>
      <c r="K161" s="2"/>
      <c r="L161" s="2"/>
      <c r="M161" s="2"/>
      <c r="N161" s="2"/>
      <c r="O161" s="2"/>
      <c r="P161" s="2"/>
      <c r="Q161" s="2"/>
      <c r="R161" s="2"/>
      <c r="S161" s="2"/>
      <c r="T161" s="2"/>
      <c r="U161" s="2"/>
      <c r="V161" s="2"/>
    </row>
  </sheetData>
  <sheetProtection password="838D" sheet="1" objects="1" scenarios="1"/>
  <mergeCells count="21">
    <mergeCell ref="L6:M8"/>
    <mergeCell ref="Y49:Z49"/>
    <mergeCell ref="L4:M5"/>
    <mergeCell ref="L9:M10"/>
    <mergeCell ref="Y46:Z46"/>
    <mergeCell ref="Y47:Z47"/>
    <mergeCell ref="Y48:Z48"/>
    <mergeCell ref="L25:L26"/>
    <mergeCell ref="B51:C51"/>
    <mergeCell ref="D50:E50"/>
    <mergeCell ref="D51:E51"/>
    <mergeCell ref="L57:M58"/>
    <mergeCell ref="D46:E46"/>
    <mergeCell ref="D47:E47"/>
    <mergeCell ref="D48:E48"/>
    <mergeCell ref="D49:E49"/>
    <mergeCell ref="L102:L103"/>
    <mergeCell ref="Y50:Z50"/>
    <mergeCell ref="Y51:Z51"/>
    <mergeCell ref="L59:M61"/>
    <mergeCell ref="L62:M63"/>
  </mergeCells>
  <phoneticPr fontId="39" type="noConversion"/>
  <dataValidations count="12">
    <dataValidation type="list" allowBlank="1" showInputMessage="1" showErrorMessage="1" sqref="D46" xr:uid="{00000000-0002-0000-0700-000000000000}">
      <formula1>$AA$47:$AA$50</formula1>
    </dataValidation>
    <dataValidation type="list" allowBlank="1" showInputMessage="1" showErrorMessage="1" sqref="F4:F11 F34:F41 F24:F31" xr:uid="{00000000-0002-0000-0700-000001000000}">
      <formula1>$AH$31:$AH$34</formula1>
    </dataValidation>
    <dataValidation type="list" allowBlank="1" showInputMessage="1" showErrorMessage="1" sqref="H4:H11 H24:H31" xr:uid="{00000000-0002-0000-0700-000002000000}">
      <formula1>$AF$24:$AF$25</formula1>
    </dataValidation>
    <dataValidation type="list" allowBlank="1" showInputMessage="1" showErrorMessage="1" prompt="Very short haul is for flights less than 500 miles (~800K)_x000d_Short haul is more than this but less than 1000 miles (~1600K)_x000d_Anything longer is Long haul" sqref="I25:I31" xr:uid="{00000000-0002-0000-0700-000003000000}">
      <formula1>$AF$48:$AF$50</formula1>
    </dataValidation>
    <dataValidation allowBlank="1" showInputMessage="1" showErrorMessage="1" prompt="Vehicle weight is assumed to be 1/3 of it's laden capacity._x000d_If you prefer to use your own figures you can add the known vehicle weight to the quantity transported (column E) and also add a seperate return journey with only the vehicle weight transported" sqref="J3 J56" xr:uid="{00000000-0002-0000-0700-000004000000}"/>
    <dataValidation type="list" allowBlank="1" showInputMessage="1" sqref="I4:I11 I57:I76" xr:uid="{00000000-0002-0000-0700-000005000000}">
      <formula1>$AH$41:$AH$44</formula1>
    </dataValidation>
    <dataValidation type="list" allowBlank="1" showInputMessage="1" sqref="I34:I41 I123:I142" xr:uid="{00000000-0002-0000-0700-000006000000}">
      <formula1>$AH$52:$AH$59</formula1>
    </dataValidation>
    <dataValidation type="list" allowBlank="1" showInputMessage="1" sqref="F14:F21 F101:F120 F57:F76 F79:F98 F123:F142" xr:uid="{00000000-0002-0000-0700-000007000000}">
      <formula1>$AH$31:$AH$34</formula1>
    </dataValidation>
    <dataValidation type="list" allowBlank="1" showInputMessage="1" sqref="H14:H21 H34:H41 H101:H120 H57:H76 H79:H98 H123:H142" xr:uid="{00000000-0002-0000-0700-000008000000}">
      <formula1>$AF$24:$AF$25</formula1>
    </dataValidation>
    <dataValidation type="list" allowBlank="1" showInputMessage="1" prompt="Very short haul is for flights less than 500 miles (~800K)_x000d_Short haul is more than this but less than 1000 miles (~1600K)_x000d_Anything longer is Long haul" sqref="I24 I101:I120" xr:uid="{00000000-0002-0000-0700-000009000000}">
      <formula1>$AF$48:$AF$50</formula1>
    </dataValidation>
    <dataValidation type="list" allowBlank="1" showInputMessage="1" showErrorMessage="1" sqref="J4:J11 J57:J76" xr:uid="{00000000-0002-0000-0700-00000A000000}">
      <formula1>$AH$65:$AH$67</formula1>
    </dataValidation>
    <dataValidation allowBlank="1" showInputMessage="1" showErrorMessage="1" prompt="If you need more spaces to enter data, go to the bottom of this sheet." sqref="D11 D21 D41 D31" xr:uid="{00000000-0002-0000-0700-00000B000000}"/>
  </dataValidations>
  <pageMargins left="0.75" right="0.75" top="1" bottom="1" header="0.5" footer="0.5"/>
  <pageSetup paperSize="9" orientation="portrait" horizontalDpi="4294967293" verticalDpi="429496729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Q277"/>
  <sheetViews>
    <sheetView workbookViewId="0">
      <pane ySplit="1" topLeftCell="A14" activePane="bottomLeft" state="frozen"/>
      <selection activeCell="E31" sqref="E31"/>
      <selection pane="bottomLeft" activeCell="H19" sqref="H19"/>
    </sheetView>
  </sheetViews>
  <sheetFormatPr defaultColWidth="8.77734375" defaultRowHeight="12.7" x14ac:dyDescent="0.25"/>
  <cols>
    <col min="1" max="1" width="1.44140625" customWidth="1" collapsed="1"/>
    <col min="2" max="2" width="4.33203125" customWidth="1" collapsed="1"/>
    <col min="3" max="3" width="29.21875" customWidth="1" collapsed="1"/>
    <col min="4" max="5" width="12.6640625" customWidth="1" collapsed="1"/>
    <col min="6" max="6" width="11.77734375" customWidth="1" collapsed="1"/>
    <col min="7" max="7" width="14" customWidth="1" collapsed="1"/>
    <col min="8" max="8" width="13" customWidth="1" collapsed="1"/>
    <col min="9" max="9" width="15.44140625" customWidth="1" collapsed="1"/>
    <col min="10" max="10" width="11" customWidth="1" collapsed="1"/>
    <col min="11" max="11" width="6" customWidth="1" collapsed="1"/>
    <col min="12" max="15" width="7.44140625" customWidth="1" collapsed="1"/>
    <col min="16" max="16" width="18.44140625" customWidth="1" collapsed="1"/>
    <col min="17" max="17" width="9.6640625" customWidth="1" collapsed="1"/>
    <col min="18" max="18" width="10.6640625" customWidth="1" collapsed="1"/>
    <col min="19" max="19" width="6" customWidth="1" collapsed="1"/>
    <col min="20" max="20" width="7.77734375" customWidth="1" collapsed="1"/>
    <col min="21" max="21" width="111.33203125" customWidth="1" collapsed="1"/>
    <col min="22" max="22" width="26" customWidth="1" collapsed="1"/>
    <col min="23" max="23" width="12.44140625" customWidth="1" collapsed="1"/>
    <col min="24" max="26" width="7.77734375" customWidth="1" collapsed="1"/>
    <col min="27" max="27" width="12.6640625" bestFit="1" customWidth="1" collapsed="1"/>
    <col min="28" max="30" width="9.21875" customWidth="1" collapsed="1"/>
    <col min="36" max="36" width="11.33203125" customWidth="1" collapsed="1"/>
    <col min="39" max="39" width="12.6640625" customWidth="1" collapsed="1"/>
    <col min="42" max="42" width="16.77734375" customWidth="1" collapsed="1"/>
    <col min="48" max="48" width="43.21875" customWidth="1" collapsed="1"/>
    <col min="66" max="67" width="8.77734375" customWidth="1" collapsed="1"/>
    <col min="69" max="69" width="8.77734375" customWidth="1" collapsed="1"/>
  </cols>
  <sheetData>
    <row r="1" spans="1:66" ht="97.5" customHeight="1" x14ac:dyDescent="0.25">
      <c r="A1" s="166"/>
      <c r="B1" s="149"/>
      <c r="C1" s="149"/>
      <c r="D1" s="149"/>
      <c r="E1" s="149"/>
      <c r="F1" s="149"/>
      <c r="G1" s="149"/>
      <c r="H1" s="149"/>
      <c r="I1" s="149"/>
      <c r="J1" s="149"/>
      <c r="K1" s="149"/>
      <c r="L1" s="149"/>
      <c r="M1" s="149"/>
      <c r="N1" s="149"/>
      <c r="O1" s="149"/>
      <c r="P1" s="149"/>
      <c r="Q1" s="149"/>
      <c r="R1" s="149"/>
      <c r="S1" s="149"/>
      <c r="T1" s="149"/>
      <c r="U1" s="149"/>
      <c r="V1" s="166"/>
      <c r="W1" s="166"/>
      <c r="X1" s="166"/>
      <c r="Y1" s="166"/>
      <c r="Z1" s="166"/>
      <c r="AA1" s="166"/>
      <c r="AB1" s="166"/>
      <c r="AC1" s="146"/>
      <c r="AD1" s="146"/>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row>
    <row r="2" spans="1:66" ht="15" customHeight="1" thickBot="1" x14ac:dyDescent="0.3">
      <c r="A2" s="166"/>
      <c r="B2" s="166" t="s">
        <v>2067</v>
      </c>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46"/>
      <c r="AD2" s="146"/>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row>
    <row r="3" spans="1:66" ht="21.05" customHeight="1" thickBot="1" x14ac:dyDescent="0.3">
      <c r="A3" s="166"/>
      <c r="B3" s="955" t="s">
        <v>2067</v>
      </c>
      <c r="C3" s="2526" t="s">
        <v>1245</v>
      </c>
      <c r="D3" s="2526"/>
      <c r="E3" s="2526"/>
      <c r="F3" s="2526"/>
      <c r="G3" s="2526"/>
      <c r="H3" s="2526"/>
      <c r="I3" s="2526"/>
      <c r="J3" s="2526"/>
      <c r="K3" s="2526"/>
      <c r="L3" s="2526"/>
      <c r="M3" s="2526"/>
      <c r="N3" s="2526"/>
      <c r="O3" s="2526"/>
      <c r="P3" s="1023"/>
      <c r="Q3" s="1023"/>
      <c r="R3" s="1023"/>
      <c r="S3" s="1024"/>
      <c r="T3" s="190"/>
      <c r="U3" s="190"/>
      <c r="V3" s="190" t="s">
        <v>1234</v>
      </c>
      <c r="W3" s="190"/>
      <c r="X3" s="166"/>
      <c r="Y3" s="149"/>
      <c r="Z3" s="149"/>
      <c r="AA3" s="149"/>
      <c r="AB3" s="149"/>
      <c r="AC3" s="186"/>
      <c r="AD3" s="186"/>
      <c r="AE3" s="186"/>
      <c r="AF3" s="186"/>
      <c r="AG3" s="186"/>
      <c r="AH3" s="186"/>
      <c r="AI3" s="186"/>
      <c r="AJ3" s="186"/>
      <c r="AK3" s="186"/>
      <c r="AL3" s="186"/>
      <c r="AM3" s="186"/>
      <c r="AN3" s="146"/>
      <c r="AO3" s="146"/>
      <c r="AP3" s="146"/>
      <c r="AQ3" s="146"/>
      <c r="AR3" s="146"/>
      <c r="AS3" s="146"/>
      <c r="AT3" s="146"/>
      <c r="AU3" s="146"/>
      <c r="AV3" s="146"/>
      <c r="AW3" s="146"/>
      <c r="AX3" s="146"/>
      <c r="AY3" s="146"/>
      <c r="AZ3" s="146"/>
      <c r="BA3" s="146"/>
      <c r="BB3" s="60"/>
      <c r="BC3" s="60"/>
      <c r="BD3" s="60"/>
      <c r="BE3" s="60"/>
      <c r="BF3" s="60"/>
      <c r="BG3" s="60"/>
      <c r="BH3" s="60"/>
      <c r="BI3" s="60"/>
      <c r="BJ3" s="60"/>
      <c r="BK3" s="60"/>
      <c r="BL3" s="60"/>
      <c r="BM3" s="60"/>
      <c r="BN3" s="60"/>
    </row>
    <row r="4" spans="1:66" ht="27.8" customHeight="1" x14ac:dyDescent="0.25">
      <c r="A4" s="166"/>
      <c r="B4" s="1108"/>
      <c r="C4" s="1107"/>
      <c r="D4" s="1107"/>
      <c r="E4" s="1107"/>
      <c r="F4" s="1107"/>
      <c r="G4" s="1107"/>
      <c r="H4" s="1107"/>
      <c r="I4" s="1107"/>
      <c r="J4" s="1107"/>
      <c r="K4" s="1107"/>
      <c r="L4" s="1107"/>
      <c r="M4" s="1107"/>
      <c r="N4" s="1107"/>
      <c r="O4" s="1107"/>
      <c r="P4" s="1109"/>
      <c r="Q4" s="1109"/>
      <c r="R4" s="1109"/>
      <c r="S4" s="1110"/>
      <c r="T4" s="149"/>
      <c r="U4" s="149"/>
      <c r="V4" s="149"/>
      <c r="W4" s="166"/>
      <c r="X4" s="166"/>
      <c r="Y4" s="598"/>
      <c r="Z4" s="436"/>
      <c r="AA4" s="436"/>
      <c r="AB4" s="436"/>
      <c r="AC4" s="454"/>
      <c r="AD4" s="454"/>
      <c r="AE4" s="454"/>
      <c r="AF4" s="454"/>
      <c r="AG4" s="454"/>
      <c r="AH4" s="186"/>
      <c r="AI4" s="186"/>
      <c r="AJ4" s="186" t="str">
        <f>"Emissions for total area," &amp; AK4</f>
        <v>Emissions for total area,kg CO2 eq</v>
      </c>
      <c r="AK4" s="272" t="s">
        <v>1479</v>
      </c>
      <c r="AL4" s="286">
        <v>1</v>
      </c>
      <c r="AM4" s="291"/>
      <c r="AN4" s="291"/>
      <c r="AO4" s="291" t="s">
        <v>1977</v>
      </c>
      <c r="AP4" s="291"/>
      <c r="AQ4" s="291"/>
      <c r="AR4" s="291"/>
      <c r="AS4" s="291"/>
      <c r="AT4" s="291"/>
      <c r="AU4" s="291"/>
      <c r="AV4" s="291"/>
      <c r="AW4" s="291"/>
      <c r="AX4" s="291"/>
      <c r="AY4" s="291"/>
      <c r="AZ4" s="291"/>
      <c r="BA4" s="291"/>
      <c r="BB4" s="291"/>
      <c r="BC4" s="291"/>
      <c r="BD4" s="291"/>
      <c r="BE4" s="291"/>
      <c r="BF4" s="291"/>
      <c r="BG4" s="291"/>
      <c r="BH4" s="291"/>
      <c r="BI4" s="60"/>
      <c r="BJ4" s="60"/>
      <c r="BK4" s="60"/>
      <c r="BL4" s="60"/>
      <c r="BM4" s="60"/>
      <c r="BN4" s="60"/>
    </row>
    <row r="5" spans="1:66" ht="22.5" customHeight="1" x14ac:dyDescent="0.25">
      <c r="A5" s="166"/>
      <c r="B5" s="381"/>
      <c r="C5" s="1036" t="s">
        <v>1663</v>
      </c>
      <c r="D5" s="1204" t="s">
        <v>1479</v>
      </c>
      <c r="E5" s="186"/>
      <c r="F5" s="186"/>
      <c r="G5" s="186"/>
      <c r="H5" s="2527" t="str">
        <f ca="1">OFFSET(W7,SUMIF(Z7:Z8,X8,AA7:AA8),0)</f>
        <v xml:space="preserve"> </v>
      </c>
      <c r="I5" s="2527"/>
      <c r="J5" s="1423" t="str">
        <f>IF('4.Livestock'!E7="cattle","No","dummy")</f>
        <v>dummy</v>
      </c>
      <c r="K5" s="186"/>
      <c r="L5" s="186"/>
      <c r="M5" s="186"/>
      <c r="N5" s="186"/>
      <c r="O5" s="186"/>
      <c r="P5" s="186"/>
      <c r="Q5" s="186"/>
      <c r="R5" s="186"/>
      <c r="S5" s="499"/>
      <c r="T5" s="149"/>
      <c r="U5" s="149"/>
      <c r="V5" s="149"/>
      <c r="W5" s="166" t="str">
        <f ca="1">OFFSET('2.CropManagement'!AA151,SUMIF('2.CropManagement'!X152:X153,'1.GeneralInfo'!F12,'2.CropManagement'!AB152:AB153),0)</f>
        <v>hectare</v>
      </c>
      <c r="X5" s="166" t="str">
        <f ca="1">OFFSET('2.CropManagement'!AA156,SUMIF('2.CropManagement'!X157:X164,'1.GeneralInfo'!F14,'2.CropManagement'!AB157:AB164),0)</f>
        <v>tonne</v>
      </c>
      <c r="Y5" s="149"/>
      <c r="Z5" s="149"/>
      <c r="AA5" s="149"/>
      <c r="AB5" s="149"/>
      <c r="AC5" s="186"/>
      <c r="AD5" s="186"/>
      <c r="AE5" s="186"/>
      <c r="AF5" s="186"/>
      <c r="AG5" s="186"/>
      <c r="AH5" s="186"/>
      <c r="AI5" s="186"/>
      <c r="AJ5" s="186" t="str">
        <f>"Emissions for total area," &amp; AK5</f>
        <v>Emissions for total area,tonnes CO2 eq</v>
      </c>
      <c r="AK5" s="278" t="s">
        <v>1478</v>
      </c>
      <c r="AL5" s="286">
        <v>1E-3</v>
      </c>
      <c r="AM5" s="291"/>
      <c r="AN5" s="291"/>
      <c r="AO5" s="291"/>
      <c r="AP5" s="291"/>
      <c r="AQ5" s="291"/>
      <c r="AR5" s="291"/>
      <c r="AS5" s="291"/>
      <c r="AT5" s="291"/>
      <c r="AU5" s="291"/>
      <c r="AV5" s="291"/>
      <c r="AW5" s="291"/>
      <c r="AX5" s="291"/>
      <c r="AY5" s="291"/>
      <c r="AZ5" s="291"/>
      <c r="BA5" s="291"/>
      <c r="BB5" s="291"/>
      <c r="BC5" s="291"/>
      <c r="BD5" s="291"/>
      <c r="BE5" s="291"/>
      <c r="BF5" s="291"/>
      <c r="BG5" s="291"/>
      <c r="BH5" s="291"/>
      <c r="BI5" s="60"/>
      <c r="BJ5" s="60"/>
      <c r="BK5" s="60"/>
      <c r="BL5" s="60"/>
      <c r="BM5" s="60"/>
      <c r="BN5" s="60"/>
    </row>
    <row r="6" spans="1:66" ht="28.55" customHeight="1" thickBot="1" x14ac:dyDescent="0.3">
      <c r="A6" s="166"/>
      <c r="B6" s="381"/>
      <c r="C6" s="186"/>
      <c r="E6" s="186"/>
      <c r="F6" s="186"/>
      <c r="G6" s="186"/>
      <c r="H6" s="186"/>
      <c r="I6" s="186"/>
      <c r="J6" s="186"/>
      <c r="K6" s="186"/>
      <c r="L6" s="186"/>
      <c r="M6" s="186"/>
      <c r="N6" s="186"/>
      <c r="O6" s="186"/>
      <c r="P6" s="186"/>
      <c r="Q6" s="186"/>
      <c r="R6" s="186"/>
      <c r="S6" s="499"/>
      <c r="T6" s="876"/>
      <c r="U6" s="876" t="str">
        <f>IF(AP$10,AV7,"")</f>
        <v/>
      </c>
      <c r="V6" s="876"/>
      <c r="W6" s="873"/>
      <c r="X6" s="876" t="s">
        <v>698</v>
      </c>
      <c r="Y6" s="876"/>
      <c r="Z6" s="876"/>
      <c r="AA6" s="876"/>
      <c r="AB6" s="876"/>
      <c r="AC6" s="875"/>
      <c r="AD6" s="875"/>
      <c r="AE6" s="875"/>
      <c r="AF6" s="875"/>
      <c r="AG6" s="875"/>
      <c r="AH6" s="875"/>
      <c r="AI6" s="875"/>
      <c r="AJ6" s="875" t="str">
        <f>"Emissions for total area," &amp; AK6</f>
        <v>Emissions for total area,pounds CO2 eq</v>
      </c>
      <c r="AK6" s="873" t="s">
        <v>1480</v>
      </c>
      <c r="AL6" s="877">
        <v>2.2046000000000001</v>
      </c>
      <c r="AM6" s="878"/>
      <c r="AN6" s="878"/>
      <c r="AO6" s="878"/>
      <c r="AP6" s="2525"/>
      <c r="AQ6" s="2525"/>
      <c r="AR6" s="2525"/>
      <c r="AS6" s="2525"/>
      <c r="AT6" s="2525"/>
      <c r="AU6" s="2525"/>
      <c r="AV6" s="2525"/>
      <c r="AW6" s="2525"/>
      <c r="AX6" s="2525"/>
      <c r="AY6" s="2525"/>
      <c r="AZ6" s="2525"/>
      <c r="BA6" s="2525"/>
      <c r="BB6" s="878"/>
      <c r="BC6" s="878"/>
      <c r="BD6" s="878"/>
      <c r="BE6" s="878"/>
      <c r="BF6" s="878"/>
      <c r="BG6" s="878"/>
      <c r="BH6" s="878"/>
      <c r="BI6" s="879"/>
      <c r="BJ6" s="879"/>
      <c r="BK6" s="879"/>
      <c r="BL6" s="879"/>
      <c r="BM6" s="879"/>
      <c r="BN6" s="879"/>
    </row>
    <row r="7" spans="1:66" ht="28.55" customHeight="1" x14ac:dyDescent="0.35">
      <c r="A7" s="166"/>
      <c r="B7" s="381"/>
      <c r="C7" s="1020" t="s">
        <v>1134</v>
      </c>
      <c r="D7" s="1260"/>
      <c r="E7" s="346"/>
      <c r="F7" s="346"/>
      <c r="G7" s="346"/>
      <c r="H7" s="732"/>
      <c r="I7" s="181"/>
      <c r="J7" s="186"/>
      <c r="K7" s="186"/>
      <c r="L7" s="186"/>
      <c r="M7" s="186"/>
      <c r="N7" s="186"/>
      <c r="O7" s="186"/>
      <c r="P7" s="186"/>
      <c r="Q7" s="186"/>
      <c r="R7" s="186"/>
      <c r="S7" s="499"/>
      <c r="T7" s="876"/>
      <c r="U7" s="876" t="str">
        <f>IF(AP$10,AV8,"")</f>
        <v/>
      </c>
      <c r="V7" s="876"/>
      <c r="W7" s="873" t="s">
        <v>1234</v>
      </c>
      <c r="X7" s="876" t="s">
        <v>1234</v>
      </c>
      <c r="Y7" s="876"/>
      <c r="Z7" s="876" t="b">
        <v>0</v>
      </c>
      <c r="AA7" s="876">
        <v>0</v>
      </c>
      <c r="AB7" s="876">
        <v>1</v>
      </c>
      <c r="AC7" s="875"/>
      <c r="AD7" s="875"/>
      <c r="AE7" s="875"/>
      <c r="AF7" s="875"/>
      <c r="AG7" s="875"/>
      <c r="AH7" s="875"/>
      <c r="AI7" s="875"/>
      <c r="AJ7" s="875" t="str">
        <f>"Emissions for total area," &amp; AK7</f>
        <v>Emissions for total area,tons CO2 eq</v>
      </c>
      <c r="AK7" s="873" t="s">
        <v>1481</v>
      </c>
      <c r="AL7" s="877">
        <f>2.201/2000</f>
        <v>1.1005000000000001E-3</v>
      </c>
      <c r="AM7" s="878"/>
      <c r="AN7" s="878"/>
      <c r="AO7" s="880"/>
      <c r="AP7" s="881"/>
      <c r="AQ7" s="881"/>
      <c r="AR7" s="881"/>
      <c r="AS7" s="882"/>
      <c r="AT7" s="881"/>
      <c r="AU7" s="881"/>
      <c r="AV7" s="440" t="str">
        <f ca="1">"The total annual emissions from your farm system are "&amp;AG11&amp;" kg CO2-equiv per tree."</f>
        <v>The total annual emissions from your farm system are 55.14 kg CO2-equiv per tree.</v>
      </c>
      <c r="AW7" s="882"/>
      <c r="AX7" s="881"/>
      <c r="AY7" s="881"/>
      <c r="AZ7" s="881"/>
      <c r="BA7" s="882"/>
      <c r="BB7" s="878"/>
      <c r="BC7" s="878"/>
      <c r="BD7" s="878"/>
      <c r="BE7" s="878"/>
      <c r="BF7" s="878"/>
      <c r="BG7" s="878"/>
      <c r="BH7" s="878"/>
      <c r="BI7" s="879"/>
      <c r="BJ7" s="879"/>
      <c r="BK7" s="879"/>
      <c r="BL7" s="879"/>
      <c r="BM7" s="879"/>
      <c r="BN7" s="879"/>
    </row>
    <row r="8" spans="1:66" ht="28.55" customHeight="1" x14ac:dyDescent="0.25">
      <c r="A8" s="873"/>
      <c r="B8" s="874"/>
      <c r="C8" s="2531" t="str">
        <f ca="1">"1. The total annual emissions from your farm system are "&amp;AG11&amp; " " &amp; D5&amp; " "&amp;"per " &amp;X5&amp;" finished product."</f>
        <v>1. The total annual emissions from your farm system are 55.14 kg CO2 eq per tonne finished product.</v>
      </c>
      <c r="D8" s="2532"/>
      <c r="E8" s="2532"/>
      <c r="F8" s="2532"/>
      <c r="G8" s="2532"/>
      <c r="H8" s="2533"/>
      <c r="I8" s="875"/>
      <c r="J8" s="875"/>
      <c r="K8" s="875"/>
      <c r="L8" s="875"/>
      <c r="M8" s="875"/>
      <c r="N8" s="875"/>
      <c r="O8" s="875"/>
      <c r="P8" s="875"/>
      <c r="Q8" s="875"/>
      <c r="R8" s="875"/>
      <c r="S8" s="1028"/>
      <c r="T8" s="876"/>
      <c r="U8" s="876" t="str">
        <f>IF(AP$10,AV9,"")</f>
        <v/>
      </c>
      <c r="V8" s="873"/>
      <c r="W8" s="873" t="s">
        <v>798</v>
      </c>
      <c r="X8" s="883" t="b">
        <f>IF('4.Livestock'!P44&lt;&gt;"",IF('4.Livestock'!P45&lt;&gt;"",TRUE,FALSE),FALSE)</f>
        <v>0</v>
      </c>
      <c r="Y8" s="873"/>
      <c r="Z8" s="873" t="b">
        <v>1</v>
      </c>
      <c r="AA8" s="873">
        <v>1</v>
      </c>
      <c r="AB8" s="873">
        <f>(0.1226*'4.Livestock'!P44+0.0776*'4.Livestock'!P45+0.2534)</f>
        <v>0.25340000000000001</v>
      </c>
      <c r="AC8" s="884"/>
      <c r="AD8" s="884"/>
      <c r="AE8" s="884"/>
      <c r="AF8" s="884"/>
      <c r="AG8" s="884"/>
      <c r="AH8" s="884"/>
      <c r="AI8" s="884"/>
      <c r="AJ8" s="875"/>
      <c r="AK8" s="875"/>
      <c r="AL8" s="875"/>
      <c r="AM8" s="878"/>
      <c r="AN8" s="885"/>
      <c r="AO8" s="885"/>
      <c r="AP8" s="886"/>
      <c r="AQ8" s="887"/>
      <c r="AR8" s="888"/>
      <c r="AS8" s="886"/>
      <c r="AT8" s="886"/>
      <c r="AU8" s="887"/>
      <c r="AV8" s="440" t="str">
        <f ca="1">"In terms of CO2 equivalents the greatest emissions in your case come from "&amp;W11&amp;", with a total of "&amp;Y11&amp;"kg CO2 equiv per tree."</f>
        <v>In terms of CO2 equivalents the greatest emissions in your case come from fertiliser production, with a total of 156kg CO2 equiv per tree.</v>
      </c>
      <c r="AW8" s="886"/>
      <c r="AX8" s="886"/>
      <c r="AY8" s="887"/>
      <c r="AZ8" s="888"/>
      <c r="BA8" s="886"/>
      <c r="BB8" s="885"/>
      <c r="BC8" s="885"/>
      <c r="BD8" s="885"/>
      <c r="BE8" s="885"/>
      <c r="BF8" s="878"/>
      <c r="BG8" s="878"/>
      <c r="BH8" s="878"/>
      <c r="BI8" s="879"/>
      <c r="BJ8" s="879"/>
      <c r="BK8" s="879"/>
      <c r="BL8" s="879"/>
      <c r="BM8" s="879"/>
      <c r="BN8" s="879"/>
    </row>
    <row r="9" spans="1:66" ht="41.2" customHeight="1" x14ac:dyDescent="0.25">
      <c r="A9" s="873"/>
      <c r="B9" s="874"/>
      <c r="C9" s="2534" t="str">
        <f ca="1">"2. In terms of CO2 equivalents the greatest emissions in your case come from "&amp; W11&amp;", with a total of "&amp;Y11&amp;" " &amp; D5 &amp; " " &amp;"per "&amp;X5 &amp;"."</f>
        <v>2. In terms of CO2 equivalents the greatest emissions in your case come from fertiliser production, with a total of 156 kg CO2 eq per tonne.</v>
      </c>
      <c r="D9" s="2535"/>
      <c r="E9" s="2535"/>
      <c r="F9" s="2535"/>
      <c r="G9" s="2535"/>
      <c r="H9" s="2536"/>
      <c r="I9" s="875"/>
      <c r="J9" s="875"/>
      <c r="K9" s="875"/>
      <c r="L9" s="875"/>
      <c r="M9" s="875"/>
      <c r="N9" s="875"/>
      <c r="O9" s="875"/>
      <c r="P9" s="875"/>
      <c r="Q9" s="875"/>
      <c r="R9" s="875"/>
      <c r="S9" s="1028"/>
      <c r="T9" s="149"/>
      <c r="U9" s="149" t="str">
        <f>IF(AP$10,AV10,"")</f>
        <v/>
      </c>
      <c r="V9" s="166"/>
      <c r="W9" s="166"/>
      <c r="X9" s="166"/>
      <c r="Y9" s="166"/>
      <c r="Z9" s="166"/>
      <c r="AA9" s="166"/>
      <c r="AB9" s="166"/>
      <c r="AC9" s="146"/>
      <c r="AD9" s="146"/>
      <c r="AE9" s="146"/>
      <c r="AF9" s="146"/>
      <c r="AG9" s="146"/>
      <c r="AH9" s="146"/>
      <c r="AI9" s="146"/>
      <c r="AJ9" s="186"/>
      <c r="AK9" s="186"/>
      <c r="AL9" s="186"/>
      <c r="AM9" s="291"/>
      <c r="AN9" s="563"/>
      <c r="AO9" s="563"/>
      <c r="AP9" s="603" t="s">
        <v>983</v>
      </c>
      <c r="AQ9" s="601"/>
      <c r="AR9" s="602"/>
      <c r="AS9" s="600"/>
      <c r="AT9" s="600"/>
      <c r="AU9" s="601"/>
      <c r="AV9" s="448" t="str">
        <f ca="1">"In terms of compounds the largest emissions in CO2 equivalents come from "&amp;AB17</f>
        <v>In terms of compounds the largest emissions in CO2 equivalents come from CO2</v>
      </c>
      <c r="AW9" s="600"/>
      <c r="AX9" s="600"/>
      <c r="AY9" s="601"/>
      <c r="AZ9" s="602"/>
      <c r="BA9" s="600"/>
      <c r="BB9" s="563"/>
      <c r="BC9" s="563"/>
      <c r="BD9" s="563"/>
      <c r="BE9" s="563"/>
      <c r="BF9" s="291"/>
      <c r="BG9" s="291"/>
      <c r="BH9" s="291"/>
      <c r="BI9" s="60"/>
      <c r="BJ9" s="60"/>
      <c r="BK9" s="60"/>
      <c r="BL9" s="60"/>
      <c r="BM9" s="60"/>
      <c r="BN9" s="60"/>
    </row>
    <row r="10" spans="1:66" ht="35.299999999999997" customHeight="1" thickBot="1" x14ac:dyDescent="0.3">
      <c r="A10" s="873"/>
      <c r="B10" s="874"/>
      <c r="C10" s="1120" t="str">
        <f ca="1">"3. In terms of compounds the largest emissions in CO2 equivalents come from "&amp;AB17&amp;"."</f>
        <v>3. In terms of compounds the largest emissions in CO2 equivalents come from CO2.</v>
      </c>
      <c r="D10" s="1121"/>
      <c r="E10" s="1121"/>
      <c r="F10" s="1121"/>
      <c r="G10" s="1121"/>
      <c r="H10" s="1122"/>
      <c r="I10" s="875"/>
      <c r="J10" s="875"/>
      <c r="K10" s="875"/>
      <c r="L10" s="875"/>
      <c r="M10" s="875"/>
      <c r="N10" s="875"/>
      <c r="O10" s="875"/>
      <c r="P10" s="875"/>
      <c r="Q10" s="875"/>
      <c r="R10" s="875"/>
      <c r="S10" s="1028"/>
      <c r="T10" s="149"/>
      <c r="U10" s="149"/>
      <c r="V10" s="166"/>
      <c r="W10" s="166"/>
      <c r="X10" s="166"/>
      <c r="Y10" s="166"/>
      <c r="Z10" s="166"/>
      <c r="AA10" s="166"/>
      <c r="AB10" s="166"/>
      <c r="AC10" s="146"/>
      <c r="AD10" s="146"/>
      <c r="AE10" s="146"/>
      <c r="AF10" s="146"/>
      <c r="AG10" s="146"/>
      <c r="AH10" s="146"/>
      <c r="AI10" s="146"/>
      <c r="AJ10" s="186"/>
      <c r="AK10" s="186"/>
      <c r="AL10" s="186"/>
      <c r="AM10" s="291"/>
      <c r="AN10" s="563"/>
      <c r="AO10" s="563"/>
      <c r="AP10" s="604" t="b">
        <f>SUM('3.Sequestration'!H21:H30)&gt;0</f>
        <v>0</v>
      </c>
      <c r="AQ10" s="600">
        <f>SUM('3.Sequestration'!F21:F30)*'1.GeneralInfo'!S12</f>
        <v>0</v>
      </c>
      <c r="AR10" s="602"/>
      <c r="AS10" s="600"/>
      <c r="AT10" s="600"/>
      <c r="AU10" s="601"/>
      <c r="AV10" s="448" t="str">
        <f ca="1">IF(AB13&lt;&gt;AB12,AV11,AV12)</f>
        <v>- with a total of 36.046511627907kgs of CO2 per tree.</v>
      </c>
      <c r="AW10" s="600"/>
      <c r="AX10" s="600"/>
      <c r="AY10" s="601"/>
      <c r="AZ10" s="602"/>
      <c r="BA10" s="600"/>
      <c r="BB10" s="563"/>
      <c r="BC10" s="563"/>
      <c r="BD10" s="563"/>
      <c r="BE10" s="563"/>
      <c r="BF10" s="291"/>
      <c r="BG10" s="291"/>
      <c r="BH10" s="291"/>
      <c r="BI10" s="60"/>
      <c r="BJ10" s="60"/>
      <c r="BK10" s="60"/>
      <c r="BL10" s="60"/>
      <c r="BM10" s="60"/>
      <c r="BN10" s="60"/>
    </row>
    <row r="11" spans="1:66" ht="45.1" customHeight="1" thickBot="1" x14ac:dyDescent="0.3">
      <c r="A11" s="166"/>
      <c r="B11" s="381"/>
      <c r="C11" s="1123" t="str">
        <f ca="1">IF(ISERROR(IF(AB13&lt;&gt;AB12,AB18,AB19)),"",IF(AB13&lt;&gt;AB12,AB18,AB19))</f>
        <v>- with a total of 36.05kgs of CO2 per tonne.</v>
      </c>
      <c r="D11" s="1021"/>
      <c r="E11" s="1021"/>
      <c r="F11" s="1021"/>
      <c r="G11" s="1021"/>
      <c r="H11" s="1022"/>
      <c r="I11" s="186"/>
      <c r="J11" s="186"/>
      <c r="K11" s="186"/>
      <c r="L11" s="186"/>
      <c r="M11" s="186"/>
      <c r="N11" s="186"/>
      <c r="O11" s="186"/>
      <c r="P11" s="186"/>
      <c r="Q11" s="186"/>
      <c r="R11" s="186"/>
      <c r="S11" s="499"/>
      <c r="T11" s="149"/>
      <c r="U11" s="149"/>
      <c r="V11" s="166"/>
      <c r="W11" s="253" t="str">
        <f ca="1">OFFSET(C13,SUMIF(I14:I26,X11,Y12:Y25),0)</f>
        <v>fertiliser production</v>
      </c>
      <c r="X11" s="279">
        <f ca="1">MAX(I14:I26)</f>
        <v>156.41196013289036</v>
      </c>
      <c r="Y11" s="279">
        <f ca="1">ROUND(X11,0)</f>
        <v>156</v>
      </c>
      <c r="Z11" s="166"/>
      <c r="AA11" s="166"/>
      <c r="AB11" s="1407">
        <f ca="1">ROUND(D27,2)</f>
        <v>2231.9899999999998</v>
      </c>
      <c r="AC11" s="605">
        <f ca="1">ROUND(E27,0)</f>
        <v>4</v>
      </c>
      <c r="AD11" s="605">
        <f ca="1">ROUND(F27,0)</f>
        <v>0</v>
      </c>
      <c r="AE11" s="605">
        <f ca="1">ROUND(AM25,0)</f>
        <v>3414</v>
      </c>
      <c r="AF11" s="605">
        <f ca="1">ROUND(H27,0)</f>
        <v>474</v>
      </c>
      <c r="AG11" s="1406">
        <f ca="1">ROUND(I27,2)</f>
        <v>55.14</v>
      </c>
      <c r="AH11" s="146"/>
      <c r="AI11" s="146"/>
      <c r="AJ11" s="186"/>
      <c r="AK11" s="186"/>
      <c r="AL11" s="186"/>
      <c r="AM11" s="60"/>
      <c r="AN11" s="563"/>
      <c r="AO11" s="563"/>
      <c r="AP11" s="606"/>
      <c r="AQ11" s="607"/>
      <c r="AR11" s="608" t="b">
        <f>IF(AP10,"per tree")</f>
        <v>0</v>
      </c>
      <c r="AS11" s="600"/>
      <c r="AT11" s="600"/>
      <c r="AU11" s="601"/>
      <c r="AV11" s="149" t="str">
        <f ca="1">" - the "&amp;AC16/AB20&amp;" kgs of " &amp;AB17&amp; " equating to " &amp;AC13/AB20&amp; " kgs of CO2 per tree."</f>
        <v xml:space="preserve"> - the 36.0463662790698 kgs of CO2 equating to 36.046511627907 kgs of CO2 per tree.</v>
      </c>
      <c r="AW11" s="600"/>
      <c r="AX11" s="600"/>
      <c r="AY11" s="601"/>
      <c r="AZ11" s="602"/>
      <c r="BA11" s="600"/>
      <c r="BB11" s="563"/>
      <c r="BC11" s="563"/>
      <c r="BD11" s="563"/>
      <c r="BE11" s="563"/>
      <c r="BF11" s="291"/>
      <c r="BG11" s="291"/>
      <c r="BH11" s="291"/>
      <c r="BI11" s="60"/>
      <c r="BJ11" s="60"/>
      <c r="BK11" s="60"/>
      <c r="BL11" s="60"/>
      <c r="BM11" s="60"/>
      <c r="BN11" s="60"/>
    </row>
    <row r="12" spans="1:66" ht="22.5" customHeight="1" thickBot="1" x14ac:dyDescent="0.4">
      <c r="A12" s="166"/>
      <c r="B12" s="381"/>
      <c r="C12" s="119" t="s">
        <v>1133</v>
      </c>
      <c r="D12" s="186"/>
      <c r="E12" s="186"/>
      <c r="F12" s="186"/>
      <c r="G12" s="186"/>
      <c r="H12" s="186"/>
      <c r="I12" s="186"/>
      <c r="J12" s="186"/>
      <c r="K12" s="186"/>
      <c r="L12" s="186"/>
      <c r="M12" s="186"/>
      <c r="N12" s="186"/>
      <c r="O12" s="186"/>
      <c r="P12" s="186"/>
      <c r="Q12" s="186"/>
      <c r="R12" s="186"/>
      <c r="S12" s="499"/>
      <c r="T12" s="149"/>
      <c r="U12" s="149"/>
      <c r="V12" s="166"/>
      <c r="W12" s="166"/>
      <c r="X12" s="166"/>
      <c r="Y12" s="566">
        <v>1</v>
      </c>
      <c r="Z12" s="166"/>
      <c r="AA12" s="166"/>
      <c r="AB12" s="609">
        <f ca="1">AB11</f>
        <v>2231.9899999999998</v>
      </c>
      <c r="AC12" s="166">
        <f ca="1">'A1. Submodels &amp; data'!B379*E27</f>
        <v>1182.5089197708812</v>
      </c>
      <c r="AD12" s="166">
        <f ca="1">'A1. Submodels &amp; data'!B378*F27</f>
        <v>0</v>
      </c>
      <c r="AE12" s="259"/>
      <c r="AF12" s="259"/>
      <c r="AG12" s="259"/>
      <c r="AH12" s="146"/>
      <c r="AI12" s="146"/>
      <c r="AJ12" s="186"/>
      <c r="AK12" s="186"/>
      <c r="AL12" s="186"/>
      <c r="AM12" s="565">
        <f ca="1">'2.CropManagement'!O36</f>
        <v>9685.028571428571</v>
      </c>
      <c r="AN12" s="291"/>
      <c r="AO12" s="563"/>
      <c r="AP12" s="6" t="s">
        <v>8</v>
      </c>
      <c r="AQ12" s="610"/>
      <c r="AR12" s="611" t="e">
        <f t="shared" ref="AR12:AR20" ca="1" si="0">AM12/AQ$10</f>
        <v>#DIV/0!</v>
      </c>
      <c r="AS12" s="600"/>
      <c r="AT12" s="600"/>
      <c r="AU12" s="601"/>
      <c r="AV12" s="149" t="str">
        <f ca="1">"- with a total of " &amp;AC13/AB20&amp; "kgs of CO2 per tree."</f>
        <v>- with a total of 36.046511627907kgs of CO2 per tree.</v>
      </c>
      <c r="AW12" s="600"/>
      <c r="AX12" s="600"/>
      <c r="AY12" s="601"/>
      <c r="AZ12" s="602"/>
      <c r="BA12" s="600"/>
      <c r="BB12" s="563"/>
      <c r="BC12" s="563"/>
      <c r="BD12" s="563"/>
      <c r="BE12" s="563"/>
      <c r="BF12" s="291"/>
      <c r="BG12" s="291"/>
      <c r="BH12" s="291"/>
      <c r="BI12" s="60"/>
      <c r="BJ12" s="60"/>
      <c r="BK12" s="60"/>
      <c r="BL12" s="60"/>
      <c r="BM12" s="60"/>
      <c r="BN12" s="60"/>
    </row>
    <row r="13" spans="1:66" ht="56.3" customHeight="1" thickBot="1" x14ac:dyDescent="0.4">
      <c r="A13" s="166"/>
      <c r="B13" s="381"/>
      <c r="C13" s="1607" t="str">
        <f>'1.GeneralInfo'!E11</f>
        <v>Winter wheat</v>
      </c>
      <c r="D13" s="1425" t="s">
        <v>2071</v>
      </c>
      <c r="E13" s="1425" t="s">
        <v>1793</v>
      </c>
      <c r="F13" s="1425" t="s">
        <v>2073</v>
      </c>
      <c r="G13" s="1425" t="str">
        <f>"Emissions for total area, " &amp; D5</f>
        <v>Emissions for total area, kg CO2 eq</v>
      </c>
      <c r="H13" s="1426" t="str">
        <f ca="1" xml:space="preserve"> "Per " &amp; W5</f>
        <v>Per hectare</v>
      </c>
      <c r="I13" s="1427" t="str">
        <f ca="1" xml:space="preserve"> "Per " &amp;X5</f>
        <v>Per tonne</v>
      </c>
      <c r="J13" s="1428" t="s">
        <v>1335</v>
      </c>
      <c r="K13" s="186"/>
      <c r="L13" s="186"/>
      <c r="M13" s="186"/>
      <c r="N13" s="186"/>
      <c r="O13" s="186"/>
      <c r="P13" s="186"/>
      <c r="Q13" s="186"/>
      <c r="R13" s="186"/>
      <c r="S13" s="499"/>
      <c r="T13" s="149"/>
      <c r="U13" s="149"/>
      <c r="V13" s="166"/>
      <c r="W13" s="166"/>
      <c r="X13" s="166"/>
      <c r="Y13" s="566">
        <v>2</v>
      </c>
      <c r="Z13" s="166"/>
      <c r="AA13" s="166"/>
      <c r="AB13" s="612">
        <f ca="1">MAX(AB12:AD12)</f>
        <v>2231.9899999999998</v>
      </c>
      <c r="AC13" s="613">
        <f ca="1">ROUND(AB13,0)</f>
        <v>2232</v>
      </c>
      <c r="AD13" s="146"/>
      <c r="AE13" s="146"/>
      <c r="AF13" s="146"/>
      <c r="AG13" s="146"/>
      <c r="AH13" s="146"/>
      <c r="AI13" s="146"/>
      <c r="AJ13" s="186"/>
      <c r="AK13" s="186"/>
      <c r="AL13" s="186"/>
      <c r="AM13" s="562">
        <f ca="1">'2.CropManagement'!O38+'2.CropManagement'!O37</f>
        <v>1182.5089197708812</v>
      </c>
      <c r="AN13" s="291"/>
      <c r="AO13" s="563"/>
      <c r="AP13" s="6" t="s">
        <v>88</v>
      </c>
      <c r="AQ13" s="610"/>
      <c r="AR13" s="611" t="e">
        <f t="shared" ca="1" si="0"/>
        <v>#DIV/0!</v>
      </c>
      <c r="AS13" s="600"/>
      <c r="AT13" s="600"/>
      <c r="AU13" s="601"/>
      <c r="AV13" s="602"/>
      <c r="AW13" s="600"/>
      <c r="AX13" s="600"/>
      <c r="AY13" s="601"/>
      <c r="AZ13" s="602"/>
      <c r="BA13" s="600"/>
      <c r="BB13" s="563"/>
      <c r="BC13" s="563"/>
      <c r="BD13" s="563"/>
      <c r="BE13" s="563"/>
      <c r="BF13" s="291"/>
      <c r="BG13" s="291"/>
      <c r="BH13" s="291"/>
      <c r="BI13" s="60"/>
      <c r="BJ13" s="60"/>
      <c r="BK13" s="60"/>
      <c r="BL13" s="60"/>
      <c r="BM13" s="60"/>
      <c r="BN13" s="60"/>
    </row>
    <row r="14" spans="1:66" ht="22.5" customHeight="1" x14ac:dyDescent="0.25">
      <c r="A14" s="166"/>
      <c r="B14" s="381"/>
      <c r="C14" s="92" t="s">
        <v>8</v>
      </c>
      <c r="D14" s="1429">
        <f ca="1">'2.CropManagement'!D36</f>
        <v>9685.028571428571</v>
      </c>
      <c r="E14" s="1430"/>
      <c r="F14" s="1430"/>
      <c r="G14" s="1429">
        <f t="shared" ref="G14:G27" ca="1" si="1">SUMIF(AK$4:AK$7,D$5,AL$4:AL$7)*AM12</f>
        <v>9685.028571428571</v>
      </c>
      <c r="H14" s="1431">
        <f ca="1">IF('1.GeneralInfo'!E$12=0,"N/A",$G14/('1.GeneralInfo'!S$12/SUMIF('2.CropManagement'!X$152:X$153,'1.GeneralInfo'!F$12,'2.CropManagement'!Y$152:Y$153)))</f>
        <v>1345.1428571428571</v>
      </c>
      <c r="I14" s="1432">
        <f ca="1">IF('1.GeneralInfo'!E14=0,"N/A",G14/('1.GeneralInfo'!S$14/SUMIF('2.CropManagement'!X$157:X$164,'1.GeneralInfo'!F$14,'2.CropManagement'!Y$157:Y$164))*IF(J$5="Yes",AB$8,AB$7))</f>
        <v>156.41196013289036</v>
      </c>
      <c r="J14" s="1433" t="str">
        <f t="shared" ref="J14:J22" si="2">IF(AP$10,AR12,"")</f>
        <v/>
      </c>
      <c r="K14" s="186"/>
      <c r="L14" s="186"/>
      <c r="M14" s="186"/>
      <c r="N14" s="186"/>
      <c r="O14" s="186"/>
      <c r="P14" s="186"/>
      <c r="Q14" s="186"/>
      <c r="R14" s="186"/>
      <c r="S14" s="499"/>
      <c r="T14" s="149"/>
      <c r="U14" s="149"/>
      <c r="V14" s="166"/>
      <c r="W14" s="166"/>
      <c r="X14" s="166"/>
      <c r="Y14" s="566">
        <v>3</v>
      </c>
      <c r="Z14" s="166"/>
      <c r="AA14" s="166"/>
      <c r="AB14" s="609">
        <v>1</v>
      </c>
      <c r="AC14" s="166">
        <f>'A1. Submodels &amp; data'!B379</f>
        <v>296</v>
      </c>
      <c r="AD14" s="166">
        <f>'A1. Submodels &amp; data'!B378</f>
        <v>25</v>
      </c>
      <c r="AE14" s="146"/>
      <c r="AF14" s="146"/>
      <c r="AG14" s="146"/>
      <c r="AH14" s="146"/>
      <c r="AI14" s="146"/>
      <c r="AJ14" s="186"/>
      <c r="AK14" s="186"/>
      <c r="AL14" s="186"/>
      <c r="AM14" s="562">
        <f>'2.CropManagement'!O39</f>
        <v>0</v>
      </c>
      <c r="AN14" s="563"/>
      <c r="AO14" s="563"/>
      <c r="AP14" s="6" t="s">
        <v>89</v>
      </c>
      <c r="AQ14" s="610"/>
      <c r="AR14" s="611" t="e">
        <f t="shared" si="0"/>
        <v>#DIV/0!</v>
      </c>
      <c r="AS14" s="600"/>
      <c r="AT14" s="600"/>
      <c r="AU14" s="601"/>
      <c r="AV14" s="602"/>
      <c r="AW14" s="600"/>
      <c r="AX14" s="600"/>
      <c r="AY14" s="601"/>
      <c r="AZ14" s="602"/>
      <c r="BA14" s="600"/>
      <c r="BB14" s="563"/>
      <c r="BC14" s="563"/>
      <c r="BD14" s="563"/>
      <c r="BE14" s="563"/>
      <c r="BF14" s="291"/>
      <c r="BG14" s="291"/>
      <c r="BH14" s="291"/>
      <c r="BI14" s="60"/>
      <c r="BJ14" s="60"/>
      <c r="BK14" s="60"/>
      <c r="BL14" s="60"/>
      <c r="BM14" s="60"/>
      <c r="BN14" s="60"/>
    </row>
    <row r="15" spans="1:66" ht="22.5" customHeight="1" x14ac:dyDescent="0.25">
      <c r="A15" s="166"/>
      <c r="B15" s="381"/>
      <c r="C15" s="93" t="s">
        <v>1393</v>
      </c>
      <c r="D15" s="1434">
        <f ca="1">'2.CropManagement'!D38</f>
        <v>0</v>
      </c>
      <c r="E15" s="1435">
        <f ca="1">'2.CropManagement'!E38+'2.CropManagement'!E37</f>
        <v>3.994962566793518</v>
      </c>
      <c r="F15" s="1436"/>
      <c r="G15" s="1434">
        <f t="shared" ca="1" si="1"/>
        <v>1182.5089197708812</v>
      </c>
      <c r="H15" s="1437">
        <f ca="1">IF('1.GeneralInfo'!E$12=0,"N/A",$G15/('1.GeneralInfo'!S$12/SUMIF('2.CropManagement'!X$152:X$153,'1.GeneralInfo'!F$12,'2.CropManagement'!Y$152:Y$153)))</f>
        <v>164.23734996817794</v>
      </c>
      <c r="I15" s="1433">
        <f ca="1">IF('1.GeneralInfo'!E14=0,"N/A",G15/('1.GeneralInfo'!S$14/SUMIF('2.CropManagement'!X$157:X$164,'1.GeneralInfo'!F$14,'2.CropManagement'!Y$157:Y$164))*IF(J$5="Yes",AB$8,AB$7))</f>
        <v>19.097366275369527</v>
      </c>
      <c r="J15" s="1433" t="str">
        <f t="shared" si="2"/>
        <v/>
      </c>
      <c r="K15" s="186"/>
      <c r="L15" s="186"/>
      <c r="M15" s="186"/>
      <c r="N15" s="186"/>
      <c r="O15" s="186"/>
      <c r="P15" s="186"/>
      <c r="Q15" s="186"/>
      <c r="R15" s="186"/>
      <c r="S15" s="499"/>
      <c r="T15" s="149"/>
      <c r="U15" s="149"/>
      <c r="V15" s="271"/>
      <c r="W15" s="271"/>
      <c r="X15" s="271"/>
      <c r="Y15" s="614">
        <v>4</v>
      </c>
      <c r="Z15" s="271"/>
      <c r="AA15" s="149"/>
      <c r="AB15" s="149">
        <v>1</v>
      </c>
      <c r="AC15" s="186">
        <v>2</v>
      </c>
      <c r="AD15" s="186">
        <v>3</v>
      </c>
      <c r="AE15" s="186"/>
      <c r="AF15" s="186"/>
      <c r="AG15" s="186"/>
      <c r="AH15" s="186"/>
      <c r="AI15" s="186"/>
      <c r="AJ15" s="186"/>
      <c r="AK15" s="186"/>
      <c r="AL15" s="186"/>
      <c r="AM15" s="562">
        <f ca="1">'2.CropManagement'!O40</f>
        <v>1514.0808</v>
      </c>
      <c r="AN15" s="563"/>
      <c r="AO15" s="563"/>
      <c r="AP15" s="6" t="s">
        <v>90</v>
      </c>
      <c r="AQ15" s="610"/>
      <c r="AR15" s="611" t="e">
        <f t="shared" ca="1" si="0"/>
        <v>#DIV/0!</v>
      </c>
      <c r="AS15" s="600"/>
      <c r="AT15" s="600"/>
      <c r="AU15" s="601"/>
      <c r="AV15" s="602"/>
      <c r="AW15" s="600"/>
      <c r="AX15" s="600"/>
      <c r="AY15" s="601"/>
      <c r="AZ15" s="602"/>
      <c r="BA15" s="600"/>
      <c r="BB15" s="563"/>
      <c r="BC15" s="563"/>
      <c r="BD15" s="563"/>
      <c r="BE15" s="563"/>
      <c r="BF15" s="291"/>
      <c r="BG15" s="291"/>
      <c r="BH15" s="291"/>
      <c r="BI15" s="60"/>
      <c r="BJ15" s="60"/>
      <c r="BK15" s="60"/>
      <c r="BL15" s="60"/>
      <c r="BM15" s="60"/>
      <c r="BN15" s="60"/>
    </row>
    <row r="16" spans="1:66" ht="22.5" customHeight="1" x14ac:dyDescent="0.25">
      <c r="A16" s="166"/>
      <c r="B16" s="381"/>
      <c r="C16" s="93" t="s">
        <v>89</v>
      </c>
      <c r="D16" s="1438"/>
      <c r="E16" s="1436"/>
      <c r="F16" s="1435">
        <f>'2.CropManagement'!F39</f>
        <v>0</v>
      </c>
      <c r="G16" s="1434">
        <f t="shared" si="1"/>
        <v>0</v>
      </c>
      <c r="H16" s="1437">
        <f>IF('1.GeneralInfo'!E$12=0,"N/A",$G16/('1.GeneralInfo'!S$12/SUMIF('2.CropManagement'!X$152:X$153,'1.GeneralInfo'!F$12,'2.CropManagement'!Y$152:Y$153)))</f>
        <v>0</v>
      </c>
      <c r="I16" s="1433">
        <f ca="1">IF('1.GeneralInfo'!E14=0,"N/A",G16/('1.GeneralInfo'!S$14/SUMIF('2.CropManagement'!X$157:X$164,'1.GeneralInfo'!F$14,'2.CropManagement'!Y$157:Y$164))*IF(J$5="Yes",AB$8,AB$7))</f>
        <v>0</v>
      </c>
      <c r="J16" s="1433" t="str">
        <f t="shared" si="2"/>
        <v/>
      </c>
      <c r="K16" s="186"/>
      <c r="L16" s="186"/>
      <c r="M16" s="186"/>
      <c r="N16" s="186"/>
      <c r="O16" s="186"/>
      <c r="P16" s="186"/>
      <c r="Q16" s="186"/>
      <c r="R16" s="186"/>
      <c r="S16" s="499"/>
      <c r="T16" s="149"/>
      <c r="U16" s="149"/>
      <c r="V16" s="149"/>
      <c r="W16" s="166"/>
      <c r="X16" s="149"/>
      <c r="Y16" s="614">
        <v>5</v>
      </c>
      <c r="Z16" s="149"/>
      <c r="AA16" s="149"/>
      <c r="AB16" s="149">
        <f ca="1">OFFSET(C27,0,SUMIF(AB12:AD12,AB13,AB15:AD15))</f>
        <v>2231.9910430098171</v>
      </c>
      <c r="AC16" s="186">
        <f ca="1">ROUND(AB16,3)</f>
        <v>2231.991</v>
      </c>
      <c r="AD16" s="186"/>
      <c r="AE16" s="186"/>
      <c r="AF16" s="186"/>
      <c r="AG16" s="186"/>
      <c r="AH16" s="186"/>
      <c r="AI16" s="186"/>
      <c r="AJ16" s="186"/>
      <c r="AK16" s="186"/>
      <c r="AL16" s="186"/>
      <c r="AM16" s="562">
        <f ca="1">'2.CropManagement'!O41</f>
        <v>0</v>
      </c>
      <c r="AN16" s="563"/>
      <c r="AO16" s="563"/>
      <c r="AP16" s="6" t="s">
        <v>91</v>
      </c>
      <c r="AQ16" s="610"/>
      <c r="AR16" s="611" t="e">
        <f t="shared" ca="1" si="0"/>
        <v>#DIV/0!</v>
      </c>
      <c r="AS16" s="600"/>
      <c r="AT16" s="600"/>
      <c r="AU16" s="601"/>
      <c r="AV16" s="602"/>
      <c r="AW16" s="600"/>
      <c r="AX16" s="600"/>
      <c r="AY16" s="601"/>
      <c r="AZ16" s="602"/>
      <c r="BA16" s="600"/>
      <c r="BB16" s="563"/>
      <c r="BC16" s="563"/>
      <c r="BD16" s="563"/>
      <c r="BE16" s="563"/>
      <c r="BF16" s="291"/>
      <c r="BG16" s="291"/>
      <c r="BH16" s="291"/>
      <c r="BI16" s="60"/>
      <c r="BJ16" s="60"/>
      <c r="BK16" s="60"/>
      <c r="BL16" s="60"/>
      <c r="BM16" s="60"/>
      <c r="BN16" s="60"/>
    </row>
    <row r="17" spans="1:66" ht="22.5" customHeight="1" x14ac:dyDescent="0.25">
      <c r="A17" s="166"/>
      <c r="B17" s="381"/>
      <c r="C17" s="93" t="s">
        <v>90</v>
      </c>
      <c r="D17" s="1434">
        <f ca="1">'2.CropManagement'!D40</f>
        <v>1514.0808</v>
      </c>
      <c r="E17" s="1436"/>
      <c r="F17" s="1436"/>
      <c r="G17" s="1434">
        <f t="shared" ca="1" si="1"/>
        <v>1514.0808</v>
      </c>
      <c r="H17" s="1437">
        <f ca="1">IF('1.GeneralInfo'!E$12=0,"N/A",$G17/('1.GeneralInfo'!S$12/SUMIF('2.CropManagement'!X$152:X$153,'1.GeneralInfo'!F$12,'2.CropManagement'!Y$152:Y$153)))</f>
        <v>210.28899999999999</v>
      </c>
      <c r="I17" s="1433">
        <f ca="1">IF('1.GeneralInfo'!E14=0,"N/A",G17/('1.GeneralInfo'!S$14/SUMIF('2.CropManagement'!X$157:X$164,'1.GeneralInfo'!F$14,'2.CropManagement'!Y$157:Y$164))*IF(J$5="Yes",AB$8,AB$7))</f>
        <v>24.452209302325581</v>
      </c>
      <c r="J17" s="1433" t="str">
        <f t="shared" si="2"/>
        <v/>
      </c>
      <c r="K17" s="186"/>
      <c r="L17" s="186"/>
      <c r="M17" s="186"/>
      <c r="N17" s="186"/>
      <c r="O17" s="186"/>
      <c r="P17" s="186"/>
      <c r="Q17" s="186"/>
      <c r="R17" s="186"/>
      <c r="S17" s="499"/>
      <c r="T17" s="149"/>
      <c r="U17" s="149"/>
      <c r="V17" s="149"/>
      <c r="W17" s="166"/>
      <c r="X17" s="166"/>
      <c r="Y17" s="614">
        <v>6</v>
      </c>
      <c r="Z17" s="149"/>
      <c r="AA17" s="149"/>
      <c r="AB17" s="149" t="str">
        <f ca="1">OFFSET(C13,0,SUMIF(AB12:AD12,AB13,AB15:AD15))</f>
        <v>CO2</v>
      </c>
      <c r="AC17" s="186"/>
      <c r="AD17" s="186"/>
      <c r="AE17" s="186"/>
      <c r="AF17" s="186"/>
      <c r="AG17" s="186"/>
      <c r="AH17" s="186"/>
      <c r="AI17" s="186"/>
      <c r="AJ17" s="186"/>
      <c r="AK17" s="186"/>
      <c r="AL17" s="186"/>
      <c r="AM17" s="562">
        <f ca="1">D19</f>
        <v>-9266.3999999998941</v>
      </c>
      <c r="AN17" s="563"/>
      <c r="AO17" s="563"/>
      <c r="AP17" s="6" t="s">
        <v>92</v>
      </c>
      <c r="AQ17" s="610"/>
      <c r="AR17" s="611" t="e">
        <f t="shared" ca="1" si="0"/>
        <v>#DIV/0!</v>
      </c>
      <c r="AS17" s="600"/>
      <c r="AT17" s="600"/>
      <c r="AU17" s="601"/>
      <c r="AV17" s="602"/>
      <c r="AW17" s="600"/>
      <c r="AX17" s="600"/>
      <c r="AY17" s="601"/>
      <c r="AZ17" s="602"/>
      <c r="BA17" s="600"/>
      <c r="BB17" s="563"/>
      <c r="BC17" s="563"/>
      <c r="BD17" s="563"/>
      <c r="BE17" s="563"/>
      <c r="BF17" s="291"/>
      <c r="BG17" s="291"/>
      <c r="BH17" s="291"/>
      <c r="BI17" s="60"/>
      <c r="BJ17" s="60"/>
      <c r="BK17" s="60"/>
      <c r="BL17" s="60"/>
      <c r="BM17" s="60"/>
      <c r="BN17" s="60"/>
    </row>
    <row r="18" spans="1:66" ht="22.5" customHeight="1" x14ac:dyDescent="0.25">
      <c r="A18" s="166"/>
      <c r="B18" s="381"/>
      <c r="C18" s="93" t="s">
        <v>91</v>
      </c>
      <c r="D18" s="1434">
        <f>'2.CropManagement'!D41</f>
        <v>0</v>
      </c>
      <c r="E18" s="1435">
        <f ca="1">'2.CropManagement'!E41</f>
        <v>0</v>
      </c>
      <c r="F18" s="1435">
        <f>'2.CropManagement'!F41</f>
        <v>0</v>
      </c>
      <c r="G18" s="1434">
        <f t="shared" ca="1" si="1"/>
        <v>0</v>
      </c>
      <c r="H18" s="1437">
        <f ca="1">IF('1.GeneralInfo'!E$12=0,"N/A",$G18/('1.GeneralInfo'!S$12/SUMIF('2.CropManagement'!X$152:X$153,'1.GeneralInfo'!F$12,'2.CropManagement'!Y$152:Y$153)))</f>
        <v>0</v>
      </c>
      <c r="I18" s="1433">
        <f ca="1">IF('1.GeneralInfo'!E14=0,"N/A",G18/('1.GeneralInfo'!S$14/SUMIF('2.CropManagement'!X$157:X$164,'1.GeneralInfo'!F$14,'2.CropManagement'!Y$157:Y$164))*IF(J$5="Yes",AB$8,AB$7))</f>
        <v>0</v>
      </c>
      <c r="J18" s="1433" t="str">
        <f t="shared" si="2"/>
        <v/>
      </c>
      <c r="K18" s="186"/>
      <c r="L18" s="186"/>
      <c r="M18" s="186"/>
      <c r="N18" s="186"/>
      <c r="O18" s="186"/>
      <c r="P18" s="186"/>
      <c r="Q18" s="186"/>
      <c r="R18" s="186"/>
      <c r="S18" s="499"/>
      <c r="T18" s="149"/>
      <c r="U18" s="149"/>
      <c r="V18" s="149"/>
      <c r="W18" s="166"/>
      <c r="X18" s="149"/>
      <c r="Y18" s="615">
        <v>7</v>
      </c>
      <c r="Z18" s="149"/>
      <c r="AA18" s="149"/>
      <c r="AB18" s="149" t="str">
        <f ca="1">" - the " &amp; ROUND(AC16/AB20,2)&amp;" kgs of " &amp;AB17&amp; " equate to " &amp;ROUND(SUMIF(AK$4:AK$7,D$5,AL$4:AL$7)*AC13/AB20,3)&amp; " " &amp; D5&amp; " " &amp; "per " &amp;X5&amp; "."</f>
        <v xml:space="preserve"> - the 36.05 kgs of CO2 equate to 36.047 kg CO2 eq per tonne.</v>
      </c>
      <c r="AC18" s="186"/>
      <c r="AD18" s="186"/>
      <c r="AE18" s="186"/>
      <c r="AF18" s="186"/>
      <c r="AG18" s="186"/>
      <c r="AH18" s="186"/>
      <c r="AI18" s="186"/>
      <c r="AJ18" s="186"/>
      <c r="AK18" s="186"/>
      <c r="AL18" s="186"/>
      <c r="AM18" s="562">
        <f>D20+'A1. Submodels &amp; data'!$B$379*E20+'A1. Submodels &amp; data'!$B$378*F20</f>
        <v>0</v>
      </c>
      <c r="AN18" s="563"/>
      <c r="AO18" s="563"/>
      <c r="AP18" s="6" t="s">
        <v>93</v>
      </c>
      <c r="AQ18" s="610"/>
      <c r="AR18" s="611" t="e">
        <f t="shared" si="0"/>
        <v>#DIV/0!</v>
      </c>
      <c r="AS18" s="600"/>
      <c r="AT18" s="600"/>
      <c r="AU18" s="601"/>
      <c r="AV18" s="602"/>
      <c r="AW18" s="600"/>
      <c r="AX18" s="600"/>
      <c r="AY18" s="601"/>
      <c r="AZ18" s="602"/>
      <c r="BA18" s="600"/>
      <c r="BB18" s="563"/>
      <c r="BC18" s="563"/>
      <c r="BD18" s="563"/>
      <c r="BE18" s="563"/>
      <c r="BF18" s="291"/>
      <c r="BG18" s="291"/>
      <c r="BH18" s="291"/>
      <c r="BI18" s="60"/>
      <c r="BJ18" s="60"/>
      <c r="BK18" s="60"/>
      <c r="BL18" s="60"/>
      <c r="BM18" s="60"/>
      <c r="BN18" s="60"/>
    </row>
    <row r="19" spans="1:66" ht="22.5" customHeight="1" x14ac:dyDescent="0.25">
      <c r="A19" s="166"/>
      <c r="B19" s="381"/>
      <c r="C19" s="93" t="s">
        <v>92</v>
      </c>
      <c r="D19" s="1434">
        <f ca="1">'3.Sequestration'!T44</f>
        <v>-9266.3999999998941</v>
      </c>
      <c r="E19" s="1436"/>
      <c r="F19" s="1436"/>
      <c r="G19" s="1434">
        <f t="shared" ca="1" si="1"/>
        <v>-9266.3999999998941</v>
      </c>
      <c r="H19" s="1437">
        <f ca="1">IF('1.GeneralInfo'!E$12=0,"N/A",$G19/('1.GeneralInfo'!S$12/SUMIF('2.CropManagement'!X$152:X$153,'1.GeneralInfo'!F$12,'2.CropManagement'!Y$152:Y$153)))</f>
        <v>-1286.9999999999852</v>
      </c>
      <c r="I19" s="1433">
        <f ca="1">IF('1.GeneralInfo'!E14=0,"N/A",G19/('1.GeneralInfo'!S$14/SUMIF('2.CropManagement'!X$157:X$164,'1.GeneralInfo'!F$14,'2.CropManagement'!Y$157:Y$164))*IF(J$5="Yes",AB$8,AB$7))</f>
        <v>-149.65116279069596</v>
      </c>
      <c r="J19" s="1433" t="str">
        <f t="shared" si="2"/>
        <v/>
      </c>
      <c r="K19" s="186"/>
      <c r="L19" s="186"/>
      <c r="M19" s="186"/>
      <c r="N19" s="186"/>
      <c r="O19" s="186"/>
      <c r="P19" s="186"/>
      <c r="Q19" s="186"/>
      <c r="R19" s="186"/>
      <c r="S19" s="499"/>
      <c r="T19" s="149"/>
      <c r="U19" s="149"/>
      <c r="V19" s="4"/>
      <c r="W19" s="149"/>
      <c r="X19" s="149"/>
      <c r="Y19" s="614">
        <v>8</v>
      </c>
      <c r="Z19" s="149"/>
      <c r="AA19" s="149"/>
      <c r="AB19" s="149" t="str">
        <f ca="1">"- with a total of " &amp;ROUND(AC13/AB20,2)&amp; "kgs of CO2 per " &amp;X5&amp; "."</f>
        <v>- with a total of 36.05kgs of CO2 per tonne.</v>
      </c>
      <c r="AC19" s="186"/>
      <c r="AD19" s="186"/>
      <c r="AE19" s="186"/>
      <c r="AF19" s="186"/>
      <c r="AG19" s="186"/>
      <c r="AH19" s="186"/>
      <c r="AI19" s="186"/>
      <c r="AJ19" s="186"/>
      <c r="AK19" s="186"/>
      <c r="AL19" s="186"/>
      <c r="AM19" s="562">
        <f>D21+'A1. Submodels &amp; data'!$B$379*E21+'A1. Submodels &amp; data'!$B$378*F21</f>
        <v>0</v>
      </c>
      <c r="AN19" s="563"/>
      <c r="AO19" s="563"/>
      <c r="AP19" s="6" t="s">
        <v>94</v>
      </c>
      <c r="AQ19" s="610"/>
      <c r="AR19" s="611" t="e">
        <f t="shared" si="0"/>
        <v>#DIV/0!</v>
      </c>
      <c r="AS19" s="600"/>
      <c r="AT19" s="600"/>
      <c r="AU19" s="601"/>
      <c r="AV19" s="602"/>
      <c r="AW19" s="600"/>
      <c r="AX19" s="600"/>
      <c r="AY19" s="601"/>
      <c r="AZ19" s="602"/>
      <c r="BA19" s="600"/>
      <c r="BB19" s="563"/>
      <c r="BC19" s="563"/>
      <c r="BD19" s="563"/>
      <c r="BE19" s="563"/>
      <c r="BF19" s="291"/>
      <c r="BG19" s="291"/>
      <c r="BH19" s="291"/>
      <c r="BI19" s="60"/>
      <c r="BJ19" s="60"/>
      <c r="BK19" s="60"/>
      <c r="BL19" s="60"/>
      <c r="BM19" s="60"/>
      <c r="BN19" s="60"/>
    </row>
    <row r="20" spans="1:66" ht="22.5" customHeight="1" x14ac:dyDescent="0.25">
      <c r="A20" s="166"/>
      <c r="B20" s="381"/>
      <c r="C20" s="93" t="s">
        <v>93</v>
      </c>
      <c r="D20" s="1438"/>
      <c r="E20" s="1435"/>
      <c r="F20" s="1435">
        <f>'4.Livestock'!E99</f>
        <v>0</v>
      </c>
      <c r="G20" s="1434">
        <f t="shared" si="1"/>
        <v>0</v>
      </c>
      <c r="H20" s="1437">
        <f>IF('1.GeneralInfo'!E$12=0,"N/A",$G20/('1.GeneralInfo'!S$12/SUMIF('2.CropManagement'!X$152:X$153,'1.GeneralInfo'!F$12,'2.CropManagement'!Y$152:Y$153)))</f>
        <v>0</v>
      </c>
      <c r="I20" s="1433">
        <f ca="1">IF('1.GeneralInfo'!E14=0,"N/A",G20/('1.GeneralInfo'!S$14/SUMIF('2.CropManagement'!X$157:X$164,'1.GeneralInfo'!F$14,'2.CropManagement'!Y$157:Y$164))*IF(J$5="Yes",AB$8,AB$7))</f>
        <v>0</v>
      </c>
      <c r="J20" s="1433" t="str">
        <f t="shared" si="2"/>
        <v/>
      </c>
      <c r="K20" s="186"/>
      <c r="L20" s="186"/>
      <c r="M20" s="186"/>
      <c r="N20" s="186"/>
      <c r="O20" s="186"/>
      <c r="P20" s="186"/>
      <c r="Q20" s="186"/>
      <c r="R20" s="186"/>
      <c r="S20" s="499"/>
      <c r="T20" s="149"/>
      <c r="U20" s="149"/>
      <c r="V20" s="149"/>
      <c r="W20" s="149"/>
      <c r="X20" s="149"/>
      <c r="Y20" s="614">
        <v>9</v>
      </c>
      <c r="Z20" s="149"/>
      <c r="AA20" s="149"/>
      <c r="AB20" s="149">
        <f ca="1">'1.GeneralInfo'!S$14/SUMIF('2.CropManagement'!X$157:X$164,'1.GeneralInfo'!F$14,'2.CropManagement'!Y$157:Y$164)</f>
        <v>61.92</v>
      </c>
      <c r="AC20" s="186"/>
      <c r="AD20" s="186"/>
      <c r="AE20" s="186"/>
      <c r="AF20" s="186"/>
      <c r="AG20" s="186"/>
      <c r="AH20" s="186"/>
      <c r="AI20" s="186"/>
      <c r="AJ20" s="186"/>
      <c r="AK20" s="186"/>
      <c r="AL20" s="186"/>
      <c r="AM20" s="562">
        <f>D22</f>
        <v>0</v>
      </c>
      <c r="AN20" s="563"/>
      <c r="AO20" s="563"/>
      <c r="AP20" s="6" t="s">
        <v>83</v>
      </c>
      <c r="AQ20" s="610"/>
      <c r="AR20" s="611" t="e">
        <f t="shared" si="0"/>
        <v>#DIV/0!</v>
      </c>
      <c r="AS20" s="600"/>
      <c r="AT20" s="600"/>
      <c r="AU20" s="601"/>
      <c r="AV20" s="602"/>
      <c r="AW20" s="600"/>
      <c r="AX20" s="600"/>
      <c r="AY20" s="601"/>
      <c r="AZ20" s="602"/>
      <c r="BA20" s="600"/>
      <c r="BB20" s="563"/>
      <c r="BC20" s="563"/>
      <c r="BD20" s="563"/>
      <c r="BE20" s="563"/>
      <c r="BF20" s="291"/>
      <c r="BG20" s="291"/>
      <c r="BH20" s="291"/>
      <c r="BI20" s="60"/>
      <c r="BJ20" s="60"/>
      <c r="BK20" s="60"/>
      <c r="BL20" s="60"/>
      <c r="BM20" s="60"/>
      <c r="BN20" s="60"/>
    </row>
    <row r="21" spans="1:66" ht="22.5" customHeight="1" x14ac:dyDescent="0.25">
      <c r="A21" s="166"/>
      <c r="B21" s="381"/>
      <c r="C21" s="93" t="s">
        <v>94</v>
      </c>
      <c r="D21" s="1438"/>
      <c r="E21" s="1435">
        <f>'4.Livestock'!G99+'4.Livestock'!H99</f>
        <v>0</v>
      </c>
      <c r="F21" s="1435">
        <f>'4.Livestock'!F99</f>
        <v>0</v>
      </c>
      <c r="G21" s="1434">
        <f t="shared" si="1"/>
        <v>0</v>
      </c>
      <c r="H21" s="1437">
        <f>IF('1.GeneralInfo'!E$12=0,"N/A",$G21/('1.GeneralInfo'!S$12/SUMIF('2.CropManagement'!X$152:X$153,'1.GeneralInfo'!F$12,'2.CropManagement'!Y$152:Y$153)))</f>
        <v>0</v>
      </c>
      <c r="I21" s="1433">
        <f ca="1">IF('1.GeneralInfo'!E14=0,"N/A",G21/('1.GeneralInfo'!S$14/SUMIF('2.CropManagement'!X$157:X$164,'1.GeneralInfo'!F$14,'2.CropManagement'!Y$157:Y$164))*IF(J$5="Yes",AB$8,AB$7))</f>
        <v>0</v>
      </c>
      <c r="J21" s="1433" t="str">
        <f t="shared" si="2"/>
        <v/>
      </c>
      <c r="K21" s="186"/>
      <c r="L21" s="186"/>
      <c r="M21" s="186"/>
      <c r="N21" s="186"/>
      <c r="O21" s="186"/>
      <c r="P21" s="186"/>
      <c r="Q21" s="186"/>
      <c r="R21" s="186"/>
      <c r="S21" s="499"/>
      <c r="T21" s="259"/>
      <c r="U21" s="259"/>
      <c r="V21" s="259"/>
      <c r="W21" s="259"/>
      <c r="X21" s="616"/>
      <c r="Y21" s="617">
        <v>10</v>
      </c>
      <c r="Z21" s="259"/>
      <c r="AA21" s="259"/>
      <c r="AB21" s="259"/>
      <c r="AC21" s="569"/>
      <c r="AD21" s="569"/>
      <c r="AE21" s="569"/>
      <c r="AF21" s="569"/>
      <c r="AG21" s="569"/>
      <c r="AH21" s="569"/>
      <c r="AI21" s="569"/>
      <c r="AJ21" s="569"/>
      <c r="AK21" s="569"/>
      <c r="AL21" s="569"/>
      <c r="AM21" s="562">
        <f ca="1">D23+'A1. Submodels &amp; data'!$B$379*E23+'A1. Submodels &amp; data'!$B$378*F23</f>
        <v>299.2816715811403</v>
      </c>
      <c r="AN21" s="563"/>
      <c r="AO21" s="563"/>
      <c r="AP21" s="6" t="s">
        <v>84</v>
      </c>
      <c r="AQ21" s="610"/>
      <c r="AR21" s="611" t="e">
        <f>#REF!/AQ$10</f>
        <v>#REF!</v>
      </c>
      <c r="AS21" s="600"/>
      <c r="AT21" s="600"/>
      <c r="AU21" s="601"/>
      <c r="AV21" s="602"/>
      <c r="AW21" s="600"/>
      <c r="AX21" s="600"/>
      <c r="AY21" s="601"/>
      <c r="AZ21" s="602"/>
      <c r="BA21" s="600"/>
      <c r="BB21" s="563"/>
      <c r="BC21" s="563"/>
      <c r="BD21" s="563"/>
      <c r="BE21" s="563"/>
      <c r="BF21" s="563"/>
      <c r="BG21" s="563"/>
      <c r="BH21" s="563"/>
      <c r="BI21" s="274"/>
      <c r="BJ21" s="274"/>
      <c r="BK21" s="274"/>
      <c r="BL21" s="274"/>
      <c r="BM21" s="274"/>
      <c r="BN21" s="274"/>
    </row>
    <row r="22" spans="1:66" ht="22.5" customHeight="1" x14ac:dyDescent="0.25">
      <c r="A22" s="166"/>
      <c r="B22" s="381"/>
      <c r="C22" s="93" t="s">
        <v>83</v>
      </c>
      <c r="D22" s="1434">
        <f>'4.Livestock'!D99</f>
        <v>0</v>
      </c>
      <c r="E22" s="1436"/>
      <c r="F22" s="1436"/>
      <c r="G22" s="1434">
        <f t="shared" si="1"/>
        <v>0</v>
      </c>
      <c r="H22" s="1437">
        <f>IF('1.GeneralInfo'!E$12=0,"N/A",$G22/('1.GeneralInfo'!S$12/SUMIF('2.CropManagement'!X$152:X$153,'1.GeneralInfo'!F$12,'2.CropManagement'!Y$152:Y$153)))</f>
        <v>0</v>
      </c>
      <c r="I22" s="1433">
        <f ca="1">IF('1.GeneralInfo'!E14=0,"N/A",G22/('1.GeneralInfo'!S$14/SUMIF('2.CropManagement'!X$157:X$164,'1.GeneralInfo'!F$14,'2.CropManagement'!Y$157:Y$164))*IF(J$5="Yes",AB$8,AB$7))</f>
        <v>0</v>
      </c>
      <c r="J22" s="1433" t="str">
        <f t="shared" si="2"/>
        <v/>
      </c>
      <c r="K22" s="186"/>
      <c r="L22" s="186"/>
      <c r="M22" s="186"/>
      <c r="N22" s="186"/>
      <c r="O22" s="186"/>
      <c r="P22" s="186"/>
      <c r="Q22" s="186"/>
      <c r="R22" s="186"/>
      <c r="S22" s="499"/>
      <c r="T22" s="259"/>
      <c r="U22" s="259"/>
      <c r="V22" s="259"/>
      <c r="W22" s="609"/>
      <c r="X22" s="616"/>
      <c r="Y22" s="617">
        <v>11</v>
      </c>
      <c r="Z22" s="259"/>
      <c r="AA22" s="259"/>
      <c r="AB22" s="259"/>
      <c r="AC22" s="569"/>
      <c r="AD22" s="569"/>
      <c r="AE22" s="569"/>
      <c r="AF22" s="569"/>
      <c r="AG22" s="569"/>
      <c r="AH22" s="569"/>
      <c r="AI22" s="569"/>
      <c r="AJ22" s="569"/>
      <c r="AK22" s="569"/>
      <c r="AL22" s="569"/>
      <c r="AM22" s="562">
        <f ca="1">D24+'A1. Submodels &amp; data'!$B$379*E24+'A1. Submodels &amp; data'!$B$378*F24</f>
        <v>0</v>
      </c>
      <c r="AN22" s="570"/>
      <c r="AO22" s="563"/>
      <c r="AP22" s="6" t="s">
        <v>1236</v>
      </c>
      <c r="AQ22" s="610"/>
      <c r="AR22" s="611" t="e">
        <f ca="1">AM21/AQ$10</f>
        <v>#DIV/0!</v>
      </c>
      <c r="AS22" s="600"/>
      <c r="AT22" s="600"/>
      <c r="AU22" s="601"/>
      <c r="AV22" s="602"/>
      <c r="AW22" s="600"/>
      <c r="AX22" s="600"/>
      <c r="AY22" s="601"/>
      <c r="AZ22" s="602"/>
      <c r="BA22" s="600"/>
      <c r="BB22" s="291"/>
      <c r="BC22" s="291"/>
      <c r="BD22" s="291"/>
      <c r="BE22" s="291"/>
      <c r="BF22" s="563"/>
      <c r="BG22" s="563"/>
      <c r="BH22" s="563"/>
      <c r="BI22" s="274"/>
      <c r="BJ22" s="274"/>
      <c r="BK22" s="274"/>
      <c r="BL22" s="274"/>
      <c r="BM22" s="274"/>
      <c r="BN22" s="274"/>
    </row>
    <row r="23" spans="1:66" ht="22.5" customHeight="1" x14ac:dyDescent="0.25">
      <c r="A23" s="253"/>
      <c r="B23" s="568"/>
      <c r="C23" s="93" t="s">
        <v>1236</v>
      </c>
      <c r="D23" s="1434">
        <f ca="1">'5.FieldEnergyUse'!M103</f>
        <v>299.2816715811403</v>
      </c>
      <c r="E23" s="1436"/>
      <c r="F23" s="1436"/>
      <c r="G23" s="1434">
        <f t="shared" ca="1" si="1"/>
        <v>299.2816715811403</v>
      </c>
      <c r="H23" s="1437">
        <f ca="1">IF('1.GeneralInfo'!E$12=0,"N/A",$G23/('1.GeneralInfo'!S$12/SUMIF('2.CropManagement'!X$152:X$153,'1.GeneralInfo'!F$12,'2.CropManagement'!Y$152:Y$153)))</f>
        <v>41.566898830713932</v>
      </c>
      <c r="I23" s="1433">
        <f ca="1">IF('1.GeneralInfo'!E14=0,"N/A",G23/('1.GeneralInfo'!S$14/SUMIF('2.CropManagement'!X$157:X$164,'1.GeneralInfo'!F$14,'2.CropManagement'!Y$157:Y$164))*IF(J$5="Yes",AB$8,AB$7))</f>
        <v>4.8333603291527822</v>
      </c>
      <c r="J23" s="1433" t="str">
        <f>IF(AP$10,AR22,"")</f>
        <v/>
      </c>
      <c r="K23" s="569"/>
      <c r="L23" s="569"/>
      <c r="M23" s="569"/>
      <c r="N23" s="569"/>
      <c r="O23" s="569"/>
      <c r="P23" s="569"/>
      <c r="Q23" s="569"/>
      <c r="R23" s="569"/>
      <c r="S23" s="1029"/>
      <c r="T23" s="259"/>
      <c r="U23" s="259"/>
      <c r="V23" s="259"/>
      <c r="W23" s="618"/>
      <c r="X23" s="259"/>
      <c r="Y23" s="617">
        <v>12</v>
      </c>
      <c r="Z23" s="259"/>
      <c r="AA23" s="259"/>
      <c r="AB23" s="259"/>
      <c r="AC23" s="569"/>
      <c r="AD23" s="569"/>
      <c r="AE23" s="569"/>
      <c r="AF23" s="569"/>
      <c r="AG23" s="569"/>
      <c r="AH23" s="569"/>
      <c r="AI23" s="569"/>
      <c r="AJ23" s="569"/>
      <c r="AK23" s="569"/>
      <c r="AL23" s="569"/>
      <c r="AM23" s="562">
        <f ca="1">D25+'A1. Submodels &amp; data'!$B$379*E25+'A1. Submodels &amp; data'!$B$378*F25</f>
        <v>0</v>
      </c>
      <c r="AN23" s="570"/>
      <c r="AO23" s="599"/>
      <c r="AP23" s="6" t="s">
        <v>85</v>
      </c>
      <c r="AQ23" s="604"/>
      <c r="AR23" s="611" t="e">
        <f ca="1">AM22/AQ$10</f>
        <v>#DIV/0!</v>
      </c>
      <c r="AS23" s="600"/>
      <c r="AT23" s="600"/>
      <c r="AU23" s="600"/>
      <c r="AV23" s="600"/>
      <c r="AW23" s="600"/>
      <c r="AX23" s="600"/>
      <c r="AY23" s="600"/>
      <c r="AZ23" s="600"/>
      <c r="BA23" s="600"/>
      <c r="BB23" s="291"/>
      <c r="BC23" s="291"/>
      <c r="BD23" s="291"/>
      <c r="BE23" s="291"/>
      <c r="BF23" s="563"/>
      <c r="BG23" s="563"/>
      <c r="BH23" s="563"/>
      <c r="BI23" s="274"/>
      <c r="BJ23" s="274"/>
      <c r="BK23" s="274"/>
      <c r="BL23" s="274"/>
      <c r="BM23" s="274"/>
      <c r="BN23" s="274"/>
    </row>
    <row r="24" spans="1:66" ht="22.5" customHeight="1" thickBot="1" x14ac:dyDescent="0.3">
      <c r="A24" s="253"/>
      <c r="B24" s="568"/>
      <c r="C24" s="93" t="s">
        <v>85</v>
      </c>
      <c r="D24" s="1434">
        <f ca="1">SUM('6.PrimaryProcessing'!L68:L72)</f>
        <v>0</v>
      </c>
      <c r="E24" s="1436"/>
      <c r="F24" s="1436"/>
      <c r="G24" s="1434">
        <f t="shared" ca="1" si="1"/>
        <v>0</v>
      </c>
      <c r="H24" s="1437">
        <f ca="1">IF('1.GeneralInfo'!E$12=0,"N/A",$G24/('1.GeneralInfo'!S$12/SUMIF('2.CropManagement'!X$152:X$153,'1.GeneralInfo'!F$12,'2.CropManagement'!Y$152:Y$153)))</f>
        <v>0</v>
      </c>
      <c r="I24" s="1433">
        <f ca="1">IF('1.GeneralInfo'!E14=0,"N/A",G24/('1.GeneralInfo'!S$14/SUMIF('2.CropManagement'!X$157:X$164,'1.GeneralInfo'!F$14,'2.CropManagement'!Y$157:Y$164))*IF(J$5="Yes",AB$8,AB$7))</f>
        <v>0</v>
      </c>
      <c r="J24" s="1433" t="str">
        <f>IF(AP$10,AR23,"")</f>
        <v/>
      </c>
      <c r="K24" s="569"/>
      <c r="L24" s="569"/>
      <c r="M24" s="569"/>
      <c r="N24" s="569"/>
      <c r="O24" s="569"/>
      <c r="P24" s="569"/>
      <c r="Q24" s="569"/>
      <c r="R24" s="569"/>
      <c r="S24" s="1029"/>
      <c r="T24" s="259"/>
      <c r="U24" s="259"/>
      <c r="V24" s="259"/>
      <c r="W24" s="609"/>
      <c r="X24" s="259"/>
      <c r="Y24" s="617">
        <v>13</v>
      </c>
      <c r="Z24" s="259"/>
      <c r="AA24" s="259"/>
      <c r="AB24" s="259"/>
      <c r="AC24" s="569"/>
      <c r="AD24" s="569"/>
      <c r="AE24" s="569"/>
      <c r="AF24" s="569"/>
      <c r="AG24" s="569"/>
      <c r="AH24" s="569"/>
      <c r="AI24" s="569"/>
      <c r="AJ24" s="569"/>
      <c r="AK24" s="569"/>
      <c r="AL24" s="569"/>
      <c r="AM24" s="571">
        <f ca="1">'7.Transport'!Y51</f>
        <v>0</v>
      </c>
      <c r="AN24" s="570"/>
      <c r="AO24" s="291"/>
      <c r="AP24" s="6" t="s">
        <v>86</v>
      </c>
      <c r="AQ24" s="150"/>
      <c r="AR24" s="611" t="e">
        <f ca="1">AM23/AQ$10</f>
        <v>#DIV/0!</v>
      </c>
      <c r="AS24" s="291"/>
      <c r="AT24" s="291"/>
      <c r="AU24" s="291"/>
      <c r="AV24" s="291"/>
      <c r="AW24" s="291"/>
      <c r="AX24" s="291"/>
      <c r="AY24" s="291"/>
      <c r="AZ24" s="291"/>
      <c r="BA24" s="291"/>
      <c r="BB24" s="291"/>
      <c r="BC24" s="291"/>
      <c r="BD24" s="291"/>
      <c r="BE24" s="291"/>
      <c r="BF24" s="563"/>
      <c r="BG24" s="563"/>
      <c r="BH24" s="563"/>
      <c r="BI24" s="274"/>
      <c r="BJ24" s="274"/>
      <c r="BK24" s="274"/>
      <c r="BL24" s="274"/>
      <c r="BM24" s="274"/>
      <c r="BN24" s="274"/>
    </row>
    <row r="25" spans="1:66" ht="22.5" customHeight="1" thickBot="1" x14ac:dyDescent="0.3">
      <c r="A25" s="253"/>
      <c r="B25" s="568"/>
      <c r="C25" s="93" t="s">
        <v>86</v>
      </c>
      <c r="D25" s="1438"/>
      <c r="E25" s="1436"/>
      <c r="F25" s="1435">
        <f ca="1">'6.PrimaryProcessing'!F40</f>
        <v>0</v>
      </c>
      <c r="G25" s="1434">
        <f t="shared" ca="1" si="1"/>
        <v>0</v>
      </c>
      <c r="H25" s="1437">
        <f ca="1">IF('1.GeneralInfo'!E$12=0,"N/A",$G25/('1.GeneralInfo'!S$12/SUMIF('2.CropManagement'!X$152:X$153,'1.GeneralInfo'!F$12,'2.CropManagement'!Y$152:Y$153)))</f>
        <v>0</v>
      </c>
      <c r="I25" s="1433">
        <f ca="1">IF('1.GeneralInfo'!E14=0,"N/A",G25/('1.GeneralInfo'!S$14/SUMIF('2.CropManagement'!X$157:X$164,'1.GeneralInfo'!F$14,'2.CropManagement'!Y$157:Y$164))*IF(J$5="Yes",AB$8,AB$7))</f>
        <v>0</v>
      </c>
      <c r="J25" s="1433" t="str">
        <f>IF(AP$10,AR24,"")</f>
        <v/>
      </c>
      <c r="K25" s="569"/>
      <c r="L25" s="569"/>
      <c r="M25" s="569"/>
      <c r="N25" s="569"/>
      <c r="O25" s="569"/>
      <c r="P25" s="569"/>
      <c r="Q25" s="569"/>
      <c r="R25" s="569"/>
      <c r="S25" s="1029"/>
      <c r="T25" s="259"/>
      <c r="U25" s="259"/>
      <c r="V25" s="259"/>
      <c r="W25" s="609"/>
      <c r="X25" s="609"/>
      <c r="Y25" s="617">
        <v>14</v>
      </c>
      <c r="Z25" s="259"/>
      <c r="AA25" s="259"/>
      <c r="AB25" s="259"/>
      <c r="AC25" s="569"/>
      <c r="AD25" s="569"/>
      <c r="AE25" s="569"/>
      <c r="AF25" s="569"/>
      <c r="AG25" s="569"/>
      <c r="AH25" s="569"/>
      <c r="AI25" s="569"/>
      <c r="AJ25" s="569"/>
      <c r="AK25" s="569"/>
      <c r="AL25" s="569"/>
      <c r="AM25" s="103">
        <f ca="1">SUM(AM12:AM24)</f>
        <v>3414.4999627806974</v>
      </c>
      <c r="AN25" s="570"/>
      <c r="AO25" s="570"/>
      <c r="AP25" s="6" t="s">
        <v>87</v>
      </c>
      <c r="AQ25" s="572"/>
      <c r="AR25" s="611" t="e">
        <f ca="1">AM24/AQ$10</f>
        <v>#DIV/0!</v>
      </c>
      <c r="AS25" s="563"/>
      <c r="AT25" s="563"/>
      <c r="AU25" s="563"/>
      <c r="AV25" s="563"/>
      <c r="AW25" s="563"/>
      <c r="AX25" s="563"/>
      <c r="AY25" s="563"/>
      <c r="AZ25" s="563"/>
      <c r="BA25" s="563"/>
      <c r="BB25" s="563"/>
      <c r="BC25" s="563"/>
      <c r="BD25" s="563"/>
      <c r="BE25" s="563"/>
      <c r="BF25" s="563"/>
      <c r="BG25" s="563"/>
      <c r="BH25" s="563"/>
      <c r="BI25" s="274"/>
      <c r="BJ25" s="274"/>
      <c r="BK25" s="274"/>
      <c r="BL25" s="274"/>
      <c r="BM25" s="274"/>
      <c r="BN25" s="274"/>
    </row>
    <row r="26" spans="1:66" ht="38.299999999999997" customHeight="1" thickBot="1" x14ac:dyDescent="0.3">
      <c r="A26" s="253"/>
      <c r="B26" s="568"/>
      <c r="C26" s="94" t="s">
        <v>87</v>
      </c>
      <c r="D26" s="1439"/>
      <c r="E26" s="1440"/>
      <c r="F26" s="1440"/>
      <c r="G26" s="1441">
        <f t="shared" ca="1" si="1"/>
        <v>0</v>
      </c>
      <c r="H26" s="1442">
        <f ca="1">IF('1.GeneralInfo'!E$12=0,"N/A",$G26/('1.GeneralInfo'!S$12/SUMIF('2.CropManagement'!X$152:X$153,'1.GeneralInfo'!F$12,'2.CropManagement'!Y$152:Y$153)))</f>
        <v>0</v>
      </c>
      <c r="I26" s="1443">
        <f ca="1">IF('1.GeneralInfo'!E14=0,"N/A",G26/('1.GeneralInfo'!S$14/SUMIF('2.CropManagement'!X$157:X$164,'1.GeneralInfo'!F$14,'2.CropManagement'!Y$157:Y$164))*IF(J$5="Yes",AB$8,AB$7))</f>
        <v>0</v>
      </c>
      <c r="J26" s="1433" t="str">
        <f>IF(AP$10,AR25,"")</f>
        <v/>
      </c>
      <c r="K26" s="569"/>
      <c r="L26" s="569"/>
      <c r="M26" s="569"/>
      <c r="N26" s="569"/>
      <c r="O26" s="569"/>
      <c r="P26" s="569"/>
      <c r="Q26" s="569"/>
      <c r="R26" s="569"/>
      <c r="S26" s="1029"/>
      <c r="T26" s="259"/>
      <c r="U26" s="259"/>
      <c r="V26" s="259"/>
      <c r="W26" s="253"/>
      <c r="X26" s="253"/>
      <c r="Y26" s="253"/>
      <c r="Z26" s="253"/>
      <c r="AA26" s="253"/>
      <c r="AB26" s="253"/>
      <c r="AC26" s="619"/>
      <c r="AD26" s="619"/>
      <c r="AE26" s="619"/>
      <c r="AF26" s="619"/>
      <c r="AG26" s="569"/>
      <c r="AH26" s="569"/>
      <c r="AI26" s="569"/>
      <c r="AJ26" s="569"/>
      <c r="AK26" s="569"/>
      <c r="AL26" s="569"/>
      <c r="AM26" s="274"/>
      <c r="AN26" s="107"/>
      <c r="AO26" s="107"/>
      <c r="AP26" s="108" t="s">
        <v>1269</v>
      </c>
      <c r="AQ26" s="109"/>
      <c r="AR26" s="620" t="e">
        <f ca="1">AM25/AQ$10</f>
        <v>#DIV/0!</v>
      </c>
      <c r="AS26" s="563"/>
      <c r="AT26" s="563"/>
      <c r="AU26" s="563"/>
      <c r="AV26" s="563"/>
      <c r="AW26" s="563"/>
      <c r="AX26" s="563"/>
      <c r="AY26" s="563"/>
      <c r="AZ26" s="563"/>
      <c r="BA26" s="563"/>
      <c r="BB26" s="563"/>
      <c r="BC26" s="563"/>
      <c r="BD26" s="563"/>
      <c r="BE26" s="563"/>
      <c r="BF26" s="563"/>
      <c r="BG26" s="563"/>
      <c r="BH26" s="563"/>
      <c r="BI26" s="274"/>
      <c r="BJ26" s="274"/>
      <c r="BK26" s="274"/>
      <c r="BL26" s="274"/>
      <c r="BM26" s="274"/>
      <c r="BN26" s="274"/>
    </row>
    <row r="27" spans="1:66" ht="20.3" customHeight="1" thickBot="1" x14ac:dyDescent="0.4">
      <c r="A27" s="253"/>
      <c r="B27" s="568"/>
      <c r="C27" s="889" t="s">
        <v>1269</v>
      </c>
      <c r="D27" s="1444">
        <f ca="1">SUM(D14:D26)</f>
        <v>2231.9910430098171</v>
      </c>
      <c r="E27" s="1445">
        <f ca="1">SUM(E14:E26)</f>
        <v>3.994962566793518</v>
      </c>
      <c r="F27" s="1445">
        <f ca="1">SUM(F14:F26)</f>
        <v>0</v>
      </c>
      <c r="G27" s="1446">
        <f t="shared" ca="1" si="1"/>
        <v>3414.4999627806974</v>
      </c>
      <c r="H27" s="1447">
        <f ca="1">SUM(H14:H26)</f>
        <v>474.23610594176381</v>
      </c>
      <c r="I27" s="1448">
        <f ca="1">SUM(I14:I26)</f>
        <v>55.14373324904227</v>
      </c>
      <c r="J27" s="1449" t="str">
        <f>IF(AP$10,AR26,"")</f>
        <v/>
      </c>
      <c r="K27" s="569"/>
      <c r="L27" s="569"/>
      <c r="M27" s="569"/>
      <c r="N27" s="569"/>
      <c r="O27" s="569"/>
      <c r="P27" s="569"/>
      <c r="Q27" s="569"/>
      <c r="R27" s="569"/>
      <c r="S27" s="1029"/>
      <c r="T27" s="259"/>
      <c r="U27" s="259"/>
      <c r="V27" s="259"/>
      <c r="W27" s="253"/>
      <c r="X27" s="253"/>
      <c r="Y27" s="253"/>
      <c r="Z27" s="253"/>
      <c r="AA27" s="253"/>
      <c r="AB27" s="253"/>
      <c r="AC27" s="569"/>
      <c r="AD27" s="569"/>
      <c r="AE27" s="569"/>
      <c r="AF27" s="569"/>
      <c r="AG27" s="569"/>
      <c r="AH27" s="569"/>
      <c r="AI27" s="569"/>
      <c r="AJ27" s="569"/>
      <c r="AK27" s="569"/>
      <c r="AL27" s="569"/>
      <c r="AM27" s="563"/>
      <c r="AN27" s="570"/>
      <c r="AO27" s="570"/>
      <c r="AP27" s="570"/>
      <c r="AQ27" s="570"/>
      <c r="AR27" s="570"/>
      <c r="AS27" s="563"/>
      <c r="AT27" s="563"/>
      <c r="AU27" s="563"/>
      <c r="AV27" s="563"/>
      <c r="AW27" s="563"/>
      <c r="AX27" s="563"/>
      <c r="AY27" s="563"/>
      <c r="AZ27" s="563"/>
      <c r="BA27" s="563"/>
      <c r="BB27" s="563"/>
      <c r="BC27" s="563"/>
      <c r="BD27" s="563"/>
      <c r="BE27" s="563"/>
      <c r="BF27" s="563"/>
      <c r="BG27" s="563"/>
      <c r="BH27" s="563"/>
      <c r="BI27" s="274"/>
      <c r="BJ27" s="274"/>
      <c r="BK27" s="274"/>
      <c r="BL27" s="274"/>
      <c r="BM27" s="274"/>
      <c r="BN27" s="274"/>
    </row>
    <row r="28" spans="1:66" ht="29.95" customHeight="1" x14ac:dyDescent="0.25">
      <c r="A28" s="253"/>
      <c r="B28" s="568"/>
      <c r="C28" s="1261" t="s">
        <v>1018</v>
      </c>
      <c r="D28" s="584"/>
      <c r="E28" s="584"/>
      <c r="F28" s="584"/>
      <c r="G28" s="584"/>
      <c r="H28" s="584"/>
      <c r="I28" s="584"/>
      <c r="J28" s="584"/>
      <c r="K28" s="569"/>
      <c r="L28" s="569"/>
      <c r="M28" s="569"/>
      <c r="N28" s="569"/>
      <c r="O28" s="569"/>
      <c r="P28" s="569"/>
      <c r="Q28" s="569"/>
      <c r="R28" s="569"/>
      <c r="S28" s="1029"/>
      <c r="T28" s="259"/>
      <c r="U28" s="259"/>
      <c r="V28" s="253"/>
      <c r="W28" s="253"/>
      <c r="X28" s="253"/>
      <c r="Y28" s="253"/>
      <c r="Z28" s="253"/>
      <c r="AA28" s="253"/>
      <c r="AB28" s="253"/>
      <c r="AC28" s="274"/>
      <c r="AD28" s="274"/>
      <c r="AE28" s="274"/>
      <c r="AF28" s="274"/>
      <c r="AG28" s="274"/>
      <c r="AH28" s="274"/>
      <c r="AI28" s="274"/>
      <c r="AJ28" s="274"/>
      <c r="AK28" s="274"/>
      <c r="AL28" s="274"/>
      <c r="AM28" s="274"/>
      <c r="AN28" s="274"/>
      <c r="AO28" s="274"/>
      <c r="AP28" s="274"/>
      <c r="AQ28" s="274"/>
      <c r="AR28" s="274"/>
      <c r="AS28" s="274"/>
      <c r="AT28" s="274"/>
      <c r="AU28" s="274"/>
      <c r="AV28" s="274"/>
      <c r="AW28" s="274"/>
      <c r="AX28" s="274"/>
      <c r="AY28" s="274"/>
      <c r="AZ28" s="274"/>
      <c r="BA28" s="274"/>
      <c r="BB28" s="274"/>
      <c r="BC28" s="274"/>
      <c r="BD28" s="274"/>
      <c r="BE28" s="274"/>
      <c r="BF28" s="274"/>
      <c r="BG28" s="274"/>
      <c r="BH28" s="274"/>
      <c r="BI28" s="274"/>
      <c r="BJ28" s="274"/>
      <c r="BK28" s="274"/>
      <c r="BL28" s="274"/>
      <c r="BM28" s="274"/>
      <c r="BN28" s="274"/>
    </row>
    <row r="29" spans="1:66" ht="236.3" customHeight="1" thickBot="1" x14ac:dyDescent="0.3">
      <c r="A29" s="253"/>
      <c r="B29" s="573"/>
      <c r="C29" s="2528" t="s">
        <v>1513</v>
      </c>
      <c r="D29" s="2529"/>
      <c r="E29" s="2529"/>
      <c r="F29" s="2529"/>
      <c r="G29" s="2530"/>
      <c r="H29" s="574"/>
      <c r="I29" s="574"/>
      <c r="J29" s="574"/>
      <c r="K29" s="574"/>
      <c r="L29" s="574"/>
      <c r="M29" s="574"/>
      <c r="N29" s="574"/>
      <c r="O29" s="574"/>
      <c r="P29" s="574"/>
      <c r="Q29" s="574"/>
      <c r="R29" s="574"/>
      <c r="S29" s="1030"/>
      <c r="T29" s="259"/>
      <c r="U29" s="259"/>
      <c r="V29" s="253"/>
      <c r="W29" s="253"/>
      <c r="X29" s="253"/>
      <c r="Y29" s="253"/>
      <c r="Z29" s="253"/>
      <c r="AA29" s="253"/>
      <c r="AB29" s="253"/>
      <c r="AC29" s="274"/>
      <c r="AD29" s="274"/>
      <c r="AE29" s="274"/>
      <c r="AF29" s="274"/>
      <c r="AG29" s="274"/>
      <c r="AH29" s="274"/>
      <c r="AI29" s="274"/>
      <c r="AJ29" s="274"/>
      <c r="AK29" s="274"/>
      <c r="AL29" s="274"/>
      <c r="AM29" s="274"/>
      <c r="AN29" s="274"/>
      <c r="AO29" s="274"/>
      <c r="AP29" s="274"/>
      <c r="AQ29" s="274"/>
      <c r="AR29" s="274"/>
      <c r="AS29" s="274"/>
      <c r="AT29" s="274"/>
      <c r="AU29" s="274"/>
      <c r="AV29" s="274"/>
      <c r="AW29" s="274"/>
      <c r="AX29" s="274"/>
      <c r="AY29" s="274"/>
      <c r="AZ29" s="274"/>
      <c r="BA29" s="274"/>
      <c r="BB29" s="274"/>
      <c r="BC29" s="274"/>
      <c r="BD29" s="274"/>
      <c r="BE29" s="274"/>
      <c r="BF29" s="274"/>
      <c r="BG29" s="274"/>
      <c r="BH29" s="274"/>
      <c r="BI29" s="274"/>
      <c r="BJ29" s="274"/>
      <c r="BK29" s="274"/>
      <c r="BL29" s="274"/>
      <c r="BM29" s="274"/>
      <c r="BN29" s="274"/>
    </row>
    <row r="30" spans="1:66" ht="23.2" customHeight="1" thickBot="1" x14ac:dyDescent="0.3">
      <c r="A30" s="253"/>
      <c r="B30" s="953"/>
      <c r="C30" s="2538" t="s">
        <v>1246</v>
      </c>
      <c r="D30" s="2538"/>
      <c r="E30" s="2538"/>
      <c r="F30" s="953"/>
      <c r="G30" s="953"/>
      <c r="H30" s="953"/>
      <c r="I30" s="953"/>
      <c r="J30" s="953"/>
      <c r="K30" s="953"/>
      <c r="L30" s="953"/>
      <c r="M30" s="953"/>
      <c r="N30" s="953"/>
      <c r="O30" s="953"/>
      <c r="P30" s="953"/>
      <c r="Q30" s="953"/>
      <c r="R30" s="953"/>
      <c r="S30" s="953"/>
      <c r="T30" s="259"/>
      <c r="U30" s="259"/>
      <c r="V30" s="253"/>
      <c r="W30" s="253"/>
      <c r="X30" s="253"/>
      <c r="Y30" s="253"/>
      <c r="Z30" s="253"/>
      <c r="AA30" s="253"/>
      <c r="AB30" s="253"/>
      <c r="AC30" s="274"/>
      <c r="AD30" s="274"/>
      <c r="AE30" s="274"/>
      <c r="AF30" s="274"/>
      <c r="AG30" s="274"/>
      <c r="AH30" s="274"/>
      <c r="AI30" s="274"/>
      <c r="AJ30" s="274"/>
      <c r="AK30" s="274"/>
      <c r="AL30" s="274"/>
      <c r="AM30" s="274"/>
      <c r="AN30" s="274"/>
      <c r="AO30" s="274"/>
      <c r="AP30" s="274"/>
      <c r="AQ30" s="274"/>
      <c r="AR30" s="274"/>
      <c r="AS30" s="274"/>
      <c r="AT30" s="274"/>
      <c r="AU30" s="274"/>
      <c r="AV30" s="274"/>
      <c r="AW30" s="274"/>
      <c r="AX30" s="274"/>
      <c r="AY30" s="274"/>
      <c r="AZ30" s="274"/>
      <c r="BA30" s="274"/>
      <c r="BB30" s="274"/>
      <c r="BC30" s="274"/>
      <c r="BD30" s="274"/>
      <c r="BE30" s="274"/>
      <c r="BF30" s="274"/>
      <c r="BG30" s="274"/>
      <c r="BH30" s="274"/>
      <c r="BI30" s="274"/>
      <c r="BJ30" s="274"/>
      <c r="BK30" s="274"/>
      <c r="BL30" s="274"/>
      <c r="BM30" s="274"/>
      <c r="BN30" s="274"/>
    </row>
    <row r="31" spans="1:66" ht="14.25" customHeight="1" thickBot="1" x14ac:dyDescent="0.3">
      <c r="A31" s="253"/>
      <c r="B31" s="1025"/>
      <c r="C31" s="1026"/>
      <c r="D31" s="984"/>
      <c r="E31" s="984"/>
      <c r="F31" s="984"/>
      <c r="G31" s="984"/>
      <c r="H31" s="984"/>
      <c r="I31" s="984"/>
      <c r="J31" s="984"/>
      <c r="K31" s="984"/>
      <c r="L31" s="984"/>
      <c r="M31" s="984"/>
      <c r="N31" s="984"/>
      <c r="O31" s="984"/>
      <c r="P31" s="984"/>
      <c r="Q31" s="984"/>
      <c r="R31" s="984"/>
      <c r="S31" s="1027"/>
      <c r="T31" s="259"/>
      <c r="U31" s="259"/>
      <c r="V31" s="253"/>
      <c r="W31" s="253"/>
      <c r="X31" s="253"/>
      <c r="Y31" s="253"/>
      <c r="Z31" s="253"/>
      <c r="AA31" s="253"/>
      <c r="AB31" s="253"/>
      <c r="AC31" s="274"/>
      <c r="AD31" s="274"/>
      <c r="AE31" s="274"/>
      <c r="AF31" s="274"/>
      <c r="AG31" s="274"/>
      <c r="AH31" s="274"/>
      <c r="AI31" s="274"/>
      <c r="AJ31" s="274"/>
      <c r="AK31" s="274"/>
      <c r="AL31" s="274"/>
      <c r="AM31" s="274"/>
      <c r="AN31" s="274"/>
      <c r="AO31" s="274"/>
      <c r="AP31" s="274"/>
      <c r="AQ31" s="274"/>
      <c r="AR31" s="274"/>
      <c r="AS31" s="274"/>
      <c r="AT31" s="274"/>
      <c r="AU31" s="274"/>
      <c r="AV31" s="274"/>
      <c r="AW31" s="274"/>
      <c r="AX31" s="274"/>
      <c r="AY31" s="274"/>
      <c r="AZ31" s="274"/>
      <c r="BA31" s="274"/>
      <c r="BB31" s="274"/>
      <c r="BC31" s="274"/>
      <c r="BD31" s="274"/>
      <c r="BE31" s="274"/>
      <c r="BF31" s="274"/>
      <c r="BG31" s="274"/>
      <c r="BH31" s="274"/>
      <c r="BI31" s="274"/>
      <c r="BJ31" s="274"/>
      <c r="BK31" s="274"/>
      <c r="BL31" s="274"/>
      <c r="BM31" s="274"/>
      <c r="BN31" s="274"/>
    </row>
    <row r="32" spans="1:66" ht="53.3" customHeight="1" x14ac:dyDescent="0.25">
      <c r="A32" s="253"/>
      <c r="B32" s="568"/>
      <c r="C32" s="1031"/>
      <c r="D32" s="984"/>
      <c r="E32" s="984"/>
      <c r="F32" s="984"/>
      <c r="G32" s="1027"/>
      <c r="H32" s="569"/>
      <c r="I32" s="569"/>
      <c r="J32" s="569"/>
      <c r="K32" s="569"/>
      <c r="L32" s="569"/>
      <c r="M32" s="569"/>
      <c r="N32" s="569"/>
      <c r="O32" s="569"/>
      <c r="P32" s="569"/>
      <c r="Q32" s="569"/>
      <c r="R32" s="569"/>
      <c r="S32" s="1029"/>
      <c r="T32" s="149"/>
      <c r="U32" s="149"/>
      <c r="V32" s="166"/>
      <c r="W32" s="166"/>
      <c r="X32" s="166"/>
      <c r="Y32" s="166"/>
      <c r="Z32" s="166"/>
      <c r="AA32" s="166"/>
      <c r="AB32" s="166"/>
      <c r="AC32" s="146"/>
      <c r="AD32" s="146"/>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c r="BN32" s="60"/>
    </row>
    <row r="33" spans="1:66" ht="16.600000000000001" customHeight="1" x14ac:dyDescent="0.35">
      <c r="A33" s="253"/>
      <c r="B33" s="568"/>
      <c r="C33" s="1032" t="s">
        <v>1199</v>
      </c>
      <c r="D33" s="569"/>
      <c r="E33" s="569"/>
      <c r="F33" s="569"/>
      <c r="G33" s="1029"/>
      <c r="H33" s="569"/>
      <c r="I33" s="569"/>
      <c r="J33" s="569"/>
      <c r="K33" s="569"/>
      <c r="L33" s="569"/>
      <c r="M33" s="569"/>
      <c r="N33" s="569"/>
      <c r="O33" s="569"/>
      <c r="P33" s="569"/>
      <c r="Q33" s="569"/>
      <c r="R33" s="569"/>
      <c r="S33" s="1029"/>
      <c r="T33" s="166"/>
      <c r="U33" s="166"/>
      <c r="V33" s="282">
        <f ca="1">MAX(G39:G41)</f>
        <v>0</v>
      </c>
      <c r="W33" s="166">
        <f ca="1">OFFSET(C38,SUMIF(G39:G41,V33,AA33:AA35),0)</f>
        <v>0</v>
      </c>
      <c r="X33" s="166"/>
      <c r="Y33" s="166"/>
      <c r="Z33" s="166">
        <f ca="1">IF(ISERROR(ROUND(100*V33/SUM(G39:G42),1)),0,ROUND(100*V33/SUM(G39:G42),1))</f>
        <v>0</v>
      </c>
      <c r="AA33" s="166">
        <v>1</v>
      </c>
      <c r="AB33" s="166" t="s">
        <v>25</v>
      </c>
      <c r="AC33" s="146"/>
      <c r="AD33" s="146"/>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c r="BN33" s="60"/>
    </row>
    <row r="34" spans="1:66" ht="16.600000000000001" customHeight="1" x14ac:dyDescent="0.25">
      <c r="A34" s="166"/>
      <c r="B34" s="381"/>
      <c r="C34" s="195"/>
      <c r="D34" s="186"/>
      <c r="E34" s="186"/>
      <c r="F34" s="186"/>
      <c r="G34" s="499"/>
      <c r="H34" s="186"/>
      <c r="I34" s="186"/>
      <c r="J34" s="186"/>
      <c r="K34" s="186"/>
      <c r="L34" s="186"/>
      <c r="M34" s="186"/>
      <c r="N34" s="186"/>
      <c r="O34" s="186"/>
      <c r="P34" s="186"/>
      <c r="Q34" s="186"/>
      <c r="R34" s="186"/>
      <c r="S34" s="499"/>
      <c r="T34" s="166"/>
      <c r="U34" s="166"/>
      <c r="V34" s="166"/>
      <c r="W34" s="166"/>
      <c r="X34" s="166"/>
      <c r="Y34" s="166"/>
      <c r="Z34" s="166"/>
      <c r="AA34" s="166">
        <v>2</v>
      </c>
      <c r="AB34" s="166" t="s">
        <v>1889</v>
      </c>
      <c r="AC34" s="146"/>
      <c r="AD34" s="146"/>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c r="BN34" s="60"/>
    </row>
    <row r="35" spans="1:66" ht="16.600000000000001" customHeight="1" x14ac:dyDescent="0.25">
      <c r="A35" s="166"/>
      <c r="B35" s="381"/>
      <c r="C35" s="1114" t="str">
        <f ca="1">"1.     " &amp; Z33 &amp;"% of your emissions for livestock come from "&amp; W33</f>
        <v>1.     0% of your emissions for livestock come from 0</v>
      </c>
      <c r="D35" s="186"/>
      <c r="E35" s="186"/>
      <c r="F35" s="186"/>
      <c r="G35" s="499"/>
      <c r="H35" s="186"/>
      <c r="I35" s="186"/>
      <c r="J35" s="186"/>
      <c r="K35" s="186"/>
      <c r="L35" s="186"/>
      <c r="M35" s="186"/>
      <c r="N35" s="186"/>
      <c r="O35" s="186"/>
      <c r="P35" s="186"/>
      <c r="Q35" s="186"/>
      <c r="R35" s="186"/>
      <c r="S35" s="499"/>
      <c r="T35" s="166"/>
      <c r="U35" s="166"/>
      <c r="V35" s="166"/>
      <c r="W35" s="166"/>
      <c r="X35" s="166"/>
      <c r="Y35" s="166"/>
      <c r="Z35" s="166"/>
      <c r="AA35" s="166">
        <v>3</v>
      </c>
      <c r="AB35" s="166" t="s">
        <v>1772</v>
      </c>
      <c r="AC35" s="146"/>
      <c r="AD35" s="146"/>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c r="BN35" s="60"/>
    </row>
    <row r="36" spans="1:66" ht="16.600000000000001" customHeight="1" thickBot="1" x14ac:dyDescent="0.3">
      <c r="A36" s="166"/>
      <c r="B36" s="381"/>
      <c r="C36" s="264"/>
      <c r="D36" s="493"/>
      <c r="E36" s="493"/>
      <c r="F36" s="493"/>
      <c r="G36" s="561"/>
      <c r="H36" s="186"/>
      <c r="I36" s="186"/>
      <c r="J36" s="186"/>
      <c r="K36" s="186"/>
      <c r="L36" s="186"/>
      <c r="M36" s="186"/>
      <c r="N36" s="186"/>
      <c r="O36" s="186"/>
      <c r="P36" s="186"/>
      <c r="Q36" s="186"/>
      <c r="R36" s="186"/>
      <c r="S36" s="499"/>
      <c r="T36" s="166"/>
      <c r="U36" s="166"/>
      <c r="V36" s="166"/>
      <c r="W36" s="166"/>
      <c r="X36" s="166"/>
      <c r="Y36" s="166"/>
      <c r="Z36" s="166"/>
      <c r="AA36" s="166">
        <v>4</v>
      </c>
      <c r="AB36" s="166"/>
      <c r="AC36" s="146"/>
      <c r="AD36" s="146"/>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c r="BN36" s="60"/>
    </row>
    <row r="37" spans="1:66" ht="16.600000000000001" customHeight="1" thickBot="1" x14ac:dyDescent="0.3">
      <c r="A37" s="166"/>
      <c r="B37" s="381"/>
      <c r="C37" s="181"/>
      <c r="D37" s="186"/>
      <c r="E37" s="186"/>
      <c r="F37" s="186"/>
      <c r="G37" s="186"/>
      <c r="H37" s="186"/>
      <c r="I37" s="186"/>
      <c r="J37" s="186"/>
      <c r="K37" s="186"/>
      <c r="L37" s="186"/>
      <c r="M37" s="186"/>
      <c r="N37" s="186"/>
      <c r="O37" s="186"/>
      <c r="P37" s="186"/>
      <c r="Q37" s="186"/>
      <c r="R37" s="186"/>
      <c r="S37" s="499"/>
      <c r="T37" s="166"/>
      <c r="U37" s="166"/>
      <c r="V37" s="166"/>
      <c r="W37" s="166"/>
      <c r="X37" s="166"/>
      <c r="Y37" s="166"/>
      <c r="Z37" s="166"/>
      <c r="AA37" s="166"/>
      <c r="AB37" s="16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46"/>
      <c r="BL37" s="146"/>
      <c r="BM37" s="146"/>
      <c r="BN37" s="146"/>
    </row>
    <row r="38" spans="1:66" ht="54.75" customHeight="1" thickBot="1" x14ac:dyDescent="0.3">
      <c r="A38" s="166"/>
      <c r="B38" s="381"/>
      <c r="C38" s="186"/>
      <c r="D38" s="102" t="s">
        <v>2071</v>
      </c>
      <c r="E38" s="95" t="s">
        <v>1793</v>
      </c>
      <c r="F38" s="95" t="s">
        <v>2073</v>
      </c>
      <c r="G38" s="101" t="str">
        <f ca="1">I13</f>
        <v>Per tonne</v>
      </c>
      <c r="H38" s="186"/>
      <c r="I38" s="186"/>
      <c r="J38" s="186"/>
      <c r="K38" s="186"/>
      <c r="L38" s="186"/>
      <c r="M38" s="186"/>
      <c r="N38" s="186"/>
      <c r="O38" s="186"/>
      <c r="P38" s="186"/>
      <c r="Q38" s="186"/>
      <c r="R38" s="186"/>
      <c r="S38" s="499"/>
      <c r="T38" s="166"/>
      <c r="U38" s="166"/>
      <c r="V38" s="166"/>
      <c r="W38" s="166"/>
      <c r="X38" s="166"/>
      <c r="Y38" s="166"/>
      <c r="Z38" s="166"/>
      <c r="AA38" s="166"/>
      <c r="AB38" s="16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46"/>
      <c r="BL38" s="146"/>
      <c r="BM38" s="146"/>
      <c r="BN38" s="146"/>
    </row>
    <row r="39" spans="1:66" ht="21.05" customHeight="1" x14ac:dyDescent="0.25">
      <c r="A39" s="166"/>
      <c r="B39" s="381"/>
      <c r="C39" s="92" t="s">
        <v>1736</v>
      </c>
      <c r="D39" s="575">
        <f t="shared" ref="D39:F41" si="3">D20</f>
        <v>0</v>
      </c>
      <c r="E39" s="275">
        <f t="shared" si="3"/>
        <v>0</v>
      </c>
      <c r="F39" s="276">
        <f t="shared" si="3"/>
        <v>0</v>
      </c>
      <c r="G39" s="576">
        <f ca="1">I20</f>
        <v>0</v>
      </c>
      <c r="H39" s="186"/>
      <c r="I39" s="186"/>
      <c r="J39" s="186"/>
      <c r="K39" s="186"/>
      <c r="L39" s="186"/>
      <c r="M39" s="186"/>
      <c r="N39" s="186"/>
      <c r="O39" s="186"/>
      <c r="P39" s="186"/>
      <c r="Q39" s="186"/>
      <c r="R39" s="186"/>
      <c r="S39" s="499"/>
      <c r="T39" s="166"/>
      <c r="U39" s="166"/>
      <c r="V39" s="166"/>
      <c r="W39" s="166"/>
      <c r="X39" s="166"/>
      <c r="Y39" s="166"/>
      <c r="Z39" s="166"/>
      <c r="AA39" s="166"/>
      <c r="AB39" s="16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46"/>
      <c r="BL39" s="146"/>
      <c r="BM39" s="146"/>
      <c r="BN39" s="146"/>
    </row>
    <row r="40" spans="1:66" ht="21.05" customHeight="1" x14ac:dyDescent="0.25">
      <c r="A40" s="166"/>
      <c r="B40" s="381"/>
      <c r="C40" s="93" t="s">
        <v>1735</v>
      </c>
      <c r="D40" s="577">
        <f t="shared" si="3"/>
        <v>0</v>
      </c>
      <c r="E40" s="578">
        <f t="shared" si="3"/>
        <v>0</v>
      </c>
      <c r="F40" s="579">
        <f t="shared" si="3"/>
        <v>0</v>
      </c>
      <c r="G40" s="580">
        <f ca="1">I21</f>
        <v>0</v>
      </c>
      <c r="H40" s="186"/>
      <c r="I40" s="186"/>
      <c r="J40" s="186"/>
      <c r="K40" s="186"/>
      <c r="L40" s="186"/>
      <c r="M40" s="186"/>
      <c r="N40" s="186"/>
      <c r="O40" s="186"/>
      <c r="P40" s="186"/>
      <c r="Q40" s="186"/>
      <c r="R40" s="186"/>
      <c r="S40" s="499"/>
      <c r="T40" s="166"/>
      <c r="U40" s="166"/>
      <c r="V40" s="166"/>
      <c r="W40" s="166"/>
      <c r="X40" s="166"/>
      <c r="Y40" s="166"/>
      <c r="Z40" s="166"/>
      <c r="AA40" s="166"/>
      <c r="AB40" s="16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46"/>
      <c r="BL40" s="146"/>
      <c r="BM40" s="146"/>
      <c r="BN40" s="146"/>
    </row>
    <row r="41" spans="1:66" ht="19.45" customHeight="1" x14ac:dyDescent="0.25">
      <c r="A41" s="166"/>
      <c r="B41" s="381"/>
      <c r="C41" s="93" t="s">
        <v>1734</v>
      </c>
      <c r="D41" s="577">
        <f t="shared" si="3"/>
        <v>0</v>
      </c>
      <c r="E41" s="578">
        <f t="shared" si="3"/>
        <v>0</v>
      </c>
      <c r="F41" s="579">
        <f t="shared" si="3"/>
        <v>0</v>
      </c>
      <c r="G41" s="580">
        <f ca="1">I22</f>
        <v>0</v>
      </c>
      <c r="H41" s="186"/>
      <c r="I41" s="186"/>
      <c r="J41" s="186"/>
      <c r="K41" s="186"/>
      <c r="L41" s="186"/>
      <c r="M41" s="186"/>
      <c r="N41" s="186"/>
      <c r="O41" s="186"/>
      <c r="P41" s="186"/>
      <c r="Q41" s="186"/>
      <c r="R41" s="186"/>
      <c r="S41" s="499"/>
      <c r="T41" s="166"/>
      <c r="U41" s="166"/>
      <c r="V41" s="166"/>
      <c r="W41" s="166"/>
      <c r="X41" s="166"/>
      <c r="Y41" s="166"/>
      <c r="Z41" s="166"/>
      <c r="AA41" s="166"/>
      <c r="AB41" s="16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46"/>
      <c r="BL41" s="146"/>
      <c r="BM41" s="146"/>
      <c r="BN41" s="146"/>
    </row>
    <row r="42" spans="1:66" ht="18" customHeight="1" thickBot="1" x14ac:dyDescent="0.3">
      <c r="A42" s="166"/>
      <c r="B42" s="381"/>
      <c r="C42" s="94"/>
      <c r="D42" s="581"/>
      <c r="E42" s="266"/>
      <c r="F42" s="267"/>
      <c r="G42" s="582"/>
      <c r="H42" s="186"/>
      <c r="I42" s="186"/>
      <c r="J42" s="186"/>
      <c r="K42" s="186"/>
      <c r="L42" s="186"/>
      <c r="M42" s="186"/>
      <c r="N42" s="186"/>
      <c r="O42" s="186"/>
      <c r="P42" s="186"/>
      <c r="Q42" s="186"/>
      <c r="R42" s="186"/>
      <c r="S42" s="499"/>
      <c r="T42" s="166"/>
      <c r="U42" s="166"/>
      <c r="V42" s="166"/>
      <c r="W42" s="166"/>
      <c r="X42" s="166"/>
      <c r="Y42" s="166"/>
      <c r="Z42" s="166"/>
      <c r="AA42" s="166"/>
      <c r="AB42" s="16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c r="BH42" s="146"/>
      <c r="BI42" s="146"/>
      <c r="BJ42" s="146"/>
      <c r="BK42" s="146"/>
      <c r="BL42" s="146"/>
      <c r="BM42" s="146"/>
      <c r="BN42" s="146"/>
    </row>
    <row r="43" spans="1:66" ht="11.25" customHeight="1" x14ac:dyDescent="0.25">
      <c r="A43" s="166"/>
      <c r="B43" s="381"/>
      <c r="C43" s="186"/>
      <c r="D43" s="186"/>
      <c r="E43" s="186"/>
      <c r="F43" s="186"/>
      <c r="G43" s="186"/>
      <c r="H43" s="186"/>
      <c r="I43" s="186"/>
      <c r="J43" s="186"/>
      <c r="K43" s="186"/>
      <c r="L43" s="186"/>
      <c r="M43" s="186"/>
      <c r="N43" s="186"/>
      <c r="O43" s="186"/>
      <c r="P43" s="186"/>
      <c r="Q43" s="186"/>
      <c r="R43" s="186"/>
      <c r="S43" s="499"/>
      <c r="T43" s="166"/>
      <c r="U43" s="166"/>
      <c r="V43" s="166"/>
      <c r="W43" s="166"/>
      <c r="X43" s="166"/>
      <c r="Y43" s="166"/>
      <c r="Z43" s="166"/>
      <c r="AA43" s="166"/>
      <c r="AB43" s="16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c r="BH43" s="146"/>
      <c r="BI43" s="146"/>
      <c r="BJ43" s="146"/>
      <c r="BK43" s="146"/>
      <c r="BL43" s="146"/>
      <c r="BM43" s="146"/>
      <c r="BN43" s="146"/>
    </row>
    <row r="44" spans="1:66" ht="18" customHeight="1" x14ac:dyDescent="0.25">
      <c r="A44" s="166"/>
      <c r="B44" s="381"/>
      <c r="C44" s="186">
        <f ca="1">OFFSET(AB32,SUMIF(G39:G42,V33,AA33:AA35),0)</f>
        <v>0</v>
      </c>
      <c r="D44" s="186"/>
      <c r="E44" s="186"/>
      <c r="F44" s="186"/>
      <c r="G44" s="186"/>
      <c r="H44" s="186"/>
      <c r="I44" s="186"/>
      <c r="J44" s="186"/>
      <c r="K44" s="186"/>
      <c r="L44" s="186"/>
      <c r="M44" s="186"/>
      <c r="N44" s="186"/>
      <c r="O44" s="186"/>
      <c r="P44" s="186"/>
      <c r="Q44" s="186"/>
      <c r="R44" s="186"/>
      <c r="S44" s="499"/>
      <c r="T44" s="166"/>
      <c r="U44" s="166"/>
      <c r="V44" s="166"/>
      <c r="W44" s="166"/>
      <c r="X44" s="166"/>
      <c r="Y44" s="166"/>
      <c r="Z44" s="166"/>
      <c r="AA44" s="166"/>
      <c r="AB44" s="16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46"/>
      <c r="BL44" s="146"/>
      <c r="BM44" s="146"/>
      <c r="BN44" s="146"/>
    </row>
    <row r="45" spans="1:66" ht="18" customHeight="1" x14ac:dyDescent="0.25">
      <c r="A45" s="166"/>
      <c r="B45" s="381"/>
      <c r="C45" s="186"/>
      <c r="D45" s="186"/>
      <c r="E45" s="186"/>
      <c r="F45" s="186"/>
      <c r="G45" s="186"/>
      <c r="H45" s="186"/>
      <c r="I45" s="186"/>
      <c r="J45" s="186"/>
      <c r="K45" s="186"/>
      <c r="L45" s="186"/>
      <c r="M45" s="186"/>
      <c r="N45" s="186"/>
      <c r="O45" s="186"/>
      <c r="P45" s="186"/>
      <c r="Q45" s="186"/>
      <c r="R45" s="186"/>
      <c r="S45" s="499"/>
      <c r="T45" s="166"/>
      <c r="U45" s="166"/>
      <c r="V45" s="166"/>
      <c r="W45" s="166"/>
      <c r="X45" s="166"/>
      <c r="Y45" s="166"/>
      <c r="Z45" s="166"/>
      <c r="AA45" s="166"/>
      <c r="AB45" s="16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46"/>
      <c r="BL45" s="146"/>
      <c r="BM45" s="146"/>
      <c r="BN45" s="146"/>
    </row>
    <row r="46" spans="1:66" ht="18" customHeight="1" x14ac:dyDescent="0.25">
      <c r="A46" s="166"/>
      <c r="B46" s="381"/>
      <c r="C46" s="186"/>
      <c r="D46" s="186"/>
      <c r="E46" s="186"/>
      <c r="F46" s="186"/>
      <c r="G46" s="186"/>
      <c r="H46" s="186"/>
      <c r="I46" s="186"/>
      <c r="J46" s="186"/>
      <c r="K46" s="186"/>
      <c r="L46" s="186"/>
      <c r="M46" s="186"/>
      <c r="N46" s="186"/>
      <c r="O46" s="186"/>
      <c r="P46" s="186"/>
      <c r="Q46" s="186"/>
      <c r="R46" s="186"/>
      <c r="S46" s="499"/>
      <c r="T46" s="166"/>
      <c r="U46" s="166"/>
      <c r="V46" s="166"/>
      <c r="W46" s="166"/>
      <c r="X46" s="166"/>
      <c r="Y46" s="166"/>
      <c r="Z46" s="166"/>
      <c r="AA46" s="166"/>
      <c r="AB46" s="16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46"/>
      <c r="BL46" s="146"/>
      <c r="BM46" s="146"/>
      <c r="BN46" s="146"/>
    </row>
    <row r="47" spans="1:66" ht="5.2" customHeight="1" x14ac:dyDescent="0.25">
      <c r="A47" s="166"/>
      <c r="B47" s="381"/>
      <c r="C47" s="186"/>
      <c r="D47" s="186"/>
      <c r="E47" s="186"/>
      <c r="F47" s="186"/>
      <c r="G47" s="186"/>
      <c r="H47" s="186"/>
      <c r="I47" s="186"/>
      <c r="J47" s="186"/>
      <c r="K47" s="186"/>
      <c r="L47" s="186"/>
      <c r="M47" s="186"/>
      <c r="N47" s="186"/>
      <c r="O47" s="186"/>
      <c r="P47" s="186"/>
      <c r="Q47" s="186"/>
      <c r="R47" s="186"/>
      <c r="S47" s="499"/>
      <c r="T47" s="166"/>
      <c r="U47" s="166"/>
      <c r="V47" s="166"/>
      <c r="W47" s="166"/>
      <c r="X47" s="166"/>
      <c r="Y47" s="166"/>
      <c r="Z47" s="166"/>
      <c r="AA47" s="166"/>
      <c r="AB47" s="16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46"/>
      <c r="BL47" s="146"/>
      <c r="BM47" s="146"/>
      <c r="BN47" s="146"/>
    </row>
    <row r="48" spans="1:66" ht="28.55" customHeight="1" x14ac:dyDescent="0.25">
      <c r="A48" s="166"/>
      <c r="B48" s="381"/>
      <c r="C48" s="186"/>
      <c r="D48" s="186"/>
      <c r="E48" s="186"/>
      <c r="F48" s="186"/>
      <c r="G48" s="186"/>
      <c r="H48" s="186"/>
      <c r="I48" s="186"/>
      <c r="J48" s="186"/>
      <c r="K48" s="186"/>
      <c r="L48" s="186"/>
      <c r="M48" s="186"/>
      <c r="N48" s="186"/>
      <c r="O48" s="186"/>
      <c r="P48" s="186"/>
      <c r="Q48" s="186"/>
      <c r="R48" s="186"/>
      <c r="S48" s="499"/>
      <c r="T48" s="253"/>
      <c r="U48" s="253"/>
      <c r="V48" s="259"/>
      <c r="W48" s="259"/>
      <c r="X48" s="259"/>
      <c r="Y48" s="609"/>
      <c r="Z48" s="259"/>
      <c r="AA48" s="259"/>
      <c r="AB48" s="259"/>
      <c r="AC48" s="569"/>
      <c r="AD48" s="569"/>
      <c r="AE48" s="569"/>
      <c r="AF48" s="569"/>
      <c r="AG48" s="569"/>
      <c r="AH48" s="569"/>
      <c r="AI48" s="569"/>
      <c r="AJ48" s="569"/>
      <c r="AK48" s="569"/>
      <c r="AL48" s="569"/>
      <c r="AM48" s="569"/>
      <c r="AN48" s="583"/>
      <c r="AO48" s="583"/>
      <c r="AP48" s="583"/>
      <c r="AQ48" s="583"/>
      <c r="AR48" s="583"/>
      <c r="AS48" s="584"/>
      <c r="AT48" s="584"/>
      <c r="AU48" s="584"/>
      <c r="AV48" s="584"/>
      <c r="AW48" s="584"/>
      <c r="AX48" s="584"/>
      <c r="AY48" s="274"/>
      <c r="AZ48" s="274"/>
      <c r="BA48" s="274"/>
      <c r="BB48" s="274"/>
      <c r="BC48" s="274"/>
      <c r="BD48" s="274"/>
      <c r="BE48" s="274"/>
      <c r="BF48" s="274"/>
      <c r="BG48" s="274"/>
      <c r="BH48" s="274"/>
      <c r="BI48" s="274"/>
      <c r="BJ48" s="274"/>
      <c r="BK48" s="274"/>
      <c r="BL48" s="274"/>
      <c r="BM48" s="146"/>
      <c r="BN48" s="146"/>
    </row>
    <row r="49" spans="1:66" ht="36.75" customHeight="1" thickBot="1" x14ac:dyDescent="0.3">
      <c r="A49" s="166"/>
      <c r="B49" s="596"/>
      <c r="C49" s="493"/>
      <c r="D49" s="493"/>
      <c r="E49" s="493"/>
      <c r="F49" s="493"/>
      <c r="G49" s="493"/>
      <c r="H49" s="493"/>
      <c r="I49" s="493"/>
      <c r="J49" s="493"/>
      <c r="K49" s="493"/>
      <c r="L49" s="493"/>
      <c r="M49" s="493"/>
      <c r="N49" s="493"/>
      <c r="O49" s="493"/>
      <c r="P49" s="493"/>
      <c r="Q49" s="493"/>
      <c r="R49" s="493"/>
      <c r="S49" s="561"/>
      <c r="T49" s="166"/>
      <c r="U49" s="166"/>
      <c r="V49" s="149"/>
      <c r="W49" s="149"/>
      <c r="X49" s="149"/>
      <c r="Y49" s="621"/>
      <c r="Z49" s="149"/>
      <c r="AA49" s="149"/>
      <c r="AB49" s="149"/>
      <c r="AC49" s="186"/>
      <c r="AD49" s="186"/>
      <c r="AE49" s="186"/>
      <c r="AF49" s="186"/>
      <c r="AG49" s="186"/>
      <c r="AH49" s="186"/>
      <c r="AI49" s="186"/>
      <c r="AJ49" s="186"/>
      <c r="AK49" s="186"/>
      <c r="AL49" s="186"/>
      <c r="AM49" s="186"/>
      <c r="AN49" s="585"/>
      <c r="AO49" s="585"/>
      <c r="AP49" s="585"/>
      <c r="AQ49" s="585"/>
      <c r="AR49" s="585"/>
      <c r="AS49" s="146"/>
      <c r="AT49" s="146"/>
      <c r="AU49" s="146"/>
      <c r="AV49" s="146"/>
      <c r="AW49" s="146"/>
      <c r="AX49" s="146"/>
      <c r="AY49" s="60"/>
      <c r="AZ49" s="60"/>
      <c r="BA49" s="60"/>
      <c r="BB49" s="60"/>
      <c r="BC49" s="60"/>
      <c r="BD49" s="60"/>
      <c r="BE49" s="60"/>
      <c r="BF49" s="60"/>
      <c r="BG49" s="60"/>
      <c r="BH49" s="60"/>
      <c r="BI49" s="60"/>
      <c r="BJ49" s="60"/>
      <c r="BK49" s="60"/>
      <c r="BL49" s="60"/>
      <c r="BM49" s="146"/>
      <c r="BN49" s="146"/>
    </row>
    <row r="50" spans="1:66" ht="23.2" customHeight="1" x14ac:dyDescent="0.25">
      <c r="A50" s="166"/>
      <c r="B50" s="952"/>
      <c r="C50" s="2537" t="s">
        <v>195</v>
      </c>
      <c r="D50" s="2537"/>
      <c r="E50" s="2537"/>
      <c r="F50" s="953"/>
      <c r="G50" s="953"/>
      <c r="H50" s="953"/>
      <c r="I50" s="953"/>
      <c r="J50" s="953"/>
      <c r="K50" s="953"/>
      <c r="L50" s="953"/>
      <c r="M50" s="953"/>
      <c r="N50" s="953"/>
      <c r="O50" s="953"/>
      <c r="P50" s="953"/>
      <c r="Q50" s="953"/>
      <c r="R50" s="953"/>
      <c r="S50" s="954"/>
      <c r="T50" s="166"/>
      <c r="U50" s="166"/>
      <c r="V50" s="149"/>
      <c r="W50" s="149"/>
      <c r="X50" s="149"/>
      <c r="Y50" s="621"/>
      <c r="Z50" s="149"/>
      <c r="AA50" s="149"/>
      <c r="AB50" s="149"/>
      <c r="AC50" s="186"/>
      <c r="AD50" s="186"/>
      <c r="AE50" s="186"/>
      <c r="AF50" s="186"/>
      <c r="AG50" s="186"/>
      <c r="AH50" s="186"/>
      <c r="AI50" s="186"/>
      <c r="AJ50" s="186"/>
      <c r="AK50" s="186"/>
      <c r="AL50" s="186"/>
      <c r="AM50" s="186"/>
      <c r="AN50" s="585"/>
      <c r="AO50" s="585"/>
      <c r="AP50" s="585"/>
      <c r="AQ50" s="585"/>
      <c r="AR50" s="585"/>
      <c r="AS50" s="146"/>
      <c r="AT50" s="146"/>
      <c r="AU50" s="146"/>
      <c r="AV50" s="146"/>
      <c r="AW50" s="146"/>
      <c r="AX50" s="146"/>
      <c r="AY50" s="60"/>
      <c r="AZ50" s="60"/>
      <c r="BA50" s="60"/>
      <c r="BB50" s="60"/>
      <c r="BC50" s="60"/>
      <c r="BD50" s="60"/>
      <c r="BE50" s="60"/>
      <c r="BF50" s="60"/>
      <c r="BG50" s="60"/>
      <c r="BH50" s="60"/>
      <c r="BI50" s="60"/>
      <c r="BJ50" s="60"/>
      <c r="BK50" s="60"/>
      <c r="BL50" s="60"/>
      <c r="BM50" s="146"/>
      <c r="BN50" s="146"/>
    </row>
    <row r="51" spans="1:66" ht="36.75" customHeight="1" thickBot="1" x14ac:dyDescent="0.3">
      <c r="A51" s="166"/>
      <c r="B51" s="381"/>
      <c r="C51" s="186"/>
      <c r="D51" s="186"/>
      <c r="E51" s="186"/>
      <c r="F51" s="186"/>
      <c r="G51" s="186"/>
      <c r="H51" s="186"/>
      <c r="I51" s="186"/>
      <c r="J51" s="186"/>
      <c r="K51" s="186"/>
      <c r="L51" s="186"/>
      <c r="M51" s="186"/>
      <c r="N51" s="186"/>
      <c r="O51" s="186"/>
      <c r="P51" s="186"/>
      <c r="Q51" s="186"/>
      <c r="R51" s="186"/>
      <c r="S51" s="499"/>
      <c r="T51" s="166"/>
      <c r="U51" s="166"/>
      <c r="V51" s="149"/>
      <c r="W51" s="149"/>
      <c r="X51" s="149"/>
      <c r="Y51" s="621"/>
      <c r="Z51" s="149"/>
      <c r="AA51" s="149"/>
      <c r="AB51" s="149"/>
      <c r="AC51" s="186"/>
      <c r="AD51" s="186"/>
      <c r="AE51" s="186"/>
      <c r="AF51" s="186"/>
      <c r="AG51" s="186"/>
      <c r="AH51" s="186"/>
      <c r="AI51" s="186"/>
      <c r="AJ51" s="186"/>
      <c r="AK51" s="186"/>
      <c r="AL51" s="186"/>
      <c r="AM51" s="186"/>
      <c r="AN51" s="585"/>
      <c r="AO51" s="585"/>
      <c r="AP51" s="585"/>
      <c r="AQ51" s="585"/>
      <c r="AR51" s="585"/>
      <c r="AS51" s="146"/>
      <c r="AT51" s="146"/>
      <c r="AU51" s="146"/>
      <c r="AV51" s="146"/>
      <c r="AW51" s="146"/>
      <c r="AX51" s="146"/>
      <c r="AY51" s="60"/>
      <c r="AZ51" s="60"/>
      <c r="BA51" s="60"/>
      <c r="BB51" s="60"/>
      <c r="BC51" s="60"/>
      <c r="BD51" s="60"/>
      <c r="BE51" s="60"/>
      <c r="BF51" s="60"/>
      <c r="BG51" s="60"/>
      <c r="BH51" s="60"/>
      <c r="BI51" s="60"/>
      <c r="BJ51" s="60"/>
      <c r="BK51" s="60"/>
      <c r="BL51" s="60"/>
      <c r="BM51" s="146"/>
      <c r="BN51" s="146"/>
    </row>
    <row r="52" spans="1:66" ht="26.25" customHeight="1" x14ac:dyDescent="0.35">
      <c r="A52" s="166"/>
      <c r="B52" s="381"/>
      <c r="C52" s="1020" t="s">
        <v>1200</v>
      </c>
      <c r="D52" s="346"/>
      <c r="E52" s="346"/>
      <c r="F52" s="346"/>
      <c r="G52" s="346"/>
      <c r="H52" s="346"/>
      <c r="I52" s="347"/>
      <c r="J52" s="186"/>
      <c r="K52" s="186"/>
      <c r="L52" s="186"/>
      <c r="M52" s="186"/>
      <c r="N52" s="186"/>
      <c r="O52" s="186"/>
      <c r="P52" s="186"/>
      <c r="Q52" s="186"/>
      <c r="R52" s="186"/>
      <c r="S52" s="499"/>
      <c r="T52" s="166"/>
      <c r="U52" s="166"/>
      <c r="V52" s="149"/>
      <c r="W52" s="149"/>
      <c r="X52" s="149"/>
      <c r="Y52" s="621"/>
      <c r="Z52" s="149"/>
      <c r="AA52" s="149">
        <v>1</v>
      </c>
      <c r="AB52" s="149">
        <v>2</v>
      </c>
      <c r="AC52" s="186">
        <v>3</v>
      </c>
      <c r="AD52" s="186"/>
      <c r="AE52" s="186"/>
      <c r="AF52" s="186"/>
      <c r="AG52" s="186"/>
      <c r="AH52" s="186"/>
      <c r="AI52" s="186"/>
      <c r="AJ52" s="186"/>
      <c r="AK52" s="186"/>
      <c r="AL52" s="186"/>
      <c r="AM52" s="186"/>
      <c r="AN52" s="585"/>
      <c r="AO52" s="585"/>
      <c r="AP52" s="585"/>
      <c r="AQ52" s="585"/>
      <c r="AR52" s="585"/>
      <c r="AS52" s="146"/>
      <c r="AT52" s="146"/>
      <c r="AU52" s="146"/>
      <c r="AV52" s="146"/>
      <c r="AW52" s="146"/>
      <c r="AX52" s="146"/>
      <c r="AY52" s="60"/>
      <c r="AZ52" s="60"/>
      <c r="BA52" s="60"/>
      <c r="BB52" s="60"/>
      <c r="BC52" s="60"/>
      <c r="BD52" s="60"/>
      <c r="BE52" s="60"/>
      <c r="BF52" s="60"/>
      <c r="BG52" s="60"/>
      <c r="BH52" s="60"/>
      <c r="BI52" s="60"/>
      <c r="BJ52" s="60"/>
      <c r="BK52" s="60"/>
      <c r="BL52" s="60"/>
      <c r="BM52" s="146"/>
      <c r="BN52" s="146"/>
    </row>
    <row r="53" spans="1:66" ht="26.25" customHeight="1" x14ac:dyDescent="0.35">
      <c r="A53" s="166"/>
      <c r="B53" s="381"/>
      <c r="C53" s="1032"/>
      <c r="D53" s="186"/>
      <c r="E53" s="186"/>
      <c r="F53" s="186"/>
      <c r="G53" s="186"/>
      <c r="H53" s="186"/>
      <c r="I53" s="499"/>
      <c r="J53" s="186"/>
      <c r="K53" s="186"/>
      <c r="L53" s="186"/>
      <c r="M53" s="186"/>
      <c r="N53" s="186"/>
      <c r="O53" s="186"/>
      <c r="P53" s="186"/>
      <c r="Q53" s="186"/>
      <c r="R53" s="186"/>
      <c r="S53" s="499"/>
      <c r="T53" s="166"/>
      <c r="U53" s="166"/>
      <c r="V53" s="149"/>
      <c r="W53" s="166"/>
      <c r="X53" s="149"/>
      <c r="Y53" s="149"/>
      <c r="Z53" s="149"/>
      <c r="AA53" s="278">
        <f ca="1">MAX(J60:J64)</f>
        <v>78.22102364690447</v>
      </c>
      <c r="AB53" s="622">
        <f ca="1">ROUND(AA53,1)</f>
        <v>78.2</v>
      </c>
      <c r="AC53" s="186"/>
      <c r="AD53" s="186"/>
      <c r="AE53" s="186"/>
      <c r="AF53" s="186"/>
      <c r="AG53" s="186"/>
      <c r="AH53" s="186"/>
      <c r="AI53" s="186"/>
      <c r="AJ53" s="186"/>
      <c r="AK53" s="186"/>
      <c r="AL53" s="186"/>
      <c r="AM53" s="186"/>
      <c r="AN53" s="186"/>
      <c r="AO53" s="186"/>
      <c r="AP53" s="186"/>
      <c r="AQ53" s="585"/>
      <c r="AR53" s="585"/>
      <c r="AS53" s="585"/>
      <c r="AT53" s="585"/>
      <c r="AU53" s="585"/>
      <c r="AV53" s="146"/>
      <c r="AW53" s="146"/>
      <c r="AX53" s="146"/>
      <c r="AY53" s="146"/>
      <c r="AZ53" s="146"/>
      <c r="BA53" s="146"/>
      <c r="BB53" s="60"/>
      <c r="BC53" s="60"/>
      <c r="BD53" s="60"/>
      <c r="BE53" s="60"/>
      <c r="BF53" s="60"/>
      <c r="BG53" s="60"/>
      <c r="BH53" s="60"/>
      <c r="BI53" s="60"/>
      <c r="BJ53" s="60"/>
      <c r="BK53" s="60"/>
      <c r="BL53" s="60"/>
      <c r="BM53" s="146"/>
      <c r="BN53" s="146"/>
    </row>
    <row r="54" spans="1:66" ht="26.25" customHeight="1" x14ac:dyDescent="0.25">
      <c r="A54" s="166"/>
      <c r="B54" s="381"/>
      <c r="C54" s="2522" t="str">
        <f ca="1" xml:space="preserve"> "1.  For the field management side the greater part of your emissions come from " &amp;Z55&amp; "; making " &amp;AB53&amp; "% of the total"</f>
        <v>1.  For the field management side the greater part of your emissions come from fertiliser production; making 78.2% of the total</v>
      </c>
      <c r="D54" s="2523"/>
      <c r="E54" s="2523"/>
      <c r="F54" s="2523"/>
      <c r="G54" s="2523"/>
      <c r="H54" s="2523"/>
      <c r="I54" s="2524"/>
      <c r="J54" s="186"/>
      <c r="K54" s="186"/>
      <c r="L54" s="186"/>
      <c r="M54" s="186"/>
      <c r="N54" s="186"/>
      <c r="O54" s="186"/>
      <c r="P54" s="186"/>
      <c r="Q54" s="186"/>
      <c r="R54" s="186"/>
      <c r="S54" s="499"/>
      <c r="T54" s="166"/>
      <c r="U54" s="166"/>
      <c r="V54" s="149"/>
      <c r="W54" s="166"/>
      <c r="X54" s="149"/>
      <c r="Y54" s="149"/>
      <c r="Z54" s="149"/>
      <c r="AA54" s="278"/>
      <c r="AB54" s="622"/>
      <c r="AC54" s="186"/>
      <c r="AD54" s="186"/>
      <c r="AE54" s="186"/>
      <c r="AF54" s="186"/>
      <c r="AG54" s="186"/>
      <c r="AH54" s="186"/>
      <c r="AI54" s="186"/>
      <c r="AJ54" s="186"/>
      <c r="AK54" s="186"/>
      <c r="AL54" s="186"/>
      <c r="AM54" s="186"/>
      <c r="AN54" s="186"/>
      <c r="AO54" s="186"/>
      <c r="AP54" s="186"/>
      <c r="AQ54" s="585"/>
      <c r="AR54" s="585"/>
      <c r="AS54" s="585"/>
      <c r="AT54" s="585"/>
      <c r="AU54" s="585"/>
      <c r="AV54" s="146"/>
      <c r="AW54" s="146"/>
      <c r="AX54" s="146"/>
      <c r="AY54" s="146"/>
      <c r="AZ54" s="146"/>
      <c r="BA54" s="146"/>
      <c r="BB54" s="60"/>
      <c r="BC54" s="60"/>
      <c r="BD54" s="60"/>
      <c r="BE54" s="60"/>
      <c r="BF54" s="60"/>
      <c r="BG54" s="60"/>
      <c r="BH54" s="60"/>
      <c r="BI54" s="60"/>
      <c r="BJ54" s="60"/>
      <c r="BK54" s="60"/>
      <c r="BL54" s="60"/>
      <c r="BM54" s="146"/>
      <c r="BN54" s="146"/>
    </row>
    <row r="55" spans="1:66" ht="26.25" customHeight="1" x14ac:dyDescent="0.25">
      <c r="A55" s="166"/>
      <c r="B55" s="381"/>
      <c r="C55" s="2522" t="str">
        <f ca="1">"2.  " &amp; OFFSET(AA55,SUMIF(C60:C64,Z55,Y56:Y60),0)</f>
        <v>2.   Changing fertiliser type may help - emissions do differ between fertiliser types.</v>
      </c>
      <c r="D55" s="2523"/>
      <c r="E55" s="2523"/>
      <c r="F55" s="2523"/>
      <c r="G55" s="2523"/>
      <c r="H55" s="2523"/>
      <c r="I55" s="2524"/>
      <c r="J55" s="186"/>
      <c r="K55" s="186"/>
      <c r="L55" s="186"/>
      <c r="M55" s="186"/>
      <c r="N55" s="186"/>
      <c r="O55" s="186"/>
      <c r="P55" s="186"/>
      <c r="Q55" s="186"/>
      <c r="R55" s="186"/>
      <c r="S55" s="499"/>
      <c r="T55" s="166"/>
      <c r="U55" s="166"/>
      <c r="V55" s="149"/>
      <c r="W55" s="166"/>
      <c r="X55" s="149"/>
      <c r="Y55" s="149"/>
      <c r="Z55" s="149" t="str">
        <f ca="1">OFFSET(C59,SUMIF(J60:J64,AA53,Y56:Y60),0)</f>
        <v>fertiliser production</v>
      </c>
      <c r="AA55" s="149"/>
      <c r="AB55" s="621"/>
      <c r="AC55" s="186"/>
      <c r="AD55" s="186"/>
      <c r="AE55" s="186"/>
      <c r="AF55" s="186"/>
      <c r="AG55" s="186"/>
      <c r="AH55" s="186"/>
      <c r="AI55" s="186"/>
      <c r="AJ55" s="186"/>
      <c r="AK55" s="186"/>
      <c r="AL55" s="186"/>
      <c r="AM55" s="186"/>
      <c r="AN55" s="186"/>
      <c r="AO55" s="186"/>
      <c r="AP55" s="186"/>
      <c r="AQ55" s="585"/>
      <c r="AR55" s="585"/>
      <c r="AS55" s="585"/>
      <c r="AT55" s="585"/>
      <c r="AU55" s="585"/>
      <c r="AV55" s="146"/>
      <c r="AW55" s="146"/>
      <c r="AX55" s="146"/>
      <c r="AY55" s="146"/>
      <c r="AZ55" s="146"/>
      <c r="BA55" s="146"/>
      <c r="BB55" s="60"/>
      <c r="BC55" s="60"/>
      <c r="BD55" s="60"/>
      <c r="BE55" s="60"/>
      <c r="BF55" s="60"/>
      <c r="BG55" s="60"/>
      <c r="BH55" s="60"/>
      <c r="BI55" s="60"/>
      <c r="BJ55" s="60"/>
      <c r="BK55" s="60"/>
      <c r="BL55" s="60"/>
      <c r="BM55" s="146"/>
      <c r="BN55" s="146"/>
    </row>
    <row r="56" spans="1:66" ht="20.3" customHeight="1" x14ac:dyDescent="0.25">
      <c r="A56" s="166"/>
      <c r="B56" s="381"/>
      <c r="C56" s="2522" t="str">
        <f ca="1">"3.  " &amp; OFFSET(AB55,SUMIF(C60:C64,Z55,Y56:Y60),0)</f>
        <v>3.  Also, be aware that recent technologies such as N2O recapture have allowed for lower emissions from synthetic fertiliser production.</v>
      </c>
      <c r="D56" s="2523"/>
      <c r="E56" s="2523"/>
      <c r="F56" s="2523"/>
      <c r="G56" s="2523"/>
      <c r="H56" s="2523"/>
      <c r="I56" s="2524"/>
      <c r="J56" s="186"/>
      <c r="K56" s="186"/>
      <c r="L56" s="186"/>
      <c r="M56" s="186"/>
      <c r="N56" s="186"/>
      <c r="O56" s="186"/>
      <c r="P56" s="186"/>
      <c r="Q56" s="186"/>
      <c r="R56" s="186"/>
      <c r="S56" s="499"/>
      <c r="T56" s="166"/>
      <c r="U56" s="166"/>
      <c r="V56" s="149"/>
      <c r="W56" s="166"/>
      <c r="X56" s="149"/>
      <c r="Y56" s="149">
        <v>1</v>
      </c>
      <c r="Z56" s="149" t="s">
        <v>922</v>
      </c>
      <c r="AA56" s="149" t="s">
        <v>1369</v>
      </c>
      <c r="AB56" s="621"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56" s="186"/>
      <c r="AD56" s="186"/>
      <c r="AE56" s="186"/>
      <c r="AF56" s="186"/>
      <c r="AG56" s="186"/>
      <c r="AH56" s="186"/>
      <c r="AI56" s="186"/>
      <c r="AJ56" s="186"/>
      <c r="AK56" s="186"/>
      <c r="AL56" s="186"/>
      <c r="AM56" s="186"/>
      <c r="AN56" s="186"/>
      <c r="AO56" s="186"/>
      <c r="AP56" s="186"/>
      <c r="AQ56" s="585"/>
      <c r="AR56" s="585"/>
      <c r="AS56" s="585"/>
      <c r="AT56" s="585"/>
      <c r="AU56" s="585"/>
      <c r="AV56" s="146"/>
      <c r="AW56" s="146"/>
      <c r="AX56" s="146"/>
      <c r="AY56" s="146"/>
      <c r="AZ56" s="146"/>
      <c r="BA56" s="146"/>
      <c r="BB56" s="60"/>
      <c r="BC56" s="60"/>
      <c r="BD56" s="60"/>
      <c r="BE56" s="60"/>
      <c r="BF56" s="60"/>
      <c r="BG56" s="60"/>
      <c r="BH56" s="60"/>
      <c r="BI56" s="60"/>
      <c r="BJ56" s="60"/>
      <c r="BK56" s="60"/>
      <c r="BL56" s="60"/>
      <c r="BM56" s="146"/>
      <c r="BN56" s="146"/>
    </row>
    <row r="57" spans="1:66" ht="44.25" customHeight="1" thickBot="1" x14ac:dyDescent="0.3">
      <c r="A57" s="166"/>
      <c r="B57" s="381"/>
      <c r="C57" s="596"/>
      <c r="D57" s="493"/>
      <c r="E57" s="493"/>
      <c r="F57" s="493"/>
      <c r="G57" s="493"/>
      <c r="H57" s="493"/>
      <c r="I57" s="561"/>
      <c r="J57" s="186"/>
      <c r="K57" s="186"/>
      <c r="L57" s="186"/>
      <c r="M57" s="186"/>
      <c r="N57" s="186"/>
      <c r="O57" s="186"/>
      <c r="P57" s="186"/>
      <c r="Q57" s="186"/>
      <c r="R57" s="186"/>
      <c r="S57" s="499"/>
      <c r="T57" s="166"/>
      <c r="U57" s="166"/>
      <c r="V57" s="166"/>
      <c r="W57" s="166"/>
      <c r="X57" s="166"/>
      <c r="Y57" s="4">
        <v>2</v>
      </c>
      <c r="Z57" s="149" t="s">
        <v>1270</v>
      </c>
      <c r="AA57" s="149" t="s">
        <v>1367</v>
      </c>
      <c r="AB57" s="149" t="str">
        <f ca="1">IF(AG57=1,"Or fertilisers with for example nitrification inhibitors may be an option? ","")</f>
        <v xml:space="preserve">Or fertilisers with for example nitrification inhibitors may be an option? </v>
      </c>
      <c r="AC57" s="186"/>
      <c r="AD57" s="186"/>
      <c r="AE57" s="186"/>
      <c r="AF57" s="186" t="s">
        <v>1368</v>
      </c>
      <c r="AG57" s="186">
        <f ca="1">PRODUCT('2.CropManagement'!Q19:Q24)</f>
        <v>1</v>
      </c>
      <c r="AH57" s="186"/>
      <c r="AI57" s="186"/>
      <c r="AJ57" s="186"/>
      <c r="AK57" s="186"/>
      <c r="AL57" s="186"/>
      <c r="AM57" s="186"/>
      <c r="AN57" s="18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46"/>
      <c r="BL57" s="146"/>
      <c r="BM57" s="146"/>
      <c r="BN57" s="146"/>
    </row>
    <row r="58" spans="1:66" ht="20.3" customHeight="1" thickBot="1" x14ac:dyDescent="0.3">
      <c r="A58" s="166"/>
      <c r="B58" s="381"/>
      <c r="C58" s="186"/>
      <c r="D58" s="186"/>
      <c r="E58" s="186"/>
      <c r="F58" s="186"/>
      <c r="G58" s="186"/>
      <c r="H58" s="186"/>
      <c r="I58" s="186"/>
      <c r="J58" s="186"/>
      <c r="K58" s="186"/>
      <c r="L58" s="186"/>
      <c r="M58" s="186"/>
      <c r="N58" s="186"/>
      <c r="O58" s="186"/>
      <c r="P58" s="186"/>
      <c r="Q58" s="186"/>
      <c r="R58" s="186"/>
      <c r="S58" s="499"/>
      <c r="T58" s="166"/>
      <c r="U58" s="166"/>
      <c r="V58" s="166"/>
      <c r="W58" s="166"/>
      <c r="X58" s="166"/>
      <c r="Y58" s="149">
        <v>3</v>
      </c>
      <c r="Z58" s="149" t="s">
        <v>1271</v>
      </c>
      <c r="AA58" s="149" t="s">
        <v>1508</v>
      </c>
      <c r="AB58" s="149"/>
      <c r="AC58" s="186"/>
      <c r="AD58" s="186"/>
      <c r="AE58" s="186"/>
      <c r="AF58" s="186"/>
      <c r="AG58" s="186"/>
      <c r="AH58" s="186"/>
      <c r="AI58" s="186"/>
      <c r="AJ58" s="186"/>
      <c r="AK58" s="186"/>
      <c r="AL58" s="186"/>
      <c r="AM58" s="186"/>
      <c r="AN58" s="18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46"/>
      <c r="BL58" s="146"/>
      <c r="BM58" s="146"/>
      <c r="BN58" s="146"/>
    </row>
    <row r="59" spans="1:66" ht="37.450000000000003" customHeight="1" thickBot="1" x14ac:dyDescent="0.3">
      <c r="A59" s="166"/>
      <c r="B59" s="381"/>
      <c r="C59" s="90" t="s">
        <v>194</v>
      </c>
      <c r="D59" s="98" t="s">
        <v>2071</v>
      </c>
      <c r="E59" s="98" t="s">
        <v>1793</v>
      </c>
      <c r="F59" s="98" t="s">
        <v>2073</v>
      </c>
      <c r="G59" s="98" t="str">
        <f t="shared" ref="G59:G64" si="4">G13</f>
        <v>Emissions for total area, kg CO2 eq</v>
      </c>
      <c r="H59" s="98" t="str">
        <f ca="1" xml:space="preserve"> "per " &amp; W5</f>
        <v>per hectare</v>
      </c>
      <c r="I59" s="99" t="str">
        <f ca="1" xml:space="preserve"> "per " &amp;X5</f>
        <v>per tonne</v>
      </c>
      <c r="J59" s="91" t="s">
        <v>95</v>
      </c>
      <c r="K59" s="100"/>
      <c r="L59" s="186"/>
      <c r="M59" s="186"/>
      <c r="N59" s="186"/>
      <c r="O59" s="186"/>
      <c r="P59" s="186"/>
      <c r="Q59" s="186"/>
      <c r="R59" s="186"/>
      <c r="S59" s="499"/>
      <c r="T59" s="166"/>
      <c r="U59" s="166"/>
      <c r="V59" s="166"/>
      <c r="W59" s="166"/>
      <c r="X59" s="166"/>
      <c r="Y59" s="149">
        <v>4</v>
      </c>
      <c r="Z59" s="149" t="s">
        <v>1189</v>
      </c>
      <c r="AA59" s="149" t="s">
        <v>1509</v>
      </c>
      <c r="AB59" s="149"/>
      <c r="AC59" s="186"/>
      <c r="AD59" s="186"/>
      <c r="AE59" s="186"/>
      <c r="AF59" s="186"/>
      <c r="AG59" s="186"/>
      <c r="AH59" s="186"/>
      <c r="AI59" s="186"/>
      <c r="AJ59" s="186"/>
      <c r="AK59" s="186"/>
      <c r="AL59" s="186"/>
      <c r="AM59" s="186"/>
      <c r="AN59" s="18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46"/>
      <c r="BL59" s="146"/>
      <c r="BM59" s="146"/>
      <c r="BN59" s="146"/>
    </row>
    <row r="60" spans="1:66" ht="19.45" customHeight="1" x14ac:dyDescent="0.25">
      <c r="A60" s="166"/>
      <c r="B60" s="381"/>
      <c r="C60" s="96" t="s">
        <v>8</v>
      </c>
      <c r="D60" s="564">
        <f t="shared" ref="D60:I64" ca="1" si="5">D14</f>
        <v>9685.028571428571</v>
      </c>
      <c r="E60" s="586">
        <f t="shared" si="5"/>
        <v>0</v>
      </c>
      <c r="F60" s="586">
        <f t="shared" si="5"/>
        <v>0</v>
      </c>
      <c r="G60" s="586">
        <f t="shared" ca="1" si="4"/>
        <v>9685.028571428571</v>
      </c>
      <c r="H60" s="586">
        <f t="shared" ca="1" si="5"/>
        <v>1345.1428571428571</v>
      </c>
      <c r="I60" s="587">
        <f t="shared" ca="1" si="5"/>
        <v>156.41196013289036</v>
      </c>
      <c r="J60" s="588">
        <f ca="1">100*I60/SUM(I$60:I$64)</f>
        <v>78.22102364690447</v>
      </c>
      <c r="K60" s="186"/>
      <c r="L60" s="186"/>
      <c r="M60" s="186"/>
      <c r="N60" s="186"/>
      <c r="O60" s="186"/>
      <c r="P60" s="186"/>
      <c r="Q60" s="186"/>
      <c r="R60" s="186"/>
      <c r="S60" s="499"/>
      <c r="T60" s="166"/>
      <c r="U60" s="166"/>
      <c r="V60" s="166"/>
      <c r="W60" s="166"/>
      <c r="X60" s="166"/>
      <c r="Y60" s="149">
        <v>5</v>
      </c>
      <c r="Z60" s="149" t="s">
        <v>1110</v>
      </c>
      <c r="AA60" s="149" t="s">
        <v>672</v>
      </c>
      <c r="AB60" s="149"/>
      <c r="AC60" s="186"/>
      <c r="AD60" s="186"/>
      <c r="AE60" s="186"/>
      <c r="AF60" s="186"/>
      <c r="AG60" s="186"/>
      <c r="AH60" s="186"/>
      <c r="AI60" s="186"/>
      <c r="AJ60" s="186"/>
      <c r="AK60" s="186"/>
      <c r="AL60" s="186"/>
      <c r="AM60" s="186"/>
      <c r="AN60" s="18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46"/>
      <c r="BL60" s="146"/>
      <c r="BM60" s="146"/>
      <c r="BN60" s="146"/>
    </row>
    <row r="61" spans="1:66" ht="19.45" customHeight="1" x14ac:dyDescent="0.25">
      <c r="A61" s="166"/>
      <c r="B61" s="381"/>
      <c r="C61" s="85" t="s">
        <v>88</v>
      </c>
      <c r="D61" s="567">
        <f t="shared" ca="1" si="5"/>
        <v>0</v>
      </c>
      <c r="E61" s="242">
        <f t="shared" ca="1" si="5"/>
        <v>3.994962566793518</v>
      </c>
      <c r="F61" s="242">
        <f t="shared" si="5"/>
        <v>0</v>
      </c>
      <c r="G61" s="242">
        <f t="shared" ca="1" si="4"/>
        <v>1182.5089197708812</v>
      </c>
      <c r="H61" s="242">
        <f t="shared" ca="1" si="5"/>
        <v>164.23734996817794</v>
      </c>
      <c r="I61" s="261">
        <f t="shared" ca="1" si="5"/>
        <v>19.097366275369527</v>
      </c>
      <c r="J61" s="589">
        <f ca="1">100*I61/SUM(I$60:I$64)</f>
        <v>9.5505199074936691</v>
      </c>
      <c r="K61" s="186"/>
      <c r="L61" s="186"/>
      <c r="M61" s="186"/>
      <c r="N61" s="186"/>
      <c r="O61" s="186"/>
      <c r="P61" s="186"/>
      <c r="Q61" s="186"/>
      <c r="R61" s="186"/>
      <c r="S61" s="499"/>
      <c r="T61" s="166"/>
      <c r="U61" s="166"/>
      <c r="V61" s="166"/>
      <c r="W61" s="166"/>
      <c r="X61" s="166"/>
      <c r="Y61" s="149"/>
      <c r="Z61" s="149"/>
      <c r="AA61" s="149"/>
      <c r="AB61" s="149"/>
      <c r="AC61" s="186"/>
      <c r="AD61" s="186"/>
      <c r="AE61" s="186"/>
      <c r="AF61" s="186"/>
      <c r="AG61" s="186"/>
      <c r="AH61" s="186"/>
      <c r="AI61" s="186"/>
      <c r="AJ61" s="186"/>
      <c r="AK61" s="186"/>
      <c r="AL61" s="186"/>
      <c r="AM61" s="186"/>
      <c r="AN61" s="18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46"/>
      <c r="BL61" s="146"/>
      <c r="BM61" s="166"/>
      <c r="BN61" s="166"/>
    </row>
    <row r="62" spans="1:66" ht="19.45" customHeight="1" x14ac:dyDescent="0.25">
      <c r="A62" s="166"/>
      <c r="B62" s="381"/>
      <c r="C62" s="85" t="s">
        <v>89</v>
      </c>
      <c r="D62" s="567">
        <f t="shared" si="5"/>
        <v>0</v>
      </c>
      <c r="E62" s="242">
        <f t="shared" si="5"/>
        <v>0</v>
      </c>
      <c r="F62" s="242">
        <f t="shared" si="5"/>
        <v>0</v>
      </c>
      <c r="G62" s="242">
        <f t="shared" si="4"/>
        <v>0</v>
      </c>
      <c r="H62" s="242">
        <f t="shared" si="5"/>
        <v>0</v>
      </c>
      <c r="I62" s="261">
        <f t="shared" ca="1" si="5"/>
        <v>0</v>
      </c>
      <c r="J62" s="589">
        <f ca="1">100*I62/SUM(I$60:I$64)</f>
        <v>0</v>
      </c>
      <c r="K62" s="186"/>
      <c r="L62" s="186"/>
      <c r="M62" s="186"/>
      <c r="N62" s="186"/>
      <c r="O62" s="186"/>
      <c r="P62" s="186"/>
      <c r="Q62" s="186"/>
      <c r="R62" s="186"/>
      <c r="S62" s="499"/>
      <c r="T62" s="149"/>
      <c r="U62" s="149"/>
      <c r="V62" s="149"/>
      <c r="W62" s="166"/>
      <c r="X62" s="166"/>
      <c r="Y62" s="149"/>
      <c r="Z62" s="149"/>
      <c r="AA62" s="149"/>
      <c r="AB62" s="149"/>
      <c r="AC62" s="186"/>
      <c r="AD62" s="186"/>
      <c r="AE62" s="186"/>
      <c r="AF62" s="186"/>
      <c r="AG62" s="186"/>
      <c r="AH62" s="186"/>
      <c r="AI62" s="186"/>
      <c r="AJ62" s="186"/>
      <c r="AK62" s="186"/>
      <c r="AL62" s="186"/>
      <c r="AM62" s="186"/>
      <c r="AN62" s="18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46"/>
      <c r="BL62" s="146"/>
      <c r="BM62" s="166"/>
      <c r="BN62" s="166"/>
    </row>
    <row r="63" spans="1:66" ht="19.45" customHeight="1" x14ac:dyDescent="0.25">
      <c r="A63" s="166"/>
      <c r="B63" s="381"/>
      <c r="C63" s="85" t="s">
        <v>90</v>
      </c>
      <c r="D63" s="567">
        <f t="shared" ca="1" si="5"/>
        <v>1514.0808</v>
      </c>
      <c r="E63" s="242">
        <f t="shared" si="5"/>
        <v>0</v>
      </c>
      <c r="F63" s="242">
        <f t="shared" si="5"/>
        <v>0</v>
      </c>
      <c r="G63" s="242">
        <f t="shared" ca="1" si="4"/>
        <v>1514.0808</v>
      </c>
      <c r="H63" s="242">
        <f t="shared" ca="1" si="5"/>
        <v>210.28899999999999</v>
      </c>
      <c r="I63" s="261">
        <f t="shared" ca="1" si="5"/>
        <v>24.452209302325581</v>
      </c>
      <c r="J63" s="589">
        <f ca="1">100*I63/SUM(I$60:I$64)</f>
        <v>12.228456445601875</v>
      </c>
      <c r="K63" s="186"/>
      <c r="L63" s="186"/>
      <c r="M63" s="186"/>
      <c r="N63" s="186"/>
      <c r="O63" s="186"/>
      <c r="P63" s="186"/>
      <c r="Q63" s="186"/>
      <c r="R63" s="186"/>
      <c r="S63" s="499"/>
      <c r="T63" s="149"/>
      <c r="U63" s="149"/>
      <c r="V63" s="149"/>
      <c r="W63" s="166"/>
      <c r="X63" s="166"/>
      <c r="Y63" s="149"/>
      <c r="Z63" s="149"/>
      <c r="AA63" s="149"/>
      <c r="AB63" s="149"/>
      <c r="AC63" s="186"/>
      <c r="AD63" s="186"/>
      <c r="AE63" s="186"/>
      <c r="AF63" s="186"/>
      <c r="AG63" s="186"/>
      <c r="AH63" s="186"/>
      <c r="AI63" s="186"/>
      <c r="AJ63" s="186"/>
      <c r="AK63" s="186"/>
      <c r="AL63" s="186"/>
      <c r="AM63" s="186"/>
      <c r="AN63" s="18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46"/>
      <c r="BL63" s="146"/>
      <c r="BM63" s="166"/>
      <c r="BN63" s="166"/>
    </row>
    <row r="64" spans="1:66" ht="19.45" customHeight="1" thickBot="1" x14ac:dyDescent="0.3">
      <c r="A64" s="166"/>
      <c r="B64" s="381"/>
      <c r="C64" s="97" t="s">
        <v>91</v>
      </c>
      <c r="D64" s="590">
        <f t="shared" si="5"/>
        <v>0</v>
      </c>
      <c r="E64" s="591">
        <f t="shared" ca="1" si="5"/>
        <v>0</v>
      </c>
      <c r="F64" s="591">
        <f t="shared" si="5"/>
        <v>0</v>
      </c>
      <c r="G64" s="591">
        <f t="shared" ca="1" si="4"/>
        <v>0</v>
      </c>
      <c r="H64" s="591">
        <f t="shared" ca="1" si="5"/>
        <v>0</v>
      </c>
      <c r="I64" s="285">
        <f t="shared" ca="1" si="5"/>
        <v>0</v>
      </c>
      <c r="J64" s="592">
        <f ca="1">100*I64/SUM(I$60:I$64)</f>
        <v>0</v>
      </c>
      <c r="K64" s="186"/>
      <c r="L64" s="186"/>
      <c r="M64" s="186"/>
      <c r="N64" s="186"/>
      <c r="O64" s="186"/>
      <c r="P64" s="186"/>
      <c r="Q64" s="186"/>
      <c r="R64" s="186"/>
      <c r="S64" s="499"/>
      <c r="T64" s="149"/>
      <c r="U64" s="149"/>
      <c r="V64" s="149"/>
      <c r="W64" s="166"/>
      <c r="X64" s="166"/>
      <c r="Y64" s="149"/>
      <c r="Z64" s="149"/>
      <c r="AA64" s="149"/>
      <c r="AB64" s="149"/>
      <c r="AC64" s="186"/>
      <c r="AD64" s="186"/>
      <c r="AE64" s="186"/>
      <c r="AF64" s="186"/>
      <c r="AG64" s="186"/>
      <c r="AH64" s="186"/>
      <c r="AI64" s="186"/>
      <c r="AJ64" s="186"/>
      <c r="AK64" s="186"/>
      <c r="AL64" s="186"/>
      <c r="AM64" s="186"/>
      <c r="AN64" s="18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46"/>
      <c r="BL64" s="146"/>
      <c r="BM64" s="166"/>
      <c r="BN64" s="166"/>
    </row>
    <row r="65" spans="1:66" ht="19.45" customHeight="1" x14ac:dyDescent="0.25">
      <c r="A65" s="166"/>
      <c r="B65" s="381"/>
      <c r="C65" s="186"/>
      <c r="D65" s="186"/>
      <c r="E65" s="186"/>
      <c r="F65" s="186"/>
      <c r="G65" s="186"/>
      <c r="H65" s="186"/>
      <c r="I65" s="186"/>
      <c r="J65" s="186"/>
      <c r="K65" s="186"/>
      <c r="L65" s="186"/>
      <c r="M65" s="186"/>
      <c r="N65" s="186"/>
      <c r="O65" s="186"/>
      <c r="P65" s="186"/>
      <c r="Q65" s="186"/>
      <c r="R65" s="186"/>
      <c r="S65" s="499"/>
      <c r="T65" s="149"/>
      <c r="U65" s="149"/>
      <c r="V65" s="149"/>
      <c r="W65" s="166"/>
      <c r="X65" s="166"/>
      <c r="Y65" s="149"/>
      <c r="Z65" s="149"/>
      <c r="AA65" s="149"/>
      <c r="AB65" s="149"/>
      <c r="AC65" s="186"/>
      <c r="AD65" s="186"/>
      <c r="AE65" s="186"/>
      <c r="AF65" s="186"/>
      <c r="AG65" s="186"/>
      <c r="AH65" s="186"/>
      <c r="AI65" s="186"/>
      <c r="AJ65" s="186"/>
      <c r="AK65" s="186"/>
      <c r="AL65" s="186"/>
      <c r="AM65" s="186"/>
      <c r="AN65" s="18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46"/>
      <c r="BL65" s="146"/>
      <c r="BM65" s="146"/>
      <c r="BN65" s="146"/>
    </row>
    <row r="66" spans="1:66" ht="13.25" thickBot="1" x14ac:dyDescent="0.3">
      <c r="A66" s="166"/>
      <c r="B66" s="381"/>
      <c r="C66" s="186"/>
      <c r="D66" s="186"/>
      <c r="E66" s="186"/>
      <c r="F66" s="186"/>
      <c r="G66" s="186"/>
      <c r="H66" s="186"/>
      <c r="I66" s="186"/>
      <c r="J66" s="186"/>
      <c r="K66" s="186"/>
      <c r="L66" s="186"/>
      <c r="M66" s="186"/>
      <c r="N66" s="186"/>
      <c r="O66" s="186"/>
      <c r="P66" s="186"/>
      <c r="Q66" s="186"/>
      <c r="R66" s="186"/>
      <c r="S66" s="499"/>
      <c r="T66" s="149"/>
      <c r="U66" s="149"/>
      <c r="V66" s="149"/>
      <c r="W66" s="166"/>
      <c r="X66" s="166"/>
      <c r="Y66" s="149"/>
      <c r="Z66" s="149"/>
      <c r="AA66" s="149"/>
      <c r="AB66" s="149"/>
      <c r="AC66" s="186"/>
      <c r="AD66" s="186"/>
      <c r="AE66" s="186"/>
      <c r="AF66" s="186"/>
      <c r="AG66" s="186"/>
      <c r="AH66" s="186"/>
      <c r="AI66" s="186"/>
      <c r="AJ66" s="186"/>
      <c r="AK66" s="186"/>
      <c r="AL66" s="186"/>
      <c r="AM66" s="186"/>
      <c r="AN66" s="18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46"/>
      <c r="BL66" s="146"/>
      <c r="BM66" s="146"/>
      <c r="BN66" s="146"/>
    </row>
    <row r="67" spans="1:66" ht="23.2" customHeight="1" thickBot="1" x14ac:dyDescent="0.3">
      <c r="A67" s="253"/>
      <c r="B67" s="955"/>
      <c r="C67" s="1033" t="s">
        <v>33</v>
      </c>
      <c r="D67" s="956"/>
      <c r="E67" s="956"/>
      <c r="F67" s="956"/>
      <c r="G67" s="956"/>
      <c r="H67" s="956"/>
      <c r="I67" s="956"/>
      <c r="J67" s="956"/>
      <c r="K67" s="956"/>
      <c r="L67" s="956"/>
      <c r="M67" s="956"/>
      <c r="N67" s="956"/>
      <c r="O67" s="956"/>
      <c r="P67" s="956"/>
      <c r="Q67" s="956"/>
      <c r="R67" s="956"/>
      <c r="S67" s="957"/>
      <c r="T67" s="149"/>
      <c r="U67" s="149"/>
      <c r="V67" s="149"/>
      <c r="W67" s="166"/>
      <c r="X67" s="166"/>
      <c r="Y67" s="149"/>
      <c r="Z67" s="149"/>
      <c r="AA67" s="149"/>
      <c r="AB67" s="149"/>
      <c r="AC67" s="186"/>
      <c r="AD67" s="186"/>
      <c r="AE67" s="186"/>
      <c r="AF67" s="186"/>
      <c r="AG67" s="186"/>
      <c r="AH67" s="186"/>
      <c r="AI67" s="186"/>
      <c r="AJ67" s="186"/>
      <c r="AK67" s="186"/>
      <c r="AL67" s="186"/>
      <c r="AM67" s="186"/>
      <c r="AN67" s="18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46"/>
      <c r="BL67" s="146"/>
      <c r="BM67" s="146"/>
      <c r="BN67" s="146"/>
    </row>
    <row r="68" spans="1:66" ht="13.25" thickBot="1" x14ac:dyDescent="0.3">
      <c r="A68" s="253"/>
      <c r="B68" s="381"/>
      <c r="C68" s="186"/>
      <c r="D68" s="186"/>
      <c r="E68" s="186"/>
      <c r="F68" s="186"/>
      <c r="G68" s="186"/>
      <c r="H68" s="186"/>
      <c r="I68" s="186"/>
      <c r="J68" s="186"/>
      <c r="K68" s="186"/>
      <c r="L68" s="186"/>
      <c r="M68" s="186"/>
      <c r="N68" s="186"/>
      <c r="O68" s="186"/>
      <c r="P68" s="186"/>
      <c r="Q68" s="186"/>
      <c r="R68" s="186"/>
      <c r="S68" s="499"/>
      <c r="T68" s="149"/>
      <c r="U68" s="149"/>
      <c r="V68" s="149"/>
      <c r="W68" s="166"/>
      <c r="X68" s="166"/>
      <c r="Y68" s="149"/>
      <c r="Z68" s="149"/>
      <c r="AA68" s="149"/>
      <c r="AB68" s="149"/>
      <c r="AC68" s="186"/>
      <c r="AD68" s="186"/>
      <c r="AE68" s="186"/>
      <c r="AF68" s="186"/>
      <c r="AG68" s="186"/>
      <c r="AH68" s="186"/>
      <c r="AI68" s="186"/>
      <c r="AJ68" s="186"/>
      <c r="AK68" s="186"/>
      <c r="AL68" s="186"/>
      <c r="AM68" s="186"/>
      <c r="AN68" s="18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46"/>
      <c r="BL68" s="146"/>
      <c r="BM68" s="146"/>
      <c r="BN68" s="146"/>
    </row>
    <row r="69" spans="1:66" x14ac:dyDescent="0.25">
      <c r="A69" s="253"/>
      <c r="B69" s="381"/>
      <c r="C69" s="483"/>
      <c r="D69" s="346"/>
      <c r="E69" s="346"/>
      <c r="F69" s="346"/>
      <c r="G69" s="346"/>
      <c r="H69" s="347"/>
      <c r="I69" s="186"/>
      <c r="J69" s="186"/>
      <c r="K69" s="186"/>
      <c r="L69" s="186"/>
      <c r="M69" s="186"/>
      <c r="N69" s="186"/>
      <c r="O69" s="186"/>
      <c r="P69" s="186"/>
      <c r="Q69" s="186"/>
      <c r="R69" s="186"/>
      <c r="S69" s="499"/>
      <c r="T69" s="149"/>
      <c r="U69" s="149"/>
      <c r="V69" s="149"/>
      <c r="W69" s="166"/>
      <c r="X69" s="166"/>
      <c r="Y69" s="149"/>
      <c r="Z69" s="149"/>
      <c r="AA69" s="149"/>
      <c r="AB69" s="149"/>
      <c r="AC69" s="186"/>
      <c r="AD69" s="186"/>
      <c r="AE69" s="186"/>
      <c r="AF69" s="186"/>
      <c r="AG69" s="186"/>
      <c r="AH69" s="186"/>
      <c r="AI69" s="186"/>
      <c r="AJ69" s="186"/>
      <c r="AK69" s="186"/>
      <c r="AL69" s="186"/>
      <c r="AM69" s="186"/>
      <c r="AN69" s="18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46"/>
      <c r="BL69" s="146"/>
      <c r="BM69" s="146"/>
      <c r="BN69" s="146"/>
    </row>
    <row r="70" spans="1:66" ht="17.850000000000001" x14ac:dyDescent="0.35">
      <c r="A70" s="253"/>
      <c r="B70" s="381"/>
      <c r="C70" s="1032" t="s">
        <v>1201</v>
      </c>
      <c r="D70" s="186"/>
      <c r="E70" s="186"/>
      <c r="F70" s="186"/>
      <c r="G70" s="186"/>
      <c r="H70" s="499"/>
      <c r="I70" s="186"/>
      <c r="J70" s="186"/>
      <c r="K70" s="186"/>
      <c r="L70" s="186"/>
      <c r="M70" s="186"/>
      <c r="N70" s="186"/>
      <c r="O70" s="186"/>
      <c r="P70" s="186"/>
      <c r="Q70" s="186"/>
      <c r="R70" s="186"/>
      <c r="S70" s="499"/>
      <c r="T70" s="149"/>
      <c r="U70" s="149"/>
      <c r="V70" s="149"/>
      <c r="W70" s="166"/>
      <c r="X70" s="166"/>
      <c r="Y70" s="149"/>
      <c r="Z70" s="149"/>
      <c r="AA70" s="149"/>
      <c r="AB70" s="149"/>
      <c r="AC70" s="186"/>
      <c r="AD70" s="186"/>
      <c r="AE70" s="186"/>
      <c r="AF70" s="186"/>
      <c r="AG70" s="186"/>
      <c r="AH70" s="186"/>
      <c r="AI70" s="186"/>
      <c r="AJ70" s="186"/>
      <c r="AK70" s="186"/>
      <c r="AL70" s="186"/>
      <c r="AM70" s="186"/>
      <c r="AN70" s="18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46"/>
      <c r="BL70" s="146"/>
      <c r="BM70" s="146"/>
      <c r="BN70" s="146"/>
    </row>
    <row r="71" spans="1:66" ht="21.75" customHeight="1" x14ac:dyDescent="0.25">
      <c r="A71" s="253"/>
      <c r="B71" s="381"/>
      <c r="C71" s="381"/>
      <c r="D71" s="186"/>
      <c r="E71" s="186"/>
      <c r="F71" s="186"/>
      <c r="G71" s="186"/>
      <c r="H71" s="499"/>
      <c r="I71" s="186"/>
      <c r="J71" s="186"/>
      <c r="K71" s="186"/>
      <c r="L71" s="186"/>
      <c r="M71" s="186"/>
      <c r="N71" s="186"/>
      <c r="O71" s="186"/>
      <c r="P71" s="186"/>
      <c r="Q71" s="186"/>
      <c r="R71" s="186"/>
      <c r="S71" s="499"/>
      <c r="T71" s="149"/>
      <c r="U71" s="149"/>
      <c r="V71" s="149"/>
      <c r="W71" s="166"/>
      <c r="X71" s="166"/>
      <c r="Y71" s="149"/>
      <c r="Z71" s="149"/>
      <c r="AA71" s="149"/>
      <c r="AB71" s="149"/>
      <c r="AC71" s="186"/>
      <c r="AD71" s="186"/>
      <c r="AE71" s="186"/>
      <c r="AF71" s="186"/>
      <c r="AG71" s="186"/>
      <c r="AH71" s="186"/>
      <c r="AI71" s="186"/>
      <c r="AJ71" s="186"/>
      <c r="AK71" s="186"/>
      <c r="AL71" s="186"/>
      <c r="AM71" s="186"/>
      <c r="AN71" s="18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46"/>
      <c r="BL71" s="146"/>
      <c r="BM71" s="146"/>
      <c r="BN71" s="146"/>
    </row>
    <row r="72" spans="1:66" ht="21.75" customHeight="1" x14ac:dyDescent="0.25">
      <c r="A72" s="253"/>
      <c r="B72" s="381"/>
      <c r="C72" s="1114" t="s">
        <v>1202</v>
      </c>
      <c r="D72" s="1115"/>
      <c r="E72" s="1115"/>
      <c r="F72" s="1115"/>
      <c r="G72" s="1115"/>
      <c r="H72" s="1116"/>
      <c r="I72" s="186"/>
      <c r="J72" s="186"/>
      <c r="K72" s="186"/>
      <c r="L72" s="186"/>
      <c r="M72" s="186"/>
      <c r="N72" s="186"/>
      <c r="O72" s="186"/>
      <c r="P72" s="186"/>
      <c r="Q72" s="186"/>
      <c r="R72" s="186"/>
      <c r="S72" s="499"/>
      <c r="T72" s="149"/>
      <c r="U72" s="149"/>
      <c r="V72" s="149"/>
      <c r="W72" s="166"/>
      <c r="X72" s="166"/>
      <c r="Y72" s="149"/>
      <c r="Z72" s="149"/>
      <c r="AA72" s="149"/>
      <c r="AB72" s="149"/>
      <c r="AC72" s="186"/>
      <c r="AD72" s="186"/>
      <c r="AE72" s="186"/>
      <c r="AF72" s="186"/>
      <c r="AG72" s="186"/>
      <c r="AH72" s="186"/>
      <c r="AI72" s="186"/>
      <c r="AJ72" s="186"/>
      <c r="AK72" s="186"/>
      <c r="AL72" s="186"/>
      <c r="AM72" s="186"/>
      <c r="AN72" s="18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46"/>
      <c r="BL72" s="146"/>
      <c r="BM72" s="146"/>
      <c r="BN72" s="146"/>
    </row>
    <row r="73" spans="1:66" ht="21.75" customHeight="1" x14ac:dyDescent="0.25">
      <c r="A73" s="253"/>
      <c r="B73" s="381"/>
      <c r="C73" s="1114" t="s">
        <v>1203</v>
      </c>
      <c r="D73" s="1115"/>
      <c r="E73" s="1115"/>
      <c r="F73" s="1115"/>
      <c r="G73" s="1115"/>
      <c r="H73" s="1116"/>
      <c r="I73" s="186"/>
      <c r="J73" s="186"/>
      <c r="K73" s="186"/>
      <c r="L73" s="186"/>
      <c r="M73" s="186"/>
      <c r="N73" s="186"/>
      <c r="O73" s="186"/>
      <c r="P73" s="186"/>
      <c r="Q73" s="186"/>
      <c r="R73" s="186"/>
      <c r="S73" s="499"/>
      <c r="T73" s="149"/>
      <c r="U73" s="149"/>
      <c r="V73" s="149"/>
      <c r="W73" s="166"/>
      <c r="X73" s="166"/>
      <c r="Y73" s="149"/>
      <c r="Z73" s="149"/>
      <c r="AA73" s="149"/>
      <c r="AB73" s="149"/>
      <c r="AC73" s="186"/>
      <c r="AD73" s="186"/>
      <c r="AE73" s="186"/>
      <c r="AF73" s="186"/>
      <c r="AG73" s="186"/>
      <c r="AH73" s="186"/>
      <c r="AI73" s="186"/>
      <c r="AJ73" s="186"/>
      <c r="AK73" s="186"/>
      <c r="AL73" s="186"/>
      <c r="AM73" s="186"/>
      <c r="AN73" s="18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46"/>
      <c r="BL73" s="146"/>
      <c r="BM73" s="146"/>
      <c r="BN73" s="146"/>
    </row>
    <row r="74" spans="1:66" ht="21.75" customHeight="1" x14ac:dyDescent="0.25">
      <c r="A74" s="253"/>
      <c r="B74" s="381"/>
      <c r="C74" s="1114" t="str">
        <f ca="1">"3.  " &amp; IF(D82&gt;0,AJ95,IF(D82&lt;0,AK95,AL95))</f>
        <v>3.  in your case this is zero</v>
      </c>
      <c r="D74" s="1115"/>
      <c r="E74" s="1115"/>
      <c r="F74" s="1115"/>
      <c r="G74" s="1115"/>
      <c r="H74" s="1116"/>
      <c r="I74" s="186"/>
      <c r="J74" s="186"/>
      <c r="K74" s="186"/>
      <c r="L74" s="186"/>
      <c r="M74" s="186"/>
      <c r="N74" s="186"/>
      <c r="O74" s="186"/>
      <c r="P74" s="186"/>
      <c r="Q74" s="186"/>
      <c r="R74" s="186"/>
      <c r="S74" s="499"/>
      <c r="T74" s="149"/>
      <c r="U74" s="149"/>
      <c r="V74" s="149"/>
      <c r="W74" s="166"/>
      <c r="X74" s="166"/>
      <c r="Y74" s="149"/>
      <c r="Z74" s="149"/>
      <c r="AA74" s="149"/>
      <c r="AB74" s="149"/>
      <c r="AC74" s="186"/>
      <c r="AD74" s="186"/>
      <c r="AE74" s="186"/>
      <c r="AF74" s="186"/>
      <c r="AG74" s="186"/>
      <c r="AH74" s="186"/>
      <c r="AI74" s="186"/>
      <c r="AJ74" s="186"/>
      <c r="AK74" s="186"/>
      <c r="AL74" s="186"/>
      <c r="AM74" s="186"/>
      <c r="AN74" s="18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46"/>
      <c r="BL74" s="146"/>
      <c r="BM74" s="146"/>
      <c r="BN74" s="146"/>
    </row>
    <row r="75" spans="1:66" ht="26.25" customHeight="1" x14ac:dyDescent="0.25">
      <c r="A75" s="253"/>
      <c r="B75" s="381"/>
      <c r="C75" s="1114" t="s">
        <v>831</v>
      </c>
      <c r="D75" s="1115"/>
      <c r="E75" s="1115"/>
      <c r="F75" s="1115"/>
      <c r="G75" s="1115"/>
      <c r="H75" s="1116"/>
      <c r="I75" s="186"/>
      <c r="J75" s="186"/>
      <c r="K75" s="186"/>
      <c r="L75" s="186"/>
      <c r="M75" s="186"/>
      <c r="N75" s="186"/>
      <c r="O75" s="186"/>
      <c r="P75" s="186"/>
      <c r="Q75" s="186"/>
      <c r="R75" s="186"/>
      <c r="S75" s="499"/>
      <c r="T75" s="149"/>
      <c r="U75" s="149"/>
      <c r="V75" s="166"/>
      <c r="W75" s="166"/>
      <c r="X75" s="166"/>
      <c r="Y75" s="149"/>
      <c r="Z75" s="149"/>
      <c r="AA75" s="149"/>
      <c r="AB75" s="149"/>
      <c r="AC75" s="186"/>
      <c r="AD75" s="186"/>
      <c r="AE75" s="186"/>
      <c r="AF75" s="186"/>
      <c r="AG75" s="186"/>
      <c r="AH75" s="186"/>
      <c r="AI75" s="186"/>
      <c r="AJ75" s="186"/>
      <c r="AK75" s="186"/>
      <c r="AL75" s="186"/>
      <c r="AM75" s="186"/>
      <c r="AN75" s="18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46"/>
      <c r="BL75" s="146"/>
      <c r="BM75" s="146"/>
      <c r="BN75" s="146"/>
    </row>
    <row r="76" spans="1:66" ht="14.25" customHeight="1" x14ac:dyDescent="0.25">
      <c r="A76" s="253"/>
      <c r="B76" s="381"/>
      <c r="C76" s="1114" t="str">
        <f ca="1">"5.  " &amp; IF(D83&gt;0,AJ96,IF(D83&lt;0,AK96,AL96))</f>
        <v>5.  in your case this is zero</v>
      </c>
      <c r="D76" s="1115"/>
      <c r="E76" s="1115"/>
      <c r="F76" s="1115"/>
      <c r="G76" s="1115"/>
      <c r="H76" s="1116"/>
      <c r="I76" s="186"/>
      <c r="J76" s="186"/>
      <c r="K76" s="186"/>
      <c r="L76" s="186"/>
      <c r="M76" s="186"/>
      <c r="N76" s="186"/>
      <c r="O76" s="186"/>
      <c r="P76" s="186"/>
      <c r="Q76" s="186"/>
      <c r="R76" s="186"/>
      <c r="S76" s="499"/>
      <c r="T76" s="166"/>
      <c r="U76" s="166"/>
      <c r="V76" s="166"/>
      <c r="W76" s="166"/>
      <c r="X76" s="166"/>
      <c r="Y76" s="149"/>
      <c r="Z76" s="149"/>
      <c r="AA76" s="149"/>
      <c r="AB76" s="149"/>
      <c r="AC76" s="186"/>
      <c r="AD76" s="186"/>
      <c r="AE76" s="186"/>
      <c r="AF76" s="186"/>
      <c r="AG76" s="186"/>
      <c r="AH76" s="186"/>
      <c r="AI76" s="186"/>
      <c r="AJ76" s="186"/>
      <c r="AK76" s="186"/>
      <c r="AL76" s="186"/>
      <c r="AM76" s="186"/>
      <c r="AN76" s="18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46"/>
      <c r="BL76" s="146"/>
      <c r="BM76" s="146"/>
      <c r="BN76" s="146"/>
    </row>
    <row r="77" spans="1:66" x14ac:dyDescent="0.25">
      <c r="A77" s="253"/>
      <c r="B77" s="381"/>
      <c r="C77" s="1114" t="str">
        <f ca="1">"6.  "  &amp; IF(E82&gt;0,AN95,IF(E82&lt;0,AO95,""))</f>
        <v xml:space="preserve">6.  </v>
      </c>
      <c r="D77" s="1115"/>
      <c r="E77" s="1115"/>
      <c r="F77" s="1115"/>
      <c r="G77" s="1115"/>
      <c r="H77" s="1116"/>
      <c r="I77" s="186"/>
      <c r="J77" s="186"/>
      <c r="K77" s="186"/>
      <c r="L77" s="186"/>
      <c r="M77" s="186"/>
      <c r="N77" s="186"/>
      <c r="O77" s="186"/>
      <c r="P77" s="186"/>
      <c r="Q77" s="186"/>
      <c r="R77" s="186"/>
      <c r="S77" s="499"/>
      <c r="T77" s="166"/>
      <c r="U77" s="166"/>
      <c r="V77" s="166"/>
      <c r="W77" s="166"/>
      <c r="X77" s="166"/>
      <c r="Y77" s="149"/>
      <c r="Z77" s="149"/>
      <c r="AA77" s="149"/>
      <c r="AB77" s="149"/>
      <c r="AC77" s="186"/>
      <c r="AD77" s="186"/>
      <c r="AE77" s="186"/>
      <c r="AF77" s="186"/>
      <c r="AG77" s="186"/>
      <c r="AH77" s="186"/>
      <c r="AI77" s="186"/>
      <c r="AJ77" s="186"/>
      <c r="AK77" s="186"/>
      <c r="AL77" s="186"/>
      <c r="AM77" s="186"/>
      <c r="AN77" s="18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46"/>
      <c r="BL77" s="146"/>
      <c r="BM77" s="146"/>
      <c r="BN77" s="146"/>
    </row>
    <row r="78" spans="1:66" x14ac:dyDescent="0.25">
      <c r="A78" s="253"/>
      <c r="B78" s="381"/>
      <c r="C78" s="1114"/>
      <c r="D78" s="1115"/>
      <c r="E78" s="1115"/>
      <c r="F78" s="1115"/>
      <c r="G78" s="1115"/>
      <c r="H78" s="1116"/>
      <c r="I78" s="186"/>
      <c r="J78" s="186"/>
      <c r="K78" s="186"/>
      <c r="L78" s="186"/>
      <c r="M78" s="186"/>
      <c r="N78" s="186"/>
      <c r="O78" s="186"/>
      <c r="P78" s="186"/>
      <c r="Q78" s="186"/>
      <c r="R78" s="186"/>
      <c r="S78" s="499"/>
      <c r="T78" s="166"/>
      <c r="U78" s="166"/>
      <c r="V78" s="166"/>
      <c r="W78" s="166"/>
      <c r="X78" s="166"/>
      <c r="Y78" s="149"/>
      <c r="Z78" s="149"/>
      <c r="AA78" s="149"/>
      <c r="AB78" s="149"/>
      <c r="AC78" s="186"/>
      <c r="AD78" s="186"/>
      <c r="AE78" s="186"/>
      <c r="AF78" s="186"/>
      <c r="AG78" s="186"/>
      <c r="AH78" s="186"/>
      <c r="AI78" s="186"/>
      <c r="AJ78" s="186"/>
      <c r="AK78" s="186"/>
      <c r="AL78" s="186"/>
      <c r="AM78" s="186"/>
      <c r="AN78" s="18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46"/>
      <c r="BL78" s="146"/>
      <c r="BM78" s="146"/>
      <c r="BN78" s="146"/>
    </row>
    <row r="79" spans="1:66" ht="63.1" customHeight="1" thickBot="1" x14ac:dyDescent="0.3">
      <c r="A79" s="253"/>
      <c r="B79" s="381"/>
      <c r="C79" s="1117" t="str">
        <f ca="1">"7.  " &amp; IF(E83&gt;0,AN96,IF(E83&lt;0,AO96,""))</f>
        <v xml:space="preserve">7.  </v>
      </c>
      <c r="D79" s="1118"/>
      <c r="E79" s="1118"/>
      <c r="F79" s="1118"/>
      <c r="G79" s="1118"/>
      <c r="H79" s="1119"/>
      <c r="I79" s="186"/>
      <c r="J79" s="186"/>
      <c r="K79" s="186"/>
      <c r="L79" s="186"/>
      <c r="M79" s="186"/>
      <c r="N79" s="186"/>
      <c r="O79" s="186"/>
      <c r="P79" s="186"/>
      <c r="Q79" s="186"/>
      <c r="R79" s="186"/>
      <c r="S79" s="499"/>
      <c r="T79" s="166"/>
      <c r="U79" s="166"/>
      <c r="V79" s="166"/>
      <c r="W79" s="166"/>
      <c r="X79" s="166"/>
      <c r="Y79" s="149"/>
      <c r="Z79" s="149"/>
      <c r="AA79" s="149"/>
      <c r="AB79" s="149"/>
      <c r="AC79" s="186"/>
      <c r="AD79" s="186"/>
      <c r="AE79" s="186"/>
      <c r="AF79" s="186"/>
      <c r="AG79" s="186"/>
      <c r="AH79" s="186"/>
      <c r="AI79" s="186"/>
      <c r="AJ79" s="186"/>
      <c r="AK79" s="186"/>
      <c r="AL79" s="186"/>
      <c r="AM79" s="186"/>
      <c r="AN79" s="18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46"/>
      <c r="BL79" s="146"/>
      <c r="BM79" s="146"/>
      <c r="BN79" s="146"/>
    </row>
    <row r="80" spans="1:66" ht="13.25" thickBot="1" x14ac:dyDescent="0.3">
      <c r="A80" s="253"/>
      <c r="B80" s="381"/>
      <c r="C80" s="186"/>
      <c r="D80" s="186"/>
      <c r="E80" s="186"/>
      <c r="F80" s="186"/>
      <c r="G80" s="186"/>
      <c r="H80" s="186"/>
      <c r="I80" s="186"/>
      <c r="J80" s="186"/>
      <c r="K80" s="186"/>
      <c r="L80" s="186"/>
      <c r="M80" s="186"/>
      <c r="N80" s="186"/>
      <c r="O80" s="186"/>
      <c r="P80" s="186"/>
      <c r="Q80" s="186"/>
      <c r="R80" s="186"/>
      <c r="S80" s="499"/>
      <c r="T80" s="166"/>
      <c r="U80" s="166"/>
      <c r="V80" s="166"/>
      <c r="W80" s="166"/>
      <c r="X80" s="166"/>
      <c r="Y80" s="149"/>
      <c r="Z80" s="149"/>
      <c r="AA80" s="149"/>
      <c r="AB80" s="149"/>
      <c r="AC80" s="186"/>
      <c r="AD80" s="186"/>
      <c r="AE80" s="186"/>
      <c r="AF80" s="186"/>
      <c r="AG80" s="186"/>
      <c r="AH80" s="186"/>
      <c r="AI80" s="186"/>
      <c r="AJ80" s="186"/>
      <c r="AK80" s="186"/>
      <c r="AL80" s="186"/>
      <c r="AM80" s="186"/>
      <c r="AN80" s="18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46"/>
      <c r="BL80" s="146"/>
      <c r="BM80" s="146"/>
      <c r="BN80" s="146"/>
    </row>
    <row r="81" spans="1:66" ht="38.6" thickBot="1" x14ac:dyDescent="0.3">
      <c r="A81" s="253"/>
      <c r="B81" s="381"/>
      <c r="C81" s="483"/>
      <c r="D81" s="104" t="str">
        <f>'3.Sequestration'!B37 &amp; ", " &amp; D5</f>
        <v>Annual totals, kg CO2 eq</v>
      </c>
      <c r="E81" s="2516" t="str">
        <f>"Cumulative, " &amp; D5</f>
        <v>Cumulative, kg CO2 eq</v>
      </c>
      <c r="F81" s="2517"/>
      <c r="G81" s="186"/>
      <c r="H81" s="186"/>
      <c r="I81" s="186"/>
      <c r="J81" s="186"/>
      <c r="K81" s="186"/>
      <c r="L81" s="186"/>
      <c r="M81" s="186"/>
      <c r="N81" s="186"/>
      <c r="O81" s="186"/>
      <c r="P81" s="186"/>
      <c r="Q81" s="186"/>
      <c r="R81" s="186"/>
      <c r="S81" s="499"/>
      <c r="T81" s="166"/>
      <c r="U81" s="166"/>
      <c r="V81" s="166"/>
      <c r="W81" s="166"/>
      <c r="X81" s="166"/>
      <c r="Y81" s="149"/>
      <c r="Z81" s="149"/>
      <c r="AA81" s="149"/>
      <c r="AB81" s="149"/>
      <c r="AC81" s="186"/>
      <c r="AD81" s="186"/>
      <c r="AE81" s="186"/>
      <c r="AF81" s="186"/>
      <c r="AG81" s="186"/>
      <c r="AH81" s="186"/>
      <c r="AI81" s="186"/>
      <c r="AJ81" s="186"/>
      <c r="AK81" s="186"/>
      <c r="AL81" s="186"/>
      <c r="AM81" s="186"/>
      <c r="AN81" s="18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46"/>
      <c r="BL81" s="146"/>
      <c r="BM81" s="146"/>
      <c r="BN81" s="146"/>
    </row>
    <row r="82" spans="1:66" x14ac:dyDescent="0.25">
      <c r="A82" s="253"/>
      <c r="B82" s="381"/>
      <c r="C82" s="96" t="str">
        <f>'3.Sequestration'!B38</f>
        <v>Above ground biomass</v>
      </c>
      <c r="D82" s="623">
        <f ca="1">ROUND('3.Sequestration'!T40,2)*SUMIF(AK$4:AK$7,D$5,AL$4:AL$7)</f>
        <v>0</v>
      </c>
      <c r="E82" s="2518">
        <f ca="1">ROUND('3.Sequestration'!U40,2)*SUMIF(AK$4:AK$7,D$5,AL$4:AL$7)</f>
        <v>0</v>
      </c>
      <c r="F82" s="2519"/>
      <c r="G82" s="186"/>
      <c r="H82" s="186"/>
      <c r="I82" s="186"/>
      <c r="J82" s="186"/>
      <c r="K82" s="186"/>
      <c r="L82" s="186"/>
      <c r="M82" s="186"/>
      <c r="N82" s="186"/>
      <c r="O82" s="186"/>
      <c r="P82" s="186"/>
      <c r="Q82" s="186"/>
      <c r="R82" s="186"/>
      <c r="S82" s="499"/>
      <c r="T82" s="166"/>
      <c r="U82" s="166"/>
      <c r="V82" s="166"/>
      <c r="W82" s="166"/>
      <c r="X82" s="166"/>
      <c r="Y82" s="149"/>
      <c r="Z82" s="149"/>
      <c r="AA82" s="149"/>
      <c r="AB82" s="149"/>
      <c r="AC82" s="186"/>
      <c r="AD82" s="186"/>
      <c r="AE82" s="186"/>
      <c r="AF82" s="186"/>
      <c r="AG82" s="186"/>
      <c r="AH82" s="186"/>
      <c r="AI82" s="186"/>
      <c r="AJ82" s="186"/>
      <c r="AK82" s="186"/>
      <c r="AL82" s="186"/>
      <c r="AM82" s="186"/>
      <c r="AN82" s="18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46"/>
      <c r="BL82" s="146"/>
      <c r="BM82" s="146"/>
      <c r="BN82" s="146"/>
    </row>
    <row r="83" spans="1:66" x14ac:dyDescent="0.25">
      <c r="A83" s="166"/>
      <c r="B83" s="381"/>
      <c r="C83" s="85" t="str">
        <f>'3.Sequestration'!B39</f>
        <v>Below ground biomass</v>
      </c>
      <c r="D83" s="624">
        <f ca="1">ROUND('3.Sequestration'!T41,2)*SUMIF(AK$4:AK$7,D$5,AL$4:AL$7)</f>
        <v>0</v>
      </c>
      <c r="E83" s="2520">
        <f ca="1">ROUND('3.Sequestration'!U41,2)*SUMIF(AK$4:AK$7,D$5,AL$4:AL$7)</f>
        <v>0</v>
      </c>
      <c r="F83" s="2521"/>
      <c r="G83" s="186"/>
      <c r="H83" s="186"/>
      <c r="I83" s="186"/>
      <c r="J83" s="186"/>
      <c r="K83" s="186"/>
      <c r="L83" s="186"/>
      <c r="M83" s="186"/>
      <c r="N83" s="186"/>
      <c r="O83" s="186"/>
      <c r="P83" s="186"/>
      <c r="Q83" s="186"/>
      <c r="R83" s="186"/>
      <c r="S83" s="499"/>
      <c r="T83" s="166"/>
      <c r="U83" s="166"/>
      <c r="V83" s="166"/>
      <c r="W83" s="166"/>
      <c r="X83" s="166"/>
      <c r="Y83" s="149"/>
      <c r="Z83" s="149"/>
      <c r="AA83" s="149"/>
      <c r="AB83" s="149"/>
      <c r="AC83" s="186"/>
      <c r="AD83" s="186"/>
      <c r="AE83" s="186"/>
      <c r="AF83" s="186"/>
      <c r="AG83" s="186"/>
      <c r="AH83" s="186"/>
      <c r="AI83" s="186"/>
      <c r="AJ83" s="186"/>
      <c r="AK83" s="186"/>
      <c r="AL83" s="186"/>
      <c r="AM83" s="186"/>
      <c r="AN83" s="18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46"/>
      <c r="BL83" s="146"/>
      <c r="BM83" s="146"/>
      <c r="BN83" s="146"/>
    </row>
    <row r="84" spans="1:66" x14ac:dyDescent="0.25">
      <c r="A84" s="166"/>
      <c r="B84" s="381"/>
      <c r="C84" s="85" t="str">
        <f>'3.Sequestration'!B40</f>
        <v>Soil C</v>
      </c>
      <c r="D84" s="624">
        <f ca="1">ROUND('3.Sequestration'!T42,2)*SUMIF(AK$4:AK$7,D$5,AL$4:AL$7)</f>
        <v>-9266.4</v>
      </c>
      <c r="E84" s="2520">
        <f ca="1">ROUND('3.Sequestration'!U42,2)*SUMIF(AK$4:AK$7,D$5,AL$4:AL$7)</f>
        <v>-9266.4</v>
      </c>
      <c r="F84" s="2521"/>
      <c r="G84" s="186"/>
      <c r="H84" s="186"/>
      <c r="I84" s="186"/>
      <c r="J84" s="186"/>
      <c r="K84" s="186"/>
      <c r="L84" s="186"/>
      <c r="M84" s="186"/>
      <c r="N84" s="186"/>
      <c r="O84" s="186"/>
      <c r="P84" s="186"/>
      <c r="Q84" s="186"/>
      <c r="R84" s="186"/>
      <c r="S84" s="499"/>
      <c r="T84" s="271"/>
      <c r="U84" s="271"/>
      <c r="V84" s="166"/>
      <c r="W84" s="166"/>
      <c r="X84" s="166"/>
      <c r="Y84" s="149"/>
      <c r="Z84" s="149"/>
      <c r="AA84" s="149"/>
      <c r="AB84" s="149"/>
      <c r="AC84" s="186"/>
      <c r="AD84" s="186"/>
      <c r="AE84" s="186"/>
      <c r="AF84" s="186"/>
      <c r="AG84" s="186"/>
      <c r="AH84" s="186"/>
      <c r="AI84" s="186"/>
      <c r="AJ84" s="186"/>
      <c r="AK84" s="186"/>
      <c r="AL84" s="186"/>
      <c r="AM84" s="186"/>
      <c r="AN84" s="18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46"/>
      <c r="BL84" s="146"/>
      <c r="BM84" s="146"/>
      <c r="BN84" s="146"/>
    </row>
    <row r="85" spans="1:66" ht="15" customHeight="1" thickBot="1" x14ac:dyDescent="0.3">
      <c r="A85" s="166"/>
      <c r="B85" s="381"/>
      <c r="C85" s="97"/>
      <c r="D85" s="596"/>
      <c r="E85" s="2514"/>
      <c r="F85" s="2515"/>
      <c r="G85" s="186"/>
      <c r="H85" s="186"/>
      <c r="I85" s="186"/>
      <c r="J85" s="186"/>
      <c r="K85" s="186"/>
      <c r="L85" s="186"/>
      <c r="M85" s="186"/>
      <c r="N85" s="186"/>
      <c r="O85" s="186"/>
      <c r="P85" s="186"/>
      <c r="Q85" s="186"/>
      <c r="R85" s="186"/>
      <c r="S85" s="499"/>
      <c r="T85" s="149"/>
      <c r="U85" s="149"/>
      <c r="V85" s="166"/>
      <c r="W85" s="166"/>
      <c r="X85" s="166"/>
      <c r="Y85" s="149"/>
      <c r="Z85" s="149"/>
      <c r="AA85" s="149"/>
      <c r="AB85" s="149"/>
      <c r="AC85" s="186"/>
      <c r="AD85" s="186"/>
      <c r="AE85" s="186"/>
      <c r="AF85" s="186"/>
      <c r="AG85" s="186"/>
      <c r="AH85" s="186"/>
      <c r="AI85" s="186"/>
      <c r="AJ85" s="186"/>
      <c r="AK85" s="186"/>
      <c r="AL85" s="186"/>
      <c r="AM85" s="186"/>
      <c r="AN85" s="18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46"/>
      <c r="BL85" s="146"/>
      <c r="BM85" s="146"/>
      <c r="BN85" s="146"/>
    </row>
    <row r="86" spans="1:66" ht="19.45" customHeight="1" thickBot="1" x14ac:dyDescent="0.3">
      <c r="A86" s="166"/>
      <c r="B86" s="381"/>
      <c r="C86" s="97" t="str">
        <f>'3.Sequestration'!B42</f>
        <v>Total</v>
      </c>
      <c r="D86" s="596">
        <f ca="1">'3.Sequestration'!T44*SUMIF(AK$4:AK$7,D$5,AL$4:AL$7)</f>
        <v>-9266.3999999998941</v>
      </c>
      <c r="E86" s="2514">
        <f ca="1">'3.Sequestration'!U44*SUMIF(AK$4:AK$7,D$5,AL$4:AL$7)</f>
        <v>-9266.3999999998941</v>
      </c>
      <c r="F86" s="2515"/>
      <c r="G86" s="186"/>
      <c r="H86" s="186"/>
      <c r="I86" s="186"/>
      <c r="J86" s="186"/>
      <c r="K86" s="186"/>
      <c r="L86" s="186"/>
      <c r="M86" s="186"/>
      <c r="N86" s="186"/>
      <c r="O86" s="186"/>
      <c r="P86" s="186"/>
      <c r="Q86" s="186"/>
      <c r="R86" s="186"/>
      <c r="S86" s="499"/>
      <c r="T86" s="149"/>
      <c r="U86" s="149"/>
      <c r="V86" s="166"/>
      <c r="W86" s="166"/>
      <c r="X86" s="166"/>
      <c r="Y86" s="149"/>
      <c r="Z86" s="149"/>
      <c r="AA86" s="149"/>
      <c r="AB86" s="149"/>
      <c r="AC86" s="149"/>
      <c r="AD86" s="149"/>
      <c r="AE86" s="149"/>
      <c r="AF86" s="149"/>
      <c r="AG86" s="149"/>
      <c r="AH86" s="149"/>
      <c r="AI86" s="149"/>
      <c r="AJ86" s="149"/>
      <c r="AK86" s="149"/>
      <c r="AL86" s="149"/>
      <c r="AM86" s="149"/>
      <c r="AN86" s="149"/>
      <c r="AO86" s="166"/>
      <c r="AP86" s="166"/>
      <c r="AQ86" s="166"/>
      <c r="AR86" s="166"/>
      <c r="AS86" s="166"/>
      <c r="AT86" s="166"/>
      <c r="AU86" s="166"/>
      <c r="AV86" s="166"/>
      <c r="AW86" s="166"/>
      <c r="AX86" s="166"/>
      <c r="AY86" s="166"/>
      <c r="AZ86" s="166"/>
      <c r="BA86" s="166"/>
      <c r="BB86" s="166"/>
      <c r="BC86" s="166"/>
      <c r="BD86" s="166"/>
      <c r="BE86" s="166"/>
      <c r="BF86" s="166"/>
      <c r="BG86" s="166"/>
      <c r="BH86" s="166"/>
      <c r="BI86" s="166"/>
      <c r="BJ86" s="166"/>
      <c r="BK86" s="166"/>
      <c r="BL86" s="166"/>
      <c r="BM86" s="146"/>
      <c r="BN86" s="146"/>
    </row>
    <row r="87" spans="1:66" ht="0.75" customHeight="1" x14ac:dyDescent="0.25">
      <c r="A87" s="166"/>
      <c r="B87" s="381"/>
      <c r="C87" s="186"/>
      <c r="D87" s="186"/>
      <c r="E87" s="186"/>
      <c r="F87" s="186"/>
      <c r="G87" s="186"/>
      <c r="H87" s="186"/>
      <c r="I87" s="186"/>
      <c r="J87" s="186"/>
      <c r="K87" s="186"/>
      <c r="L87" s="186"/>
      <c r="M87" s="186"/>
      <c r="N87" s="186"/>
      <c r="O87" s="186"/>
      <c r="P87" s="186"/>
      <c r="Q87" s="186"/>
      <c r="R87" s="186"/>
      <c r="S87" s="499"/>
      <c r="T87" s="149"/>
      <c r="U87" s="149"/>
      <c r="V87" s="166"/>
      <c r="W87" s="166"/>
      <c r="X87" s="166"/>
      <c r="Y87" s="4"/>
      <c r="Z87" s="149"/>
      <c r="AA87" s="149"/>
      <c r="AB87" s="149"/>
      <c r="AC87" s="149"/>
      <c r="AD87" s="149"/>
      <c r="AE87" s="149"/>
      <c r="AF87" s="149"/>
      <c r="AG87" s="149"/>
      <c r="AH87" s="149"/>
      <c r="AI87" s="149"/>
      <c r="AJ87" s="149"/>
      <c r="AK87" s="149"/>
      <c r="AL87" s="149"/>
      <c r="AM87" s="149"/>
      <c r="AN87" s="149"/>
      <c r="AO87" s="166"/>
      <c r="AP87" s="166"/>
      <c r="AQ87" s="166"/>
      <c r="AR87" s="166"/>
      <c r="AS87" s="166"/>
      <c r="AT87" s="166"/>
      <c r="AU87" s="166"/>
      <c r="AV87" s="166"/>
      <c r="AW87" s="166"/>
      <c r="AX87" s="166"/>
      <c r="AY87" s="166"/>
      <c r="AZ87" s="166"/>
      <c r="BA87" s="166"/>
      <c r="BB87" s="166"/>
      <c r="BC87" s="166"/>
      <c r="BD87" s="166"/>
      <c r="BE87" s="166"/>
      <c r="BF87" s="166"/>
      <c r="BG87" s="166"/>
      <c r="BH87" s="166"/>
      <c r="BI87" s="166"/>
      <c r="BJ87" s="166"/>
      <c r="BK87" s="166"/>
      <c r="BL87" s="166"/>
      <c r="BM87" s="146"/>
      <c r="BN87" s="146"/>
    </row>
    <row r="88" spans="1:66" ht="0.75" customHeight="1" x14ac:dyDescent="0.25">
      <c r="A88" s="166"/>
      <c r="B88" s="381"/>
      <c r="C88" s="100" t="s">
        <v>1826</v>
      </c>
      <c r="D88" s="186"/>
      <c r="E88" s="186"/>
      <c r="F88" s="186"/>
      <c r="G88" s="186"/>
      <c r="H88" s="186"/>
      <c r="I88" s="186"/>
      <c r="J88" s="186"/>
      <c r="K88" s="186"/>
      <c r="L88" s="186"/>
      <c r="M88" s="186"/>
      <c r="N88" s="186"/>
      <c r="O88" s="186"/>
      <c r="P88" s="186"/>
      <c r="Q88" s="186"/>
      <c r="R88" s="186"/>
      <c r="S88" s="499"/>
      <c r="T88" s="166"/>
      <c r="U88" s="149"/>
      <c r="V88" s="166"/>
      <c r="W88" s="166"/>
      <c r="X88" s="166"/>
      <c r="Y88" s="149"/>
      <c r="Z88" s="149"/>
      <c r="AA88" s="149"/>
      <c r="AB88" s="149"/>
      <c r="AC88" s="149"/>
      <c r="AD88" s="149"/>
      <c r="AE88" s="149"/>
      <c r="AF88" s="149"/>
      <c r="AG88" s="149"/>
      <c r="AH88" s="149"/>
      <c r="AI88" s="149"/>
      <c r="AJ88" s="149"/>
      <c r="AK88" s="149"/>
      <c r="AL88" s="149"/>
      <c r="AM88" s="149"/>
      <c r="AN88" s="149"/>
      <c r="AO88" s="166"/>
      <c r="AP88" s="166"/>
      <c r="AQ88" s="166"/>
      <c r="AR88" s="166"/>
      <c r="AS88" s="166"/>
      <c r="AT88" s="166"/>
      <c r="AU88" s="166"/>
      <c r="AV88" s="166"/>
      <c r="AW88" s="166"/>
      <c r="AX88" s="166"/>
      <c r="AY88" s="166"/>
      <c r="AZ88" s="166"/>
      <c r="BA88" s="166"/>
      <c r="BB88" s="166"/>
      <c r="BC88" s="166"/>
      <c r="BD88" s="166"/>
      <c r="BE88" s="166"/>
      <c r="BF88" s="166"/>
      <c r="BG88" s="166"/>
      <c r="BH88" s="166"/>
      <c r="BI88" s="166"/>
      <c r="BJ88" s="166"/>
      <c r="BK88" s="166"/>
      <c r="BL88" s="166"/>
      <c r="BM88" s="146"/>
      <c r="BN88" s="146"/>
    </row>
    <row r="89" spans="1:66" ht="0.75" customHeight="1" x14ac:dyDescent="0.25">
      <c r="A89" s="166"/>
      <c r="B89" s="381"/>
      <c r="C89" s="186"/>
      <c r="D89" s="186"/>
      <c r="E89" s="186"/>
      <c r="F89" s="186"/>
      <c r="G89" s="186"/>
      <c r="H89" s="186"/>
      <c r="I89" s="186"/>
      <c r="J89" s="186"/>
      <c r="K89" s="186"/>
      <c r="L89" s="186"/>
      <c r="M89" s="186"/>
      <c r="N89" s="186"/>
      <c r="O89" s="186"/>
      <c r="P89" s="186"/>
      <c r="Q89" s="186"/>
      <c r="R89" s="186"/>
      <c r="S89" s="499"/>
      <c r="T89" s="166"/>
      <c r="U89" s="149"/>
      <c r="V89" s="166"/>
      <c r="W89" s="166"/>
      <c r="X89" s="166"/>
      <c r="Y89" s="149"/>
      <c r="Z89" s="149"/>
      <c r="AA89" s="149"/>
      <c r="AB89" s="149"/>
      <c r="AC89" s="149"/>
      <c r="AD89" s="149"/>
      <c r="AE89" s="149"/>
      <c r="AF89" s="149"/>
      <c r="AG89" s="149"/>
      <c r="AH89" s="149"/>
      <c r="AI89" s="149"/>
      <c r="AJ89" s="149"/>
      <c r="AK89" s="149"/>
      <c r="AL89" s="149"/>
      <c r="AM89" s="149"/>
      <c r="AN89" s="149"/>
      <c r="AO89" s="166"/>
      <c r="AP89" s="166"/>
      <c r="AQ89" s="166"/>
      <c r="AR89" s="166"/>
      <c r="AS89" s="166"/>
      <c r="AT89" s="166"/>
      <c r="AU89" s="166"/>
      <c r="AV89" s="166"/>
      <c r="AW89" s="166"/>
      <c r="AX89" s="166"/>
      <c r="AY89" s="166"/>
      <c r="AZ89" s="166"/>
      <c r="BA89" s="166"/>
      <c r="BB89" s="166"/>
      <c r="BC89" s="166"/>
      <c r="BD89" s="166"/>
      <c r="BE89" s="166"/>
      <c r="BF89" s="166"/>
      <c r="BG89" s="166"/>
      <c r="BH89" s="166"/>
      <c r="BI89" s="166"/>
      <c r="BJ89" s="166"/>
      <c r="BK89" s="166"/>
      <c r="BL89" s="166"/>
      <c r="BM89" s="146"/>
      <c r="BN89" s="146"/>
    </row>
    <row r="90" spans="1:66" ht="0.75" customHeight="1" x14ac:dyDescent="0.25">
      <c r="A90" s="166"/>
      <c r="B90" s="381"/>
      <c r="C90" s="186"/>
      <c r="D90" s="186"/>
      <c r="E90" s="186"/>
      <c r="F90" s="186"/>
      <c r="G90" s="186"/>
      <c r="H90" s="186"/>
      <c r="I90" s="186"/>
      <c r="J90" s="186"/>
      <c r="K90" s="186"/>
      <c r="L90" s="186"/>
      <c r="M90" s="186"/>
      <c r="N90" s="186"/>
      <c r="O90" s="186"/>
      <c r="P90" s="186"/>
      <c r="Q90" s="186"/>
      <c r="R90" s="186"/>
      <c r="S90" s="499"/>
      <c r="T90" s="253"/>
      <c r="U90" s="259"/>
      <c r="V90" s="166"/>
      <c r="W90" s="166"/>
      <c r="X90" s="166"/>
      <c r="Y90" s="149"/>
      <c r="Z90" s="149"/>
      <c r="AA90" s="149"/>
      <c r="AB90" s="149"/>
      <c r="AC90" s="186"/>
      <c r="AD90" s="186"/>
      <c r="AE90" s="186"/>
      <c r="AF90" s="186"/>
      <c r="AG90" s="186"/>
      <c r="AH90" s="186"/>
      <c r="AI90" s="186"/>
      <c r="AJ90" s="186"/>
      <c r="AK90" s="186"/>
      <c r="AL90" s="186"/>
      <c r="AM90" s="186"/>
      <c r="AN90" s="18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46"/>
      <c r="BL90" s="146"/>
      <c r="BM90" s="146"/>
      <c r="BN90" s="146"/>
    </row>
    <row r="91" spans="1:66" ht="0.75" customHeight="1" x14ac:dyDescent="0.25">
      <c r="A91" s="166"/>
      <c r="B91" s="381"/>
      <c r="C91" s="186"/>
      <c r="D91" s="186"/>
      <c r="E91" s="186"/>
      <c r="F91" s="186"/>
      <c r="G91" s="186"/>
      <c r="H91" s="186"/>
      <c r="I91" s="186"/>
      <c r="J91" s="186"/>
      <c r="K91" s="186"/>
      <c r="L91" s="186"/>
      <c r="M91" s="186"/>
      <c r="N91" s="186"/>
      <c r="O91" s="186"/>
      <c r="P91" s="186"/>
      <c r="Q91" s="186"/>
      <c r="R91" s="186"/>
      <c r="S91" s="499"/>
      <c r="T91" s="253"/>
      <c r="U91" s="259"/>
      <c r="V91" s="166"/>
      <c r="W91" s="166"/>
      <c r="X91" s="166"/>
      <c r="Y91" s="149"/>
      <c r="Z91" s="149"/>
      <c r="AA91" s="149"/>
      <c r="AB91" s="149"/>
      <c r="AC91" s="186"/>
      <c r="AD91" s="186"/>
      <c r="AE91" s="186"/>
      <c r="AF91" s="186"/>
      <c r="AG91" s="186"/>
      <c r="AH91" s="186"/>
      <c r="AI91" s="186"/>
      <c r="AJ91" s="186"/>
      <c r="AK91" s="186"/>
      <c r="AL91" s="186"/>
      <c r="AM91" s="186"/>
      <c r="AN91" s="18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46"/>
      <c r="BL91" s="146"/>
      <c r="BM91" s="146"/>
      <c r="BN91" s="146"/>
    </row>
    <row r="92" spans="1:66" ht="0.75" customHeight="1" x14ac:dyDescent="0.25">
      <c r="A92" s="166"/>
      <c r="B92" s="381"/>
      <c r="C92" s="186"/>
      <c r="D92" s="186"/>
      <c r="E92" s="186"/>
      <c r="F92" s="186"/>
      <c r="G92" s="186"/>
      <c r="H92" s="186"/>
      <c r="I92" s="186"/>
      <c r="J92" s="186"/>
      <c r="K92" s="186"/>
      <c r="L92" s="186"/>
      <c r="M92" s="186"/>
      <c r="N92" s="186"/>
      <c r="O92" s="186"/>
      <c r="P92" s="186"/>
      <c r="Q92" s="186"/>
      <c r="R92" s="186"/>
      <c r="S92" s="499"/>
      <c r="T92" s="253"/>
      <c r="U92" s="259"/>
      <c r="V92" s="166"/>
      <c r="W92" s="166"/>
      <c r="X92" s="166"/>
      <c r="Y92" s="149"/>
      <c r="Z92" s="149"/>
      <c r="AA92" s="149"/>
      <c r="AB92" s="149"/>
      <c r="AC92" s="186"/>
      <c r="AD92" s="186"/>
      <c r="AE92" s="186"/>
      <c r="AF92" s="186"/>
      <c r="AG92" s="186"/>
      <c r="AH92" s="186"/>
      <c r="AI92" s="186"/>
      <c r="AJ92" s="186"/>
      <c r="AK92" s="186"/>
      <c r="AL92" s="186"/>
      <c r="AM92" s="186"/>
      <c r="AN92" s="18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46"/>
      <c r="BL92" s="146"/>
      <c r="BM92" s="166"/>
      <c r="BN92" s="166"/>
    </row>
    <row r="93" spans="1:66" ht="0.75" customHeight="1" x14ac:dyDescent="0.25">
      <c r="A93" s="166"/>
      <c r="B93" s="381"/>
      <c r="C93" s="186"/>
      <c r="D93" s="186"/>
      <c r="E93" s="186"/>
      <c r="F93" s="186"/>
      <c r="G93" s="186"/>
      <c r="H93" s="186"/>
      <c r="I93" s="186"/>
      <c r="J93" s="186"/>
      <c r="K93" s="186"/>
      <c r="L93" s="186"/>
      <c r="M93" s="186"/>
      <c r="N93" s="186"/>
      <c r="O93" s="186"/>
      <c r="P93" s="186"/>
      <c r="Q93" s="186"/>
      <c r="R93" s="186"/>
      <c r="S93" s="499"/>
      <c r="T93" s="253"/>
      <c r="U93" s="259"/>
      <c r="V93" s="166"/>
      <c r="W93" s="166"/>
      <c r="X93" s="166"/>
      <c r="Y93" s="166"/>
      <c r="Z93" s="166"/>
      <c r="AA93" s="149"/>
      <c r="AB93" s="149"/>
      <c r="AC93" s="146"/>
      <c r="AD93" s="146"/>
      <c r="AE93" s="146"/>
      <c r="AF93" s="149"/>
      <c r="AG93" s="186"/>
      <c r="AH93" s="186"/>
      <c r="AI93" s="186"/>
      <c r="AJ93" s="186"/>
      <c r="AK93" s="186"/>
      <c r="AL93" s="186"/>
      <c r="AM93" s="186"/>
      <c r="AN93" s="18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46"/>
      <c r="BL93" s="146"/>
      <c r="BM93" s="166"/>
      <c r="BN93" s="166"/>
    </row>
    <row r="94" spans="1:66" ht="0.75" customHeight="1" x14ac:dyDescent="0.25">
      <c r="A94" s="166"/>
      <c r="B94" s="381"/>
      <c r="C94" s="186"/>
      <c r="D94" s="186"/>
      <c r="E94" s="186"/>
      <c r="F94" s="186"/>
      <c r="G94" s="186"/>
      <c r="H94" s="186"/>
      <c r="I94" s="186"/>
      <c r="J94" s="186"/>
      <c r="K94" s="186"/>
      <c r="L94" s="186"/>
      <c r="M94" s="186"/>
      <c r="N94" s="186"/>
      <c r="O94" s="186"/>
      <c r="P94" s="186"/>
      <c r="Q94" s="186"/>
      <c r="R94" s="186"/>
      <c r="S94" s="499"/>
      <c r="T94" s="253"/>
      <c r="U94" s="259"/>
      <c r="V94" s="166"/>
      <c r="W94" s="166"/>
      <c r="X94" s="166"/>
      <c r="Y94" s="166"/>
      <c r="Z94" s="166"/>
      <c r="AA94" s="149"/>
      <c r="AB94" s="149"/>
      <c r="AC94" s="146"/>
      <c r="AD94" s="146"/>
      <c r="AE94" s="146"/>
      <c r="AF94" s="149"/>
      <c r="AG94" s="186"/>
      <c r="AH94" s="186"/>
      <c r="AI94" s="186"/>
      <c r="AJ94" s="186" t="s">
        <v>1370</v>
      </c>
      <c r="AK94" s="186"/>
      <c r="AL94" s="186"/>
      <c r="AM94" s="186"/>
      <c r="AN94" s="186" t="s">
        <v>1371</v>
      </c>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46"/>
      <c r="BL94" s="146"/>
      <c r="BM94" s="166"/>
      <c r="BN94" s="166"/>
    </row>
    <row r="95" spans="1:66" ht="0.75" customHeight="1" x14ac:dyDescent="0.25">
      <c r="A95" s="166"/>
      <c r="B95" s="381"/>
      <c r="C95" s="186"/>
      <c r="D95" s="186"/>
      <c r="E95" s="186"/>
      <c r="F95" s="186"/>
      <c r="G95" s="186"/>
      <c r="H95" s="186"/>
      <c r="I95" s="186"/>
      <c r="J95" s="186"/>
      <c r="K95" s="186"/>
      <c r="L95" s="186"/>
      <c r="M95" s="186"/>
      <c r="N95" s="186"/>
      <c r="O95" s="186"/>
      <c r="P95" s="186"/>
      <c r="Q95" s="186"/>
      <c r="R95" s="186"/>
      <c r="S95" s="499"/>
      <c r="T95" s="253"/>
      <c r="U95" s="259"/>
      <c r="V95" s="166"/>
      <c r="W95" s="166"/>
      <c r="X95" s="166"/>
      <c r="Y95" s="166"/>
      <c r="Z95" s="166"/>
      <c r="AA95" s="149"/>
      <c r="AB95" s="149"/>
      <c r="AC95" s="146"/>
      <c r="AD95" s="146"/>
      <c r="AE95" s="146"/>
      <c r="AF95" s="149"/>
      <c r="AG95" s="186"/>
      <c r="AH95" s="186"/>
      <c r="AI95" s="186"/>
      <c r="AJ95" s="186" t="str">
        <f ca="1">"the annual increase is "&amp;$D82&amp; " kg CO2/hectare"</f>
        <v>the annual increase is 0 kg CO2/hectare</v>
      </c>
      <c r="AK95" s="186" t="str">
        <f ca="1">"the annual decrease is "&amp;$D82&amp; " kg CO2/hectare"</f>
        <v>the annual decrease is 0 kg CO2/hectare</v>
      </c>
      <c r="AL95" s="186" t="s">
        <v>1669</v>
      </c>
      <c r="AM95" s="186"/>
      <c r="AN95" s="186" t="str">
        <f ca="1">" and the total carbon stored here is  "&amp;$E82&amp; " kg CO2/hectare"</f>
        <v xml:space="preserve"> and the total carbon stored here is  0 kg CO2/hectare</v>
      </c>
      <c r="AO95" s="186"/>
      <c r="AP95" s="186"/>
      <c r="AQ95" s="146"/>
      <c r="AR95" s="146"/>
      <c r="AS95" s="146"/>
      <c r="AT95" s="146"/>
      <c r="AU95" s="146"/>
      <c r="AV95" s="146"/>
      <c r="AW95" s="146"/>
      <c r="AX95" s="146"/>
      <c r="AY95" s="146"/>
      <c r="AZ95" s="146"/>
      <c r="BA95" s="146"/>
      <c r="BB95" s="146"/>
      <c r="BC95" s="146"/>
      <c r="BD95" s="146"/>
      <c r="BE95" s="146"/>
      <c r="BF95" s="146"/>
      <c r="BG95" s="146"/>
      <c r="BH95" s="146"/>
      <c r="BI95" s="146"/>
      <c r="BJ95" s="146"/>
      <c r="BK95" s="146"/>
      <c r="BL95" s="146"/>
      <c r="BM95" s="166"/>
      <c r="BN95" s="166"/>
    </row>
    <row r="96" spans="1:66" ht="0.75" customHeight="1" x14ac:dyDescent="0.25">
      <c r="A96" s="166"/>
      <c r="B96" s="381"/>
      <c r="C96" s="186"/>
      <c r="D96" s="186"/>
      <c r="E96" s="186"/>
      <c r="F96" s="186"/>
      <c r="G96" s="186"/>
      <c r="H96" s="186"/>
      <c r="I96" s="186"/>
      <c r="J96" s="186"/>
      <c r="K96" s="186"/>
      <c r="L96" s="186"/>
      <c r="M96" s="186"/>
      <c r="N96" s="186"/>
      <c r="O96" s="186"/>
      <c r="P96" s="186"/>
      <c r="Q96" s="186"/>
      <c r="R96" s="186"/>
      <c r="S96" s="499"/>
      <c r="T96" s="253"/>
      <c r="U96" s="259"/>
      <c r="V96" s="166"/>
      <c r="W96" s="166"/>
      <c r="X96" s="166"/>
      <c r="Y96" s="166"/>
      <c r="Z96" s="166"/>
      <c r="AA96" s="149"/>
      <c r="AB96" s="149"/>
      <c r="AC96" s="146"/>
      <c r="AD96" s="146"/>
      <c r="AE96" s="146"/>
      <c r="AF96" s="149"/>
      <c r="AG96" s="186"/>
      <c r="AH96" s="186"/>
      <c r="AI96" s="186"/>
      <c r="AJ96" s="186" t="str">
        <f ca="1">"the annual increase is "&amp;$D83&amp; " kg CO2/hectare"</f>
        <v>the annual increase is 0 kg CO2/hectare</v>
      </c>
      <c r="AK96" s="186" t="str">
        <f ca="1">"the annual decrease is "&amp;$D83&amp; " kg CO2/hectare"</f>
        <v>the annual decrease is 0 kg CO2/hectare</v>
      </c>
      <c r="AL96" s="186" t="s">
        <v>1669</v>
      </c>
      <c r="AM96" s="186"/>
      <c r="AN96" s="186" t="str">
        <f ca="1">" and the total carbon stored here is  "&amp;$E83&amp; " kg CO2/hectare"</f>
        <v xml:space="preserve"> and the total carbon stored here is  0 kg CO2/hectare</v>
      </c>
      <c r="AO96" s="186"/>
      <c r="AP96" s="186"/>
      <c r="AQ96" s="146"/>
      <c r="AR96" s="146"/>
      <c r="AS96" s="146"/>
      <c r="AT96" s="146"/>
      <c r="AU96" s="146"/>
      <c r="AV96" s="146"/>
      <c r="AW96" s="146"/>
      <c r="AX96" s="146"/>
      <c r="AY96" s="146"/>
      <c r="AZ96" s="146"/>
      <c r="BA96" s="146"/>
      <c r="BB96" s="146"/>
      <c r="BC96" s="146"/>
      <c r="BD96" s="146"/>
      <c r="BE96" s="146"/>
      <c r="BF96" s="146"/>
      <c r="BG96" s="146"/>
      <c r="BH96" s="146"/>
      <c r="BI96" s="146"/>
      <c r="BJ96" s="146"/>
      <c r="BK96" s="146"/>
      <c r="BL96" s="146"/>
      <c r="BM96" s="166"/>
      <c r="BN96" s="166"/>
    </row>
    <row r="97" spans="1:66" ht="0.75" customHeight="1" x14ac:dyDescent="0.25">
      <c r="A97" s="166"/>
      <c r="B97" s="381"/>
      <c r="C97" s="186"/>
      <c r="D97" s="186"/>
      <c r="E97" s="186"/>
      <c r="F97" s="186"/>
      <c r="G97" s="186"/>
      <c r="H97" s="186"/>
      <c r="I97" s="186"/>
      <c r="J97" s="186"/>
      <c r="K97" s="186"/>
      <c r="L97" s="186"/>
      <c r="M97" s="186"/>
      <c r="N97" s="186"/>
      <c r="O97" s="186"/>
      <c r="P97" s="186"/>
      <c r="Q97" s="186"/>
      <c r="R97" s="186"/>
      <c r="S97" s="499"/>
      <c r="T97" s="253"/>
      <c r="U97" s="259"/>
      <c r="V97" s="166"/>
      <c r="W97" s="166"/>
      <c r="X97" s="166"/>
      <c r="Y97" s="166"/>
      <c r="Z97" s="166"/>
      <c r="AA97" s="149"/>
      <c r="AB97" s="149"/>
      <c r="AC97" s="146"/>
      <c r="AD97" s="146"/>
      <c r="AE97" s="146"/>
      <c r="AF97" s="149"/>
      <c r="AG97" s="186"/>
      <c r="AH97" s="186"/>
      <c r="AI97" s="186"/>
      <c r="AJ97" s="186"/>
      <c r="AK97" s="186"/>
      <c r="AL97" s="186"/>
      <c r="AM97" s="186"/>
      <c r="AN97" s="18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46"/>
      <c r="BL97" s="146"/>
      <c r="BM97" s="166"/>
      <c r="BN97" s="166"/>
    </row>
    <row r="98" spans="1:66" ht="0.75" customHeight="1" x14ac:dyDescent="0.25">
      <c r="A98" s="166"/>
      <c r="B98" s="381"/>
      <c r="C98" s="186"/>
      <c r="D98" s="186"/>
      <c r="E98" s="186"/>
      <c r="F98" s="186"/>
      <c r="G98" s="186"/>
      <c r="H98" s="186"/>
      <c r="I98" s="186"/>
      <c r="J98" s="186"/>
      <c r="K98" s="186"/>
      <c r="L98" s="186"/>
      <c r="M98" s="186"/>
      <c r="N98" s="186"/>
      <c r="O98" s="186"/>
      <c r="P98" s="186"/>
      <c r="Q98" s="186"/>
      <c r="R98" s="186"/>
      <c r="S98" s="499"/>
      <c r="T98" s="166"/>
      <c r="U98" s="149"/>
      <c r="V98" s="166"/>
      <c r="W98" s="166"/>
      <c r="X98" s="166"/>
      <c r="Y98" s="166"/>
      <c r="Z98" s="166"/>
      <c r="AA98" s="149"/>
      <c r="AB98" s="149"/>
      <c r="AC98" s="146"/>
      <c r="AD98" s="146"/>
      <c r="AE98" s="146"/>
      <c r="AF98" s="149"/>
      <c r="AG98" s="186"/>
      <c r="AH98" s="186"/>
      <c r="AI98" s="186"/>
      <c r="AJ98" s="186"/>
      <c r="AK98" s="186"/>
      <c r="AL98" s="186"/>
      <c r="AM98" s="186"/>
      <c r="AN98" s="18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46"/>
      <c r="BL98" s="146"/>
      <c r="BM98" s="166"/>
      <c r="BN98" s="166"/>
    </row>
    <row r="99" spans="1:66" ht="0.75" customHeight="1" x14ac:dyDescent="0.25">
      <c r="A99" s="166"/>
      <c r="B99" s="381"/>
      <c r="C99" s="186"/>
      <c r="D99" s="186"/>
      <c r="E99" s="186"/>
      <c r="F99" s="186"/>
      <c r="G99" s="186"/>
      <c r="H99" s="186"/>
      <c r="I99" s="186"/>
      <c r="J99" s="186"/>
      <c r="K99" s="186"/>
      <c r="L99" s="186"/>
      <c r="M99" s="186"/>
      <c r="N99" s="186"/>
      <c r="O99" s="186"/>
      <c r="P99" s="186"/>
      <c r="Q99" s="186"/>
      <c r="R99" s="186"/>
      <c r="S99" s="499"/>
      <c r="T99" s="166"/>
      <c r="U99" s="149"/>
      <c r="V99" s="166"/>
      <c r="W99" s="166"/>
      <c r="X99" s="166"/>
      <c r="Y99" s="166"/>
      <c r="Z99" s="166"/>
      <c r="AA99" s="149"/>
      <c r="AB99" s="149"/>
      <c r="AC99" s="146"/>
      <c r="AD99" s="146"/>
      <c r="AE99" s="146"/>
      <c r="AF99" s="149"/>
      <c r="AG99" s="186"/>
      <c r="AH99" s="186"/>
      <c r="AI99" s="186"/>
      <c r="AJ99" s="186"/>
      <c r="AK99" s="186"/>
      <c r="AL99" s="186"/>
      <c r="AM99" s="186"/>
      <c r="AN99" s="18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46"/>
      <c r="BL99" s="146"/>
      <c r="BM99" s="166"/>
      <c r="BN99" s="166"/>
    </row>
    <row r="100" spans="1:66" ht="0.75" customHeight="1" x14ac:dyDescent="0.25">
      <c r="A100" s="166"/>
      <c r="B100" s="381"/>
      <c r="C100" s="186"/>
      <c r="D100" s="186"/>
      <c r="E100" s="186"/>
      <c r="F100" s="186"/>
      <c r="G100" s="186"/>
      <c r="H100" s="186"/>
      <c r="I100" s="186"/>
      <c r="J100" s="186"/>
      <c r="K100" s="186"/>
      <c r="L100" s="186"/>
      <c r="M100" s="186"/>
      <c r="N100" s="186"/>
      <c r="O100" s="186"/>
      <c r="P100" s="186"/>
      <c r="Q100" s="186"/>
      <c r="R100" s="186"/>
      <c r="S100" s="499"/>
      <c r="T100" s="149"/>
      <c r="U100" s="149"/>
      <c r="V100" s="166"/>
      <c r="W100" s="166"/>
      <c r="X100" s="166"/>
      <c r="Y100" s="166"/>
      <c r="Z100" s="166"/>
      <c r="AA100" s="149"/>
      <c r="AB100" s="149"/>
      <c r="AC100" s="146"/>
      <c r="AD100" s="146"/>
      <c r="AE100" s="146"/>
      <c r="AF100" s="149"/>
      <c r="AG100" s="186"/>
      <c r="AH100" s="186"/>
      <c r="AI100" s="186"/>
      <c r="AJ100" s="186"/>
      <c r="AK100" s="186"/>
      <c r="AL100" s="186"/>
      <c r="AM100" s="186"/>
      <c r="AN100" s="18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46"/>
      <c r="BL100" s="146"/>
      <c r="BM100" s="166"/>
      <c r="BN100" s="166"/>
    </row>
    <row r="101" spans="1:66" ht="0.75" customHeight="1" x14ac:dyDescent="0.25">
      <c r="A101" s="166"/>
      <c r="B101" s="381"/>
      <c r="C101" s="186"/>
      <c r="D101" s="186"/>
      <c r="E101" s="186"/>
      <c r="F101" s="186"/>
      <c r="G101" s="186"/>
      <c r="H101" s="166"/>
      <c r="I101" s="186"/>
      <c r="J101" s="186"/>
      <c r="K101" s="186"/>
      <c r="L101" s="186"/>
      <c r="M101" s="186"/>
      <c r="N101" s="186"/>
      <c r="O101" s="186"/>
      <c r="P101" s="186"/>
      <c r="Q101" s="186"/>
      <c r="R101" s="186"/>
      <c r="S101" s="499"/>
      <c r="T101" s="149"/>
      <c r="U101" s="149"/>
      <c r="V101" s="166"/>
      <c r="W101" s="166"/>
      <c r="X101" s="166"/>
      <c r="Y101" s="166"/>
      <c r="Z101" s="166"/>
      <c r="AA101" s="149"/>
      <c r="AB101" s="149"/>
      <c r="AC101" s="146"/>
      <c r="AD101" s="146"/>
      <c r="AE101" s="146"/>
      <c r="AF101" s="149"/>
      <c r="AG101" s="186"/>
      <c r="AH101" s="186"/>
      <c r="AI101" s="186"/>
      <c r="AJ101" s="186"/>
      <c r="AK101" s="186"/>
      <c r="AL101" s="186"/>
      <c r="AM101" s="186"/>
      <c r="AN101" s="18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46"/>
      <c r="BL101" s="146"/>
      <c r="BM101" s="166"/>
      <c r="BN101" s="166"/>
    </row>
    <row r="102" spans="1:66" ht="0.75" customHeight="1" x14ac:dyDescent="0.25">
      <c r="A102" s="166"/>
      <c r="B102" s="381"/>
      <c r="C102" s="186"/>
      <c r="D102" s="186"/>
      <c r="E102" s="186"/>
      <c r="F102" s="186"/>
      <c r="G102" s="186"/>
      <c r="H102" s="166"/>
      <c r="I102" s="186"/>
      <c r="J102" s="186"/>
      <c r="K102" s="186"/>
      <c r="L102" s="186"/>
      <c r="M102" s="186"/>
      <c r="N102" s="186"/>
      <c r="O102" s="186"/>
      <c r="P102" s="186"/>
      <c r="Q102" s="186"/>
      <c r="R102" s="186"/>
      <c r="S102" s="499"/>
      <c r="T102" s="149"/>
      <c r="U102" s="149"/>
      <c r="V102" s="166"/>
      <c r="W102" s="166"/>
      <c r="X102" s="166"/>
      <c r="Y102" s="166"/>
      <c r="Z102" s="166"/>
      <c r="AA102" s="149"/>
      <c r="AB102" s="149"/>
      <c r="AC102" s="146"/>
      <c r="AD102" s="146"/>
      <c r="AE102" s="146"/>
      <c r="AF102" s="149"/>
      <c r="AG102" s="186"/>
      <c r="AH102" s="186"/>
      <c r="AI102" s="186"/>
      <c r="AJ102" s="186"/>
      <c r="AK102" s="186"/>
      <c r="AL102" s="186"/>
      <c r="AM102" s="186"/>
      <c r="AN102" s="18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46"/>
      <c r="BL102" s="146"/>
      <c r="BM102" s="166"/>
      <c r="BN102" s="166"/>
    </row>
    <row r="103" spans="1:66" ht="0.75" customHeight="1" x14ac:dyDescent="0.25">
      <c r="A103" s="166"/>
      <c r="B103" s="381"/>
      <c r="C103" s="186"/>
      <c r="D103" s="186"/>
      <c r="E103" s="186"/>
      <c r="F103" s="186"/>
      <c r="G103" s="186"/>
      <c r="H103" s="166"/>
      <c r="I103" s="186"/>
      <c r="J103" s="186"/>
      <c r="K103" s="186"/>
      <c r="L103" s="186"/>
      <c r="M103" s="186"/>
      <c r="N103" s="186"/>
      <c r="O103" s="186"/>
      <c r="P103" s="186"/>
      <c r="Q103" s="186"/>
      <c r="R103" s="186"/>
      <c r="S103" s="499"/>
      <c r="T103" s="166"/>
      <c r="U103" s="166"/>
      <c r="V103" s="166"/>
      <c r="W103" s="166"/>
      <c r="X103" s="166"/>
      <c r="Y103" s="166"/>
      <c r="Z103" s="166"/>
      <c r="AA103" s="149"/>
      <c r="AB103" s="149"/>
      <c r="AC103" s="146"/>
      <c r="AD103" s="146"/>
      <c r="AE103" s="146"/>
      <c r="AF103" s="149"/>
      <c r="AG103" s="186"/>
      <c r="AH103" s="186"/>
      <c r="AI103" s="186"/>
      <c r="AJ103" s="186">
        <f ca="1">PRODUCT('3.Sequestration'!AD12:AD16)</f>
        <v>1.0900000000000001</v>
      </c>
      <c r="AK103" s="186"/>
      <c r="AL103" s="186"/>
      <c r="AM103" s="186"/>
      <c r="AN103" s="18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46"/>
      <c r="BL103" s="146"/>
      <c r="BM103" s="166"/>
      <c r="BN103" s="166"/>
    </row>
    <row r="104" spans="1:66" ht="0.75" customHeight="1" x14ac:dyDescent="0.25">
      <c r="A104" s="166"/>
      <c r="B104" s="381"/>
      <c r="C104" s="186"/>
      <c r="D104" s="186"/>
      <c r="E104" s="186"/>
      <c r="F104" s="186"/>
      <c r="G104" s="186"/>
      <c r="H104" s="186"/>
      <c r="I104" s="186"/>
      <c r="J104" s="186"/>
      <c r="K104" s="186"/>
      <c r="L104" s="186"/>
      <c r="M104" s="186"/>
      <c r="N104" s="186"/>
      <c r="O104" s="186"/>
      <c r="P104" s="186"/>
      <c r="Q104" s="186"/>
      <c r="R104" s="186"/>
      <c r="S104" s="499"/>
      <c r="T104" s="149"/>
      <c r="U104" s="149"/>
      <c r="V104" s="166"/>
      <c r="W104" s="166"/>
      <c r="X104" s="166"/>
      <c r="Y104" s="166"/>
      <c r="Z104" s="166"/>
      <c r="AA104" s="149"/>
      <c r="AB104" s="149"/>
      <c r="AC104" s="146"/>
      <c r="AD104" s="146"/>
      <c r="AE104" s="146"/>
      <c r="AF104" s="149"/>
      <c r="AG104" s="186"/>
      <c r="AH104" s="186"/>
      <c r="AI104" s="186"/>
      <c r="AJ104" s="186" t="str">
        <f ca="1">IF(AJ103&lt;&gt;1,"For any changes that happened less than 20 years ago there is an ongoing annual effect of ","")</f>
        <v xml:space="preserve">For any changes that happened less than 20 years ago there is an ongoing annual effect of </v>
      </c>
      <c r="AK104" s="186">
        <f ca="1">IF(AJ103&lt;&gt;1,ROUND(D84,1),"")</f>
        <v>-9266.4</v>
      </c>
      <c r="AL104" s="186" t="str">
        <f ca="1">IF(AJ103&lt;&gt;1,"kg CO2 equiv/year","")</f>
        <v>kg CO2 equiv/year</v>
      </c>
      <c r="AM104" s="186"/>
      <c r="AN104" s="18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46"/>
      <c r="BL104" s="146"/>
      <c r="BM104" s="166"/>
      <c r="BN104" s="166"/>
    </row>
    <row r="105" spans="1:66" ht="0.75" customHeight="1" x14ac:dyDescent="0.25">
      <c r="A105" s="166"/>
      <c r="B105" s="381"/>
      <c r="C105" s="186" t="str">
        <f ca="1">IF(AJ103&lt;&gt;1,"You have indicated some management changes which affect soil carbon storage","")</f>
        <v>You have indicated some management changes which affect soil carbon storage</v>
      </c>
      <c r="D105" s="186"/>
      <c r="E105" s="186"/>
      <c r="F105" s="186"/>
      <c r="G105" s="186"/>
      <c r="H105" s="186"/>
      <c r="I105" s="186"/>
      <c r="J105" s="186"/>
      <c r="K105" s="186"/>
      <c r="L105" s="186"/>
      <c r="M105" s="186"/>
      <c r="N105" s="186"/>
      <c r="O105" s="186"/>
      <c r="P105" s="186"/>
      <c r="Q105" s="186"/>
      <c r="R105" s="186"/>
      <c r="S105" s="499"/>
      <c r="T105" s="149"/>
      <c r="U105" s="149"/>
      <c r="V105" s="166"/>
      <c r="W105" s="166"/>
      <c r="X105" s="166"/>
      <c r="Y105" s="166"/>
      <c r="Z105" s="166"/>
      <c r="AA105" s="149"/>
      <c r="AB105" s="149"/>
      <c r="AC105" s="146"/>
      <c r="AD105" s="146"/>
      <c r="AE105" s="146"/>
      <c r="AF105" s="149"/>
      <c r="AG105" s="186"/>
      <c r="AH105" s="186"/>
      <c r="AI105" s="186"/>
      <c r="AJ105" s="186" t="str">
        <f ca="1">IF(AJ103&lt;&gt;1,"The total effect on soil carbon since the first of your changes was applied is ","")</f>
        <v xml:space="preserve">The total effect on soil carbon since the first of your changes was applied is </v>
      </c>
      <c r="AK105" s="186">
        <f ca="1">IF(AJ103&lt;&gt;1,ROUND(E84,1),"")</f>
        <v>-9266.4</v>
      </c>
      <c r="AL105" s="186" t="str">
        <f ca="1">IF(AJ103&lt;&gt;1,"kg CO2 equiv","")</f>
        <v>kg CO2 equiv</v>
      </c>
      <c r="AM105" s="186"/>
      <c r="AN105" s="18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46"/>
      <c r="BL105" s="146"/>
      <c r="BM105" s="166"/>
      <c r="BN105" s="166"/>
    </row>
    <row r="106" spans="1:66" ht="0.75" customHeight="1" x14ac:dyDescent="0.25">
      <c r="A106" s="166"/>
      <c r="B106" s="381"/>
      <c r="C106" s="186" t="str">
        <f ca="1">AJ104&amp;AK104&amp;AL104</f>
        <v>For any changes that happened less than 20 years ago there is an ongoing annual effect of -9266.4kg CO2 equiv/year</v>
      </c>
      <c r="D106" s="186"/>
      <c r="E106" s="186"/>
      <c r="F106" s="186"/>
      <c r="G106" s="186"/>
      <c r="H106" s="186"/>
      <c r="I106" s="186"/>
      <c r="J106" s="186"/>
      <c r="K106" s="186"/>
      <c r="L106" s="186"/>
      <c r="M106" s="186"/>
      <c r="N106" s="186"/>
      <c r="O106" s="186"/>
      <c r="P106" s="186"/>
      <c r="Q106" s="186"/>
      <c r="R106" s="186"/>
      <c r="S106" s="499"/>
      <c r="T106" s="149"/>
      <c r="U106" s="149"/>
      <c r="V106" s="166"/>
      <c r="W106" s="166"/>
      <c r="X106" s="166"/>
      <c r="Y106" s="166"/>
      <c r="Z106" s="166"/>
      <c r="AA106" s="149"/>
      <c r="AB106" s="149"/>
      <c r="AC106" s="146"/>
      <c r="AD106" s="146"/>
      <c r="AE106" s="146"/>
      <c r="AF106" s="149"/>
      <c r="AG106" s="186"/>
      <c r="AH106" s="186"/>
      <c r="AI106" s="186"/>
      <c r="AJ106" s="186"/>
      <c r="AK106" s="186"/>
      <c r="AL106" s="186"/>
      <c r="AM106" s="186"/>
      <c r="AN106" s="18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46"/>
      <c r="BL106" s="146"/>
      <c r="BM106" s="166"/>
      <c r="BN106" s="166"/>
    </row>
    <row r="107" spans="1:66" x14ac:dyDescent="0.25">
      <c r="A107" s="166"/>
      <c r="B107" s="381"/>
      <c r="C107" s="186" t="str">
        <f ca="1">AJ105&amp;AK105&amp;AL105</f>
        <v>The total effect on soil carbon since the first of your changes was applied is -9266.4kg CO2 equiv</v>
      </c>
      <c r="D107" s="186"/>
      <c r="E107" s="186"/>
      <c r="F107" s="186"/>
      <c r="G107" s="186"/>
      <c r="H107" s="186"/>
      <c r="I107" s="186"/>
      <c r="J107" s="186"/>
      <c r="K107" s="186"/>
      <c r="L107" s="186"/>
      <c r="M107" s="186"/>
      <c r="N107" s="186"/>
      <c r="O107" s="186"/>
      <c r="P107" s="186"/>
      <c r="Q107" s="186"/>
      <c r="R107" s="186"/>
      <c r="S107" s="499"/>
      <c r="T107" s="149"/>
      <c r="U107" s="149"/>
      <c r="V107" s="166"/>
      <c r="W107" s="166"/>
      <c r="X107" s="166"/>
      <c r="Y107" s="166"/>
      <c r="Z107" s="166"/>
      <c r="AA107" s="149"/>
      <c r="AB107" s="149"/>
      <c r="AC107" s="149"/>
      <c r="AD107" s="149"/>
      <c r="AE107" s="149"/>
      <c r="AF107" s="149"/>
      <c r="AG107" s="186"/>
      <c r="AH107" s="186"/>
      <c r="AI107" s="186"/>
      <c r="AJ107" s="186"/>
      <c r="AK107" s="186"/>
      <c r="AL107" s="186"/>
      <c r="AM107" s="186"/>
      <c r="AN107" s="18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46"/>
      <c r="BL107" s="146"/>
      <c r="BM107" s="166"/>
      <c r="BN107" s="166"/>
    </row>
    <row r="108" spans="1:66" ht="13.25" thickBot="1" x14ac:dyDescent="0.3">
      <c r="A108" s="166"/>
      <c r="B108" s="381"/>
      <c r="C108" s="186"/>
      <c r="D108" s="186"/>
      <c r="E108" s="186"/>
      <c r="F108" s="186"/>
      <c r="G108" s="186"/>
      <c r="H108" s="186"/>
      <c r="I108" s="186"/>
      <c r="J108" s="186"/>
      <c r="K108" s="186"/>
      <c r="L108" s="186"/>
      <c r="M108" s="186"/>
      <c r="N108" s="186"/>
      <c r="O108" s="186"/>
      <c r="P108" s="186"/>
      <c r="Q108" s="186"/>
      <c r="R108" s="186"/>
      <c r="S108" s="499"/>
      <c r="T108" s="149"/>
      <c r="U108" s="166"/>
      <c r="V108" s="146"/>
      <c r="W108" s="146"/>
      <c r="X108" s="146"/>
      <c r="Y108" s="146"/>
      <c r="Z108" s="166"/>
      <c r="AA108" s="149"/>
      <c r="AB108" s="149"/>
      <c r="AC108" s="149"/>
      <c r="AD108" s="149"/>
      <c r="AE108" s="149"/>
      <c r="AF108" s="149"/>
      <c r="AG108" s="186"/>
      <c r="AH108" s="186"/>
      <c r="AI108" s="186"/>
      <c r="AJ108" s="186"/>
      <c r="AK108" s="186"/>
      <c r="AL108" s="186"/>
      <c r="AM108" s="186"/>
      <c r="AN108" s="186"/>
      <c r="AO108" s="146"/>
      <c r="AP108" s="146"/>
      <c r="AQ108" s="146"/>
      <c r="AR108" s="146"/>
      <c r="AS108" s="146"/>
      <c r="AT108" s="146"/>
      <c r="AU108" s="146"/>
      <c r="AV108" s="146"/>
      <c r="AW108" s="146"/>
      <c r="AX108" s="146"/>
      <c r="AY108" s="146"/>
      <c r="AZ108" s="146"/>
      <c r="BA108" s="146"/>
      <c r="BB108" s="146"/>
      <c r="BC108" s="146"/>
      <c r="BD108" s="149"/>
      <c r="BE108" s="146"/>
      <c r="BF108" s="146" t="s">
        <v>97</v>
      </c>
      <c r="BG108" s="166"/>
      <c r="BH108" s="166"/>
      <c r="BI108" s="146"/>
      <c r="BJ108" s="146"/>
      <c r="BK108" s="146"/>
      <c r="BL108" s="146"/>
      <c r="BM108" s="166"/>
      <c r="BN108" s="166"/>
    </row>
    <row r="109" spans="1:66" ht="23.2" customHeight="1" thickBot="1" x14ac:dyDescent="0.3">
      <c r="A109" s="166"/>
      <c r="B109" s="958"/>
      <c r="C109" s="1033" t="s">
        <v>96</v>
      </c>
      <c r="D109" s="959"/>
      <c r="E109" s="959"/>
      <c r="F109" s="959"/>
      <c r="G109" s="959"/>
      <c r="H109" s="959"/>
      <c r="I109" s="959"/>
      <c r="J109" s="959"/>
      <c r="K109" s="959"/>
      <c r="L109" s="959"/>
      <c r="M109" s="959"/>
      <c r="N109" s="959"/>
      <c r="O109" s="959"/>
      <c r="P109" s="959"/>
      <c r="Q109" s="959"/>
      <c r="R109" s="959"/>
      <c r="S109" s="960"/>
      <c r="T109" s="166"/>
      <c r="U109" s="166"/>
      <c r="V109" s="166"/>
      <c r="W109" s="166"/>
      <c r="X109" s="166"/>
      <c r="Y109" s="166"/>
      <c r="Z109" s="149"/>
      <c r="AA109" s="149"/>
      <c r="AB109" s="149"/>
      <c r="AC109" s="149"/>
      <c r="AD109" s="149"/>
      <c r="AE109" s="149"/>
      <c r="AF109" s="149"/>
      <c r="AG109" s="149"/>
      <c r="AH109" s="149"/>
      <c r="AI109" s="149"/>
      <c r="AJ109" s="149"/>
      <c r="AK109" s="149"/>
      <c r="AL109" s="149"/>
      <c r="AM109" s="149"/>
      <c r="AN109" s="149"/>
      <c r="AO109" s="166"/>
      <c r="AP109" s="166"/>
      <c r="AQ109" s="166"/>
      <c r="AR109" s="166"/>
      <c r="AS109" s="166"/>
      <c r="AT109" s="166"/>
      <c r="AU109" s="166"/>
      <c r="AV109" s="166"/>
      <c r="AW109" s="166"/>
      <c r="AX109" s="166"/>
      <c r="AY109" s="166"/>
      <c r="AZ109" s="166"/>
      <c r="BA109" s="166"/>
      <c r="BB109" s="166"/>
      <c r="BC109" s="166"/>
      <c r="BD109" s="166"/>
      <c r="BE109" s="146" t="str">
        <f>'5.FieldEnergyUse'!D36</f>
        <v>chisel plough</v>
      </c>
      <c r="BF109" s="593" t="e">
        <f ca="1">IF('5.FieldEnergyUse'!F36&gt;0,'5.FieldEnergyUse'!F36,NA())</f>
        <v>#N/A</v>
      </c>
      <c r="BG109" s="166"/>
      <c r="BH109" s="149"/>
      <c r="BI109" s="166"/>
      <c r="BJ109" s="166"/>
      <c r="BK109" s="166"/>
      <c r="BL109" s="166"/>
      <c r="BM109" s="166"/>
      <c r="BN109" s="166"/>
    </row>
    <row r="110" spans="1:66" x14ac:dyDescent="0.25">
      <c r="A110" s="166"/>
      <c r="B110" s="381"/>
      <c r="C110" s="186"/>
      <c r="D110" s="186"/>
      <c r="E110" s="186"/>
      <c r="F110" s="186"/>
      <c r="G110" s="186"/>
      <c r="H110" s="186"/>
      <c r="I110" s="186"/>
      <c r="J110" s="186"/>
      <c r="K110" s="186"/>
      <c r="L110" s="186"/>
      <c r="M110" s="186"/>
      <c r="N110" s="186"/>
      <c r="O110" s="186"/>
      <c r="P110" s="186"/>
      <c r="Q110" s="186"/>
      <c r="R110" s="186"/>
      <c r="S110" s="499"/>
      <c r="T110" s="166"/>
      <c r="U110" s="166"/>
      <c r="V110" s="166"/>
      <c r="W110" s="166"/>
      <c r="X110" s="166"/>
      <c r="Y110" s="166"/>
      <c r="Z110" s="149"/>
      <c r="AA110" s="149"/>
      <c r="AB110" s="149"/>
      <c r="AC110" s="149"/>
      <c r="AD110" s="149"/>
      <c r="AE110" s="149"/>
      <c r="AF110" s="149"/>
      <c r="AG110" s="149"/>
      <c r="AH110" s="149"/>
      <c r="AI110" s="149"/>
      <c r="AJ110" s="149"/>
      <c r="AK110" s="149"/>
      <c r="AL110" s="149"/>
      <c r="AM110" s="149"/>
      <c r="AN110" s="149"/>
      <c r="AO110" s="166"/>
      <c r="AP110" s="166"/>
      <c r="AQ110" s="166"/>
      <c r="AR110" s="166"/>
      <c r="AS110" s="166"/>
      <c r="AT110" s="166"/>
      <c r="AU110" s="166"/>
      <c r="AV110" s="166"/>
      <c r="AW110" s="166"/>
      <c r="AX110" s="166"/>
      <c r="AY110" s="166"/>
      <c r="AZ110" s="166"/>
      <c r="BA110" s="166"/>
      <c r="BB110" s="166"/>
      <c r="BC110" s="166"/>
      <c r="BD110" s="166"/>
      <c r="BE110" s="146" t="str">
        <f>'5.FieldEnergyUse'!D37</f>
        <v>coulter</v>
      </c>
      <c r="BF110" s="593" t="e">
        <f ca="1">IF('5.FieldEnergyUse'!F37&gt;0,'5.FieldEnergyUse'!F37,NA())</f>
        <v>#N/A</v>
      </c>
      <c r="BG110" s="166"/>
      <c r="BH110" s="149"/>
      <c r="BI110" s="166"/>
      <c r="BJ110" s="166"/>
      <c r="BK110" s="166"/>
      <c r="BL110" s="166"/>
      <c r="BM110" s="166"/>
      <c r="BN110" s="166"/>
    </row>
    <row r="111" spans="1:66" ht="24.05" customHeight="1" x14ac:dyDescent="0.25">
      <c r="A111" s="166"/>
      <c r="B111" s="381"/>
      <c r="C111" s="186"/>
      <c r="D111" s="186"/>
      <c r="E111" s="186"/>
      <c r="F111" s="186"/>
      <c r="G111" s="186"/>
      <c r="H111" s="186"/>
      <c r="I111" s="186"/>
      <c r="J111" s="186"/>
      <c r="K111" s="186"/>
      <c r="L111" s="186"/>
      <c r="M111" s="186"/>
      <c r="N111" s="186"/>
      <c r="O111" s="186"/>
      <c r="P111" s="186"/>
      <c r="Q111" s="186"/>
      <c r="R111" s="186"/>
      <c r="S111" s="499"/>
      <c r="T111" s="166"/>
      <c r="U111" s="166"/>
      <c r="V111" s="166"/>
      <c r="W111" s="166"/>
      <c r="X111" s="166"/>
      <c r="Y111" s="166"/>
      <c r="Z111" s="149"/>
      <c r="AA111" s="149"/>
      <c r="AB111" s="149"/>
      <c r="AC111" s="149"/>
      <c r="AD111" s="149"/>
      <c r="AE111" s="149"/>
      <c r="AF111" s="149"/>
      <c r="AG111" s="149"/>
      <c r="AH111" s="149"/>
      <c r="AI111" s="149"/>
      <c r="AJ111" s="149"/>
      <c r="AK111" s="149"/>
      <c r="AL111" s="149"/>
      <c r="AM111" s="149"/>
      <c r="AN111" s="149"/>
      <c r="AO111" s="166"/>
      <c r="AP111" s="166"/>
      <c r="AQ111" s="166"/>
      <c r="AR111" s="166"/>
      <c r="AS111" s="166"/>
      <c r="AT111" s="166"/>
      <c r="AU111" s="166"/>
      <c r="AV111" s="166"/>
      <c r="AW111" s="166"/>
      <c r="AX111" s="166"/>
      <c r="AY111" s="166"/>
      <c r="AZ111" s="166"/>
      <c r="BA111" s="166"/>
      <c r="BB111" s="166"/>
      <c r="BC111" s="166"/>
      <c r="BD111" s="166"/>
      <c r="BE111" s="146" t="str">
        <f>'5.FieldEnergyUse'!D38</f>
        <v>disc gang</v>
      </c>
      <c r="BF111" s="593" t="e">
        <f ca="1">IF('5.FieldEnergyUse'!F38&gt;0,'5.FieldEnergyUse'!F38,NA())</f>
        <v>#N/A</v>
      </c>
      <c r="BG111" s="166"/>
      <c r="BH111" s="149"/>
      <c r="BI111" s="166"/>
      <c r="BJ111" s="166"/>
      <c r="BK111" s="166"/>
      <c r="BL111" s="166"/>
      <c r="BM111" s="166"/>
      <c r="BN111" s="166"/>
    </row>
    <row r="112" spans="1:66" x14ac:dyDescent="0.25">
      <c r="A112" s="166"/>
      <c r="B112" s="381"/>
      <c r="C112" s="186"/>
      <c r="D112" s="186"/>
      <c r="E112" s="186"/>
      <c r="F112" s="186"/>
      <c r="G112" s="186"/>
      <c r="H112" s="186"/>
      <c r="I112" s="186"/>
      <c r="J112" s="186"/>
      <c r="K112" s="186"/>
      <c r="L112" s="186"/>
      <c r="M112" s="186"/>
      <c r="N112" s="186"/>
      <c r="O112" s="186"/>
      <c r="P112" s="186"/>
      <c r="Q112" s="186"/>
      <c r="R112" s="186"/>
      <c r="S112" s="499"/>
      <c r="T112" s="166"/>
      <c r="U112" s="166"/>
      <c r="V112" s="166"/>
      <c r="W112" s="166"/>
      <c r="X112" s="166"/>
      <c r="Y112" s="166"/>
      <c r="Z112" s="149"/>
      <c r="AA112" s="149"/>
      <c r="AB112" s="149"/>
      <c r="AC112" s="149"/>
      <c r="AD112" s="149"/>
      <c r="AE112" s="149"/>
      <c r="AF112" s="149"/>
      <c r="AG112" s="149"/>
      <c r="AH112" s="149"/>
      <c r="AI112" s="149"/>
      <c r="AJ112" s="149"/>
      <c r="AK112" s="149"/>
      <c r="AL112" s="149"/>
      <c r="AM112" s="149"/>
      <c r="AN112" s="149"/>
      <c r="AO112" s="166"/>
      <c r="AP112" s="166"/>
      <c r="AQ112" s="166"/>
      <c r="AR112" s="166"/>
      <c r="AS112" s="166"/>
      <c r="AT112" s="166"/>
      <c r="AU112" s="166"/>
      <c r="AV112" s="166"/>
      <c r="AW112" s="166"/>
      <c r="AX112" s="166"/>
      <c r="AY112" s="166"/>
      <c r="AZ112" s="166"/>
      <c r="BA112" s="166"/>
      <c r="BB112" s="166"/>
      <c r="BC112" s="166"/>
      <c r="BD112" s="166"/>
      <c r="BE112" s="146" t="str">
        <f>'5.FieldEnergyUse'!D39</f>
        <v>disc harrow</v>
      </c>
      <c r="BF112" s="593">
        <f ca="1">IF('5.FieldEnergyUse'!F39&gt;0,'5.FieldEnergyUse'!F39,NA())</f>
        <v>37.69791639254386</v>
      </c>
      <c r="BG112" s="166"/>
      <c r="BH112" s="625"/>
      <c r="BI112" s="166"/>
      <c r="BJ112" s="166"/>
      <c r="BK112" s="166"/>
      <c r="BL112" s="166"/>
      <c r="BM112" s="166"/>
      <c r="BN112" s="166"/>
    </row>
    <row r="113" spans="1:66" ht="21.75" customHeight="1" x14ac:dyDescent="0.25">
      <c r="A113" s="166"/>
      <c r="B113" s="381"/>
      <c r="C113" s="186"/>
      <c r="D113" s="186"/>
      <c r="E113" s="186"/>
      <c r="F113" s="186"/>
      <c r="G113" s="186"/>
      <c r="H113" s="186"/>
      <c r="I113" s="186"/>
      <c r="J113" s="186"/>
      <c r="K113" s="186"/>
      <c r="L113" s="186"/>
      <c r="M113" s="186"/>
      <c r="N113" s="186"/>
      <c r="O113" s="186"/>
      <c r="P113" s="186"/>
      <c r="Q113" s="186"/>
      <c r="R113" s="186"/>
      <c r="S113" s="499"/>
      <c r="T113" s="166"/>
      <c r="U113" s="166"/>
      <c r="V113" s="166"/>
      <c r="W113" s="166"/>
      <c r="X113" s="166"/>
      <c r="Y113" s="166"/>
      <c r="Z113" s="100"/>
      <c r="AA113" s="186"/>
      <c r="AB113" s="186"/>
      <c r="AC113" s="186"/>
      <c r="AD113" s="186"/>
      <c r="AE113" s="186"/>
      <c r="AF113" s="186"/>
      <c r="AG113" s="186"/>
      <c r="AH113" s="186"/>
      <c r="AI113" s="186"/>
      <c r="AJ113" s="186"/>
      <c r="AK113" s="186"/>
      <c r="AL113" s="186"/>
      <c r="AM113" s="186"/>
      <c r="AN113" s="186"/>
      <c r="AO113" s="186"/>
      <c r="AP113" s="499"/>
      <c r="AQ113" s="166"/>
      <c r="AR113" s="166"/>
      <c r="AS113" s="166"/>
      <c r="AT113" s="166"/>
      <c r="AU113" s="166"/>
      <c r="AV113" s="166"/>
      <c r="AW113" s="166"/>
      <c r="AX113" s="166"/>
      <c r="AY113" s="166"/>
      <c r="AZ113" s="166"/>
      <c r="BA113" s="166"/>
      <c r="BB113" s="166"/>
      <c r="BC113" s="166"/>
      <c r="BD113" s="166"/>
      <c r="BE113" s="146" t="str">
        <f>'5.FieldEnergyUse'!D40</f>
        <v>disk bedder</v>
      </c>
      <c r="BF113" s="593" t="e">
        <f ca="1">IF('5.FieldEnergyUse'!F40&gt;0,'5.FieldEnergyUse'!F40,NA())</f>
        <v>#N/A</v>
      </c>
      <c r="BG113" s="166"/>
      <c r="BH113" s="381"/>
      <c r="BI113" s="166"/>
      <c r="BJ113" s="166"/>
      <c r="BK113" s="166"/>
      <c r="BL113" s="166"/>
      <c r="BM113" s="166"/>
      <c r="BN113" s="166"/>
    </row>
    <row r="114" spans="1:66" ht="21.75" customHeight="1" x14ac:dyDescent="0.25">
      <c r="A114" s="166"/>
      <c r="B114" s="381"/>
      <c r="C114" s="186"/>
      <c r="D114" s="186"/>
      <c r="E114" s="186"/>
      <c r="F114" s="186"/>
      <c r="G114" s="186"/>
      <c r="H114" s="186"/>
      <c r="I114" s="186"/>
      <c r="J114" s="186"/>
      <c r="K114" s="186"/>
      <c r="L114" s="186"/>
      <c r="M114" s="186"/>
      <c r="N114" s="186"/>
      <c r="O114" s="186"/>
      <c r="P114" s="186"/>
      <c r="Q114" s="186"/>
      <c r="R114" s="186"/>
      <c r="S114" s="499"/>
      <c r="T114" s="166"/>
      <c r="U114" s="166"/>
      <c r="V114" s="166"/>
      <c r="W114" s="166"/>
      <c r="X114" s="166"/>
      <c r="Y114" s="166"/>
      <c r="Z114" s="100"/>
      <c r="AA114" s="186"/>
      <c r="AB114" s="186"/>
      <c r="AC114" s="186"/>
      <c r="AD114" s="186"/>
      <c r="AE114" s="186"/>
      <c r="AF114" s="186"/>
      <c r="AG114" s="186"/>
      <c r="AH114" s="186"/>
      <c r="AI114" s="186"/>
      <c r="AJ114" s="186"/>
      <c r="AK114" s="186"/>
      <c r="AL114" s="186"/>
      <c r="AM114" s="186"/>
      <c r="AN114" s="186"/>
      <c r="AO114" s="186"/>
      <c r="AP114" s="499"/>
      <c r="AQ114" s="166"/>
      <c r="AR114" s="166"/>
      <c r="AS114" s="166"/>
      <c r="AT114" s="166"/>
      <c r="AU114" s="166"/>
      <c r="AV114" s="166"/>
      <c r="AW114" s="166"/>
      <c r="AX114" s="166"/>
      <c r="AY114" s="166"/>
      <c r="AZ114" s="166"/>
      <c r="BA114" s="166"/>
      <c r="BB114" s="166"/>
      <c r="BC114" s="166"/>
      <c r="BD114" s="166"/>
      <c r="BE114" s="146" t="str">
        <f>'5.FieldEnergyUse'!D41</f>
        <v xml:space="preserve">field cultivator/ridger </v>
      </c>
      <c r="BF114" s="593" t="e">
        <f ca="1">IF('5.FieldEnergyUse'!F41&gt;0,'5.FieldEnergyUse'!F41,NA())</f>
        <v>#N/A</v>
      </c>
      <c r="BG114" s="166"/>
      <c r="BH114" s="381"/>
      <c r="BI114" s="166"/>
      <c r="BJ114" s="166"/>
      <c r="BK114" s="166"/>
      <c r="BL114" s="166"/>
      <c r="BM114" s="166"/>
      <c r="BN114" s="166"/>
    </row>
    <row r="115" spans="1:66" ht="21.75" customHeight="1" x14ac:dyDescent="0.25">
      <c r="A115" s="166"/>
      <c r="B115" s="381"/>
      <c r="C115" s="186"/>
      <c r="D115" s="186"/>
      <c r="E115" s="186"/>
      <c r="F115" s="186"/>
      <c r="G115" s="186"/>
      <c r="H115" s="186"/>
      <c r="I115" s="186"/>
      <c r="J115" s="186"/>
      <c r="K115" s="186"/>
      <c r="L115" s="186"/>
      <c r="M115" s="186"/>
      <c r="N115" s="186"/>
      <c r="O115" s="186"/>
      <c r="P115" s="186"/>
      <c r="Q115" s="186"/>
      <c r="R115" s="186"/>
      <c r="S115" s="499"/>
      <c r="T115" s="166"/>
      <c r="U115" s="166"/>
      <c r="V115" s="166"/>
      <c r="W115" s="166"/>
      <c r="X115" s="166"/>
      <c r="Y115" s="166"/>
      <c r="Z115" s="100"/>
      <c r="AA115" s="186"/>
      <c r="AB115" s="186"/>
      <c r="AC115" s="186"/>
      <c r="AD115" s="186"/>
      <c r="AE115" s="186"/>
      <c r="AF115" s="186"/>
      <c r="AG115" s="186"/>
      <c r="AH115" s="186"/>
      <c r="AI115" s="186"/>
      <c r="AJ115" s="186"/>
      <c r="AK115" s="186"/>
      <c r="AL115" s="186"/>
      <c r="AM115" s="186"/>
      <c r="AN115" s="186"/>
      <c r="AO115" s="186"/>
      <c r="AP115" s="499"/>
      <c r="AQ115" s="166"/>
      <c r="AR115" s="166"/>
      <c r="AS115" s="166"/>
      <c r="AT115" s="166"/>
      <c r="AU115" s="166"/>
      <c r="AV115" s="166"/>
      <c r="AW115" s="166"/>
      <c r="AX115" s="166"/>
      <c r="AY115" s="166"/>
      <c r="AZ115" s="166"/>
      <c r="BA115" s="166"/>
      <c r="BB115" s="166"/>
      <c r="BC115" s="166"/>
      <c r="BD115" s="166"/>
      <c r="BE115" s="146" t="str">
        <f>'5.FieldEnergyUse'!D42</f>
        <v>grain drill</v>
      </c>
      <c r="BF115" s="593" t="e">
        <f ca="1">IF('5.FieldEnergyUse'!F42&gt;0,'5.FieldEnergyUse'!F42,NA())</f>
        <v>#N/A</v>
      </c>
      <c r="BG115" s="166"/>
      <c r="BH115" s="381"/>
      <c r="BI115" s="166"/>
      <c r="BJ115" s="166"/>
      <c r="BK115" s="166"/>
      <c r="BL115" s="166"/>
      <c r="BM115" s="166"/>
      <c r="BN115" s="166"/>
    </row>
    <row r="116" spans="1:66" ht="21.75" customHeight="1" x14ac:dyDescent="0.25">
      <c r="A116" s="166"/>
      <c r="B116" s="381"/>
      <c r="C116" s="186"/>
      <c r="D116" s="186"/>
      <c r="E116" s="186"/>
      <c r="F116" s="186"/>
      <c r="G116" s="186"/>
      <c r="H116" s="186"/>
      <c r="I116" s="186"/>
      <c r="J116" s="186"/>
      <c r="K116" s="186"/>
      <c r="L116" s="186"/>
      <c r="M116" s="186"/>
      <c r="N116" s="186"/>
      <c r="O116" s="186"/>
      <c r="P116" s="186"/>
      <c r="Q116" s="186"/>
      <c r="R116" s="186"/>
      <c r="S116" s="499"/>
      <c r="T116" s="166"/>
      <c r="U116" s="166"/>
      <c r="V116" s="166"/>
      <c r="W116" s="166"/>
      <c r="X116" s="166"/>
      <c r="Y116" s="166"/>
      <c r="Z116" s="100"/>
      <c r="AA116" s="186"/>
      <c r="AB116" s="186"/>
      <c r="AC116" s="186"/>
      <c r="AD116" s="186"/>
      <c r="AE116" s="186"/>
      <c r="AF116" s="186"/>
      <c r="AG116" s="186"/>
      <c r="AH116" s="186"/>
      <c r="AI116" s="186"/>
      <c r="AJ116" s="186"/>
      <c r="AK116" s="186"/>
      <c r="AL116" s="186"/>
      <c r="AM116" s="186"/>
      <c r="AN116" s="186"/>
      <c r="AO116" s="186"/>
      <c r="AP116" s="499"/>
      <c r="AQ116" s="166"/>
      <c r="AR116" s="166"/>
      <c r="AS116" s="166"/>
      <c r="AT116" s="166"/>
      <c r="AU116" s="166"/>
      <c r="AV116" s="166"/>
      <c r="AW116" s="166"/>
      <c r="AX116" s="166"/>
      <c r="AY116" s="166"/>
      <c r="AZ116" s="166"/>
      <c r="BA116" s="166"/>
      <c r="BB116" s="166"/>
      <c r="BC116" s="166"/>
      <c r="BD116" s="166"/>
      <c r="BE116" s="146" t="str">
        <f>'5.FieldEnergyUse'!D43</f>
        <v>grain drill-notill</v>
      </c>
      <c r="BF116" s="593">
        <f ca="1">IF('5.FieldEnergyUse'!F43&gt;0,'5.FieldEnergyUse'!F43,NA())</f>
        <v>4.2420684210526316</v>
      </c>
      <c r="BG116" s="166"/>
      <c r="BH116" s="381"/>
      <c r="BI116" s="166"/>
      <c r="BJ116" s="166"/>
      <c r="BK116" s="166"/>
      <c r="BL116" s="166"/>
      <c r="BM116" s="166"/>
      <c r="BN116" s="166"/>
    </row>
    <row r="117" spans="1:66" ht="21.75" customHeight="1" x14ac:dyDescent="0.25">
      <c r="A117" s="166"/>
      <c r="B117" s="381"/>
      <c r="C117" s="186"/>
      <c r="D117" s="186"/>
      <c r="E117" s="186"/>
      <c r="F117" s="186"/>
      <c r="G117" s="186"/>
      <c r="H117" s="186"/>
      <c r="I117" s="186"/>
      <c r="J117" s="186"/>
      <c r="K117" s="186"/>
      <c r="L117" s="186"/>
      <c r="M117" s="186"/>
      <c r="N117" s="186"/>
      <c r="O117" s="186"/>
      <c r="P117" s="186"/>
      <c r="Q117" s="186"/>
      <c r="R117" s="186"/>
      <c r="S117" s="499"/>
      <c r="T117" s="166"/>
      <c r="U117" s="166"/>
      <c r="V117" s="166"/>
      <c r="W117" s="166"/>
      <c r="X117" s="166"/>
      <c r="Y117" s="166"/>
      <c r="Z117" s="100"/>
      <c r="AA117" s="186"/>
      <c r="AB117" s="186"/>
      <c r="AC117" s="186"/>
      <c r="AD117" s="186"/>
      <c r="AE117" s="186"/>
      <c r="AF117" s="186"/>
      <c r="AG117" s="186"/>
      <c r="AH117" s="186"/>
      <c r="AI117" s="186"/>
      <c r="AJ117" s="186"/>
      <c r="AK117" s="186"/>
      <c r="AL117" s="186"/>
      <c r="AM117" s="186"/>
      <c r="AN117" s="186"/>
      <c r="AO117" s="186"/>
      <c r="AP117" s="499"/>
      <c r="AQ117" s="166"/>
      <c r="AR117" s="166"/>
      <c r="AS117" s="166"/>
      <c r="AT117" s="166"/>
      <c r="AU117" s="166"/>
      <c r="AV117" s="166"/>
      <c r="AW117" s="166"/>
      <c r="AX117" s="166"/>
      <c r="AY117" s="166"/>
      <c r="AZ117" s="166"/>
      <c r="BA117" s="166"/>
      <c r="BB117" s="166"/>
      <c r="BC117" s="166"/>
      <c r="BD117" s="166"/>
      <c r="BE117" s="146" t="str">
        <f>'5.FieldEnergyUse'!D44</f>
        <v>hoe drill</v>
      </c>
      <c r="BF117" s="593" t="e">
        <f ca="1">IF('5.FieldEnergyUse'!F44&gt;0,'5.FieldEnergyUse'!F44,NA())</f>
        <v>#N/A</v>
      </c>
      <c r="BG117" s="166"/>
      <c r="BH117" s="381"/>
      <c r="BI117" s="166"/>
      <c r="BJ117" s="166"/>
      <c r="BK117" s="166"/>
      <c r="BL117" s="166"/>
      <c r="BM117" s="166"/>
      <c r="BN117" s="166"/>
    </row>
    <row r="118" spans="1:66" ht="21.75" customHeight="1" x14ac:dyDescent="0.25">
      <c r="A118" s="166"/>
      <c r="B118" s="381"/>
      <c r="C118" s="186"/>
      <c r="D118" s="186"/>
      <c r="E118" s="186"/>
      <c r="F118" s="186"/>
      <c r="G118" s="186"/>
      <c r="H118" s="186"/>
      <c r="I118" s="186"/>
      <c r="J118" s="186"/>
      <c r="K118" s="186"/>
      <c r="L118" s="186"/>
      <c r="M118" s="186"/>
      <c r="N118" s="186"/>
      <c r="O118" s="186"/>
      <c r="P118" s="186"/>
      <c r="Q118" s="186"/>
      <c r="R118" s="186"/>
      <c r="S118" s="499"/>
      <c r="T118" s="166"/>
      <c r="U118" s="166"/>
      <c r="V118" s="166"/>
      <c r="W118" s="166"/>
      <c r="X118" s="166"/>
      <c r="Y118" s="166"/>
      <c r="Z118" s="100"/>
      <c r="AA118" s="186"/>
      <c r="AB118" s="186"/>
      <c r="AC118" s="186"/>
      <c r="AD118" s="186"/>
      <c r="AE118" s="186"/>
      <c r="AF118" s="186"/>
      <c r="AG118" s="186"/>
      <c r="AH118" s="186"/>
      <c r="AI118" s="186"/>
      <c r="AJ118" s="186"/>
      <c r="AK118" s="186"/>
      <c r="AL118" s="186"/>
      <c r="AM118" s="186"/>
      <c r="AN118" s="186"/>
      <c r="AO118" s="186"/>
      <c r="AP118" s="499"/>
      <c r="AQ118" s="166"/>
      <c r="AR118" s="166"/>
      <c r="AS118" s="166"/>
      <c r="AT118" s="166"/>
      <c r="AU118" s="166"/>
      <c r="AV118" s="166"/>
      <c r="AW118" s="166"/>
      <c r="AX118" s="166"/>
      <c r="AY118" s="166"/>
      <c r="AZ118" s="166"/>
      <c r="BA118" s="166"/>
      <c r="BB118" s="166"/>
      <c r="BC118" s="166"/>
      <c r="BD118" s="166"/>
      <c r="BE118" s="146" t="str">
        <f>'5.FieldEnergyUse'!D45</f>
        <v>land plane/destoner</v>
      </c>
      <c r="BF118" s="593" t="e">
        <f ca="1">IF('5.FieldEnergyUse'!F45&gt;0,'5.FieldEnergyUse'!F45,NA())</f>
        <v>#N/A</v>
      </c>
      <c r="BG118" s="166"/>
      <c r="BH118" s="381"/>
      <c r="BI118" s="166"/>
      <c r="BJ118" s="166"/>
      <c r="BK118" s="166"/>
      <c r="BL118" s="166"/>
      <c r="BM118" s="166"/>
      <c r="BN118" s="166"/>
    </row>
    <row r="119" spans="1:66" ht="21.75" customHeight="1" x14ac:dyDescent="0.25">
      <c r="A119" s="166"/>
      <c r="B119" s="381"/>
      <c r="C119" s="186"/>
      <c r="D119" s="186"/>
      <c r="E119" s="186"/>
      <c r="F119" s="186"/>
      <c r="G119" s="186"/>
      <c r="H119" s="186"/>
      <c r="I119" s="186"/>
      <c r="J119" s="186"/>
      <c r="K119" s="186"/>
      <c r="L119" s="186"/>
      <c r="M119" s="186"/>
      <c r="N119" s="186"/>
      <c r="O119" s="186"/>
      <c r="P119" s="186"/>
      <c r="Q119" s="186"/>
      <c r="R119" s="186"/>
      <c r="S119" s="499"/>
      <c r="T119" s="166"/>
      <c r="U119" s="166"/>
      <c r="V119" s="166"/>
      <c r="W119" s="166"/>
      <c r="X119" s="166"/>
      <c r="Y119" s="166"/>
      <c r="Z119" s="100"/>
      <c r="AA119" s="100"/>
      <c r="AB119" s="260"/>
      <c r="AC119" s="260"/>
      <c r="AD119" s="260"/>
      <c r="AE119" s="260"/>
      <c r="AF119" s="100"/>
      <c r="AG119" s="260"/>
      <c r="AH119" s="260"/>
      <c r="AI119" s="260"/>
      <c r="AJ119" s="260"/>
      <c r="AK119" s="260"/>
      <c r="AL119" s="260"/>
      <c r="AM119" s="260"/>
      <c r="AN119" s="260"/>
      <c r="AO119" s="260"/>
      <c r="AP119" s="280"/>
      <c r="AQ119" s="166"/>
      <c r="AR119" s="166"/>
      <c r="AS119" s="166"/>
      <c r="AT119" s="166"/>
      <c r="AU119" s="166"/>
      <c r="AV119" s="166"/>
      <c r="AW119" s="166"/>
      <c r="AX119" s="166"/>
      <c r="AY119" s="166"/>
      <c r="AZ119" s="166"/>
      <c r="BA119" s="166"/>
      <c r="BB119" s="166"/>
      <c r="BC119" s="166"/>
      <c r="BD119" s="166"/>
      <c r="BE119" s="146" t="str">
        <f>'5.FieldEnergyUse'!D46</f>
        <v>moldboard plough</v>
      </c>
      <c r="BF119" s="593" t="e">
        <f ca="1">IF('5.FieldEnergyUse'!F46&gt;0,'5.FieldEnergyUse'!F46,NA())</f>
        <v>#N/A</v>
      </c>
      <c r="BG119" s="166"/>
      <c r="BH119" s="381"/>
      <c r="BI119" s="166"/>
      <c r="BJ119" s="166"/>
      <c r="BK119" s="166"/>
      <c r="BL119" s="166"/>
      <c r="BM119" s="166"/>
      <c r="BN119" s="166"/>
    </row>
    <row r="120" spans="1:66" ht="21.75" customHeight="1" x14ac:dyDescent="0.25">
      <c r="A120" s="166"/>
      <c r="B120" s="381"/>
      <c r="C120" s="186"/>
      <c r="D120" s="186"/>
      <c r="E120" s="186"/>
      <c r="F120" s="186"/>
      <c r="G120" s="186"/>
      <c r="H120" s="186"/>
      <c r="I120" s="186"/>
      <c r="J120" s="186"/>
      <c r="K120" s="186"/>
      <c r="L120" s="186"/>
      <c r="M120" s="186"/>
      <c r="N120" s="186"/>
      <c r="O120" s="186"/>
      <c r="P120" s="186"/>
      <c r="Q120" s="186"/>
      <c r="R120" s="186"/>
      <c r="S120" s="499"/>
      <c r="T120" s="166"/>
      <c r="U120" s="166"/>
      <c r="V120" s="166"/>
      <c r="W120" s="166"/>
      <c r="X120" s="166"/>
      <c r="Y120" s="166"/>
      <c r="Z120" s="186"/>
      <c r="AA120" s="186"/>
      <c r="AB120" s="186"/>
      <c r="AC120" s="186"/>
      <c r="AD120" s="186"/>
      <c r="AE120" s="186"/>
      <c r="AF120" s="186"/>
      <c r="AG120" s="186"/>
      <c r="AH120" s="186"/>
      <c r="AI120" s="186"/>
      <c r="AJ120" s="186"/>
      <c r="AK120" s="186"/>
      <c r="AL120" s="186"/>
      <c r="AM120" s="186"/>
      <c r="AN120" s="186"/>
      <c r="AO120" s="186"/>
      <c r="AP120" s="499"/>
      <c r="AQ120" s="166"/>
      <c r="AR120" s="166"/>
      <c r="AS120" s="166"/>
      <c r="AT120" s="166"/>
      <c r="AU120" s="166"/>
      <c r="AV120" s="166"/>
      <c r="AW120" s="166"/>
      <c r="AX120" s="166"/>
      <c r="AY120" s="166"/>
      <c r="AZ120" s="166"/>
      <c r="BA120" s="166"/>
      <c r="BB120" s="166"/>
      <c r="BC120" s="166"/>
      <c r="BD120" s="166"/>
      <c r="BE120" s="146" t="str">
        <f>'5.FieldEnergyUse'!D47</f>
        <v>pneumatic drill</v>
      </c>
      <c r="BF120" s="593" t="e">
        <f ca="1">IF('5.FieldEnergyUse'!F47&gt;0,'5.FieldEnergyUse'!F47,NA())</f>
        <v>#N/A</v>
      </c>
      <c r="BG120" s="166"/>
      <c r="BH120" s="381"/>
      <c r="BI120" s="166"/>
      <c r="BJ120" s="166"/>
      <c r="BK120" s="166"/>
      <c r="BL120" s="166"/>
      <c r="BM120" s="166"/>
      <c r="BN120" s="166"/>
    </row>
    <row r="121" spans="1:66" ht="21.75" customHeight="1" x14ac:dyDescent="0.25">
      <c r="A121" s="166"/>
      <c r="B121" s="381"/>
      <c r="C121" s="186"/>
      <c r="D121" s="186"/>
      <c r="E121" s="186"/>
      <c r="F121" s="186"/>
      <c r="G121" s="186"/>
      <c r="H121" s="186"/>
      <c r="I121" s="186"/>
      <c r="J121" s="186"/>
      <c r="K121" s="186"/>
      <c r="L121" s="186"/>
      <c r="M121" s="186"/>
      <c r="N121" s="186"/>
      <c r="O121" s="186"/>
      <c r="P121" s="186"/>
      <c r="Q121" s="186"/>
      <c r="R121" s="186"/>
      <c r="S121" s="499"/>
      <c r="T121" s="166"/>
      <c r="U121" s="166"/>
      <c r="V121" s="166"/>
      <c r="W121" s="166"/>
      <c r="X121" s="166"/>
      <c r="Y121" s="166"/>
      <c r="Z121" s="166"/>
      <c r="AA121" s="166"/>
      <c r="AB121" s="166"/>
      <c r="AC121" s="166"/>
      <c r="AD121" s="166"/>
      <c r="AE121" s="166"/>
      <c r="AF121" s="166"/>
      <c r="AG121" s="166"/>
      <c r="AH121" s="166"/>
      <c r="AI121" s="166"/>
      <c r="AJ121" s="166"/>
      <c r="AK121" s="166"/>
      <c r="AL121" s="166"/>
      <c r="AM121" s="166"/>
      <c r="AN121" s="166"/>
      <c r="AO121" s="166"/>
      <c r="AP121" s="166"/>
      <c r="AQ121" s="166"/>
      <c r="AR121" s="166"/>
      <c r="AS121" s="166"/>
      <c r="AT121" s="166"/>
      <c r="AU121" s="166"/>
      <c r="AV121" s="166"/>
      <c r="AW121" s="166"/>
      <c r="AX121" s="166"/>
      <c r="AY121" s="166"/>
      <c r="AZ121" s="166"/>
      <c r="BA121" s="166"/>
      <c r="BB121" s="166"/>
      <c r="BC121" s="166"/>
      <c r="BD121" s="166"/>
      <c r="BE121" s="146" t="str">
        <f>'5.FieldEnergyUse'!D48</f>
        <v>rod weeder</v>
      </c>
      <c r="BF121" s="593" t="e">
        <f ca="1">IF('5.FieldEnergyUse'!F48&gt;0,'5.FieldEnergyUse'!F48,NA())</f>
        <v>#N/A</v>
      </c>
      <c r="BG121" s="166"/>
      <c r="BH121" s="166"/>
      <c r="BI121" s="166"/>
      <c r="BJ121" s="166"/>
      <c r="BK121" s="166"/>
      <c r="BL121" s="166"/>
      <c r="BM121" s="166"/>
      <c r="BN121" s="166"/>
    </row>
    <row r="122" spans="1:66" ht="21.75" customHeight="1" x14ac:dyDescent="0.25">
      <c r="A122" s="166"/>
      <c r="B122" s="381"/>
      <c r="C122" s="186"/>
      <c r="D122" s="186"/>
      <c r="E122" s="186"/>
      <c r="F122" s="186"/>
      <c r="G122" s="186"/>
      <c r="H122" s="186"/>
      <c r="I122" s="186"/>
      <c r="J122" s="186"/>
      <c r="K122" s="186"/>
      <c r="L122" s="186"/>
      <c r="M122" s="186"/>
      <c r="N122" s="186"/>
      <c r="O122" s="186"/>
      <c r="P122" s="186"/>
      <c r="Q122" s="186"/>
      <c r="R122" s="186"/>
      <c r="S122" s="499"/>
      <c r="T122" s="166"/>
      <c r="U122" s="166"/>
      <c r="V122" s="166"/>
      <c r="W122" s="166"/>
      <c r="X122" s="166"/>
      <c r="Y122" s="166"/>
      <c r="Z122" s="166"/>
      <c r="AA122" s="166"/>
      <c r="AB122" s="166"/>
      <c r="AC122" s="166"/>
      <c r="AD122" s="166"/>
      <c r="AE122" s="166"/>
      <c r="AF122" s="166"/>
      <c r="AG122" s="166"/>
      <c r="AH122" s="166"/>
      <c r="AI122" s="166"/>
      <c r="AJ122" s="166"/>
      <c r="AK122" s="166"/>
      <c r="AL122" s="166"/>
      <c r="AM122" s="166"/>
      <c r="AN122" s="166"/>
      <c r="AO122" s="166"/>
      <c r="AP122" s="166"/>
      <c r="AQ122" s="166"/>
      <c r="AR122" s="166"/>
      <c r="AS122" s="166"/>
      <c r="AT122" s="166"/>
      <c r="AU122" s="166"/>
      <c r="AV122" s="166"/>
      <c r="AW122" s="166"/>
      <c r="AX122" s="166"/>
      <c r="AY122" s="166"/>
      <c r="AZ122" s="166"/>
      <c r="BA122" s="166"/>
      <c r="BB122" s="166"/>
      <c r="BC122" s="166"/>
      <c r="BD122" s="166"/>
      <c r="BE122" s="146" t="str">
        <f>'5.FieldEnergyUse'!D49</f>
        <v>roller harrow</v>
      </c>
      <c r="BF122" s="593" t="e">
        <f ca="1">IF('5.FieldEnergyUse'!F49&gt;0,'5.FieldEnergyUse'!F49,NA())</f>
        <v>#N/A</v>
      </c>
      <c r="BG122" s="166"/>
      <c r="BH122" s="166"/>
      <c r="BI122" s="166"/>
      <c r="BJ122" s="166"/>
      <c r="BK122" s="166"/>
      <c r="BL122" s="166"/>
      <c r="BM122" s="166"/>
      <c r="BN122" s="166"/>
    </row>
    <row r="123" spans="1:66" ht="21.75" customHeight="1" x14ac:dyDescent="0.25">
      <c r="A123" s="166"/>
      <c r="B123" s="381"/>
      <c r="C123" s="186"/>
      <c r="D123" s="186"/>
      <c r="E123" s="186"/>
      <c r="F123" s="186"/>
      <c r="G123" s="186"/>
      <c r="H123" s="186"/>
      <c r="I123" s="186"/>
      <c r="J123" s="186"/>
      <c r="K123" s="186"/>
      <c r="L123" s="186"/>
      <c r="M123" s="186"/>
      <c r="N123" s="186"/>
      <c r="O123" s="186"/>
      <c r="P123" s="186"/>
      <c r="Q123" s="186"/>
      <c r="R123" s="186"/>
      <c r="S123" s="499"/>
      <c r="T123" s="166"/>
      <c r="U123" s="166"/>
      <c r="V123" s="166"/>
      <c r="W123" s="166"/>
      <c r="X123" s="166"/>
      <c r="Y123" s="166"/>
      <c r="Z123" s="166"/>
      <c r="AA123" s="166"/>
      <c r="AB123" s="166"/>
      <c r="AC123" s="166"/>
      <c r="AD123" s="166"/>
      <c r="AE123" s="166"/>
      <c r="AF123" s="166"/>
      <c r="AG123" s="166"/>
      <c r="AH123" s="166"/>
      <c r="AI123" s="166"/>
      <c r="AJ123" s="166"/>
      <c r="AK123" s="166"/>
      <c r="AL123" s="166"/>
      <c r="AM123" s="166"/>
      <c r="AN123" s="166"/>
      <c r="AO123" s="166"/>
      <c r="AP123" s="166"/>
      <c r="AQ123" s="166"/>
      <c r="AR123" s="166"/>
      <c r="AS123" s="166"/>
      <c r="AT123" s="166"/>
      <c r="AU123" s="166"/>
      <c r="AV123" s="166"/>
      <c r="AW123" s="166"/>
      <c r="AX123" s="166"/>
      <c r="AY123" s="166"/>
      <c r="AZ123" s="166"/>
      <c r="BA123" s="166"/>
      <c r="BB123" s="166"/>
      <c r="BC123" s="166"/>
      <c r="BD123" s="166"/>
      <c r="BE123" s="146" t="str">
        <f>'5.FieldEnergyUse'!D50</f>
        <v>roller packer</v>
      </c>
      <c r="BF123" s="593">
        <f ca="1">IF('5.FieldEnergyUse'!F50&gt;0,'5.FieldEnergyUse'!F50,NA())</f>
        <v>7.8122807017543847</v>
      </c>
      <c r="BG123" s="166"/>
      <c r="BH123" s="166"/>
      <c r="BI123" s="166"/>
      <c r="BJ123" s="166"/>
      <c r="BK123" s="166"/>
      <c r="BL123" s="166"/>
      <c r="BM123" s="166"/>
      <c r="BN123" s="166"/>
    </row>
    <row r="124" spans="1:66" ht="21.75" customHeight="1" x14ac:dyDescent="0.25">
      <c r="A124" s="166"/>
      <c r="B124" s="381"/>
      <c r="C124" s="186"/>
      <c r="D124" s="186"/>
      <c r="E124" s="186"/>
      <c r="F124" s="186"/>
      <c r="G124" s="186"/>
      <c r="H124" s="186"/>
      <c r="I124" s="186"/>
      <c r="J124" s="186"/>
      <c r="K124" s="186"/>
      <c r="L124" s="186"/>
      <c r="M124" s="186"/>
      <c r="N124" s="186"/>
      <c r="O124" s="186"/>
      <c r="P124" s="186"/>
      <c r="Q124" s="186"/>
      <c r="R124" s="186"/>
      <c r="S124" s="499"/>
      <c r="T124" s="166"/>
      <c r="U124" s="166"/>
      <c r="V124" s="166"/>
      <c r="W124" s="166"/>
      <c r="X124" s="166"/>
      <c r="Y124" s="166"/>
      <c r="Z124" s="166"/>
      <c r="AA124" s="166"/>
      <c r="AB124" s="166"/>
      <c r="AC124" s="166"/>
      <c r="AD124" s="166"/>
      <c r="AE124" s="166"/>
      <c r="AF124" s="166"/>
      <c r="AG124" s="166"/>
      <c r="AH124" s="166"/>
      <c r="AI124" s="166"/>
      <c r="AJ124" s="166"/>
      <c r="AK124" s="166"/>
      <c r="AL124" s="166"/>
      <c r="AM124" s="166"/>
      <c r="AN124" s="166"/>
      <c r="AO124" s="166"/>
      <c r="AP124" s="166"/>
      <c r="AQ124" s="166"/>
      <c r="AR124" s="166"/>
      <c r="AS124" s="166"/>
      <c r="AT124" s="166"/>
      <c r="AU124" s="166"/>
      <c r="AV124" s="166"/>
      <c r="AW124" s="166"/>
      <c r="AX124" s="166"/>
      <c r="AY124" s="166"/>
      <c r="AZ124" s="166"/>
      <c r="BA124" s="166"/>
      <c r="BB124" s="166"/>
      <c r="BC124" s="166"/>
      <c r="BD124" s="166"/>
      <c r="BE124" s="146" t="str">
        <f>'5.FieldEnergyUse'!D51</f>
        <v>rotary hoe/bed tiller</v>
      </c>
      <c r="BF124" s="593" t="e">
        <f ca="1">IF('5.FieldEnergyUse'!F51&gt;0,'5.FieldEnergyUse'!F51,NA())</f>
        <v>#N/A</v>
      </c>
      <c r="BG124" s="166"/>
      <c r="BH124" s="166"/>
      <c r="BI124" s="166"/>
      <c r="BJ124" s="166"/>
      <c r="BK124" s="166"/>
      <c r="BL124" s="166"/>
      <c r="BM124" s="166"/>
      <c r="BN124" s="166"/>
    </row>
    <row r="125" spans="1:66" ht="21.75" customHeight="1" x14ac:dyDescent="0.25">
      <c r="A125" s="166"/>
      <c r="B125" s="381"/>
      <c r="C125" s="186"/>
      <c r="D125" s="186"/>
      <c r="E125" s="186"/>
      <c r="F125" s="186"/>
      <c r="G125" s="186"/>
      <c r="H125" s="186"/>
      <c r="I125" s="186"/>
      <c r="J125" s="186"/>
      <c r="K125" s="186"/>
      <c r="L125" s="186"/>
      <c r="M125" s="186"/>
      <c r="N125" s="186"/>
      <c r="O125" s="186"/>
      <c r="P125" s="186"/>
      <c r="Q125" s="186"/>
      <c r="R125" s="186"/>
      <c r="S125" s="499"/>
      <c r="T125" s="166"/>
      <c r="U125" s="166"/>
      <c r="V125" s="166"/>
      <c r="W125" s="166"/>
      <c r="X125" s="166"/>
      <c r="Y125" s="166"/>
      <c r="Z125" s="166"/>
      <c r="AA125" s="166"/>
      <c r="AB125" s="166"/>
      <c r="AC125" s="166"/>
      <c r="AD125" s="166"/>
      <c r="AE125" s="166"/>
      <c r="AF125" s="166"/>
      <c r="AG125" s="166"/>
      <c r="AH125" s="166"/>
      <c r="AI125" s="166"/>
      <c r="AJ125" s="166"/>
      <c r="AK125" s="166"/>
      <c r="AL125" s="166"/>
      <c r="AM125" s="166"/>
      <c r="AN125" s="166"/>
      <c r="AO125" s="166"/>
      <c r="AP125" s="166"/>
      <c r="AQ125" s="166"/>
      <c r="AR125" s="166"/>
      <c r="AS125" s="166"/>
      <c r="AT125" s="166"/>
      <c r="AU125" s="166"/>
      <c r="AV125" s="166"/>
      <c r="AW125" s="166"/>
      <c r="AX125" s="166"/>
      <c r="AY125" s="166"/>
      <c r="AZ125" s="166"/>
      <c r="BA125" s="166"/>
      <c r="BB125" s="166"/>
      <c r="BC125" s="166"/>
      <c r="BD125" s="166"/>
      <c r="BE125" s="146" t="str">
        <f>'5.FieldEnergyUse'!D52</f>
        <v>row crop cultivator</v>
      </c>
      <c r="BF125" s="593" t="e">
        <f ca="1">IF('5.FieldEnergyUse'!F52&gt;0,'5.FieldEnergyUse'!F52,NA())</f>
        <v>#N/A</v>
      </c>
      <c r="BG125" s="166"/>
      <c r="BH125" s="166"/>
      <c r="BI125" s="166"/>
      <c r="BJ125" s="166"/>
      <c r="BK125" s="166"/>
      <c r="BL125" s="166"/>
      <c r="BM125" s="166"/>
      <c r="BN125" s="166"/>
    </row>
    <row r="126" spans="1:66" ht="21.75" customHeight="1" x14ac:dyDescent="0.25">
      <c r="A126" s="166"/>
      <c r="B126" s="381"/>
      <c r="C126" s="186"/>
      <c r="D126" s="186"/>
      <c r="E126" s="186"/>
      <c r="F126" s="186"/>
      <c r="G126" s="186"/>
      <c r="H126" s="186"/>
      <c r="I126" s="186"/>
      <c r="J126" s="186"/>
      <c r="K126" s="186"/>
      <c r="L126" s="186"/>
      <c r="M126" s="186"/>
      <c r="N126" s="186"/>
      <c r="O126" s="186"/>
      <c r="P126" s="186"/>
      <c r="Q126" s="186"/>
      <c r="R126" s="186"/>
      <c r="S126" s="499"/>
      <c r="T126" s="166"/>
      <c r="U126" s="166"/>
      <c r="V126" s="166"/>
      <c r="W126" s="166"/>
      <c r="X126" s="166"/>
      <c r="Y126" s="166"/>
      <c r="Z126" s="166"/>
      <c r="AA126" s="166"/>
      <c r="AB126" s="166"/>
      <c r="AC126" s="166"/>
      <c r="AD126" s="166"/>
      <c r="AE126" s="166"/>
      <c r="AF126" s="166"/>
      <c r="AG126" s="166"/>
      <c r="AH126" s="166"/>
      <c r="AI126" s="166"/>
      <c r="AJ126" s="166"/>
      <c r="AK126" s="166"/>
      <c r="AL126" s="166"/>
      <c r="AM126" s="166"/>
      <c r="AN126" s="166"/>
      <c r="AO126" s="166"/>
      <c r="AP126" s="166"/>
      <c r="AQ126" s="166"/>
      <c r="AR126" s="166"/>
      <c r="AS126" s="166"/>
      <c r="AT126" s="166"/>
      <c r="AU126" s="166"/>
      <c r="AV126" s="166"/>
      <c r="AW126" s="166"/>
      <c r="AX126" s="166"/>
      <c r="AY126" s="166"/>
      <c r="AZ126" s="166"/>
      <c r="BA126" s="166"/>
      <c r="BB126" s="166"/>
      <c r="BC126" s="166"/>
      <c r="BD126" s="166"/>
      <c r="BE126" s="146" t="str">
        <f>'5.FieldEnergyUse'!D53</f>
        <v>row crop planter</v>
      </c>
      <c r="BF126" s="593" t="e">
        <f ca="1">IF('5.FieldEnergyUse'!F53&gt;0,'5.FieldEnergyUse'!F53,NA())</f>
        <v>#N/A</v>
      </c>
      <c r="BG126" s="166"/>
      <c r="BH126" s="166"/>
      <c r="BI126" s="166"/>
      <c r="BJ126" s="166"/>
      <c r="BK126" s="166"/>
      <c r="BL126" s="166"/>
      <c r="BM126" s="166"/>
      <c r="BN126" s="166"/>
    </row>
    <row r="127" spans="1:66" ht="21.75" customHeight="1" x14ac:dyDescent="0.25">
      <c r="A127" s="166"/>
      <c r="B127" s="381"/>
      <c r="C127" s="186"/>
      <c r="D127" s="186"/>
      <c r="E127" s="186"/>
      <c r="F127" s="186"/>
      <c r="G127" s="186"/>
      <c r="H127" s="186"/>
      <c r="I127" s="186"/>
      <c r="J127" s="186"/>
      <c r="K127" s="186"/>
      <c r="L127" s="186"/>
      <c r="M127" s="186"/>
      <c r="N127" s="186"/>
      <c r="O127" s="186"/>
      <c r="P127" s="186"/>
      <c r="Q127" s="186"/>
      <c r="R127" s="186"/>
      <c r="S127" s="499"/>
      <c r="T127" s="166"/>
      <c r="U127" s="166"/>
      <c r="V127" s="166"/>
      <c r="W127" s="166"/>
      <c r="X127" s="166"/>
      <c r="Y127" s="166"/>
      <c r="Z127" s="166"/>
      <c r="AA127" s="166"/>
      <c r="AB127" s="166"/>
      <c r="AC127" s="166"/>
      <c r="AD127" s="166"/>
      <c r="AE127" s="166"/>
      <c r="AF127" s="166"/>
      <c r="AG127" s="166"/>
      <c r="AH127" s="166"/>
      <c r="AI127" s="166"/>
      <c r="AJ127" s="166"/>
      <c r="AK127" s="166"/>
      <c r="AL127" s="166"/>
      <c r="AM127" s="166"/>
      <c r="AN127" s="166"/>
      <c r="AO127" s="166"/>
      <c r="AP127" s="166"/>
      <c r="AQ127" s="166"/>
      <c r="AR127" s="166"/>
      <c r="AS127" s="166"/>
      <c r="AT127" s="166"/>
      <c r="AU127" s="166"/>
      <c r="AV127" s="166"/>
      <c r="AW127" s="166"/>
      <c r="AX127" s="166"/>
      <c r="AY127" s="166"/>
      <c r="AZ127" s="166"/>
      <c r="BA127" s="166"/>
      <c r="BB127" s="166"/>
      <c r="BC127" s="166"/>
      <c r="BD127" s="166"/>
      <c r="BE127" s="146" t="str">
        <f>'5.FieldEnergyUse'!D54</f>
        <v>subsoiler</v>
      </c>
      <c r="BF127" s="593" t="e">
        <f ca="1">IF('5.FieldEnergyUse'!F54&gt;0,'5.FieldEnergyUse'!F54,NA())</f>
        <v>#N/A</v>
      </c>
      <c r="BG127" s="166"/>
      <c r="BH127" s="166"/>
      <c r="BI127" s="166"/>
      <c r="BJ127" s="166"/>
      <c r="BK127" s="166"/>
      <c r="BL127" s="166"/>
      <c r="BM127" s="166"/>
      <c r="BN127" s="166"/>
    </row>
    <row r="128" spans="1:66" ht="21.75" customHeight="1" x14ac:dyDescent="0.25">
      <c r="A128" s="166"/>
      <c r="B128" s="381"/>
      <c r="C128" s="186"/>
      <c r="D128" s="186"/>
      <c r="E128" s="186"/>
      <c r="F128" s="186"/>
      <c r="G128" s="186"/>
      <c r="H128" s="186"/>
      <c r="I128" s="186"/>
      <c r="J128" s="186"/>
      <c r="K128" s="186"/>
      <c r="L128" s="186"/>
      <c r="M128" s="186"/>
      <c r="N128" s="186"/>
      <c r="O128" s="186"/>
      <c r="P128" s="186"/>
      <c r="Q128" s="186"/>
      <c r="R128" s="186"/>
      <c r="S128" s="499"/>
      <c r="T128" s="166"/>
      <c r="U128" s="166"/>
      <c r="V128" s="166"/>
      <c r="W128" s="166"/>
      <c r="X128" s="166"/>
      <c r="Y128" s="166"/>
      <c r="Z128" s="166"/>
      <c r="AA128" s="166"/>
      <c r="AB128" s="166"/>
      <c r="AC128" s="166"/>
      <c r="AD128" s="166"/>
      <c r="AE128" s="166"/>
      <c r="AF128" s="166"/>
      <c r="AG128" s="166"/>
      <c r="AH128" s="166"/>
      <c r="AI128" s="166"/>
      <c r="AJ128" s="166"/>
      <c r="AK128" s="166"/>
      <c r="AL128" s="166"/>
      <c r="AM128" s="166"/>
      <c r="AN128" s="166"/>
      <c r="AO128" s="166"/>
      <c r="AP128" s="166"/>
      <c r="AQ128" s="166"/>
      <c r="AR128" s="166"/>
      <c r="AS128" s="166"/>
      <c r="AT128" s="166"/>
      <c r="AU128" s="166"/>
      <c r="AV128" s="166"/>
      <c r="AW128" s="166"/>
      <c r="AX128" s="166"/>
      <c r="AY128" s="166"/>
      <c r="AZ128" s="166"/>
      <c r="BA128" s="166"/>
      <c r="BB128" s="166"/>
      <c r="BC128" s="166"/>
      <c r="BD128" s="166"/>
      <c r="BE128" s="146" t="str">
        <f>'5.FieldEnergyUse'!D55</f>
        <v>sweep plough</v>
      </c>
      <c r="BF128" s="593" t="e">
        <f ca="1">IF('5.FieldEnergyUse'!F55&gt;0,'5.FieldEnergyUse'!F55,NA())</f>
        <v>#N/A</v>
      </c>
      <c r="BG128" s="166"/>
      <c r="BH128" s="166"/>
      <c r="BI128" s="166"/>
      <c r="BJ128" s="166"/>
      <c r="BK128" s="166"/>
      <c r="BL128" s="166"/>
      <c r="BM128" s="166"/>
      <c r="BN128" s="166"/>
    </row>
    <row r="129" spans="1:66" ht="21.75" customHeight="1" x14ac:dyDescent="0.25">
      <c r="A129" s="166"/>
      <c r="B129" s="381"/>
      <c r="C129" s="186"/>
      <c r="D129" s="186"/>
      <c r="E129" s="186"/>
      <c r="F129" s="186"/>
      <c r="G129" s="186"/>
      <c r="H129" s="186"/>
      <c r="I129" s="186"/>
      <c r="J129" s="186"/>
      <c r="K129" s="186"/>
      <c r="L129" s="186"/>
      <c r="M129" s="186"/>
      <c r="N129" s="186"/>
      <c r="O129" s="186"/>
      <c r="P129" s="186"/>
      <c r="Q129" s="186"/>
      <c r="R129" s="186"/>
      <c r="S129" s="499"/>
      <c r="T129" s="166"/>
      <c r="U129" s="166"/>
      <c r="V129" s="166"/>
      <c r="W129" s="166"/>
      <c r="X129" s="166"/>
      <c r="Y129" s="166"/>
      <c r="Z129" s="166"/>
      <c r="AA129" s="166"/>
      <c r="AB129" s="166"/>
      <c r="AC129" s="166"/>
      <c r="AD129" s="166"/>
      <c r="AE129" s="166"/>
      <c r="AF129" s="166"/>
      <c r="AG129" s="166"/>
      <c r="AH129" s="166"/>
      <c r="AI129" s="166"/>
      <c r="AJ129" s="166"/>
      <c r="AK129" s="166"/>
      <c r="AL129" s="166"/>
      <c r="AM129" s="166"/>
      <c r="AN129" s="166"/>
      <c r="AO129" s="166"/>
      <c r="AP129" s="166"/>
      <c r="AQ129" s="166"/>
      <c r="AR129" s="166"/>
      <c r="AS129" s="166"/>
      <c r="AT129" s="166"/>
      <c r="AU129" s="166"/>
      <c r="AV129" s="166"/>
      <c r="AW129" s="166"/>
      <c r="AX129" s="166"/>
      <c r="AY129" s="166"/>
      <c r="AZ129" s="166"/>
      <c r="BA129" s="166"/>
      <c r="BB129" s="166"/>
      <c r="BC129" s="166"/>
      <c r="BD129" s="166"/>
      <c r="BE129" s="146" t="str">
        <f>'5.FieldEnergyUse'!D56</f>
        <v>tine harrow/seed handling transport</v>
      </c>
      <c r="BF129" s="593" t="e">
        <f ca="1">IF('5.FieldEnergyUse'!F56&gt;0,'5.FieldEnergyUse'!F56,NA())</f>
        <v>#N/A</v>
      </c>
      <c r="BG129" s="166"/>
      <c r="BH129" s="166"/>
      <c r="BI129" s="166"/>
      <c r="BJ129" s="166"/>
      <c r="BK129" s="166"/>
      <c r="BL129" s="166"/>
      <c r="BM129" s="166"/>
      <c r="BN129" s="166"/>
    </row>
    <row r="130" spans="1:66" ht="24.8" customHeight="1" thickBot="1" x14ac:dyDescent="0.3">
      <c r="A130" s="166"/>
      <c r="B130" s="381"/>
      <c r="C130" s="186"/>
      <c r="D130" s="186"/>
      <c r="E130" s="186"/>
      <c r="F130" s="186"/>
      <c r="G130" s="186"/>
      <c r="H130" s="186"/>
      <c r="I130" s="186"/>
      <c r="J130" s="186"/>
      <c r="K130" s="186"/>
      <c r="L130" s="186"/>
      <c r="M130" s="186"/>
      <c r="N130" s="186"/>
      <c r="O130" s="186"/>
      <c r="P130" s="186"/>
      <c r="Q130" s="186"/>
      <c r="R130" s="186"/>
      <c r="S130" s="499"/>
      <c r="T130" s="166"/>
      <c r="U130" s="166"/>
      <c r="V130" s="166"/>
      <c r="W130" s="166"/>
      <c r="X130" s="166"/>
      <c r="Y130" s="166"/>
      <c r="Z130" s="166"/>
      <c r="AA130" s="166"/>
      <c r="AB130" s="166"/>
      <c r="AC130" s="166"/>
      <c r="AD130" s="166"/>
      <c r="AE130" s="166"/>
      <c r="AF130" s="166"/>
      <c r="AG130" s="166"/>
      <c r="AH130" s="166"/>
      <c r="AI130" s="166"/>
      <c r="AJ130" s="166"/>
      <c r="AK130" s="166"/>
      <c r="AL130" s="166"/>
      <c r="AM130" s="166"/>
      <c r="AN130" s="166"/>
      <c r="AO130" s="166"/>
      <c r="AP130" s="166"/>
      <c r="AQ130" s="166"/>
      <c r="AR130" s="166"/>
      <c r="AS130" s="166"/>
      <c r="AT130" s="166"/>
      <c r="AU130" s="166"/>
      <c r="AV130" s="166"/>
      <c r="AW130" s="166"/>
      <c r="AX130" s="166"/>
      <c r="AY130" s="166"/>
      <c r="AZ130" s="166"/>
      <c r="BA130" s="166"/>
      <c r="BB130" s="166"/>
      <c r="BC130" s="166"/>
      <c r="BD130" s="166"/>
      <c r="BE130" s="146" t="str">
        <f>'5.FieldEnergyUse'!D57</f>
        <v>tooth harrow</v>
      </c>
      <c r="BF130" s="593" t="e">
        <f ca="1">IF('5.FieldEnergyUse'!F57&gt;0,'5.FieldEnergyUse'!F57,NA())</f>
        <v>#N/A</v>
      </c>
      <c r="BG130" s="166"/>
      <c r="BH130" s="166"/>
      <c r="BI130" s="166"/>
      <c r="BJ130" s="166"/>
      <c r="BK130" s="166"/>
      <c r="BL130" s="166"/>
      <c r="BM130" s="166"/>
      <c r="BN130" s="166"/>
    </row>
    <row r="131" spans="1:66" ht="21.75" customHeight="1" thickBot="1" x14ac:dyDescent="0.3">
      <c r="A131" s="166"/>
      <c r="B131" s="955"/>
      <c r="C131" s="1033" t="s">
        <v>1260</v>
      </c>
      <c r="D131" s="956"/>
      <c r="E131" s="956"/>
      <c r="F131" s="956"/>
      <c r="G131" s="956"/>
      <c r="H131" s="956"/>
      <c r="I131" s="956"/>
      <c r="J131" s="956"/>
      <c r="K131" s="956"/>
      <c r="L131" s="956"/>
      <c r="M131" s="956"/>
      <c r="N131" s="956"/>
      <c r="O131" s="956"/>
      <c r="P131" s="956"/>
      <c r="Q131" s="956"/>
      <c r="R131" s="956"/>
      <c r="S131" s="957"/>
      <c r="T131" s="166"/>
      <c r="U131" s="166"/>
      <c r="V131" s="166"/>
      <c r="W131" s="166"/>
      <c r="X131" s="166"/>
      <c r="Y131" s="166"/>
      <c r="Z131" s="166"/>
      <c r="AA131" s="166"/>
      <c r="AB131" s="166"/>
      <c r="AC131" s="166"/>
      <c r="AD131" s="166"/>
      <c r="AE131" s="166"/>
      <c r="AF131" s="166"/>
      <c r="AG131" s="166"/>
      <c r="AH131" s="166"/>
      <c r="AI131" s="166"/>
      <c r="AJ131" s="166"/>
      <c r="AK131" s="166"/>
      <c r="AL131" s="166"/>
      <c r="AM131" s="166"/>
      <c r="AN131" s="166"/>
      <c r="AO131" s="166"/>
      <c r="AP131" s="166"/>
      <c r="AQ131" s="166"/>
      <c r="AR131" s="166"/>
      <c r="AS131" s="166"/>
      <c r="AT131" s="166"/>
      <c r="AU131" s="166"/>
      <c r="AV131" s="166"/>
      <c r="AW131" s="166"/>
      <c r="AX131" s="166"/>
      <c r="AY131" s="166"/>
      <c r="AZ131" s="166"/>
      <c r="BA131" s="166"/>
      <c r="BB131" s="166"/>
      <c r="BC131" s="166"/>
      <c r="BD131" s="166"/>
      <c r="BE131" s="146" t="str">
        <f>'5.FieldEnergyUse'!D60</f>
        <v>herbicide spraying</v>
      </c>
      <c r="BF131" s="593">
        <f ca="1">IF('5.FieldEnergyUse'!F60&gt;0,'5.FieldEnergyUse'!F60,NA())</f>
        <v>40.32</v>
      </c>
      <c r="BG131" s="166"/>
      <c r="BH131" s="166"/>
      <c r="BI131" s="166"/>
      <c r="BJ131" s="166"/>
      <c r="BK131" s="166"/>
      <c r="BL131" s="166"/>
      <c r="BM131" s="166"/>
      <c r="BN131" s="166"/>
    </row>
    <row r="132" spans="1:66" ht="21.75" customHeight="1" thickBot="1" x14ac:dyDescent="0.3">
      <c r="A132" s="166"/>
      <c r="B132" s="483"/>
      <c r="C132" s="346"/>
      <c r="D132" s="346"/>
      <c r="E132" s="346"/>
      <c r="F132" s="186"/>
      <c r="G132" s="186"/>
      <c r="H132" s="186"/>
      <c r="I132" s="186"/>
      <c r="J132" s="186"/>
      <c r="K132" s="186"/>
      <c r="L132" s="186"/>
      <c r="M132" s="186"/>
      <c r="N132" s="186"/>
      <c r="O132" s="186"/>
      <c r="P132" s="186"/>
      <c r="Q132" s="186"/>
      <c r="R132" s="186"/>
      <c r="S132" s="347"/>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166"/>
      <c r="AV132" s="166"/>
      <c r="AW132" s="166"/>
      <c r="AX132" s="166"/>
      <c r="AY132" s="166"/>
      <c r="AZ132" s="166"/>
      <c r="BA132" s="166"/>
      <c r="BB132" s="166"/>
      <c r="BC132" s="166"/>
      <c r="BD132" s="166"/>
      <c r="BE132" s="146" t="str">
        <f>'5.FieldEnergyUse'!D61</f>
        <v>fertiliser spraying</v>
      </c>
      <c r="BF132" s="593">
        <f ca="1">IF('5.FieldEnergyUse'!F61&gt;0,'5.FieldEnergyUse'!F61,NA())</f>
        <v>21.6</v>
      </c>
      <c r="BG132" s="166"/>
      <c r="BH132" s="166"/>
      <c r="BI132" s="166"/>
      <c r="BJ132" s="166"/>
      <c r="BK132" s="166"/>
      <c r="BL132" s="166"/>
      <c r="BM132" s="166"/>
      <c r="BN132" s="166"/>
    </row>
    <row r="133" spans="1:66" ht="21.75" customHeight="1" x14ac:dyDescent="0.25">
      <c r="A133" s="166"/>
      <c r="B133" s="381"/>
      <c r="C133" s="483"/>
      <c r="D133" s="346"/>
      <c r="E133" s="346"/>
      <c r="F133" s="346"/>
      <c r="G133" s="346"/>
      <c r="H133" s="347"/>
      <c r="I133" s="186"/>
      <c r="J133" s="186"/>
      <c r="K133" s="186"/>
      <c r="L133" s="186"/>
      <c r="M133" s="186"/>
      <c r="N133" s="186"/>
      <c r="O133" s="186"/>
      <c r="P133" s="186"/>
      <c r="Q133" s="186"/>
      <c r="R133" s="186"/>
      <c r="S133" s="499"/>
      <c r="T133" s="166"/>
      <c r="U133" s="166"/>
      <c r="V133" s="166"/>
      <c r="W133" s="166"/>
      <c r="X133" s="166"/>
      <c r="Y133" s="166"/>
      <c r="Z133" s="166"/>
      <c r="AA133" s="166"/>
      <c r="AB133" s="166"/>
      <c r="AC133" s="166"/>
      <c r="AD133" s="166"/>
      <c r="AE133" s="166"/>
      <c r="AF133" s="166"/>
      <c r="AG133" s="166"/>
      <c r="AH133" s="166"/>
      <c r="AI133" s="166"/>
      <c r="AJ133" s="166"/>
      <c r="AK133" s="166"/>
      <c r="AL133" s="166"/>
      <c r="AM133" s="166"/>
      <c r="AN133" s="166"/>
      <c r="AO133" s="166"/>
      <c r="AP133" s="166"/>
      <c r="AQ133" s="166"/>
      <c r="AR133" s="166"/>
      <c r="AS133" s="166"/>
      <c r="AT133" s="166"/>
      <c r="AU133" s="166"/>
      <c r="AV133" s="166"/>
      <c r="AW133" s="166"/>
      <c r="AX133" s="166"/>
      <c r="AY133" s="166"/>
      <c r="AZ133" s="166"/>
      <c r="BA133" s="166"/>
      <c r="BB133" s="166"/>
      <c r="BC133" s="166"/>
      <c r="BD133" s="166"/>
      <c r="BE133" s="146" t="str">
        <f>'5.FieldEnergyUse'!D62</f>
        <v>fertiliser spreading</v>
      </c>
      <c r="BF133" s="593" t="e">
        <f ca="1">IF('5.FieldEnergyUse'!F62&gt;0,'5.FieldEnergyUse'!F62,NA())</f>
        <v>#N/A</v>
      </c>
      <c r="BG133" s="166"/>
      <c r="BH133" s="166"/>
      <c r="BI133" s="166"/>
      <c r="BJ133" s="166"/>
      <c r="BK133" s="166"/>
      <c r="BL133" s="166"/>
      <c r="BM133" s="166"/>
      <c r="BN133" s="166"/>
    </row>
    <row r="134" spans="1:66" ht="21.75" customHeight="1" x14ac:dyDescent="0.35">
      <c r="A134" s="166"/>
      <c r="B134" s="381"/>
      <c r="C134" s="1032" t="s">
        <v>832</v>
      </c>
      <c r="D134" s="186"/>
      <c r="E134" s="186"/>
      <c r="F134" s="186"/>
      <c r="G134" s="186"/>
      <c r="H134" s="499"/>
      <c r="I134" s="186"/>
      <c r="J134" s="186"/>
      <c r="K134" s="186"/>
      <c r="L134" s="186"/>
      <c r="M134" s="186"/>
      <c r="N134" s="186"/>
      <c r="O134" s="186"/>
      <c r="P134" s="186"/>
      <c r="Q134" s="186"/>
      <c r="R134" s="186"/>
      <c r="S134" s="499"/>
      <c r="T134" s="166"/>
      <c r="U134" s="166"/>
      <c r="V134" s="166"/>
      <c r="W134" s="166"/>
      <c r="X134" s="166"/>
      <c r="Y134" s="166"/>
      <c r="Z134" s="166"/>
      <c r="AA134" s="166"/>
      <c r="AB134" s="166"/>
      <c r="AC134" s="166"/>
      <c r="AD134" s="166"/>
      <c r="AE134" s="166"/>
      <c r="AF134" s="166"/>
      <c r="AG134" s="166"/>
      <c r="AH134" s="166"/>
      <c r="AI134" s="166"/>
      <c r="AJ134" s="166"/>
      <c r="AK134" s="166"/>
      <c r="AL134" s="166"/>
      <c r="AM134" s="166"/>
      <c r="AN134" s="166"/>
      <c r="AO134" s="166"/>
      <c r="AP134" s="166"/>
      <c r="AQ134" s="166"/>
      <c r="AR134" s="166"/>
      <c r="AS134" s="166"/>
      <c r="AT134" s="166"/>
      <c r="AU134" s="166"/>
      <c r="AV134" s="166"/>
      <c r="AW134" s="166"/>
      <c r="AX134" s="166"/>
      <c r="AY134" s="166"/>
      <c r="AZ134" s="166"/>
      <c r="BA134" s="166"/>
      <c r="BB134" s="166"/>
      <c r="BC134" s="166"/>
      <c r="BD134" s="166"/>
      <c r="BE134" s="146" t="str">
        <f>'5.FieldEnergyUse'!D67</f>
        <v>Baler</v>
      </c>
      <c r="BF134" s="593" t="e">
        <f ca="1">IF('5.FieldEnergyUse'!F67&gt;0,'5.FieldEnergyUse'!F67,NA())</f>
        <v>#N/A</v>
      </c>
      <c r="BG134" s="166"/>
      <c r="BH134" s="166"/>
      <c r="BI134" s="166"/>
      <c r="BJ134" s="166"/>
      <c r="BK134" s="166"/>
      <c r="BL134" s="166"/>
      <c r="BM134" s="166"/>
      <c r="BN134" s="166"/>
    </row>
    <row r="135" spans="1:66" ht="21.75" customHeight="1" x14ac:dyDescent="0.25">
      <c r="A135" s="166"/>
      <c r="B135" s="381"/>
      <c r="C135" s="381"/>
      <c r="D135" s="186"/>
      <c r="E135" s="186"/>
      <c r="F135" s="186"/>
      <c r="G135" s="186"/>
      <c r="H135" s="499"/>
      <c r="I135" s="186"/>
      <c r="J135" s="186"/>
      <c r="K135" s="186"/>
      <c r="L135" s="186"/>
      <c r="M135" s="186"/>
      <c r="N135" s="186"/>
      <c r="O135" s="186"/>
      <c r="P135" s="186"/>
      <c r="Q135" s="186"/>
      <c r="R135" s="186"/>
      <c r="S135" s="499"/>
      <c r="T135" s="166"/>
      <c r="U135" s="166"/>
      <c r="V135" s="166"/>
      <c r="W135" s="166"/>
      <c r="X135" s="166"/>
      <c r="Y135" s="166"/>
      <c r="Z135" s="166"/>
      <c r="AA135" s="166"/>
      <c r="AB135" s="166"/>
      <c r="AC135" s="166"/>
      <c r="AD135" s="166"/>
      <c r="AE135" s="166"/>
      <c r="AF135" s="166"/>
      <c r="AG135" s="166"/>
      <c r="AH135" s="166"/>
      <c r="AI135" s="166"/>
      <c r="AJ135" s="166"/>
      <c r="AK135" s="166"/>
      <c r="AL135" s="166"/>
      <c r="AM135" s="166"/>
      <c r="AN135" s="166"/>
      <c r="AO135" s="166"/>
      <c r="AP135" s="166"/>
      <c r="AQ135" s="166"/>
      <c r="AR135" s="166"/>
      <c r="AS135" s="166"/>
      <c r="AT135" s="166"/>
      <c r="AU135" s="166"/>
      <c r="AV135" s="166"/>
      <c r="AW135" s="166"/>
      <c r="AX135" s="166"/>
      <c r="AY135" s="166"/>
      <c r="AZ135" s="166"/>
      <c r="BA135" s="166"/>
      <c r="BB135" s="166"/>
      <c r="BC135" s="166"/>
      <c r="BD135" s="166"/>
      <c r="BE135" s="146" t="str">
        <f>'5.FieldEnergyUse'!D68</f>
        <v>Beet harvester</v>
      </c>
      <c r="BF135" s="593" t="e">
        <f ca="1">IF('5.FieldEnergyUse'!F68&gt;0,'5.FieldEnergyUse'!F68,NA())</f>
        <v>#N/A</v>
      </c>
      <c r="BG135" s="166"/>
      <c r="BH135" s="166"/>
      <c r="BI135" s="166"/>
      <c r="BJ135" s="166"/>
      <c r="BK135" s="166"/>
      <c r="BL135" s="166"/>
      <c r="BM135" s="166"/>
      <c r="BN135" s="166"/>
    </row>
    <row r="136" spans="1:66" ht="21.75" customHeight="1" x14ac:dyDescent="0.25">
      <c r="A136" s="166"/>
      <c r="B136" s="381"/>
      <c r="C136" s="381" t="str">
        <f ca="1">"Most of your energy emissions come from " &amp;AB139&amp; " - representing " &amp;AA140&amp; "% of the total."</f>
        <v>Most of your energy emissions come from Fossil Fuels - representing 100% of the total.</v>
      </c>
      <c r="D136" s="186"/>
      <c r="E136" s="186"/>
      <c r="F136" s="186"/>
      <c r="G136" s="186"/>
      <c r="H136" s="499"/>
      <c r="I136" s="186"/>
      <c r="J136" s="186"/>
      <c r="K136" s="186"/>
      <c r="L136" s="186"/>
      <c r="M136" s="186"/>
      <c r="N136" s="186"/>
      <c r="O136" s="186"/>
      <c r="P136" s="186"/>
      <c r="Q136" s="186"/>
      <c r="R136" s="186"/>
      <c r="S136" s="499"/>
      <c r="T136" s="166"/>
      <c r="U136" s="166"/>
      <c r="V136" s="166"/>
      <c r="W136" s="166"/>
      <c r="X136" s="166"/>
      <c r="Y136" s="166"/>
      <c r="Z136" s="166"/>
      <c r="AA136" s="166"/>
      <c r="AB136" s="166"/>
      <c r="AC136" s="166"/>
      <c r="AD136" s="166"/>
      <c r="AE136" s="166"/>
      <c r="AF136" s="166"/>
      <c r="AG136" s="166"/>
      <c r="AH136" s="166"/>
      <c r="AI136" s="166"/>
      <c r="AJ136" s="166"/>
      <c r="AK136" s="166"/>
      <c r="AL136" s="166"/>
      <c r="AM136" s="166"/>
      <c r="AN136" s="166"/>
      <c r="AO136" s="166"/>
      <c r="AP136" s="166"/>
      <c r="AQ136" s="166"/>
      <c r="AR136" s="166"/>
      <c r="AS136" s="166"/>
      <c r="AT136" s="166"/>
      <c r="AU136" s="166"/>
      <c r="AV136" s="166"/>
      <c r="AW136" s="166"/>
      <c r="AX136" s="166"/>
      <c r="AY136" s="166"/>
      <c r="AZ136" s="166"/>
      <c r="BA136" s="166"/>
      <c r="BB136" s="166"/>
      <c r="BC136" s="166"/>
      <c r="BD136" s="166"/>
      <c r="BE136" s="146" t="str">
        <f>'5.FieldEnergyUse'!D69</f>
        <v xml:space="preserve">combine </v>
      </c>
      <c r="BF136" s="593" t="e">
        <f ca="1">IF('5.FieldEnergyUse'!F69&gt;0,'5.FieldEnergyUse'!F69,NA())</f>
        <v>#N/A</v>
      </c>
      <c r="BG136" s="166"/>
      <c r="BH136" s="166"/>
      <c r="BI136" s="166"/>
      <c r="BJ136" s="166"/>
      <c r="BK136" s="166"/>
      <c r="BL136" s="166"/>
      <c r="BM136" s="166"/>
      <c r="BN136" s="166"/>
    </row>
    <row r="137" spans="1:66" ht="21.75" customHeight="1" x14ac:dyDescent="0.25">
      <c r="A137" s="166"/>
      <c r="B137" s="381"/>
      <c r="C137" s="381" t="str">
        <f ca="1">AB142&amp; " accounts for most (" &amp;AA143&amp; "%) of your energy use"</f>
        <v>On farm use accounts for most (100%) of your energy use</v>
      </c>
      <c r="D137" s="186"/>
      <c r="E137" s="186"/>
      <c r="F137" s="186"/>
      <c r="G137" s="186"/>
      <c r="H137" s="499"/>
      <c r="I137" s="186"/>
      <c r="J137" s="186"/>
      <c r="K137" s="186"/>
      <c r="L137" s="186"/>
      <c r="M137" s="186"/>
      <c r="N137" s="186"/>
      <c r="O137" s="186"/>
      <c r="P137" s="186"/>
      <c r="Q137" s="186"/>
      <c r="R137" s="186"/>
      <c r="S137" s="499"/>
      <c r="T137" s="166"/>
      <c r="U137" s="166"/>
      <c r="V137" s="166"/>
      <c r="W137" s="166"/>
      <c r="X137" s="166"/>
      <c r="Y137" s="166"/>
      <c r="Z137" s="166"/>
      <c r="AA137" s="166"/>
      <c r="AB137" s="166"/>
      <c r="AC137" s="166"/>
      <c r="AD137" s="166"/>
      <c r="AE137" s="166"/>
      <c r="AF137" s="166"/>
      <c r="AG137" s="166"/>
      <c r="AH137" s="166"/>
      <c r="AI137" s="166"/>
      <c r="AJ137" s="166"/>
      <c r="AK137" s="166"/>
      <c r="AL137" s="166"/>
      <c r="AM137" s="166"/>
      <c r="AN137" s="166"/>
      <c r="AO137" s="166"/>
      <c r="AP137" s="166"/>
      <c r="AQ137" s="166"/>
      <c r="AR137" s="166"/>
      <c r="AS137" s="166"/>
      <c r="AT137" s="166"/>
      <c r="AU137" s="166"/>
      <c r="AV137" s="166"/>
      <c r="AW137" s="166"/>
      <c r="AX137" s="166"/>
      <c r="AY137" s="166"/>
      <c r="AZ137" s="166"/>
      <c r="BA137" s="166"/>
      <c r="BB137" s="166"/>
      <c r="BC137" s="166"/>
      <c r="BD137" s="166"/>
      <c r="BE137" s="146" t="str">
        <f>'5.FieldEnergyUse'!D70</f>
        <v>corn combine</v>
      </c>
      <c r="BF137" s="593" t="e">
        <f ca="1">IF('5.FieldEnergyUse'!F70&gt;0,'5.FieldEnergyUse'!F70,NA())</f>
        <v>#N/A</v>
      </c>
      <c r="BG137" s="166"/>
      <c r="BH137" s="166"/>
      <c r="BI137" s="166"/>
      <c r="BJ137" s="166"/>
      <c r="BK137" s="166"/>
      <c r="BL137" s="166"/>
      <c r="BM137" s="166"/>
      <c r="BN137" s="166"/>
    </row>
    <row r="138" spans="1:66" ht="21.75" customHeight="1" x14ac:dyDescent="0.25">
      <c r="A138" s="166"/>
      <c r="B138" s="381"/>
      <c r="C138" s="381" t="str">
        <f ca="1">IF(AA146&gt;0,AC145&amp;AC146,"")</f>
        <v/>
      </c>
      <c r="D138" s="186"/>
      <c r="E138" s="186"/>
      <c r="F138" s="186"/>
      <c r="G138" s="186"/>
      <c r="H138" s="499"/>
      <c r="I138" s="186"/>
      <c r="J138" s="186"/>
      <c r="K138" s="186"/>
      <c r="L138" s="186"/>
      <c r="M138" s="186"/>
      <c r="N138" s="186"/>
      <c r="O138" s="186"/>
      <c r="P138" s="186"/>
      <c r="Q138" s="186"/>
      <c r="R138" s="186"/>
      <c r="S138" s="499"/>
      <c r="T138" s="166"/>
      <c r="U138" s="166"/>
      <c r="V138" s="166"/>
      <c r="W138" s="166"/>
      <c r="X138" s="166"/>
      <c r="Y138" s="166"/>
      <c r="Z138" s="166"/>
      <c r="AA138" s="166"/>
      <c r="AB138" s="166"/>
      <c r="AC138" s="166"/>
      <c r="AD138" s="166"/>
      <c r="AE138" s="166"/>
      <c r="AF138" s="166"/>
      <c r="AG138" s="166"/>
      <c r="AH138" s="166"/>
      <c r="AI138" s="166"/>
      <c r="AJ138" s="166"/>
      <c r="AK138" s="166"/>
      <c r="AL138" s="166"/>
      <c r="AM138" s="166"/>
      <c r="AN138" s="166"/>
      <c r="AO138" s="166"/>
      <c r="AP138" s="166"/>
      <c r="AQ138" s="166"/>
      <c r="AR138" s="166"/>
      <c r="AS138" s="166"/>
      <c r="AT138" s="166"/>
      <c r="AU138" s="166"/>
      <c r="AV138" s="166"/>
      <c r="AW138" s="166"/>
      <c r="AX138" s="166"/>
      <c r="AY138" s="166"/>
      <c r="AZ138" s="166"/>
      <c r="BA138" s="166"/>
      <c r="BB138" s="166"/>
      <c r="BC138" s="166"/>
      <c r="BD138" s="166"/>
      <c r="BE138" s="146" t="str">
        <f>'5.FieldEnergyUse'!D71</f>
        <v>cotton picker</v>
      </c>
      <c r="BF138" s="593" t="e">
        <f ca="1">IF('5.FieldEnergyUse'!F71&gt;0,'5.FieldEnergyUse'!F71,NA())</f>
        <v>#N/A</v>
      </c>
      <c r="BG138" s="166"/>
      <c r="BH138" s="166"/>
      <c r="BI138" s="166"/>
      <c r="BJ138" s="166"/>
      <c r="BK138" s="166"/>
      <c r="BL138" s="166"/>
      <c r="BM138" s="166"/>
      <c r="BN138" s="166"/>
    </row>
    <row r="139" spans="1:66" ht="26.25" customHeight="1" thickBot="1" x14ac:dyDescent="0.3">
      <c r="A139" s="166"/>
      <c r="B139" s="381"/>
      <c r="C139" s="596"/>
      <c r="D139" s="493"/>
      <c r="E139" s="493"/>
      <c r="F139" s="493"/>
      <c r="G139" s="493"/>
      <c r="H139" s="561"/>
      <c r="I139" s="186"/>
      <c r="J139" s="186"/>
      <c r="K139" s="186"/>
      <c r="L139" s="186"/>
      <c r="M139" s="186"/>
      <c r="N139" s="186"/>
      <c r="O139" s="186"/>
      <c r="P139" s="186"/>
      <c r="Q139" s="186"/>
      <c r="R139" s="186"/>
      <c r="S139" s="499"/>
      <c r="T139" s="166"/>
      <c r="U139" s="166"/>
      <c r="V139" s="166"/>
      <c r="W139" s="166"/>
      <c r="X139" s="149" t="s">
        <v>620</v>
      </c>
      <c r="Y139" s="149" t="s">
        <v>602</v>
      </c>
      <c r="Z139" s="166"/>
      <c r="AA139" s="166">
        <f ca="1">MAX(E145:E148)</f>
        <v>299.2816715811403</v>
      </c>
      <c r="AB139" s="166" t="str">
        <f ca="1">IF(ISERROR(OFFSET(C144,SUMIF(E145:E148,AA139,AF139:AF142),0)),0,OFFSET(C144,SUMIF(E145:E148,AA139,AF139:AF142),0))</f>
        <v>Fossil Fuels</v>
      </c>
      <c r="AC139" s="166"/>
      <c r="AD139" s="166"/>
      <c r="AE139" s="166"/>
      <c r="AF139" s="166">
        <v>1</v>
      </c>
      <c r="AG139" s="166"/>
      <c r="AH139" s="166"/>
      <c r="AI139" s="166"/>
      <c r="AJ139" s="166"/>
      <c r="AK139" s="166"/>
      <c r="AL139" s="166"/>
      <c r="AM139" s="166"/>
      <c r="AN139" s="166"/>
      <c r="AO139" s="166"/>
      <c r="AP139" s="166"/>
      <c r="AQ139" s="166"/>
      <c r="AR139" s="166"/>
      <c r="AS139" s="166"/>
      <c r="AT139" s="166"/>
      <c r="AU139" s="166"/>
      <c r="AV139" s="166"/>
      <c r="AW139" s="166"/>
      <c r="AX139" s="166"/>
      <c r="AY139" s="166"/>
      <c r="AZ139" s="166"/>
      <c r="BA139" s="166"/>
      <c r="BB139" s="166"/>
      <c r="BC139" s="166"/>
      <c r="BD139" s="166"/>
      <c r="BE139" s="146" t="str">
        <f>'5.FieldEnergyUse'!D72</f>
        <v>cotton stripper/potato topper</v>
      </c>
      <c r="BF139" s="593" t="e">
        <f ca="1">IF('5.FieldEnergyUse'!F72&gt;0,'5.FieldEnergyUse'!F72,NA())</f>
        <v>#N/A</v>
      </c>
      <c r="BG139" s="166"/>
      <c r="BH139" s="166"/>
      <c r="BI139" s="166"/>
      <c r="BJ139" s="166"/>
      <c r="BK139" s="166"/>
      <c r="BL139" s="166"/>
      <c r="BM139" s="166"/>
      <c r="BN139" s="166"/>
    </row>
    <row r="140" spans="1:66" ht="26.25" customHeight="1" thickBot="1" x14ac:dyDescent="0.3">
      <c r="A140" s="166"/>
      <c r="B140" s="381"/>
      <c r="C140" s="186"/>
      <c r="D140" s="186"/>
      <c r="E140" s="186"/>
      <c r="F140" s="186"/>
      <c r="G140" s="186"/>
      <c r="H140" s="186"/>
      <c r="I140" s="186"/>
      <c r="J140" s="186"/>
      <c r="K140" s="186"/>
      <c r="L140" s="186"/>
      <c r="M140" s="186"/>
      <c r="N140" s="186"/>
      <c r="O140" s="186"/>
      <c r="P140" s="186"/>
      <c r="Q140" s="186"/>
      <c r="R140" s="186"/>
      <c r="S140" s="499"/>
      <c r="T140" s="166"/>
      <c r="U140" s="166"/>
      <c r="V140" s="166"/>
      <c r="W140" s="166"/>
      <c r="X140" s="166"/>
      <c r="Y140" s="166"/>
      <c r="Z140" s="166"/>
      <c r="AA140" s="166">
        <f ca="1">IF(ISERROR(100*AA139/(SUM(E145:E148))),0,100*AA139/(SUM(E145:E148)))</f>
        <v>100</v>
      </c>
      <c r="AB140" s="166"/>
      <c r="AC140" s="166"/>
      <c r="AD140" s="166"/>
      <c r="AE140" s="166"/>
      <c r="AF140" s="166">
        <v>2</v>
      </c>
      <c r="AG140" s="166"/>
      <c r="AH140" s="166"/>
      <c r="AI140" s="166"/>
      <c r="AJ140" s="166"/>
      <c r="AK140" s="166"/>
      <c r="AL140" s="166"/>
      <c r="AM140" s="166"/>
      <c r="AN140" s="166"/>
      <c r="AO140" s="166"/>
      <c r="AP140" s="166"/>
      <c r="AQ140" s="166"/>
      <c r="AR140" s="166"/>
      <c r="AS140" s="166"/>
      <c r="AT140" s="166"/>
      <c r="AU140" s="166"/>
      <c r="AV140" s="166"/>
      <c r="AW140" s="166"/>
      <c r="AX140" s="166"/>
      <c r="AY140" s="166"/>
      <c r="AZ140" s="166"/>
      <c r="BA140" s="166"/>
      <c r="BB140" s="166"/>
      <c r="BC140" s="166"/>
      <c r="BD140" s="166"/>
      <c r="BE140" s="146" t="str">
        <f>'5.FieldEnergyUse'!D73</f>
        <v>forage blower/washer</v>
      </c>
      <c r="BF140" s="593" t="e">
        <f ca="1">IF('5.FieldEnergyUse'!F73&gt;0,'5.FieldEnergyUse'!F73,NA())</f>
        <v>#N/A</v>
      </c>
      <c r="BG140" s="166"/>
      <c r="BH140" s="166"/>
      <c r="BI140" s="166"/>
      <c r="BJ140" s="166"/>
      <c r="BK140" s="166"/>
      <c r="BL140" s="166"/>
      <c r="BM140" s="166"/>
      <c r="BN140" s="166"/>
    </row>
    <row r="141" spans="1:66" ht="26.25" customHeight="1" thickBot="1" x14ac:dyDescent="0.3">
      <c r="A141" s="166"/>
      <c r="B141" s="381"/>
      <c r="C141" s="186"/>
      <c r="D141" s="1034" t="s">
        <v>602</v>
      </c>
      <c r="E141" s="1035" t="str">
        <f>D5</f>
        <v>kg CO2 eq</v>
      </c>
      <c r="F141" s="186"/>
      <c r="G141" s="186"/>
      <c r="H141" s="186"/>
      <c r="I141" s="186"/>
      <c r="J141" s="186"/>
      <c r="K141" s="186"/>
      <c r="L141" s="186"/>
      <c r="M141" s="186"/>
      <c r="N141" s="186"/>
      <c r="O141" s="186"/>
      <c r="P141" s="186"/>
      <c r="Q141" s="186"/>
      <c r="R141" s="186"/>
      <c r="S141" s="499"/>
      <c r="T141" s="166"/>
      <c r="U141" s="166"/>
      <c r="V141" s="166"/>
      <c r="W141" s="166"/>
      <c r="X141" s="166"/>
      <c r="Y141" s="166"/>
      <c r="Z141" s="166"/>
      <c r="AA141" s="166"/>
      <c r="AB141" s="166"/>
      <c r="AC141" s="166"/>
      <c r="AD141" s="166"/>
      <c r="AE141" s="166"/>
      <c r="AF141" s="166">
        <v>3</v>
      </c>
      <c r="AG141" s="166"/>
      <c r="AH141" s="166"/>
      <c r="AI141" s="166"/>
      <c r="AJ141" s="166"/>
      <c r="AK141" s="166"/>
      <c r="AL141" s="166"/>
      <c r="AM141" s="166"/>
      <c r="AN141" s="166"/>
      <c r="AO141" s="166"/>
      <c r="AP141" s="166"/>
      <c r="AQ141" s="166"/>
      <c r="AR141" s="166"/>
      <c r="AS141" s="166"/>
      <c r="AT141" s="166"/>
      <c r="AU141" s="166"/>
      <c r="AV141" s="166"/>
      <c r="AW141" s="166"/>
      <c r="AX141" s="166"/>
      <c r="AY141" s="166"/>
      <c r="AZ141" s="166"/>
      <c r="BA141" s="166"/>
      <c r="BB141" s="166"/>
      <c r="BC141" s="166"/>
      <c r="BD141" s="166"/>
      <c r="BE141" s="146" t="str">
        <f>'5.FieldEnergyUse'!D74</f>
        <v>forage harvester</v>
      </c>
      <c r="BF141" s="593" t="e">
        <f ca="1">IF('5.FieldEnergyUse'!F74&gt;0,'5.FieldEnergyUse'!F74,NA())</f>
        <v>#N/A</v>
      </c>
      <c r="BG141" s="166"/>
      <c r="BH141" s="166"/>
      <c r="BI141" s="166"/>
      <c r="BJ141" s="166"/>
      <c r="BK141" s="166"/>
      <c r="BL141" s="166"/>
      <c r="BM141" s="166"/>
      <c r="BN141" s="166"/>
    </row>
    <row r="142" spans="1:66" ht="26.25" customHeight="1" x14ac:dyDescent="0.25">
      <c r="A142" s="166"/>
      <c r="B142" s="381"/>
      <c r="C142" s="483" t="s">
        <v>951</v>
      </c>
      <c r="D142" s="564">
        <f>AL172+AL184+Y149</f>
        <v>0</v>
      </c>
      <c r="E142" s="587">
        <f ca="1">(AM172+AM184+E147)*SUMIF(AK$4:AK$7,D$5,AL$4:AL$7)</f>
        <v>0</v>
      </c>
      <c r="F142" s="186"/>
      <c r="G142" s="186"/>
      <c r="H142" s="186"/>
      <c r="I142" s="186"/>
      <c r="J142" s="186"/>
      <c r="K142" s="186"/>
      <c r="L142" s="186"/>
      <c r="M142" s="186"/>
      <c r="N142" s="186"/>
      <c r="O142" s="186"/>
      <c r="P142" s="186"/>
      <c r="Q142" s="186"/>
      <c r="R142" s="186"/>
      <c r="S142" s="499"/>
      <c r="T142" s="166"/>
      <c r="U142" s="166"/>
      <c r="V142" s="166"/>
      <c r="W142" s="166"/>
      <c r="X142" s="149"/>
      <c r="Y142" s="149"/>
      <c r="Z142" s="166"/>
      <c r="AA142" s="166">
        <f ca="1">MAX(D150:D151)</f>
        <v>4232.3788630317968</v>
      </c>
      <c r="AB142" s="166" t="str">
        <f ca="1">OFFSET(C149,SUMIF(D150:D151,AA142,AF139:AF140),0)</f>
        <v>On farm use</v>
      </c>
      <c r="AC142" s="166"/>
      <c r="AD142" s="166"/>
      <c r="AE142" s="166"/>
      <c r="AF142" s="166">
        <v>4</v>
      </c>
      <c r="AG142" s="166"/>
      <c r="AH142" s="166"/>
      <c r="AI142" s="166"/>
      <c r="AJ142" s="166"/>
      <c r="AK142" s="166"/>
      <c r="AL142" s="166"/>
      <c r="AM142" s="166"/>
      <c r="AN142" s="166"/>
      <c r="AO142" s="166"/>
      <c r="AP142" s="166"/>
      <c r="AQ142" s="166"/>
      <c r="AR142" s="166"/>
      <c r="AS142" s="166"/>
      <c r="AT142" s="166"/>
      <c r="AU142" s="166"/>
      <c r="AV142" s="166"/>
      <c r="AW142" s="166"/>
      <c r="AX142" s="166"/>
      <c r="AY142" s="166"/>
      <c r="AZ142" s="166"/>
      <c r="BA142" s="166"/>
      <c r="BB142" s="166"/>
      <c r="BC142" s="166"/>
      <c r="BD142" s="166"/>
      <c r="BE142" s="166"/>
      <c r="BF142" s="166"/>
      <c r="BG142" s="166"/>
      <c r="BH142" s="166"/>
      <c r="BI142" s="166"/>
      <c r="BJ142" s="166"/>
      <c r="BK142" s="166"/>
      <c r="BL142" s="166"/>
      <c r="BM142" s="166"/>
      <c r="BN142" s="166"/>
    </row>
    <row r="143" spans="1:66" ht="26.25" customHeight="1" thickBot="1" x14ac:dyDescent="0.3">
      <c r="A143" s="166"/>
      <c r="B143" s="381"/>
      <c r="C143" s="596" t="s">
        <v>990</v>
      </c>
      <c r="D143" s="590">
        <f>(AL171+AL183)-Y149</f>
        <v>0</v>
      </c>
      <c r="E143" s="285">
        <f ca="1">((AM171+AM183)-E147)*SUMIF(AK$4:AK$7,D$5,AL$4:AL$7)</f>
        <v>0</v>
      </c>
      <c r="F143" s="186"/>
      <c r="G143" s="186"/>
      <c r="H143" s="186"/>
      <c r="I143" s="186"/>
      <c r="J143" s="186"/>
      <c r="K143" s="186"/>
      <c r="L143" s="186"/>
      <c r="M143" s="186"/>
      <c r="N143" s="186"/>
      <c r="O143" s="186"/>
      <c r="P143" s="186"/>
      <c r="Q143" s="186"/>
      <c r="R143" s="186"/>
      <c r="S143" s="499"/>
      <c r="T143" s="166"/>
      <c r="U143" s="166"/>
      <c r="V143" s="166"/>
      <c r="W143" s="166"/>
      <c r="X143" s="166"/>
      <c r="Y143" s="166"/>
      <c r="Z143" s="166"/>
      <c r="AA143" s="166">
        <f ca="1">IF(ISERROR(100*AA142/(SUM(D150:D151))),0,100*AA142/(SUM(D150:D151)))</f>
        <v>100</v>
      </c>
      <c r="AB143" s="166"/>
      <c r="AC143" s="166"/>
      <c r="AD143" s="166"/>
      <c r="AE143" s="166"/>
      <c r="AF143" s="166"/>
      <c r="AG143" s="166"/>
      <c r="AH143" s="166"/>
      <c r="AI143" s="166"/>
      <c r="AJ143" s="166"/>
      <c r="AK143" s="166"/>
      <c r="AL143" s="166"/>
      <c r="AM143" s="166"/>
      <c r="AN143" s="166"/>
      <c r="AO143" s="166"/>
      <c r="AP143" s="166"/>
      <c r="AQ143" s="166"/>
      <c r="AR143" s="166"/>
      <c r="AS143" s="166"/>
      <c r="AT143" s="166"/>
      <c r="AU143" s="166"/>
      <c r="AV143" s="166"/>
      <c r="AW143" s="166"/>
      <c r="AX143" s="166"/>
      <c r="AY143" s="166"/>
      <c r="AZ143" s="166"/>
      <c r="BA143" s="166"/>
      <c r="BB143" s="166"/>
      <c r="BC143" s="166"/>
      <c r="BD143" s="166"/>
      <c r="BE143" s="166"/>
      <c r="BF143" s="166"/>
      <c r="BG143" s="166"/>
      <c r="BH143" s="166"/>
      <c r="BI143" s="166"/>
      <c r="BJ143" s="166"/>
      <c r="BK143" s="166"/>
      <c r="BL143" s="166"/>
      <c r="BM143" s="166"/>
      <c r="BN143" s="166"/>
    </row>
    <row r="144" spans="1:66" ht="26.25" customHeight="1" thickBot="1" x14ac:dyDescent="0.3">
      <c r="A144" s="166"/>
      <c r="B144" s="381"/>
      <c r="C144" s="186"/>
      <c r="D144" s="242"/>
      <c r="E144" s="242"/>
      <c r="F144" s="186"/>
      <c r="G144" s="186"/>
      <c r="H144" s="186"/>
      <c r="I144" s="186"/>
      <c r="J144" s="186"/>
      <c r="K144" s="186"/>
      <c r="L144" s="186"/>
      <c r="M144" s="186"/>
      <c r="N144" s="186"/>
      <c r="O144" s="186"/>
      <c r="P144" s="186"/>
      <c r="Q144" s="186"/>
      <c r="R144" s="186"/>
      <c r="S144" s="499"/>
      <c r="T144" s="166"/>
      <c r="U144" s="166"/>
      <c r="V144" s="166"/>
      <c r="W144" s="166"/>
      <c r="X144" s="166"/>
      <c r="Y144" s="166"/>
      <c r="Z144" s="166"/>
      <c r="AA144" s="166"/>
      <c r="AB144" s="166"/>
      <c r="AC144" s="166"/>
      <c r="AD144" s="166"/>
      <c r="AE144" s="166"/>
      <c r="AF144" s="166"/>
      <c r="AG144" s="166"/>
      <c r="AH144" s="166"/>
      <c r="AI144" s="166"/>
      <c r="AJ144" s="166"/>
      <c r="AK144" s="166"/>
      <c r="AL144" s="166"/>
      <c r="AM144" s="166"/>
      <c r="AN144" s="166"/>
      <c r="AO144" s="166"/>
      <c r="AP144" s="166"/>
      <c r="AQ144" s="166"/>
      <c r="AR144" s="166"/>
      <c r="AS144" s="166"/>
      <c r="AT144" s="166"/>
      <c r="AU144" s="166"/>
      <c r="AV144" s="166"/>
      <c r="AW144" s="166"/>
      <c r="AX144" s="166"/>
      <c r="AY144" s="166"/>
      <c r="AZ144" s="166"/>
      <c r="BA144" s="166"/>
      <c r="BB144" s="166"/>
      <c r="BC144" s="166"/>
      <c r="BD144" s="166"/>
      <c r="BE144" s="166"/>
      <c r="BF144" s="166"/>
      <c r="BG144" s="166"/>
      <c r="BH144" s="166"/>
      <c r="BI144" s="166"/>
      <c r="BJ144" s="166"/>
      <c r="BK144" s="166"/>
      <c r="BL144" s="166"/>
      <c r="BM144" s="166"/>
      <c r="BN144" s="166"/>
    </row>
    <row r="145" spans="1:66" ht="26.25" customHeight="1" x14ac:dyDescent="0.25">
      <c r="A145" s="166"/>
      <c r="B145" s="381"/>
      <c r="C145" s="626" t="str">
        <f>AK183</f>
        <v>Grid electricity</v>
      </c>
      <c r="D145" s="564">
        <f>AL183+AL171</f>
        <v>0</v>
      </c>
      <c r="E145" s="587">
        <f>(AM183+AM171)*SUMIF(AK$4:AK$7,D$5,AL$4:AL$7)</f>
        <v>0</v>
      </c>
      <c r="F145" s="186"/>
      <c r="G145" s="186"/>
      <c r="H145" s="186"/>
      <c r="I145" s="186"/>
      <c r="J145" s="186"/>
      <c r="K145" s="186"/>
      <c r="L145" s="186"/>
      <c r="M145" s="186"/>
      <c r="N145" s="186"/>
      <c r="O145" s="186"/>
      <c r="P145" s="186"/>
      <c r="Q145" s="186"/>
      <c r="R145" s="186"/>
      <c r="S145" s="499"/>
      <c r="T145" s="166"/>
      <c r="U145" s="166"/>
      <c r="V145" s="166"/>
      <c r="W145" s="166"/>
      <c r="X145" s="166"/>
      <c r="Y145" s="166"/>
      <c r="Z145" s="166"/>
      <c r="AA145" s="166">
        <f ca="1">MAX(E142:E143)</f>
        <v>0</v>
      </c>
      <c r="AB145" s="166" t="str">
        <f ca="1">IF(AA145&gt;0,OFFSET(C141,SUMIF(E142:E143,AA145,AF139:AF140),0),"None")</f>
        <v>None</v>
      </c>
      <c r="AC145" s="166" t="str">
        <f ca="1">AB145&amp; " constitutes " &amp;AA146&amp; "% of your electricity use."</f>
        <v>None constitutes 0% of your electricity use.</v>
      </c>
      <c r="AD145" s="166"/>
      <c r="AE145" s="166"/>
      <c r="AF145" s="166"/>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66"/>
      <c r="BF145" s="166"/>
      <c r="BG145" s="166"/>
      <c r="BH145" s="166"/>
      <c r="BI145" s="166"/>
      <c r="BJ145" s="166"/>
      <c r="BK145" s="166"/>
      <c r="BL145" s="166"/>
      <c r="BM145" s="166"/>
      <c r="BN145" s="166"/>
    </row>
    <row r="146" spans="1:66" ht="26.25" customHeight="1" x14ac:dyDescent="0.25">
      <c r="A146" s="166"/>
      <c r="B146" s="381"/>
      <c r="C146" s="627" t="str">
        <f>AK184</f>
        <v>Local wind, solar, hydro-electric</v>
      </c>
      <c r="D146" s="567">
        <f>AL184+AL172</f>
        <v>0</v>
      </c>
      <c r="E146" s="261">
        <f>(AM184+AM172)*SUMIF(AK$4:AK$7,D$5,AL$4:AL$7)</f>
        <v>0</v>
      </c>
      <c r="F146" s="186"/>
      <c r="G146" s="186"/>
      <c r="H146" s="186"/>
      <c r="I146" s="186"/>
      <c r="J146" s="186"/>
      <c r="K146" s="186"/>
      <c r="L146" s="186"/>
      <c r="M146" s="594"/>
      <c r="N146" s="594"/>
      <c r="O146" s="569"/>
      <c r="P146" s="186"/>
      <c r="Q146" s="186"/>
      <c r="R146" s="186"/>
      <c r="S146" s="499"/>
      <c r="T146" s="166"/>
      <c r="U146" s="166"/>
      <c r="V146" s="166"/>
      <c r="W146" s="166"/>
      <c r="X146" s="166"/>
      <c r="Y146" s="166"/>
      <c r="Z146" s="166"/>
      <c r="AA146" s="166">
        <f ca="1">IF(AA145&gt;0,100*AA145/(SUM(E142:E143)),0)</f>
        <v>0</v>
      </c>
      <c r="AB146" s="166"/>
      <c r="AC146" s="166" t="str">
        <f ca="1">IF(AB145=C143," Is it possible to consider renerwable options which may have lower emission factors?","")</f>
        <v/>
      </c>
      <c r="AD146" s="166"/>
      <c r="AE146" s="166"/>
      <c r="AF146" s="166"/>
      <c r="AG146" s="166"/>
      <c r="AH146" s="166"/>
      <c r="AI146" s="166"/>
      <c r="AJ146" s="166"/>
      <c r="AK146" s="166"/>
      <c r="AL146" s="166"/>
      <c r="AM146" s="166"/>
      <c r="AN146" s="166"/>
      <c r="AO146" s="166"/>
      <c r="AP146" s="166"/>
      <c r="AQ146" s="166"/>
      <c r="AR146" s="166"/>
      <c r="AS146" s="166"/>
      <c r="AT146" s="166"/>
      <c r="AU146" s="166"/>
      <c r="AV146" s="166"/>
      <c r="AW146" s="166"/>
      <c r="AX146" s="166"/>
      <c r="AY146" s="166"/>
      <c r="AZ146" s="166"/>
      <c r="BA146" s="166"/>
      <c r="BB146" s="166"/>
      <c r="BC146" s="166"/>
      <c r="BD146" s="149"/>
      <c r="BE146" s="149"/>
      <c r="BF146" s="149"/>
      <c r="BG146" s="149"/>
      <c r="BH146" s="149"/>
      <c r="BI146" s="149"/>
      <c r="BJ146" s="149"/>
      <c r="BK146" s="166"/>
      <c r="BL146" s="166"/>
      <c r="BM146" s="166"/>
      <c r="BN146" s="166"/>
    </row>
    <row r="147" spans="1:66" ht="26.25" customHeight="1" x14ac:dyDescent="0.25">
      <c r="A147" s="166"/>
      <c r="B147" s="381"/>
      <c r="C147" s="627" t="s">
        <v>762</v>
      </c>
      <c r="D147" s="567">
        <f ca="1">AL185+AL176+AL175+AL177</f>
        <v>0</v>
      </c>
      <c r="E147" s="261">
        <f ca="1">(AM185+AM176+AM175+AM177)*SUMIF(AK$4:AK$7,D$5,AL$4:AL$7)</f>
        <v>0</v>
      </c>
      <c r="F147" s="186"/>
      <c r="G147" s="186"/>
      <c r="H147" s="186"/>
      <c r="I147" s="186"/>
      <c r="J147" s="186"/>
      <c r="K147" s="186"/>
      <c r="L147" s="186"/>
      <c r="M147" s="595"/>
      <c r="N147" s="595"/>
      <c r="O147" s="186"/>
      <c r="P147" s="186"/>
      <c r="Q147" s="186"/>
      <c r="R147" s="186"/>
      <c r="S147" s="499"/>
      <c r="T147" s="166"/>
      <c r="U147" s="166"/>
      <c r="V147" s="166"/>
      <c r="W147" s="166"/>
      <c r="X147" s="149"/>
      <c r="Y147" s="149"/>
      <c r="Z147" s="166"/>
      <c r="AA147" s="166"/>
      <c r="AB147" s="166"/>
      <c r="AC147" s="166"/>
      <c r="AD147" s="166"/>
      <c r="AE147" s="166"/>
      <c r="AF147" s="166"/>
      <c r="AG147" s="166"/>
      <c r="AH147" s="166"/>
      <c r="AI147" s="166"/>
      <c r="AJ147" s="166"/>
      <c r="AK147" s="166"/>
      <c r="AL147" s="166"/>
      <c r="AM147" s="166"/>
      <c r="AN147" s="166"/>
      <c r="AO147" s="166"/>
      <c r="AP147" s="166"/>
      <c r="AQ147" s="166"/>
      <c r="AR147" s="166"/>
      <c r="AS147" s="166"/>
      <c r="AT147" s="166"/>
      <c r="AU147" s="166"/>
      <c r="AV147" s="166"/>
      <c r="AW147" s="166"/>
      <c r="AX147" s="166"/>
      <c r="AY147" s="166"/>
      <c r="AZ147" s="166"/>
      <c r="BA147" s="166"/>
      <c r="BB147" s="166"/>
      <c r="BC147" s="166"/>
      <c r="BD147" s="149"/>
      <c r="BE147" s="149"/>
      <c r="BF147" s="149"/>
      <c r="BG147" s="149"/>
      <c r="BH147" s="149"/>
      <c r="BI147" s="149"/>
      <c r="BJ147" s="149"/>
      <c r="BK147" s="166"/>
      <c r="BL147" s="166"/>
      <c r="BM147" s="166"/>
      <c r="BN147" s="166"/>
    </row>
    <row r="148" spans="1:66" ht="26.25" customHeight="1" thickBot="1" x14ac:dyDescent="0.3">
      <c r="A148" s="166"/>
      <c r="B148" s="381"/>
      <c r="C148" s="628" t="str">
        <f>AK186</f>
        <v>Fossil Fuels</v>
      </c>
      <c r="D148" s="590">
        <f ca="1">AL186+AL174+AL173+AL178</f>
        <v>4232.3788630317968</v>
      </c>
      <c r="E148" s="285">
        <f ca="1">(AM186+AM174+AM173+AM178)*SUMIF(AK$4:AK$7,D$5,AL$4:AL$7)</f>
        <v>299.2816715811403</v>
      </c>
      <c r="F148" s="186"/>
      <c r="G148" s="186"/>
      <c r="H148" s="186"/>
      <c r="I148" s="186"/>
      <c r="J148" s="186"/>
      <c r="K148" s="186"/>
      <c r="L148" s="186"/>
      <c r="M148" s="595"/>
      <c r="N148" s="595"/>
      <c r="O148" s="186"/>
      <c r="P148" s="186"/>
      <c r="Q148" s="186"/>
      <c r="R148" s="186"/>
      <c r="S148" s="499"/>
      <c r="T148" s="166"/>
      <c r="U148" s="166"/>
      <c r="V148" s="166"/>
      <c r="W148" s="166"/>
      <c r="X148" s="149"/>
      <c r="Y148" s="149"/>
      <c r="Z148" s="166"/>
      <c r="AA148" s="166"/>
      <c r="AB148" s="166"/>
      <c r="AC148" s="166"/>
      <c r="AD148" s="166"/>
      <c r="AE148" s="166"/>
      <c r="AF148" s="166"/>
      <c r="AG148" s="166"/>
      <c r="AH148" s="166"/>
      <c r="AI148" s="166"/>
      <c r="AJ148" s="166"/>
      <c r="AK148" s="166"/>
      <c r="AL148" s="166"/>
      <c r="AM148" s="166"/>
      <c r="AN148" s="166"/>
      <c r="AO148" s="166"/>
      <c r="AP148" s="166"/>
      <c r="AQ148" s="166"/>
      <c r="AR148" s="166"/>
      <c r="AS148" s="166"/>
      <c r="AT148" s="166"/>
      <c r="AU148" s="166"/>
      <c r="AV148" s="166"/>
      <c r="AW148" s="166"/>
      <c r="AX148" s="166"/>
      <c r="AY148" s="166"/>
      <c r="AZ148" s="166"/>
      <c r="BA148" s="166"/>
      <c r="BB148" s="166"/>
      <c r="BC148" s="166"/>
      <c r="BD148" s="149"/>
      <c r="BE148" s="149"/>
      <c r="BF148" s="149"/>
      <c r="BG148" s="149"/>
      <c r="BH148" s="149"/>
      <c r="BI148" s="149"/>
      <c r="BJ148" s="149"/>
      <c r="BK148" s="166"/>
      <c r="BL148" s="166"/>
      <c r="BM148" s="166"/>
      <c r="BN148" s="166"/>
    </row>
    <row r="149" spans="1:66" ht="16.600000000000001" customHeight="1" thickBot="1" x14ac:dyDescent="0.3">
      <c r="A149" s="166"/>
      <c r="B149" s="381"/>
      <c r="C149" s="186"/>
      <c r="D149" s="242"/>
      <c r="E149" s="242"/>
      <c r="F149" s="186"/>
      <c r="G149" s="186"/>
      <c r="H149" s="186"/>
      <c r="I149" s="186"/>
      <c r="J149" s="186"/>
      <c r="K149" s="186"/>
      <c r="L149" s="186"/>
      <c r="M149" s="595"/>
      <c r="N149" s="595"/>
      <c r="O149" s="186"/>
      <c r="P149" s="186"/>
      <c r="Q149" s="186"/>
      <c r="R149" s="186"/>
      <c r="S149" s="499"/>
      <c r="T149" s="166"/>
      <c r="U149" s="166"/>
      <c r="V149" s="166"/>
      <c r="W149" s="166"/>
      <c r="X149" s="149" t="s">
        <v>950</v>
      </c>
      <c r="Y149" s="149">
        <f>(AL171+AL183)*(SUMIF('A1. Submodels &amp; data'!B144:B337,'1.GeneralInfo'!E7,'A1. Submodels &amp; data'!D144:D337)/100)</f>
        <v>0</v>
      </c>
      <c r="Z149" s="166"/>
      <c r="AA149" s="166"/>
      <c r="AB149" s="166"/>
      <c r="AC149" s="166"/>
      <c r="AD149" s="166"/>
      <c r="AE149" s="166"/>
      <c r="AF149" s="166"/>
      <c r="AG149" s="166"/>
      <c r="AH149" s="166"/>
      <c r="AI149" s="166"/>
      <c r="AJ149" s="166"/>
      <c r="AK149" s="166"/>
      <c r="AL149" s="166"/>
      <c r="AM149" s="166"/>
      <c r="AN149" s="166"/>
      <c r="AO149" s="166"/>
      <c r="AP149" s="166"/>
      <c r="AQ149" s="166"/>
      <c r="AR149" s="166"/>
      <c r="AS149" s="166"/>
      <c r="AT149" s="166"/>
      <c r="AU149" s="166"/>
      <c r="AV149" s="166"/>
      <c r="AW149" s="166"/>
      <c r="AX149" s="166"/>
      <c r="AY149" s="166"/>
      <c r="AZ149" s="166"/>
      <c r="BA149" s="166"/>
      <c r="BB149" s="166"/>
      <c r="BC149" s="166"/>
      <c r="BD149" s="149"/>
      <c r="BE149" s="149"/>
      <c r="BF149" s="149"/>
      <c r="BG149" s="149"/>
      <c r="BH149" s="149"/>
      <c r="BI149" s="149"/>
      <c r="BJ149" s="149"/>
      <c r="BK149" s="166"/>
      <c r="BL149" s="166"/>
      <c r="BM149" s="166"/>
      <c r="BN149" s="166"/>
    </row>
    <row r="150" spans="1:66" ht="16.600000000000001" customHeight="1" x14ac:dyDescent="0.25">
      <c r="A150" s="166"/>
      <c r="B150" s="381"/>
      <c r="C150" s="626" t="s">
        <v>1130</v>
      </c>
      <c r="D150" s="564">
        <f ca="1">AL180</f>
        <v>4232.3788630317968</v>
      </c>
      <c r="E150" s="587">
        <f ca="1">AM180*SUMIF(AK$4:AK$7,D$5,AL$4:AL$7)</f>
        <v>299.2816715811403</v>
      </c>
      <c r="F150" s="186"/>
      <c r="G150" s="186"/>
      <c r="H150" s="186"/>
      <c r="I150" s="186"/>
      <c r="J150" s="186"/>
      <c r="K150" s="186"/>
      <c r="L150" s="186"/>
      <c r="M150" s="595"/>
      <c r="N150" s="595"/>
      <c r="O150" s="186"/>
      <c r="P150" s="186"/>
      <c r="Q150" s="186"/>
      <c r="R150" s="186"/>
      <c r="S150" s="499"/>
      <c r="T150" s="166"/>
      <c r="U150" s="166"/>
      <c r="V150" s="166"/>
      <c r="W150" s="166"/>
      <c r="X150" s="149" t="s">
        <v>620</v>
      </c>
      <c r="Y150" s="149" t="s">
        <v>602</v>
      </c>
      <c r="Z150" s="166"/>
      <c r="AA150" s="149"/>
      <c r="AB150" s="149"/>
      <c r="AC150" s="149"/>
      <c r="AD150" s="149"/>
      <c r="AE150" s="149"/>
      <c r="AF150" s="149"/>
      <c r="AG150" s="149"/>
      <c r="AH150" s="149"/>
      <c r="AI150" s="149"/>
      <c r="AJ150" s="149"/>
      <c r="AK150" s="149"/>
      <c r="AL150" s="149"/>
      <c r="AM150" s="149"/>
      <c r="AN150" s="149"/>
      <c r="AO150" s="166"/>
      <c r="AP150" s="166"/>
      <c r="AQ150" s="166"/>
      <c r="AR150" s="166"/>
      <c r="AS150" s="166"/>
      <c r="AT150" s="166"/>
      <c r="AU150" s="166"/>
      <c r="AV150" s="166"/>
      <c r="AW150" s="166"/>
      <c r="AX150" s="166"/>
      <c r="AY150" s="166"/>
      <c r="AZ150" s="166"/>
      <c r="BA150" s="166"/>
      <c r="BB150" s="166"/>
      <c r="BC150" s="166"/>
      <c r="BD150" s="149"/>
      <c r="BE150" s="149" t="str">
        <f>'5.FieldEnergyUse'!D75</f>
        <v>manure spreader</v>
      </c>
      <c r="BF150" s="278" t="e">
        <f ca="1">IF('5.FieldEnergyUse'!F75&gt;0,'5.FieldEnergyUse'!F75,NA())</f>
        <v>#N/A</v>
      </c>
      <c r="BG150" s="149"/>
      <c r="BH150" s="149"/>
      <c r="BI150" s="149"/>
      <c r="BJ150" s="149"/>
      <c r="BK150" s="166"/>
      <c r="BL150" s="166"/>
      <c r="BM150" s="166"/>
      <c r="BN150" s="166"/>
    </row>
    <row r="151" spans="1:66" ht="16.600000000000001" customHeight="1" thickBot="1" x14ac:dyDescent="0.3">
      <c r="A151" s="166"/>
      <c r="B151" s="381"/>
      <c r="C151" s="628" t="s">
        <v>952</v>
      </c>
      <c r="D151" s="590">
        <f ca="1">AL187</f>
        <v>0</v>
      </c>
      <c r="E151" s="285">
        <f ca="1">AM187*SUMIF(AK$4:AK$7,D$5,AL$4:AL$7)</f>
        <v>0</v>
      </c>
      <c r="F151" s="186"/>
      <c r="G151" s="186"/>
      <c r="H151" s="186"/>
      <c r="I151" s="186"/>
      <c r="J151" s="186"/>
      <c r="K151" s="186"/>
      <c r="L151" s="186"/>
      <c r="M151" s="186"/>
      <c r="N151" s="186"/>
      <c r="O151" s="186"/>
      <c r="P151" s="186"/>
      <c r="Q151" s="186"/>
      <c r="R151" s="186"/>
      <c r="S151" s="499"/>
      <c r="T151" s="166"/>
      <c r="U151" s="166"/>
      <c r="V151" s="166"/>
      <c r="W151" s="166"/>
      <c r="X151" s="166"/>
      <c r="Y151" s="166"/>
      <c r="Z151" s="166"/>
      <c r="AA151" s="149"/>
      <c r="AB151" s="149"/>
      <c r="AC151" s="149"/>
      <c r="AD151" s="149"/>
      <c r="AE151" s="149"/>
      <c r="AF151" s="149"/>
      <c r="AG151" s="149"/>
      <c r="AH151" s="149"/>
      <c r="AI151" s="149"/>
      <c r="AJ151" s="149"/>
      <c r="AK151" s="149"/>
      <c r="AL151" s="149"/>
      <c r="AM151" s="149"/>
      <c r="AN151" s="149"/>
      <c r="AO151" s="166"/>
      <c r="AP151" s="166"/>
      <c r="AQ151" s="166"/>
      <c r="AR151" s="166"/>
      <c r="AS151" s="166"/>
      <c r="AT151" s="166"/>
      <c r="AU151" s="166"/>
      <c r="AV151" s="166"/>
      <c r="AW151" s="166"/>
      <c r="AX151" s="166"/>
      <c r="AY151" s="166"/>
      <c r="AZ151" s="166"/>
      <c r="BA151" s="166"/>
      <c r="BB151" s="166"/>
      <c r="BC151" s="166"/>
      <c r="BD151" s="149"/>
      <c r="BE151" s="149" t="str">
        <f>'5.FieldEnergyUse'!D76</f>
        <v>mower/grader</v>
      </c>
      <c r="BF151" s="278" t="e">
        <f ca="1">IF('5.FieldEnergyUse'!F76&gt;0,'5.FieldEnergyUse'!F76,NA())</f>
        <v>#N/A</v>
      </c>
      <c r="BG151" s="149"/>
      <c r="BH151" s="149"/>
      <c r="BI151" s="149"/>
      <c r="BJ151" s="149"/>
      <c r="BK151" s="166"/>
      <c r="BL151" s="166"/>
      <c r="BM151" s="166"/>
      <c r="BN151" s="166"/>
    </row>
    <row r="152" spans="1:66" ht="3.75" customHeight="1" x14ac:dyDescent="0.25">
      <c r="A152" s="166"/>
      <c r="B152" s="381"/>
      <c r="C152" s="186"/>
      <c r="D152" s="186"/>
      <c r="E152" s="186"/>
      <c r="F152" s="186"/>
      <c r="G152" s="186"/>
      <c r="H152" s="186"/>
      <c r="I152" s="186"/>
      <c r="J152" s="186"/>
      <c r="K152" s="186"/>
      <c r="L152" s="186"/>
      <c r="M152" s="186"/>
      <c r="N152" s="186"/>
      <c r="O152" s="186"/>
      <c r="P152" s="186"/>
      <c r="Q152" s="186"/>
      <c r="R152" s="186"/>
      <c r="S152" s="499"/>
      <c r="T152" s="166"/>
      <c r="U152" s="166"/>
      <c r="V152" s="166"/>
      <c r="W152" s="166"/>
      <c r="X152" s="166"/>
      <c r="Y152" s="166"/>
      <c r="Z152" s="166"/>
      <c r="AA152" s="149"/>
      <c r="AB152" s="149"/>
      <c r="AC152" s="149"/>
      <c r="AD152" s="149"/>
      <c r="AE152" s="149"/>
      <c r="AF152" s="149"/>
      <c r="AG152" s="149"/>
      <c r="AH152" s="149"/>
      <c r="AI152" s="149"/>
      <c r="AJ152" s="149"/>
      <c r="AK152" s="149"/>
      <c r="AL152" s="149"/>
      <c r="AM152" s="149"/>
      <c r="AN152" s="149"/>
      <c r="AO152" s="166"/>
      <c r="AP152" s="166"/>
      <c r="AQ152" s="166"/>
      <c r="AR152" s="166"/>
      <c r="AS152" s="166"/>
      <c r="AT152" s="166"/>
      <c r="AU152" s="166"/>
      <c r="AV152" s="166"/>
      <c r="AW152" s="166"/>
      <c r="AX152" s="166"/>
      <c r="AY152" s="166"/>
      <c r="AZ152" s="166"/>
      <c r="BA152" s="166"/>
      <c r="BB152" s="166"/>
      <c r="BC152" s="166"/>
      <c r="BD152" s="149"/>
      <c r="BE152" s="149" t="str">
        <f>'5.FieldEnergyUse'!D77</f>
        <v>mower-conditioner</v>
      </c>
      <c r="BF152" s="278" t="e">
        <f ca="1">IF('5.FieldEnergyUse'!F77&gt;0,'5.FieldEnergyUse'!F77,NA())</f>
        <v>#N/A</v>
      </c>
      <c r="BG152" s="149"/>
      <c r="BH152" s="149"/>
      <c r="BI152" s="149"/>
      <c r="BJ152" s="149"/>
      <c r="BK152" s="166"/>
      <c r="BL152" s="166"/>
      <c r="BM152" s="166"/>
      <c r="BN152" s="166"/>
    </row>
    <row r="153" spans="1:66" ht="3.75" customHeight="1" x14ac:dyDescent="0.25">
      <c r="A153" s="166"/>
      <c r="B153" s="381"/>
      <c r="C153" s="186"/>
      <c r="D153" s="186"/>
      <c r="E153" s="186"/>
      <c r="F153" s="186"/>
      <c r="G153" s="186"/>
      <c r="H153" s="186"/>
      <c r="I153" s="186"/>
      <c r="J153" s="186"/>
      <c r="K153" s="186"/>
      <c r="L153" s="186"/>
      <c r="M153" s="186"/>
      <c r="N153" s="186"/>
      <c r="O153" s="186"/>
      <c r="P153" s="186"/>
      <c r="Q153" s="186"/>
      <c r="R153" s="186"/>
      <c r="S153" s="499"/>
      <c r="T153" s="166"/>
      <c r="U153" s="166"/>
      <c r="V153" s="166"/>
      <c r="W153" s="166"/>
      <c r="X153" s="166"/>
      <c r="Y153" s="166"/>
      <c r="Z153" s="149"/>
      <c r="AA153" s="149"/>
      <c r="AB153" s="149"/>
      <c r="AC153" s="149"/>
      <c r="AD153" s="149"/>
      <c r="AE153" s="149"/>
      <c r="AF153" s="149"/>
      <c r="AG153" s="149"/>
      <c r="AH153" s="149"/>
      <c r="AI153" s="149"/>
      <c r="AJ153" s="149"/>
      <c r="AK153" s="149"/>
      <c r="AL153" s="149"/>
      <c r="AM153" s="149"/>
      <c r="AN153" s="149"/>
      <c r="AO153" s="166"/>
      <c r="AP153" s="166"/>
      <c r="AQ153" s="166"/>
      <c r="AR153" s="166"/>
      <c r="AS153" s="166"/>
      <c r="AT153" s="166"/>
      <c r="AU153" s="166"/>
      <c r="AV153" s="166"/>
      <c r="AW153" s="166"/>
      <c r="AX153" s="166"/>
      <c r="AY153" s="166"/>
      <c r="AZ153" s="166"/>
      <c r="BA153" s="166"/>
      <c r="BB153" s="166"/>
      <c r="BC153" s="166"/>
      <c r="BD153" s="149"/>
      <c r="BE153" s="149" t="str">
        <f>'5.FieldEnergyUse'!D78</f>
        <v>potato harvester</v>
      </c>
      <c r="BF153" s="278" t="e">
        <f ca="1">IF('5.FieldEnergyUse'!F78&gt;0,'5.FieldEnergyUse'!F78,NA())</f>
        <v>#N/A</v>
      </c>
      <c r="BG153" s="149"/>
      <c r="BH153" s="149"/>
      <c r="BI153" s="149"/>
      <c r="BJ153" s="149"/>
      <c r="BK153" s="166"/>
      <c r="BL153" s="166"/>
      <c r="BM153" s="166"/>
      <c r="BN153" s="166"/>
    </row>
    <row r="154" spans="1:66" ht="3.75" customHeight="1" x14ac:dyDescent="0.25">
      <c r="A154" s="166"/>
      <c r="B154" s="381"/>
      <c r="C154" s="186"/>
      <c r="D154" s="186"/>
      <c r="E154" s="186"/>
      <c r="F154" s="186"/>
      <c r="G154" s="186"/>
      <c r="H154" s="186"/>
      <c r="I154" s="186"/>
      <c r="J154" s="186"/>
      <c r="K154" s="186"/>
      <c r="L154" s="186"/>
      <c r="M154" s="186"/>
      <c r="N154" s="186"/>
      <c r="O154" s="186"/>
      <c r="P154" s="186"/>
      <c r="Q154" s="186"/>
      <c r="R154" s="186"/>
      <c r="S154" s="499"/>
      <c r="T154" s="166"/>
      <c r="U154" s="166"/>
      <c r="V154" s="166"/>
      <c r="W154" s="166"/>
      <c r="X154" s="166"/>
      <c r="Y154" s="166"/>
      <c r="Z154" s="149"/>
      <c r="AA154" s="149"/>
      <c r="AB154" s="149"/>
      <c r="AC154" s="149"/>
      <c r="AD154" s="149"/>
      <c r="AE154" s="149"/>
      <c r="AF154" s="149"/>
      <c r="AG154" s="149"/>
      <c r="AH154" s="149"/>
      <c r="AI154" s="149"/>
      <c r="AJ154" s="149"/>
      <c r="AK154" s="149"/>
      <c r="AL154" s="149"/>
      <c r="AM154" s="149"/>
      <c r="AN154" s="149"/>
      <c r="AO154" s="166"/>
      <c r="AP154" s="166"/>
      <c r="AQ154" s="166"/>
      <c r="AR154" s="166"/>
      <c r="AS154" s="166"/>
      <c r="AT154" s="166"/>
      <c r="AU154" s="166"/>
      <c r="AV154" s="166"/>
      <c r="AW154" s="166"/>
      <c r="AX154" s="166"/>
      <c r="AY154" s="166"/>
      <c r="AZ154" s="166"/>
      <c r="BA154" s="166"/>
      <c r="BB154" s="166"/>
      <c r="BC154" s="166"/>
      <c r="BD154" s="149"/>
      <c r="BE154" s="149" t="str">
        <f>'5.FieldEnergyUse'!D79</f>
        <v>potato windrower</v>
      </c>
      <c r="BF154" s="278" t="e">
        <f ca="1">IF('5.FieldEnergyUse'!F79&gt;0,'5.FieldEnergyUse'!F79,NA())</f>
        <v>#N/A</v>
      </c>
      <c r="BG154" s="149"/>
      <c r="BH154" s="149"/>
      <c r="BI154" s="149"/>
      <c r="BJ154" s="149"/>
      <c r="BK154" s="166"/>
      <c r="BL154" s="166"/>
      <c r="BM154" s="166"/>
      <c r="BN154" s="166"/>
    </row>
    <row r="155" spans="1:66" ht="3.75" customHeight="1" x14ac:dyDescent="0.25">
      <c r="A155" s="166"/>
      <c r="B155" s="381"/>
      <c r="C155" s="186"/>
      <c r="D155" s="186"/>
      <c r="E155" s="186"/>
      <c r="F155" s="186"/>
      <c r="G155" s="186"/>
      <c r="H155" s="186"/>
      <c r="I155" s="186"/>
      <c r="J155" s="186"/>
      <c r="K155" s="186"/>
      <c r="L155" s="186"/>
      <c r="M155" s="186"/>
      <c r="N155" s="186"/>
      <c r="O155" s="186"/>
      <c r="P155" s="186"/>
      <c r="Q155" s="186"/>
      <c r="R155" s="186"/>
      <c r="S155" s="499"/>
      <c r="T155" s="166"/>
      <c r="U155" s="166"/>
      <c r="V155" s="166"/>
      <c r="W155" s="166"/>
      <c r="X155" s="166"/>
      <c r="Y155" s="166"/>
      <c r="Z155" s="149"/>
      <c r="AA155" s="149"/>
      <c r="AB155" s="149"/>
      <c r="AC155" s="149"/>
      <c r="AD155" s="149"/>
      <c r="AE155" s="149"/>
      <c r="AF155" s="149"/>
      <c r="AG155" s="149"/>
      <c r="AH155" s="149"/>
      <c r="AI155" s="149"/>
      <c r="AJ155" s="149"/>
      <c r="AK155" s="149"/>
      <c r="AL155" s="149"/>
      <c r="AM155" s="149"/>
      <c r="AN155" s="149"/>
      <c r="AO155" s="166"/>
      <c r="AP155" s="166"/>
      <c r="AQ155" s="166"/>
      <c r="AR155" s="166"/>
      <c r="AS155" s="166"/>
      <c r="AT155" s="166"/>
      <c r="AU155" s="166"/>
      <c r="AV155" s="166"/>
      <c r="AW155" s="166"/>
      <c r="AX155" s="166"/>
      <c r="AY155" s="166"/>
      <c r="AZ155" s="166"/>
      <c r="BA155" s="166"/>
      <c r="BB155" s="166"/>
      <c r="BC155" s="166"/>
      <c r="BD155" s="149"/>
      <c r="BE155" s="149" t="str">
        <f>'5.FieldEnergyUse'!D80</f>
        <v>rake</v>
      </c>
      <c r="BF155" s="278" t="e">
        <f ca="1">IF('5.FieldEnergyUse'!F80&gt;0,'5.FieldEnergyUse'!F80,NA())</f>
        <v>#N/A</v>
      </c>
      <c r="BG155" s="149"/>
      <c r="BH155" s="149"/>
      <c r="BI155" s="149"/>
      <c r="BJ155" s="149"/>
      <c r="BK155" s="166"/>
      <c r="BL155" s="166"/>
      <c r="BM155" s="166"/>
      <c r="BN155" s="166"/>
    </row>
    <row r="156" spans="1:66" ht="3.75" customHeight="1" x14ac:dyDescent="0.25">
      <c r="A156" s="166"/>
      <c r="B156" s="381"/>
      <c r="C156" s="186"/>
      <c r="D156" s="186"/>
      <c r="E156" s="186"/>
      <c r="F156" s="186"/>
      <c r="G156" s="186"/>
      <c r="H156" s="186"/>
      <c r="I156" s="186"/>
      <c r="J156" s="186"/>
      <c r="K156" s="186"/>
      <c r="L156" s="186"/>
      <c r="M156" s="186"/>
      <c r="N156" s="186"/>
      <c r="O156" s="186"/>
      <c r="P156" s="186"/>
      <c r="Q156" s="186"/>
      <c r="R156" s="186"/>
      <c r="S156" s="499"/>
      <c r="T156" s="166"/>
      <c r="U156" s="166"/>
      <c r="V156" s="166"/>
      <c r="W156" s="166"/>
      <c r="X156" s="166"/>
      <c r="Y156" s="166"/>
      <c r="Z156" s="149"/>
      <c r="AA156" s="149"/>
      <c r="AB156" s="149"/>
      <c r="AC156" s="149"/>
      <c r="AD156" s="149"/>
      <c r="AE156" s="149"/>
      <c r="AF156" s="149"/>
      <c r="AG156" s="149"/>
      <c r="AH156" s="149"/>
      <c r="AI156" s="149"/>
      <c r="AJ156" s="149"/>
      <c r="AK156" s="149"/>
      <c r="AL156" s="149"/>
      <c r="AM156" s="149"/>
      <c r="AN156" s="149"/>
      <c r="AO156" s="166"/>
      <c r="AP156" s="166"/>
      <c r="AQ156" s="166"/>
      <c r="AR156" s="166"/>
      <c r="AS156" s="166"/>
      <c r="AT156" s="166"/>
      <c r="AU156" s="166"/>
      <c r="AV156" s="166"/>
      <c r="AW156" s="166"/>
      <c r="AX156" s="166"/>
      <c r="AY156" s="166"/>
      <c r="AZ156" s="166"/>
      <c r="BA156" s="166"/>
      <c r="BB156" s="166"/>
      <c r="BC156" s="166"/>
      <c r="BD156" s="149"/>
      <c r="BE156" s="149" t="str">
        <f>'5.FieldEnergyUse'!D82</f>
        <v>windrower/swather</v>
      </c>
      <c r="BF156" s="278" t="e">
        <f ca="1">IF('5.FieldEnergyUse'!F82&gt;0,'5.FieldEnergyUse'!F82,NA())</f>
        <v>#N/A</v>
      </c>
      <c r="BG156" s="149"/>
      <c r="BH156" s="149"/>
      <c r="BI156" s="149"/>
      <c r="BJ156" s="149"/>
      <c r="BK156" s="166"/>
      <c r="BL156" s="166"/>
      <c r="BM156" s="166"/>
      <c r="BN156" s="166"/>
    </row>
    <row r="157" spans="1:66" ht="3.75" customHeight="1" x14ac:dyDescent="0.25">
      <c r="A157" s="166"/>
      <c r="B157" s="381"/>
      <c r="C157" s="186"/>
      <c r="D157" s="186"/>
      <c r="E157" s="186"/>
      <c r="F157" s="186"/>
      <c r="G157" s="186"/>
      <c r="H157" s="186"/>
      <c r="I157" s="186"/>
      <c r="J157" s="186"/>
      <c r="K157" s="186"/>
      <c r="L157" s="186"/>
      <c r="M157" s="186"/>
      <c r="N157" s="186"/>
      <c r="O157" s="186"/>
      <c r="P157" s="186"/>
      <c r="Q157" s="186"/>
      <c r="R157" s="186"/>
      <c r="S157" s="499"/>
      <c r="T157" s="166"/>
      <c r="U157" s="166"/>
      <c r="V157" s="166"/>
      <c r="W157" s="166"/>
      <c r="X157" s="166"/>
      <c r="Y157" s="166"/>
      <c r="Z157" s="149"/>
      <c r="AA157" s="149"/>
      <c r="AB157" s="149"/>
      <c r="AC157" s="149"/>
      <c r="AD157" s="149"/>
      <c r="AE157" s="149"/>
      <c r="AF157" s="149"/>
      <c r="AG157" s="149"/>
      <c r="AH157" s="149"/>
      <c r="AI157" s="149"/>
      <c r="AJ157" s="149"/>
      <c r="AK157" s="149"/>
      <c r="AL157" s="149"/>
      <c r="AM157" s="149"/>
      <c r="AN157" s="149"/>
      <c r="AO157" s="166"/>
      <c r="AP157" s="166"/>
      <c r="AQ157" s="166"/>
      <c r="AR157" s="166"/>
      <c r="AS157" s="166"/>
      <c r="AT157" s="166"/>
      <c r="AU157" s="166"/>
      <c r="AV157" s="166"/>
      <c r="AW157" s="166"/>
      <c r="AX157" s="166"/>
      <c r="AY157" s="166"/>
      <c r="AZ157" s="166"/>
      <c r="BA157" s="166"/>
      <c r="BB157" s="166"/>
      <c r="BC157" s="166"/>
      <c r="BD157" s="149"/>
      <c r="BE157" s="149"/>
      <c r="BF157" s="149"/>
      <c r="BG157" s="149"/>
      <c r="BH157" s="149"/>
      <c r="BI157" s="149"/>
      <c r="BJ157" s="149"/>
      <c r="BK157" s="166"/>
      <c r="BL157" s="166"/>
      <c r="BM157" s="166"/>
      <c r="BN157" s="166"/>
    </row>
    <row r="158" spans="1:66" ht="3.75" customHeight="1" thickBot="1" x14ac:dyDescent="0.3">
      <c r="A158" s="166"/>
      <c r="B158" s="596"/>
      <c r="C158" s="493"/>
      <c r="D158" s="493"/>
      <c r="E158" s="493"/>
      <c r="F158" s="493"/>
      <c r="G158" s="493"/>
      <c r="H158" s="493"/>
      <c r="I158" s="493"/>
      <c r="J158" s="493"/>
      <c r="K158" s="493"/>
      <c r="L158" s="493"/>
      <c r="M158" s="493"/>
      <c r="N158" s="493"/>
      <c r="O158" s="493"/>
      <c r="P158" s="493"/>
      <c r="Q158" s="493"/>
      <c r="R158" s="493"/>
      <c r="S158" s="561"/>
      <c r="T158" s="166"/>
      <c r="U158" s="166"/>
      <c r="V158" s="146"/>
      <c r="W158" s="146"/>
      <c r="X158" s="166"/>
      <c r="Y158" s="149"/>
      <c r="Z158" s="149"/>
      <c r="AA158" s="149"/>
      <c r="AB158" s="149"/>
      <c r="AC158" s="149"/>
      <c r="AD158" s="149"/>
      <c r="AE158" s="149"/>
      <c r="AF158" s="149"/>
      <c r="AG158" s="149"/>
      <c r="AH158" s="149"/>
      <c r="AI158" s="149"/>
      <c r="AJ158" s="149"/>
      <c r="AK158" s="149"/>
      <c r="AL158" s="149"/>
      <c r="AM158" s="149"/>
      <c r="AN158" s="149"/>
      <c r="AO158" s="166"/>
      <c r="AP158" s="166"/>
      <c r="AQ158" s="166"/>
      <c r="AR158" s="166"/>
      <c r="AS158" s="166"/>
      <c r="AT158" s="166"/>
      <c r="AU158" s="166"/>
      <c r="AV158" s="166"/>
      <c r="AW158" s="166"/>
      <c r="AX158" s="166"/>
      <c r="AY158" s="166"/>
      <c r="AZ158" s="166"/>
      <c r="BA158" s="166"/>
      <c r="BB158" s="166"/>
      <c r="BC158" s="166"/>
      <c r="BD158" s="149"/>
      <c r="BE158" s="149"/>
      <c r="BF158" s="149"/>
      <c r="BG158" s="149"/>
      <c r="BH158" s="149"/>
      <c r="BI158" s="149"/>
      <c r="BJ158" s="149"/>
      <c r="BK158" s="166"/>
      <c r="BL158" s="166"/>
      <c r="BM158" s="166"/>
      <c r="BN158" s="166"/>
    </row>
    <row r="159" spans="1:66" ht="23.2" customHeight="1" thickBot="1" x14ac:dyDescent="0.3">
      <c r="A159" s="166"/>
      <c r="B159" s="955"/>
      <c r="C159" s="1033" t="s">
        <v>102</v>
      </c>
      <c r="D159" s="956"/>
      <c r="E159" s="956"/>
      <c r="F159" s="956"/>
      <c r="G159" s="956"/>
      <c r="H159" s="956"/>
      <c r="I159" s="956"/>
      <c r="J159" s="956"/>
      <c r="K159" s="956"/>
      <c r="L159" s="956"/>
      <c r="M159" s="956"/>
      <c r="N159" s="956"/>
      <c r="O159" s="956"/>
      <c r="P159" s="956"/>
      <c r="Q159" s="956"/>
      <c r="R159" s="956"/>
      <c r="S159" s="957"/>
      <c r="T159" s="166"/>
      <c r="U159" s="166"/>
      <c r="V159" s="166"/>
      <c r="W159" s="166"/>
      <c r="X159" s="166"/>
      <c r="Y159" s="149"/>
      <c r="Z159" s="149"/>
      <c r="AA159" s="149"/>
      <c r="AB159" s="149"/>
      <c r="AC159" s="149"/>
      <c r="AD159" s="149"/>
      <c r="AE159" s="149"/>
      <c r="AF159" s="149"/>
      <c r="AG159" s="149"/>
      <c r="AH159" s="149"/>
      <c r="AI159" s="149"/>
      <c r="AJ159" s="149"/>
      <c r="AK159" s="149"/>
      <c r="AL159" s="149"/>
      <c r="AM159" s="149"/>
      <c r="AN159" s="149"/>
      <c r="AO159" s="166"/>
      <c r="AP159" s="166"/>
      <c r="AQ159" s="166"/>
      <c r="AR159" s="166"/>
      <c r="AS159" s="166"/>
      <c r="AT159" s="166"/>
      <c r="AU159" s="166"/>
      <c r="AV159" s="166"/>
      <c r="AW159" s="166"/>
      <c r="AX159" s="166"/>
      <c r="AY159" s="166"/>
      <c r="AZ159" s="166"/>
      <c r="BA159" s="166"/>
      <c r="BB159" s="166"/>
      <c r="BC159" s="166"/>
      <c r="BD159" s="149"/>
      <c r="BE159" s="149"/>
      <c r="BF159" s="149"/>
      <c r="BG159" s="149"/>
      <c r="BH159" s="149"/>
      <c r="BI159" s="149"/>
      <c r="BJ159" s="149"/>
      <c r="BK159" s="166"/>
      <c r="BL159" s="166"/>
      <c r="BM159" s="166"/>
      <c r="BN159" s="166"/>
    </row>
    <row r="160" spans="1:66" x14ac:dyDescent="0.25">
      <c r="A160" s="166"/>
      <c r="B160" s="483"/>
      <c r="C160" s="346"/>
      <c r="D160" s="346"/>
      <c r="E160" s="346"/>
      <c r="F160" s="346"/>
      <c r="G160" s="346"/>
      <c r="H160" s="346"/>
      <c r="I160" s="346"/>
      <c r="J160" s="346"/>
      <c r="K160" s="346"/>
      <c r="L160" s="346"/>
      <c r="M160" s="346"/>
      <c r="N160" s="346"/>
      <c r="O160" s="346"/>
      <c r="P160" s="346"/>
      <c r="Q160" s="346"/>
      <c r="R160" s="346"/>
      <c r="S160" s="347"/>
      <c r="T160" s="166"/>
      <c r="U160" s="166"/>
      <c r="V160" s="166"/>
      <c r="W160" s="166"/>
      <c r="X160" s="166"/>
      <c r="Y160" s="149"/>
      <c r="Z160" s="149"/>
      <c r="AA160" s="149"/>
      <c r="AB160" s="149"/>
      <c r="AC160" s="149"/>
      <c r="AD160" s="149"/>
      <c r="AE160" s="149"/>
      <c r="AF160" s="149"/>
      <c r="AG160" s="149"/>
      <c r="AH160" s="149"/>
      <c r="AI160" s="149"/>
      <c r="AJ160" s="149"/>
      <c r="AK160" s="149"/>
      <c r="AL160" s="149"/>
      <c r="AM160" s="149"/>
      <c r="AN160" s="149"/>
      <c r="AO160" s="166"/>
      <c r="AP160" s="166"/>
      <c r="AQ160" s="166"/>
      <c r="AR160" s="166"/>
      <c r="AS160" s="166"/>
      <c r="AT160" s="166"/>
      <c r="AU160" s="166"/>
      <c r="AV160" s="166"/>
      <c r="AW160" s="166"/>
      <c r="AX160" s="166"/>
      <c r="AY160" s="166"/>
      <c r="AZ160" s="166"/>
      <c r="BA160" s="166"/>
      <c r="BB160" s="166"/>
      <c r="BC160" s="166"/>
      <c r="BD160" s="149"/>
      <c r="BE160" s="149"/>
      <c r="BF160" s="149"/>
      <c r="BG160" s="149"/>
      <c r="BH160" s="149"/>
      <c r="BI160" s="149"/>
      <c r="BJ160" s="149"/>
      <c r="BK160" s="166"/>
      <c r="BL160" s="166"/>
      <c r="BM160" s="166"/>
      <c r="BN160" s="166"/>
    </row>
    <row r="161" spans="1:66" x14ac:dyDescent="0.25">
      <c r="A161" s="166"/>
      <c r="B161" s="381"/>
      <c r="C161" s="186"/>
      <c r="D161" s="186"/>
      <c r="E161" s="186"/>
      <c r="F161" s="186"/>
      <c r="G161" s="186"/>
      <c r="H161" s="186"/>
      <c r="I161" s="186"/>
      <c r="J161" s="186"/>
      <c r="K161" s="186"/>
      <c r="L161" s="186"/>
      <c r="M161" s="186"/>
      <c r="N161" s="186"/>
      <c r="O161" s="186"/>
      <c r="P161" s="186"/>
      <c r="Q161" s="186"/>
      <c r="R161" s="186"/>
      <c r="S161" s="499"/>
      <c r="T161" s="166"/>
      <c r="U161" s="166"/>
      <c r="V161" s="166"/>
      <c r="W161" s="166"/>
      <c r="X161" s="166"/>
      <c r="Y161" s="149"/>
      <c r="Z161" s="149"/>
      <c r="AA161" s="149"/>
      <c r="AB161" s="149"/>
      <c r="AC161" s="149"/>
      <c r="AD161" s="149"/>
      <c r="AE161" s="149"/>
      <c r="AF161" s="149"/>
      <c r="AG161" s="149"/>
      <c r="AH161" s="149"/>
      <c r="AI161" s="149"/>
      <c r="AJ161" s="149"/>
      <c r="AK161" s="149"/>
      <c r="AL161" s="149"/>
      <c r="AM161" s="149"/>
      <c r="AN161" s="149"/>
      <c r="AO161" s="166"/>
      <c r="AP161" s="166"/>
      <c r="AQ161" s="166"/>
      <c r="AR161" s="166"/>
      <c r="AS161" s="166"/>
      <c r="AT161" s="166"/>
      <c r="AU161" s="166"/>
      <c r="AV161" s="166"/>
      <c r="AW161" s="166"/>
      <c r="AX161" s="166"/>
      <c r="AY161" s="166"/>
      <c r="AZ161" s="166"/>
      <c r="BA161" s="166"/>
      <c r="BB161" s="166"/>
      <c r="BC161" s="166"/>
      <c r="BD161" s="166"/>
      <c r="BE161" s="166"/>
      <c r="BF161" s="166"/>
      <c r="BG161" s="166"/>
      <c r="BH161" s="166"/>
      <c r="BI161" s="166"/>
      <c r="BJ161" s="166"/>
      <c r="BK161" s="166"/>
      <c r="BL161" s="166"/>
      <c r="BM161" s="166"/>
      <c r="BN161" s="166"/>
    </row>
    <row r="162" spans="1:66" ht="13.25" thickBot="1" x14ac:dyDescent="0.3">
      <c r="A162" s="166"/>
      <c r="B162" s="381"/>
      <c r="C162" s="186"/>
      <c r="D162" s="186"/>
      <c r="E162" s="186"/>
      <c r="F162" s="186"/>
      <c r="G162" s="186"/>
      <c r="H162" s="186"/>
      <c r="I162" s="186"/>
      <c r="J162" s="186"/>
      <c r="K162" s="186"/>
      <c r="L162" s="186"/>
      <c r="M162" s="186"/>
      <c r="N162" s="186"/>
      <c r="O162" s="186"/>
      <c r="P162" s="186"/>
      <c r="Q162" s="533"/>
      <c r="R162" s="157"/>
      <c r="S162" s="499"/>
      <c r="T162" s="166"/>
      <c r="U162" s="166"/>
      <c r="V162" s="166"/>
      <c r="W162" s="166"/>
      <c r="X162" s="166"/>
      <c r="Y162" s="149"/>
      <c r="Z162" s="149"/>
      <c r="AA162" s="149"/>
      <c r="AB162" s="149"/>
      <c r="AC162" s="149"/>
      <c r="AD162" s="149"/>
      <c r="AE162" s="149"/>
      <c r="AF162" s="149"/>
      <c r="AG162" s="149"/>
      <c r="AH162" s="149"/>
      <c r="AI162" s="149"/>
      <c r="AJ162" s="149"/>
      <c r="AK162" s="149"/>
      <c r="AL162" s="149"/>
      <c r="AM162" s="149"/>
      <c r="AN162" s="149"/>
      <c r="AO162" s="166"/>
      <c r="AP162" s="166"/>
      <c r="AQ162" s="166"/>
      <c r="AR162" s="166"/>
      <c r="AS162" s="166"/>
      <c r="AT162" s="166"/>
      <c r="AU162" s="166"/>
      <c r="AV162" s="166"/>
      <c r="AW162" s="166"/>
      <c r="AX162" s="166"/>
      <c r="AY162" s="166"/>
      <c r="AZ162" s="166"/>
      <c r="BA162" s="166"/>
      <c r="BB162" s="166"/>
      <c r="BC162" s="166"/>
      <c r="BD162" s="166"/>
      <c r="BE162" s="166"/>
      <c r="BF162" s="166"/>
      <c r="BG162" s="166"/>
      <c r="BH162" s="166"/>
      <c r="BI162" s="166"/>
      <c r="BJ162" s="166"/>
      <c r="BK162" s="166"/>
      <c r="BL162" s="166"/>
      <c r="BM162" s="166"/>
      <c r="BN162" s="166"/>
    </row>
    <row r="163" spans="1:66" x14ac:dyDescent="0.25">
      <c r="A163" s="166"/>
      <c r="B163" s="381"/>
      <c r="C163" s="626"/>
      <c r="D163" s="626"/>
      <c r="E163" s="186"/>
      <c r="F163" s="186"/>
      <c r="G163" s="186"/>
      <c r="H163" s="186"/>
      <c r="I163" s="186"/>
      <c r="J163" s="186"/>
      <c r="K163" s="186"/>
      <c r="L163" s="186"/>
      <c r="M163" s="186"/>
      <c r="N163" s="186"/>
      <c r="O163" s="629"/>
      <c r="P163" s="549"/>
      <c r="Q163" s="186"/>
      <c r="R163" s="186"/>
      <c r="S163" s="499"/>
      <c r="T163" s="166"/>
      <c r="U163" s="166"/>
      <c r="V163" s="166"/>
      <c r="W163" s="166"/>
      <c r="X163" s="166"/>
      <c r="Y163" s="149"/>
      <c r="Z163" s="149"/>
      <c r="AA163" s="149"/>
      <c r="AB163" s="149"/>
      <c r="AC163" s="149"/>
      <c r="AD163" s="149"/>
      <c r="AE163" s="149"/>
      <c r="AF163" s="149"/>
      <c r="AG163" s="149"/>
      <c r="AH163" s="149"/>
      <c r="AI163" s="149"/>
      <c r="AJ163" s="149"/>
      <c r="AK163" s="149"/>
      <c r="AL163" s="149"/>
      <c r="AM163" s="149"/>
      <c r="AN163" s="149"/>
      <c r="AO163" s="166"/>
      <c r="AP163" s="166"/>
      <c r="AQ163" s="166"/>
      <c r="AR163" s="166"/>
      <c r="AS163" s="166"/>
      <c r="AT163" s="166"/>
      <c r="AU163" s="166"/>
      <c r="AV163" s="166"/>
      <c r="AW163" s="166"/>
      <c r="AX163" s="166"/>
      <c r="AY163" s="166"/>
      <c r="AZ163" s="166"/>
      <c r="BA163" s="166"/>
      <c r="BB163" s="166"/>
      <c r="BC163" s="166"/>
      <c r="BD163" s="166"/>
      <c r="BE163" s="166"/>
      <c r="BF163" s="166"/>
      <c r="BG163" s="166"/>
      <c r="BH163" s="166"/>
      <c r="BI163" s="166"/>
      <c r="BJ163" s="166"/>
      <c r="BK163" s="166"/>
      <c r="BL163" s="166"/>
      <c r="BM163" s="166"/>
      <c r="BN163" s="166"/>
    </row>
    <row r="164" spans="1:66" x14ac:dyDescent="0.25">
      <c r="A164" s="166"/>
      <c r="B164" s="381"/>
      <c r="C164" s="1112"/>
      <c r="D164" s="1112" t="str">
        <f>D5</f>
        <v>kg CO2 eq</v>
      </c>
      <c r="E164" s="186"/>
      <c r="F164" s="186"/>
      <c r="G164" s="186"/>
      <c r="H164" s="186"/>
      <c r="I164" s="186"/>
      <c r="J164" s="186"/>
      <c r="K164" s="186"/>
      <c r="L164" s="186"/>
      <c r="M164" s="186"/>
      <c r="N164" s="186"/>
      <c r="O164" s="629"/>
      <c r="P164" s="549"/>
      <c r="Q164" s="186"/>
      <c r="R164" s="186"/>
      <c r="S164" s="499"/>
      <c r="T164" s="166"/>
      <c r="U164" s="166"/>
      <c r="V164" s="166"/>
      <c r="W164" s="166"/>
      <c r="X164" s="166"/>
      <c r="Y164" s="149"/>
      <c r="Z164" s="149"/>
      <c r="AA164" s="149"/>
      <c r="AB164" s="149"/>
      <c r="AC164" s="149"/>
      <c r="AD164" s="149"/>
      <c r="AE164" s="149"/>
      <c r="AF164" s="149"/>
      <c r="AG164" s="149"/>
      <c r="AH164" s="149"/>
      <c r="AI164" s="149"/>
      <c r="AJ164" s="149"/>
      <c r="AK164" s="149"/>
      <c r="AL164" s="149"/>
      <c r="AM164" s="149"/>
      <c r="AN164" s="149"/>
      <c r="AO164" s="166"/>
      <c r="AP164" s="166"/>
      <c r="AQ164" s="166"/>
      <c r="AR164" s="166"/>
      <c r="AS164" s="166"/>
      <c r="AT164" s="166"/>
      <c r="AU164" s="166"/>
      <c r="AV164" s="166"/>
      <c r="AW164" s="166"/>
      <c r="AX164" s="166"/>
      <c r="AY164" s="166"/>
      <c r="AZ164" s="166"/>
      <c r="BA164" s="166"/>
      <c r="BB164" s="166"/>
      <c r="BC164" s="166"/>
      <c r="BD164" s="166"/>
      <c r="BE164" s="166"/>
      <c r="BF164" s="166"/>
      <c r="BG164" s="166"/>
      <c r="BH164" s="166"/>
      <c r="BI164" s="166"/>
      <c r="BJ164" s="166"/>
      <c r="BK164" s="166"/>
      <c r="BL164" s="166"/>
      <c r="BM164" s="166"/>
      <c r="BN164" s="166"/>
    </row>
    <row r="165" spans="1:66" x14ac:dyDescent="0.25">
      <c r="A165" s="166"/>
      <c r="B165" s="381"/>
      <c r="C165" s="1112" t="str">
        <f>'7.Transport'!B47</f>
        <v>Road</v>
      </c>
      <c r="D165" s="1112">
        <f ca="1">'7.Transport'!Y47*SUMIF(AK$4:AK$7,D$5,AL$4:AL$7)</f>
        <v>0</v>
      </c>
      <c r="E165" s="186"/>
      <c r="F165" s="186"/>
      <c r="G165" s="186"/>
      <c r="H165" s="186"/>
      <c r="I165" s="186"/>
      <c r="J165" s="186"/>
      <c r="K165" s="186"/>
      <c r="L165" s="186"/>
      <c r="M165" s="186"/>
      <c r="N165" s="186"/>
      <c r="O165" s="629"/>
      <c r="P165" s="549"/>
      <c r="Q165" s="186"/>
      <c r="R165" s="186"/>
      <c r="S165" s="499"/>
      <c r="T165" s="166"/>
      <c r="U165" s="166"/>
      <c r="V165" s="166"/>
      <c r="W165" s="166"/>
      <c r="X165" s="166"/>
      <c r="Y165" s="149"/>
      <c r="Z165" s="149"/>
      <c r="AA165" s="149"/>
      <c r="AB165" s="149"/>
      <c r="AC165" s="149"/>
      <c r="AD165" s="149"/>
      <c r="AE165" s="149"/>
      <c r="AF165" s="149"/>
      <c r="AG165" s="149"/>
      <c r="AH165" s="149"/>
      <c r="AI165" s="149"/>
      <c r="AJ165" s="149"/>
      <c r="AK165" s="149"/>
      <c r="AL165" s="149"/>
      <c r="AM165" s="149"/>
      <c r="AN165" s="149"/>
      <c r="AO165" s="166"/>
      <c r="AP165" s="166"/>
      <c r="AQ165" s="166"/>
      <c r="AR165" s="166"/>
      <c r="AS165" s="166"/>
      <c r="AT165" s="166"/>
      <c r="AU165" s="166"/>
      <c r="AV165" s="166"/>
      <c r="AW165" s="166"/>
      <c r="AX165" s="166"/>
      <c r="AY165" s="166"/>
      <c r="AZ165" s="166"/>
      <c r="BA165" s="166"/>
      <c r="BB165" s="166"/>
      <c r="BC165" s="166"/>
      <c r="BD165" s="166"/>
      <c r="BE165" s="166"/>
      <c r="BF165" s="166"/>
      <c r="BG165" s="166"/>
      <c r="BH165" s="166"/>
      <c r="BI165" s="166"/>
      <c r="BJ165" s="166"/>
      <c r="BK165" s="166"/>
      <c r="BL165" s="166"/>
      <c r="BM165" s="166"/>
      <c r="BN165" s="166"/>
    </row>
    <row r="166" spans="1:66" ht="13.25" thickBot="1" x14ac:dyDescent="0.3">
      <c r="A166" s="166"/>
      <c r="B166" s="381"/>
      <c r="C166" s="1112" t="str">
        <f>'7.Transport'!B48</f>
        <v>Rail</v>
      </c>
      <c r="D166" s="1112">
        <f ca="1">'7.Transport'!Y48*SUMIF(AK$4:AK$7,D$5,AL$4:AL$7)</f>
        <v>0</v>
      </c>
      <c r="E166" s="186"/>
      <c r="F166" s="186"/>
      <c r="G166" s="186"/>
      <c r="H166" s="186"/>
      <c r="I166" s="186"/>
      <c r="J166" s="186"/>
      <c r="K166" s="186"/>
      <c r="L166" s="186"/>
      <c r="M166" s="186"/>
      <c r="N166" s="186"/>
      <c r="O166" s="629"/>
      <c r="P166" s="549"/>
      <c r="Q166" s="186"/>
      <c r="R166" s="186"/>
      <c r="S166" s="499"/>
      <c r="T166" s="166"/>
      <c r="U166" s="166"/>
      <c r="V166" s="166"/>
      <c r="W166" s="166"/>
      <c r="X166" s="166"/>
      <c r="Y166" s="149"/>
      <c r="Z166" s="149"/>
      <c r="AA166" s="149"/>
      <c r="AB166" s="149"/>
      <c r="AC166" s="149"/>
      <c r="AD166" s="149"/>
      <c r="AE166" s="149"/>
      <c r="AF166" s="149"/>
      <c r="AG166" s="149"/>
      <c r="AH166" s="149"/>
      <c r="AI166" s="149"/>
      <c r="AJ166" s="149"/>
      <c r="AK166" s="149"/>
      <c r="AL166" s="149"/>
      <c r="AM166" s="149"/>
      <c r="AN166" s="149"/>
      <c r="AO166" s="166"/>
      <c r="AP166" s="166"/>
      <c r="AQ166" s="166"/>
      <c r="AR166" s="166"/>
      <c r="AS166" s="166"/>
      <c r="AT166" s="166"/>
      <c r="AU166" s="166"/>
      <c r="AV166" s="166"/>
      <c r="AW166" s="166"/>
      <c r="AX166" s="166"/>
      <c r="AY166" s="166"/>
      <c r="AZ166" s="166"/>
      <c r="BA166" s="166"/>
      <c r="BB166" s="166"/>
      <c r="BC166" s="166"/>
      <c r="BD166" s="166"/>
      <c r="BE166" s="166"/>
      <c r="BF166" s="166"/>
      <c r="BG166" s="166"/>
      <c r="BH166" s="166"/>
      <c r="BI166" s="166"/>
      <c r="BJ166" s="166"/>
      <c r="BK166" s="166"/>
      <c r="BL166" s="166"/>
      <c r="BM166" s="166"/>
      <c r="BN166" s="166"/>
    </row>
    <row r="167" spans="1:66" ht="13.25" thickBot="1" x14ac:dyDescent="0.3">
      <c r="A167" s="166"/>
      <c r="B167" s="381"/>
      <c r="C167" s="1112" t="str">
        <f>'7.Transport'!B49</f>
        <v>Air</v>
      </c>
      <c r="D167" s="1112">
        <f ca="1">'7.Transport'!Y49*SUMIF(AK$4:AK$7,D$5,AL$4:AL$7)</f>
        <v>0</v>
      </c>
      <c r="E167" s="186"/>
      <c r="F167" s="186"/>
      <c r="G167" s="186"/>
      <c r="H167" s="186"/>
      <c r="I167" s="186"/>
      <c r="J167" s="186"/>
      <c r="K167" s="186"/>
      <c r="L167" s="186"/>
      <c r="M167" s="186"/>
      <c r="N167" s="186"/>
      <c r="O167" s="629"/>
      <c r="P167" s="549"/>
      <c r="Q167" s="186"/>
      <c r="R167" s="186"/>
      <c r="S167" s="499"/>
      <c r="T167" s="166"/>
      <c r="U167" s="166"/>
      <c r="V167" s="166"/>
      <c r="W167" s="631"/>
      <c r="X167" s="632" t="s">
        <v>1794</v>
      </c>
      <c r="Y167" s="633"/>
      <c r="Z167" s="633"/>
      <c r="AA167" s="633"/>
      <c r="AB167" s="633"/>
      <c r="AC167" s="633"/>
      <c r="AD167" s="633"/>
      <c r="AE167" s="633"/>
      <c r="AF167" s="633"/>
      <c r="AG167" s="633"/>
      <c r="AH167" s="633"/>
      <c r="AI167" s="633"/>
      <c r="AJ167" s="633"/>
      <c r="AK167" s="633"/>
      <c r="AL167" s="633"/>
      <c r="AM167" s="633"/>
      <c r="AN167" s="634"/>
      <c r="AO167" s="166"/>
      <c r="AP167" s="346"/>
      <c r="AQ167" s="346"/>
      <c r="AR167" s="346"/>
      <c r="AS167" s="346"/>
      <c r="AT167" s="346"/>
      <c r="AU167" s="346"/>
      <c r="AV167" s="346"/>
      <c r="AW167" s="346"/>
      <c r="AX167" s="346"/>
      <c r="AY167" s="346"/>
      <c r="AZ167" s="346"/>
      <c r="BA167" s="346"/>
      <c r="BB167" s="346"/>
      <c r="BC167" s="166"/>
      <c r="BD167" s="166"/>
      <c r="BE167" s="166"/>
      <c r="BF167" s="166"/>
      <c r="BG167" s="166"/>
      <c r="BH167" s="166"/>
      <c r="BI167" s="166"/>
      <c r="BJ167" s="166"/>
      <c r="BK167" s="166"/>
      <c r="BL167" s="166"/>
      <c r="BM167" s="166"/>
      <c r="BN167" s="166"/>
    </row>
    <row r="168" spans="1:66" ht="18.75" customHeight="1" x14ac:dyDescent="0.25">
      <c r="A168" s="166"/>
      <c r="B168" s="381"/>
      <c r="C168" s="1112" t="str">
        <f>'7.Transport'!B50</f>
        <v>Shipping</v>
      </c>
      <c r="D168" s="1112">
        <f ca="1">'7.Transport'!Y50*SUMIF(AK$4:AK$7,D$5,AL$4:AL$7)</f>
        <v>0</v>
      </c>
      <c r="E168" s="186"/>
      <c r="F168" s="186"/>
      <c r="G168" s="186"/>
      <c r="H168" s="186"/>
      <c r="I168" s="186"/>
      <c r="J168" s="186"/>
      <c r="K168" s="186"/>
      <c r="L168" s="186"/>
      <c r="M168" s="186"/>
      <c r="N168" s="186"/>
      <c r="O168" s="629"/>
      <c r="P168" s="549"/>
      <c r="Q168" s="186"/>
      <c r="R168" s="186"/>
      <c r="S168" s="499"/>
      <c r="T168" s="166"/>
      <c r="U168" s="166"/>
      <c r="V168" s="166"/>
      <c r="W168" s="483"/>
      <c r="X168" s="346"/>
      <c r="Y168" s="346"/>
      <c r="Z168" s="346"/>
      <c r="AA168" s="346"/>
      <c r="AB168" s="346"/>
      <c r="AC168" s="346"/>
      <c r="AD168" s="346"/>
      <c r="AE168" s="346"/>
      <c r="AF168" s="346"/>
      <c r="AG168" s="346"/>
      <c r="AH168" s="346"/>
      <c r="AI168" s="346"/>
      <c r="AJ168" s="346"/>
      <c r="AK168" s="346"/>
      <c r="AL168" s="346"/>
      <c r="AM168" s="346"/>
      <c r="AN168" s="347"/>
      <c r="AO168" s="166"/>
      <c r="AP168" s="186"/>
      <c r="AQ168" s="635"/>
      <c r="AR168" s="594" t="s">
        <v>1236</v>
      </c>
      <c r="AS168" s="594" t="s">
        <v>911</v>
      </c>
      <c r="AT168" s="594" t="s">
        <v>910</v>
      </c>
      <c r="AU168" s="594" t="s">
        <v>1235</v>
      </c>
      <c r="AV168" s="594"/>
      <c r="AW168" s="636"/>
      <c r="AX168" s="594"/>
      <c r="AY168" s="594" t="str">
        <f>AK171</f>
        <v>Grid electricity</v>
      </c>
      <c r="AZ168" s="594" t="str">
        <f>AK172</f>
        <v>Local wind, solar, hydro-electric</v>
      </c>
      <c r="BA168" s="594" t="s">
        <v>1399</v>
      </c>
      <c r="BB168" s="594" t="s">
        <v>909</v>
      </c>
      <c r="BC168" s="166"/>
      <c r="BD168" s="166"/>
      <c r="BE168" s="166"/>
      <c r="BF168" s="166"/>
      <c r="BG168" s="166"/>
      <c r="BH168" s="166"/>
      <c r="BI168" s="166"/>
      <c r="BJ168" s="166"/>
      <c r="BK168" s="166"/>
      <c r="BL168" s="166"/>
      <c r="BM168" s="166"/>
      <c r="BN168" s="166"/>
    </row>
    <row r="169" spans="1:66" ht="13.25" thickBot="1" x14ac:dyDescent="0.3">
      <c r="A169" s="166"/>
      <c r="B169" s="381"/>
      <c r="C169" s="1113" t="s">
        <v>104</v>
      </c>
      <c r="D169" s="1113">
        <f ca="1">'7.Transport'!Y51*SUMIF(AK$4:AK$7,D$5,AL$4:AL$7)</f>
        <v>0</v>
      </c>
      <c r="E169" s="186"/>
      <c r="F169" s="186"/>
      <c r="G169" s="186"/>
      <c r="H169" s="186"/>
      <c r="I169" s="186"/>
      <c r="J169" s="186"/>
      <c r="K169" s="186"/>
      <c r="L169" s="186"/>
      <c r="M169" s="186"/>
      <c r="N169" s="186"/>
      <c r="O169" s="629"/>
      <c r="P169" s="185"/>
      <c r="Q169" s="630"/>
      <c r="R169" s="630"/>
      <c r="S169" s="499"/>
      <c r="T169" s="166"/>
      <c r="U169" s="166"/>
      <c r="V169" s="166"/>
      <c r="W169" s="381"/>
      <c r="X169" s="186"/>
      <c r="Y169" s="186"/>
      <c r="Z169" s="186"/>
      <c r="AA169" s="186"/>
      <c r="AB169" s="186"/>
      <c r="AC169" s="186"/>
      <c r="AD169" s="186"/>
      <c r="AE169" s="186"/>
      <c r="AF169" s="186"/>
      <c r="AG169" s="186"/>
      <c r="AH169" s="186"/>
      <c r="AI169" s="186"/>
      <c r="AJ169" s="186"/>
      <c r="AK169" s="186"/>
      <c r="AL169" s="186"/>
      <c r="AM169" s="186"/>
      <c r="AN169" s="499"/>
      <c r="AO169" s="166"/>
      <c r="AP169" s="186"/>
      <c r="AQ169" s="636" t="str">
        <f>AK171</f>
        <v>Grid electricity</v>
      </c>
      <c r="AR169" s="637">
        <f>AL171</f>
        <v>0</v>
      </c>
      <c r="AS169" s="637">
        <f>AL183</f>
        <v>0</v>
      </c>
      <c r="AT169" s="637">
        <f>AM171</f>
        <v>0</v>
      </c>
      <c r="AU169" s="637">
        <f>AM183</f>
        <v>0</v>
      </c>
      <c r="AV169" s="595"/>
      <c r="AW169" s="636"/>
      <c r="AX169" s="595" t="s">
        <v>1236</v>
      </c>
      <c r="AY169" s="637">
        <f>AR169</f>
        <v>0</v>
      </c>
      <c r="AZ169" s="637">
        <f>AR170</f>
        <v>0</v>
      </c>
      <c r="BA169" s="637">
        <f ca="1">AR171</f>
        <v>4232.3788630317968</v>
      </c>
      <c r="BB169" s="637">
        <f ca="1">AR172</f>
        <v>0</v>
      </c>
      <c r="BC169" s="166"/>
      <c r="BD169" s="166"/>
      <c r="BE169" s="166"/>
      <c r="BF169" s="166"/>
      <c r="BG169" s="166"/>
      <c r="BH169" s="166"/>
      <c r="BI169" s="166"/>
      <c r="BJ169" s="166"/>
      <c r="BK169" s="166"/>
      <c r="BL169" s="166"/>
      <c r="BM169" s="166"/>
      <c r="BN169" s="166"/>
    </row>
    <row r="170" spans="1:66" ht="25.95" thickBot="1" x14ac:dyDescent="0.3">
      <c r="A170" s="166"/>
      <c r="B170" s="381"/>
      <c r="C170" s="186"/>
      <c r="D170" s="186"/>
      <c r="E170" s="186"/>
      <c r="F170" s="186"/>
      <c r="G170" s="186"/>
      <c r="H170" s="186"/>
      <c r="I170" s="186"/>
      <c r="J170" s="186"/>
      <c r="K170" s="186"/>
      <c r="L170" s="186"/>
      <c r="M170" s="186"/>
      <c r="N170" s="186"/>
      <c r="O170" s="629"/>
      <c r="P170" s="185"/>
      <c r="Q170" s="630"/>
      <c r="R170" s="630"/>
      <c r="S170" s="499"/>
      <c r="T170" s="166"/>
      <c r="U170" s="166"/>
      <c r="V170" s="166"/>
      <c r="W170" s="381"/>
      <c r="X170" s="186"/>
      <c r="Y170" s="186"/>
      <c r="Z170" s="186"/>
      <c r="AA170" s="186"/>
      <c r="AB170" s="186"/>
      <c r="AC170" s="186"/>
      <c r="AD170" s="186"/>
      <c r="AE170" s="186"/>
      <c r="AF170" s="186"/>
      <c r="AG170" s="186"/>
      <c r="AH170" s="186"/>
      <c r="AI170" s="186"/>
      <c r="AJ170" s="186"/>
      <c r="AK170" s="186"/>
      <c r="AL170" s="533" t="s">
        <v>1127</v>
      </c>
      <c r="AM170" s="157" t="s">
        <v>1553</v>
      </c>
      <c r="AN170" s="499"/>
      <c r="AO170" s="166"/>
      <c r="AP170" s="186"/>
      <c r="AQ170" s="636" t="str">
        <f>AK172</f>
        <v>Local wind, solar, hydro-electric</v>
      </c>
      <c r="AR170" s="637">
        <f>AL172</f>
        <v>0</v>
      </c>
      <c r="AS170" s="637">
        <f>AL184</f>
        <v>0</v>
      </c>
      <c r="AT170" s="637">
        <f>AM172</f>
        <v>0</v>
      </c>
      <c r="AU170" s="637">
        <f>AM184</f>
        <v>0</v>
      </c>
      <c r="AV170" s="595"/>
      <c r="AW170" s="636"/>
      <c r="AX170" s="595" t="s">
        <v>911</v>
      </c>
      <c r="AY170" s="637">
        <f>AS169</f>
        <v>0</v>
      </c>
      <c r="AZ170" s="637">
        <f>AS170</f>
        <v>0</v>
      </c>
      <c r="BA170" s="637">
        <f ca="1">AS171</f>
        <v>0</v>
      </c>
      <c r="BB170" s="637">
        <f ca="1">AS172</f>
        <v>0</v>
      </c>
      <c r="BC170" s="166"/>
      <c r="BD170" s="166"/>
      <c r="BE170" s="166"/>
      <c r="BF170" s="166"/>
      <c r="BG170" s="166"/>
      <c r="BH170" s="166"/>
      <c r="BI170" s="166"/>
      <c r="BJ170" s="166"/>
      <c r="BK170" s="166"/>
      <c r="BL170" s="166"/>
      <c r="BM170" s="166"/>
      <c r="BN170" s="166"/>
    </row>
    <row r="171" spans="1:66" ht="43.5" customHeight="1" x14ac:dyDescent="0.25">
      <c r="A171" s="166"/>
      <c r="B171" s="381"/>
      <c r="C171" s="186" t="s">
        <v>1733</v>
      </c>
      <c r="D171" s="186"/>
      <c r="E171" s="186"/>
      <c r="F171" s="186"/>
      <c r="G171" s="186"/>
      <c r="H171" s="186"/>
      <c r="I171" s="186"/>
      <c r="J171" s="186"/>
      <c r="K171" s="186"/>
      <c r="L171" s="186"/>
      <c r="M171" s="186"/>
      <c r="N171" s="186"/>
      <c r="O171" s="629"/>
      <c r="P171" s="549"/>
      <c r="Q171" s="498"/>
      <c r="R171" s="498"/>
      <c r="S171" s="499"/>
      <c r="T171" s="166"/>
      <c r="U171" s="166"/>
      <c r="V171" s="166"/>
      <c r="W171" s="381"/>
      <c r="X171" s="186"/>
      <c r="Y171" s="186"/>
      <c r="Z171" s="186"/>
      <c r="AA171" s="186"/>
      <c r="AB171" s="186"/>
      <c r="AC171" s="186"/>
      <c r="AD171" s="186"/>
      <c r="AE171" s="186"/>
      <c r="AF171" s="186"/>
      <c r="AG171" s="186"/>
      <c r="AH171" s="186"/>
      <c r="AI171" s="186"/>
      <c r="AJ171" s="638" t="s">
        <v>606</v>
      </c>
      <c r="AK171" s="558" t="str">
        <f>'5.FieldEnergyUse'!D96</f>
        <v>Grid electricity</v>
      </c>
      <c r="AL171" s="639">
        <f>'5.FieldEnergyUse'!E96</f>
        <v>0</v>
      </c>
      <c r="AM171" s="588">
        <f>'5.FieldEnergyUse'!M96</f>
        <v>0</v>
      </c>
      <c r="AN171" s="499"/>
      <c r="AO171" s="166"/>
      <c r="AP171" s="186"/>
      <c r="AQ171" s="636" t="str">
        <f>AK173</f>
        <v>Diesel</v>
      </c>
      <c r="AR171" s="637">
        <f ca="1">AL173+AL174</f>
        <v>4232.3788630317968</v>
      </c>
      <c r="AS171" s="637">
        <f ca="1">AL186</f>
        <v>0</v>
      </c>
      <c r="AT171" s="637">
        <f ca="1">AM173+AM174</f>
        <v>299.2816715811403</v>
      </c>
      <c r="AU171" s="637">
        <f ca="1">AM186</f>
        <v>0</v>
      </c>
      <c r="AV171" s="595"/>
      <c r="AW171" s="636"/>
      <c r="AX171" s="595" t="s">
        <v>910</v>
      </c>
      <c r="AY171" s="637">
        <f>AT169</f>
        <v>0</v>
      </c>
      <c r="AZ171" s="637">
        <f>AT170</f>
        <v>0</v>
      </c>
      <c r="BA171" s="637">
        <f ca="1">AT171</f>
        <v>299.2816715811403</v>
      </c>
      <c r="BB171" s="637">
        <f ca="1">AT172</f>
        <v>0</v>
      </c>
      <c r="BC171" s="166"/>
      <c r="BD171" s="166"/>
      <c r="BE171" s="166"/>
      <c r="BF171" s="166"/>
      <c r="BG171" s="166"/>
      <c r="BH171" s="166"/>
      <c r="BI171" s="166"/>
      <c r="BJ171" s="166"/>
      <c r="BK171" s="166"/>
      <c r="BL171" s="166"/>
      <c r="BM171" s="166"/>
      <c r="BN171" s="166"/>
    </row>
    <row r="172" spans="1:66" ht="43.5" customHeight="1" x14ac:dyDescent="0.25">
      <c r="A172" s="166"/>
      <c r="B172" s="381"/>
      <c r="C172" s="186"/>
      <c r="D172" s="186"/>
      <c r="E172" s="186"/>
      <c r="F172" s="186"/>
      <c r="G172" s="186"/>
      <c r="H172" s="186"/>
      <c r="I172" s="186"/>
      <c r="J172" s="186"/>
      <c r="K172" s="186"/>
      <c r="L172" s="186"/>
      <c r="M172" s="186"/>
      <c r="N172" s="186"/>
      <c r="O172" s="629"/>
      <c r="P172" s="549"/>
      <c r="Q172" s="498"/>
      <c r="R172" s="498"/>
      <c r="S172" s="499"/>
      <c r="T172" s="166"/>
      <c r="U172" s="166"/>
      <c r="V172" s="166"/>
      <c r="W172" s="381"/>
      <c r="X172" s="186"/>
      <c r="Y172" s="186"/>
      <c r="Z172" s="186"/>
      <c r="AA172" s="186"/>
      <c r="AB172" s="186"/>
      <c r="AC172" s="186"/>
      <c r="AD172" s="186"/>
      <c r="AE172" s="186"/>
      <c r="AF172" s="186"/>
      <c r="AG172" s="186"/>
      <c r="AH172" s="186"/>
      <c r="AI172" s="186"/>
      <c r="AJ172" s="640"/>
      <c r="AK172" s="549" t="str">
        <f>'5.FieldEnergyUse'!D97</f>
        <v>Local wind, solar, hydro-electric</v>
      </c>
      <c r="AL172" s="498">
        <f>'5.FieldEnergyUse'!E97</f>
        <v>0</v>
      </c>
      <c r="AM172" s="589">
        <f>'5.FieldEnergyUse'!M97</f>
        <v>0</v>
      </c>
      <c r="AN172" s="499"/>
      <c r="AO172" s="166"/>
      <c r="AP172" s="186"/>
      <c r="AQ172" s="636" t="s">
        <v>909</v>
      </c>
      <c r="AR172" s="637">
        <f ca="1">AL175</f>
        <v>0</v>
      </c>
      <c r="AS172" s="637">
        <f ca="1">AL185</f>
        <v>0</v>
      </c>
      <c r="AT172" s="637">
        <f ca="1">AM175</f>
        <v>0</v>
      </c>
      <c r="AU172" s="637">
        <f ca="1">AM185</f>
        <v>0</v>
      </c>
      <c r="AV172" s="595"/>
      <c r="AW172" s="636"/>
      <c r="AX172" s="595" t="s">
        <v>1235</v>
      </c>
      <c r="AY172" s="637">
        <f>AU169</f>
        <v>0</v>
      </c>
      <c r="AZ172" s="637">
        <f>AU170</f>
        <v>0</v>
      </c>
      <c r="BA172" s="637">
        <f ca="1">AU171</f>
        <v>0</v>
      </c>
      <c r="BB172" s="637">
        <f ca="1">AU172</f>
        <v>0</v>
      </c>
      <c r="BC172" s="166"/>
      <c r="BD172" s="166"/>
      <c r="BE172" s="166"/>
      <c r="BF172" s="166"/>
      <c r="BG172" s="166"/>
      <c r="BH172" s="166"/>
      <c r="BI172" s="166"/>
      <c r="BJ172" s="166"/>
      <c r="BK172" s="166"/>
      <c r="BL172" s="166"/>
      <c r="BM172" s="166"/>
      <c r="BN172" s="166"/>
    </row>
    <row r="173" spans="1:66" x14ac:dyDescent="0.25">
      <c r="A173" s="166"/>
      <c r="B173" s="381"/>
      <c r="C173" s="186"/>
      <c r="D173" s="186"/>
      <c r="E173" s="186"/>
      <c r="F173" s="186"/>
      <c r="G173" s="186"/>
      <c r="H173" s="186"/>
      <c r="I173" s="186"/>
      <c r="J173" s="186"/>
      <c r="K173" s="186"/>
      <c r="L173" s="186"/>
      <c r="M173" s="186"/>
      <c r="N173" s="186"/>
      <c r="O173" s="629"/>
      <c r="P173" s="549"/>
      <c r="Q173" s="498"/>
      <c r="R173" s="498"/>
      <c r="S173" s="499"/>
      <c r="T173" s="166"/>
      <c r="U173" s="166"/>
      <c r="V173" s="166"/>
      <c r="W173" s="381"/>
      <c r="X173" s="186"/>
      <c r="Y173" s="186"/>
      <c r="Z173" s="186"/>
      <c r="AA173" s="186"/>
      <c r="AB173" s="186"/>
      <c r="AC173" s="186"/>
      <c r="AD173" s="186"/>
      <c r="AE173" s="186"/>
      <c r="AF173" s="186"/>
      <c r="AG173" s="186"/>
      <c r="AH173" s="186"/>
      <c r="AI173" s="186"/>
      <c r="AJ173" s="640"/>
      <c r="AK173" s="549" t="str">
        <f>'5.FieldEnergyUse'!D98</f>
        <v>Diesel</v>
      </c>
      <c r="AL173" s="498">
        <f ca="1">'5.FieldEnergyUse'!E98</f>
        <v>4232.3788630317968</v>
      </c>
      <c r="AM173" s="589">
        <f ca="1">'5.FieldEnergyUse'!M98</f>
        <v>299.2816715811403</v>
      </c>
      <c r="AN173" s="499"/>
      <c r="AO173" s="166"/>
      <c r="AP173" s="166"/>
      <c r="AQ173" s="166"/>
      <c r="AR173" s="166"/>
      <c r="AS173" s="166"/>
      <c r="AT173" s="166"/>
      <c r="AU173" s="166"/>
      <c r="AV173" s="166"/>
      <c r="AW173" s="166"/>
      <c r="AX173" s="166"/>
      <c r="AY173" s="166"/>
      <c r="AZ173" s="166"/>
      <c r="BA173" s="166"/>
      <c r="BB173" s="166"/>
      <c r="BC173" s="166"/>
      <c r="BD173" s="166"/>
      <c r="BE173" s="166"/>
      <c r="BF173" s="166"/>
      <c r="BG173" s="166"/>
      <c r="BH173" s="166"/>
      <c r="BI173" s="166"/>
      <c r="BJ173" s="166"/>
      <c r="BK173" s="166"/>
      <c r="BL173" s="166"/>
      <c r="BM173" s="166"/>
      <c r="BN173" s="166"/>
    </row>
    <row r="174" spans="1:66" x14ac:dyDescent="0.25">
      <c r="A174" s="166"/>
      <c r="B174" s="381"/>
      <c r="C174" s="186"/>
      <c r="D174" s="186"/>
      <c r="E174" s="186"/>
      <c r="F174" s="186"/>
      <c r="G174" s="186"/>
      <c r="H174" s="186"/>
      <c r="I174" s="186"/>
      <c r="J174" s="186"/>
      <c r="K174" s="186"/>
      <c r="L174" s="186"/>
      <c r="M174" s="186"/>
      <c r="N174" s="186"/>
      <c r="O174" s="629"/>
      <c r="P174" s="549"/>
      <c r="Q174" s="498"/>
      <c r="R174" s="498"/>
      <c r="S174" s="499"/>
      <c r="T174" s="166"/>
      <c r="U174" s="166"/>
      <c r="V174" s="166"/>
      <c r="W174" s="381"/>
      <c r="X174" s="186"/>
      <c r="Y174" s="186"/>
      <c r="Z174" s="186"/>
      <c r="AA174" s="186"/>
      <c r="AB174" s="186"/>
      <c r="AC174" s="186"/>
      <c r="AD174" s="186"/>
      <c r="AE174" s="186"/>
      <c r="AF174" s="186"/>
      <c r="AG174" s="186"/>
      <c r="AH174" s="186"/>
      <c r="AI174" s="186"/>
      <c r="AJ174" s="640"/>
      <c r="AK174" s="549" t="str">
        <f>'5.FieldEnergyUse'!D99</f>
        <v>Petrol</v>
      </c>
      <c r="AL174" s="498">
        <f ca="1">'5.FieldEnergyUse'!E99</f>
        <v>0</v>
      </c>
      <c r="AM174" s="589">
        <f ca="1">'5.FieldEnergyUse'!M99</f>
        <v>0</v>
      </c>
      <c r="AN174" s="499"/>
      <c r="AO174" s="166"/>
      <c r="AP174" s="166"/>
      <c r="AQ174" s="166"/>
      <c r="AR174" s="166"/>
      <c r="AS174" s="166"/>
      <c r="AT174" s="166"/>
      <c r="AU174" s="166"/>
      <c r="AV174" s="166"/>
      <c r="AW174" s="166"/>
      <c r="AX174" s="166"/>
      <c r="AY174" s="166"/>
      <c r="AZ174" s="166"/>
      <c r="BA174" s="166"/>
      <c r="BB174" s="166"/>
      <c r="BC174" s="166"/>
      <c r="BD174" s="166"/>
      <c r="BE174" s="166"/>
      <c r="BF174" s="166"/>
      <c r="BG174" s="166"/>
      <c r="BH174" s="166"/>
      <c r="BI174" s="166"/>
      <c r="BJ174" s="166"/>
      <c r="BK174" s="166"/>
      <c r="BL174" s="166"/>
      <c r="BM174" s="166"/>
      <c r="BN174" s="166"/>
    </row>
    <row r="175" spans="1:66" x14ac:dyDescent="0.25">
      <c r="A175" s="166"/>
      <c r="B175" s="381"/>
      <c r="C175" s="186"/>
      <c r="D175" s="186"/>
      <c r="E175" s="186"/>
      <c r="F175" s="186"/>
      <c r="G175" s="186"/>
      <c r="H175" s="186"/>
      <c r="I175" s="186"/>
      <c r="J175" s="186"/>
      <c r="K175" s="186"/>
      <c r="L175" s="186"/>
      <c r="M175" s="186"/>
      <c r="N175" s="186"/>
      <c r="O175" s="629"/>
      <c r="P175" s="549"/>
      <c r="Q175" s="498"/>
      <c r="R175" s="498"/>
      <c r="S175" s="499"/>
      <c r="T175" s="166"/>
      <c r="U175" s="166"/>
      <c r="V175" s="166"/>
      <c r="W175" s="381"/>
      <c r="X175" s="186"/>
      <c r="Y175" s="186"/>
      <c r="Z175" s="186"/>
      <c r="AA175" s="186"/>
      <c r="AB175" s="186"/>
      <c r="AC175" s="186"/>
      <c r="AD175" s="186"/>
      <c r="AE175" s="186"/>
      <c r="AF175" s="186"/>
      <c r="AG175" s="186"/>
      <c r="AH175" s="186"/>
      <c r="AI175" s="186"/>
      <c r="AJ175" s="640"/>
      <c r="AK175" s="549" t="str">
        <f>'5.FieldEnergyUse'!D100</f>
        <v>Biodiesel</v>
      </c>
      <c r="AL175" s="498">
        <f ca="1">'5.FieldEnergyUse'!E100</f>
        <v>0</v>
      </c>
      <c r="AM175" s="589">
        <f ca="1">'5.FieldEnergyUse'!M100</f>
        <v>0</v>
      </c>
      <c r="AN175" s="499"/>
      <c r="AO175" s="166"/>
      <c r="AP175" s="166"/>
      <c r="AQ175" s="166"/>
      <c r="AR175" s="166"/>
      <c r="AS175" s="166"/>
      <c r="AT175" s="166"/>
      <c r="AU175" s="166"/>
      <c r="AV175" s="166"/>
      <c r="AW175" s="166"/>
      <c r="AX175" s="166"/>
      <c r="AY175" s="166"/>
      <c r="AZ175" s="166"/>
      <c r="BA175" s="166"/>
      <c r="BB175" s="166"/>
      <c r="BC175" s="166"/>
      <c r="BD175" s="166"/>
      <c r="BE175" s="166"/>
      <c r="BF175" s="166"/>
      <c r="BG175" s="166"/>
      <c r="BH175" s="166"/>
      <c r="BI175" s="166"/>
      <c r="BJ175" s="166"/>
      <c r="BK175" s="166"/>
      <c r="BL175" s="166"/>
      <c r="BM175" s="166"/>
      <c r="BN175" s="166"/>
    </row>
    <row r="176" spans="1:66" ht="25.35" x14ac:dyDescent="0.25">
      <c r="A176" s="166"/>
      <c r="B176" s="381"/>
      <c r="C176" s="186"/>
      <c r="D176" s="186"/>
      <c r="E176" s="186"/>
      <c r="F176" s="186"/>
      <c r="G176" s="186"/>
      <c r="H176" s="186"/>
      <c r="I176" s="186"/>
      <c r="J176" s="186"/>
      <c r="K176" s="186"/>
      <c r="L176" s="186"/>
      <c r="M176" s="186"/>
      <c r="N176" s="186"/>
      <c r="O176" s="186"/>
      <c r="P176" s="185"/>
      <c r="Q176" s="641"/>
      <c r="R176" s="641"/>
      <c r="S176" s="499"/>
      <c r="T176" s="166"/>
      <c r="U176" s="166"/>
      <c r="V176" s="166"/>
      <c r="W176" s="381"/>
      <c r="X176" s="186"/>
      <c r="Y176" s="186"/>
      <c r="Z176" s="186"/>
      <c r="AA176" s="186"/>
      <c r="AB176" s="186"/>
      <c r="AC176" s="186"/>
      <c r="AD176" s="186"/>
      <c r="AE176" s="186"/>
      <c r="AF176" s="186"/>
      <c r="AG176" s="186"/>
      <c r="AH176" s="186"/>
      <c r="AI176" s="186"/>
      <c r="AJ176" s="640"/>
      <c r="AK176" s="549" t="str">
        <f>'5.FieldEnergyUse'!D101</f>
        <v>Bioethanol</v>
      </c>
      <c r="AL176" s="498">
        <f ca="1">'5.FieldEnergyUse'!E101</f>
        <v>0</v>
      </c>
      <c r="AM176" s="589">
        <f ca="1">'5.FieldEnergyUse'!M101</f>
        <v>0</v>
      </c>
      <c r="AN176" s="499"/>
      <c r="AO176" s="166"/>
      <c r="AP176" s="166"/>
      <c r="AQ176" s="166"/>
      <c r="AR176" s="166"/>
      <c r="AS176" s="166"/>
      <c r="AT176" s="166"/>
      <c r="AU176" s="166"/>
      <c r="AV176" s="166"/>
      <c r="AW176" s="166"/>
      <c r="AX176" s="166"/>
      <c r="AY176" s="166"/>
      <c r="AZ176" s="166"/>
      <c r="BA176" s="166"/>
      <c r="BB176" s="166"/>
      <c r="BC176" s="166"/>
      <c r="BD176" s="166"/>
      <c r="BE176" s="166"/>
      <c r="BF176" s="166"/>
      <c r="BG176" s="166"/>
      <c r="BH176" s="166"/>
      <c r="BI176" s="166"/>
      <c r="BJ176" s="166"/>
      <c r="BK176" s="166"/>
      <c r="BL176" s="166"/>
      <c r="BM176" s="166"/>
      <c r="BN176" s="166"/>
    </row>
    <row r="177" spans="1:66" x14ac:dyDescent="0.25">
      <c r="A177" s="166"/>
      <c r="B177" s="381"/>
      <c r="C177" s="186"/>
      <c r="D177" s="186"/>
      <c r="E177" s="186"/>
      <c r="F177" s="186"/>
      <c r="G177" s="186"/>
      <c r="H177" s="186"/>
      <c r="I177" s="186"/>
      <c r="J177" s="186"/>
      <c r="K177" s="186"/>
      <c r="L177" s="186"/>
      <c r="M177" s="186"/>
      <c r="N177" s="186"/>
      <c r="O177" s="186"/>
      <c r="P177" s="185"/>
      <c r="Q177" s="641"/>
      <c r="R177" s="641"/>
      <c r="S177" s="499"/>
      <c r="T177" s="166"/>
      <c r="U177" s="166"/>
      <c r="V177" s="166"/>
      <c r="W177" s="381"/>
      <c r="X177" s="186"/>
      <c r="Y177" s="186"/>
      <c r="Z177" s="186"/>
      <c r="AA177" s="186"/>
      <c r="AB177" s="186"/>
      <c r="AC177" s="186"/>
      <c r="AD177" s="186"/>
      <c r="AE177" s="186"/>
      <c r="AF177" s="186"/>
      <c r="AG177" s="186"/>
      <c r="AH177" s="186"/>
      <c r="AI177" s="186"/>
      <c r="AJ177" s="159"/>
      <c r="AK177" s="549" t="s">
        <v>1561</v>
      </c>
      <c r="AL177" s="159">
        <f ca="1">SUM('5.FieldEnergyUse'!M18:M19)</f>
        <v>0</v>
      </c>
      <c r="AM177" s="159">
        <f ca="1">SUM('5.FieldEnergyUse'!X18:X19)</f>
        <v>0</v>
      </c>
      <c r="AN177" s="499"/>
      <c r="AO177" s="166"/>
      <c r="AP177" s="166"/>
      <c r="AQ177" s="166"/>
      <c r="AR177" s="166"/>
      <c r="AS177" s="166"/>
      <c r="AT177" s="166"/>
      <c r="AU177" s="166"/>
      <c r="AV177" s="166"/>
      <c r="AW177" s="166"/>
      <c r="AX177" s="166"/>
      <c r="AY177" s="166"/>
      <c r="AZ177" s="166"/>
      <c r="BA177" s="166"/>
      <c r="BB177" s="166"/>
      <c r="BC177" s="166"/>
      <c r="BD177" s="166"/>
      <c r="BE177" s="166"/>
      <c r="BF177" s="166"/>
      <c r="BG177" s="166"/>
      <c r="BH177" s="166"/>
      <c r="BI177" s="166"/>
      <c r="BJ177" s="166"/>
      <c r="BK177" s="166"/>
      <c r="BL177" s="166"/>
      <c r="BM177" s="159"/>
      <c r="BN177" s="159"/>
    </row>
    <row r="178" spans="1:66" ht="25.95" thickBot="1" x14ac:dyDescent="0.3">
      <c r="A178" s="166"/>
      <c r="B178" s="596"/>
      <c r="C178" s="493"/>
      <c r="D178" s="493"/>
      <c r="E178" s="493"/>
      <c r="F178" s="493"/>
      <c r="G178" s="493"/>
      <c r="H178" s="493"/>
      <c r="I178" s="493"/>
      <c r="J178" s="493"/>
      <c r="K178" s="493"/>
      <c r="L178" s="493"/>
      <c r="M178" s="493"/>
      <c r="N178" s="493"/>
      <c r="O178" s="493"/>
      <c r="P178" s="493"/>
      <c r="Q178" s="493"/>
      <c r="R178" s="493"/>
      <c r="S178" s="561"/>
      <c r="T178" s="166"/>
      <c r="U178" s="166"/>
      <c r="V178" s="166"/>
      <c r="W178" s="381"/>
      <c r="X178" s="186"/>
      <c r="Y178" s="186"/>
      <c r="Z178" s="186"/>
      <c r="AA178" s="186"/>
      <c r="AB178" s="186"/>
      <c r="AC178" s="186"/>
      <c r="AD178" s="186"/>
      <c r="AE178" s="186"/>
      <c r="AF178" s="186"/>
      <c r="AG178" s="186"/>
      <c r="AH178" s="186"/>
      <c r="AI178" s="186"/>
      <c r="AJ178" s="159"/>
      <c r="AK178" s="549" t="s">
        <v>1562</v>
      </c>
      <c r="AL178" s="597">
        <f ca="1">SUM('5.FieldEnergyUse'!M20:M22)</f>
        <v>0</v>
      </c>
      <c r="AM178" s="159">
        <f ca="1">SUM('5.FieldEnergyUse'!X20:X22)</f>
        <v>0</v>
      </c>
      <c r="AN178" s="499"/>
      <c r="AO178" s="166"/>
      <c r="AP178" s="166"/>
      <c r="AQ178" s="166"/>
      <c r="AR178" s="166"/>
      <c r="AS178" s="166"/>
      <c r="AT178" s="166"/>
      <c r="AU178" s="166"/>
      <c r="AV178" s="166"/>
      <c r="AW178" s="166"/>
      <c r="AX178" s="166"/>
      <c r="AY178" s="166"/>
      <c r="AZ178" s="166"/>
      <c r="BA178" s="166"/>
      <c r="BB178" s="166"/>
      <c r="BC178" s="166"/>
      <c r="BD178" s="166"/>
      <c r="BE178" s="166"/>
      <c r="BF178" s="166"/>
      <c r="BG178" s="166"/>
      <c r="BH178" s="166"/>
      <c r="BI178" s="166"/>
      <c r="BJ178" s="166"/>
      <c r="BK178" s="166"/>
      <c r="BL178" s="166"/>
      <c r="BM178" s="159"/>
      <c r="BN178" s="159"/>
    </row>
    <row r="179" spans="1:66" x14ac:dyDescent="0.25">
      <c r="A179" s="166"/>
      <c r="B179" s="166"/>
      <c r="C179" s="166"/>
      <c r="D179" s="166"/>
      <c r="E179" s="166"/>
      <c r="F179" s="166"/>
      <c r="G179" s="166"/>
      <c r="H179" s="166"/>
      <c r="I179" s="166"/>
      <c r="J179" s="166"/>
      <c r="K179" s="166"/>
      <c r="L179" s="166"/>
      <c r="M179" s="166"/>
      <c r="N179" s="166"/>
      <c r="O179" s="166"/>
      <c r="P179" s="166"/>
      <c r="Q179" s="166"/>
      <c r="R179" s="166"/>
      <c r="S179" s="166"/>
      <c r="T179" s="166"/>
      <c r="U179" s="166"/>
      <c r="V179" s="166"/>
      <c r="W179" s="381"/>
      <c r="X179" s="186"/>
      <c r="Y179" s="186"/>
      <c r="Z179" s="186"/>
      <c r="AA179" s="186"/>
      <c r="AB179" s="186"/>
      <c r="AC179" s="186"/>
      <c r="AD179" s="186"/>
      <c r="AE179" s="186"/>
      <c r="AF179" s="186"/>
      <c r="AG179" s="186"/>
      <c r="AH179" s="186"/>
      <c r="AI179" s="186"/>
      <c r="AJ179" s="159"/>
      <c r="AK179" s="159"/>
      <c r="AL179" s="159"/>
      <c r="AM179" s="159"/>
      <c r="AN179" s="499"/>
      <c r="AO179" s="166"/>
      <c r="AP179" s="166"/>
      <c r="AQ179" s="166"/>
      <c r="AR179" s="166"/>
      <c r="AS179" s="166"/>
      <c r="AT179" s="166"/>
      <c r="AU179" s="166"/>
      <c r="AV179" s="166"/>
      <c r="AW179" s="166"/>
      <c r="AX179" s="166"/>
      <c r="AY179" s="166"/>
      <c r="AZ179" s="166"/>
      <c r="BA179" s="166"/>
      <c r="BB179" s="166"/>
      <c r="BC179" s="166"/>
      <c r="BD179" s="166"/>
      <c r="BE179" s="166"/>
      <c r="BF179" s="166"/>
      <c r="BG179" s="166"/>
      <c r="BH179" s="166"/>
      <c r="BI179" s="166"/>
      <c r="BJ179" s="166"/>
      <c r="BK179" s="166"/>
      <c r="BL179" s="166"/>
      <c r="BM179" s="159"/>
      <c r="BN179" s="159"/>
    </row>
    <row r="180" spans="1:66" ht="38.049999999999997" x14ac:dyDescent="0.25">
      <c r="A180" s="166"/>
      <c r="B180" s="166"/>
      <c r="C180" s="166"/>
      <c r="D180" s="166"/>
      <c r="E180" s="166"/>
      <c r="F180" s="166"/>
      <c r="G180" s="166"/>
      <c r="H180" s="166"/>
      <c r="I180" s="166"/>
      <c r="J180" s="166"/>
      <c r="K180" s="166"/>
      <c r="L180" s="166"/>
      <c r="M180" s="166"/>
      <c r="N180" s="166"/>
      <c r="O180" s="166"/>
      <c r="P180" s="166"/>
      <c r="Q180" s="166"/>
      <c r="R180" s="166"/>
      <c r="S180" s="166"/>
      <c r="T180" s="166"/>
      <c r="U180" s="166"/>
      <c r="V180" s="166"/>
      <c r="W180" s="381"/>
      <c r="X180" s="186"/>
      <c r="Y180" s="186"/>
      <c r="Z180" s="186"/>
      <c r="AA180" s="186"/>
      <c r="AB180" s="186"/>
      <c r="AC180" s="186"/>
      <c r="AD180" s="186"/>
      <c r="AE180" s="186"/>
      <c r="AF180" s="186"/>
      <c r="AG180" s="186"/>
      <c r="AH180" s="186"/>
      <c r="AI180" s="186"/>
      <c r="AJ180" s="640"/>
      <c r="AK180" s="185" t="str">
        <f>'5.FieldEnergyUse'!D103</f>
        <v>Total (kg CO2 equiv)</v>
      </c>
      <c r="AL180" s="630">
        <f ca="1">'5.FieldEnergyUse'!E103</f>
        <v>4232.3788630317968</v>
      </c>
      <c r="AM180" s="642">
        <f ca="1">'5.FieldEnergyUse'!M103</f>
        <v>299.2816715811403</v>
      </c>
      <c r="AN180" s="499"/>
      <c r="AO180" s="166"/>
      <c r="AP180" s="166"/>
      <c r="AQ180" s="166"/>
      <c r="AR180" s="166"/>
      <c r="AS180" s="166"/>
      <c r="AT180" s="166"/>
      <c r="AU180" s="166"/>
      <c r="AV180" s="166"/>
      <c r="AW180" s="166"/>
      <c r="AX180" s="166"/>
      <c r="AY180" s="166"/>
      <c r="AZ180" s="166"/>
      <c r="BA180" s="166"/>
      <c r="BB180" s="166"/>
      <c r="BC180" s="166"/>
      <c r="BD180" s="166"/>
      <c r="BE180" s="166"/>
      <c r="BF180" s="166"/>
      <c r="BG180" s="166"/>
      <c r="BH180" s="166"/>
      <c r="BI180" s="166"/>
      <c r="BJ180" s="166"/>
      <c r="BK180" s="166"/>
      <c r="BL180" s="166"/>
      <c r="BM180" s="159"/>
      <c r="BN180" s="159"/>
    </row>
    <row r="181" spans="1:66" ht="51.3" thickBot="1" x14ac:dyDescent="0.3">
      <c r="A181" s="166"/>
      <c r="B181" s="166"/>
      <c r="C181" s="166"/>
      <c r="D181" s="166"/>
      <c r="E181" s="166"/>
      <c r="F181" s="166"/>
      <c r="G181" s="166"/>
      <c r="H181" s="166"/>
      <c r="I181" s="166"/>
      <c r="J181" s="166"/>
      <c r="K181" s="166"/>
      <c r="L181" s="166"/>
      <c r="M181" s="166"/>
      <c r="N181" s="166"/>
      <c r="O181" s="166"/>
      <c r="P181" s="166"/>
      <c r="Q181" s="166"/>
      <c r="R181" s="166"/>
      <c r="S181" s="166"/>
      <c r="T181" s="166"/>
      <c r="U181" s="166"/>
      <c r="V181" s="166"/>
      <c r="W181" s="381"/>
      <c r="X181" s="186"/>
      <c r="Y181" s="186"/>
      <c r="Z181" s="186"/>
      <c r="AA181" s="186"/>
      <c r="AB181" s="186"/>
      <c r="AC181" s="186"/>
      <c r="AD181" s="186"/>
      <c r="AE181" s="186"/>
      <c r="AF181" s="186"/>
      <c r="AG181" s="186"/>
      <c r="AH181" s="186"/>
      <c r="AI181" s="186"/>
      <c r="AJ181" s="643"/>
      <c r="AK181" s="644" t="str">
        <f>'5.FieldEnergyUse'!D104</f>
        <v>Total /hectare (kg CO2 equiv)</v>
      </c>
      <c r="AL181" s="645">
        <f ca="1">'5.FieldEnergyUse'!E104</f>
        <v>587.8303976433051</v>
      </c>
      <c r="AM181" s="646">
        <f ca="1">'5.FieldEnergyUse'!M104</f>
        <v>41.566898830713932</v>
      </c>
      <c r="AN181" s="499"/>
      <c r="AO181" s="166"/>
      <c r="AP181" s="166"/>
      <c r="AQ181" s="166"/>
      <c r="AR181" s="166"/>
      <c r="AS181" s="166"/>
      <c r="AT181" s="166"/>
      <c r="AU181" s="166"/>
      <c r="AV181" s="166"/>
      <c r="AW181" s="166"/>
      <c r="AX181" s="166"/>
      <c r="AY181" s="166"/>
      <c r="AZ181" s="166"/>
      <c r="BA181" s="166"/>
      <c r="BB181" s="166"/>
      <c r="BC181" s="166"/>
      <c r="BD181" s="166"/>
      <c r="BE181" s="166"/>
      <c r="BF181" s="166"/>
      <c r="BG181" s="166"/>
      <c r="BH181" s="166"/>
      <c r="BI181" s="166"/>
      <c r="BJ181" s="166"/>
      <c r="BK181" s="166"/>
      <c r="BL181" s="166"/>
      <c r="BM181" s="159"/>
      <c r="BN181" s="159"/>
    </row>
    <row r="182" spans="1:66" ht="94.5" x14ac:dyDescent="0.25">
      <c r="A182" s="166"/>
      <c r="B182" s="166"/>
      <c r="C182" s="166"/>
      <c r="D182" s="166"/>
      <c r="E182" s="166"/>
      <c r="F182" s="166"/>
      <c r="G182" s="166"/>
      <c r="H182" s="166"/>
      <c r="I182" s="166"/>
      <c r="J182" s="166"/>
      <c r="K182" s="166"/>
      <c r="L182" s="166"/>
      <c r="M182" s="166"/>
      <c r="N182" s="166"/>
      <c r="O182" s="166"/>
      <c r="P182" s="166"/>
      <c r="Q182" s="166"/>
      <c r="R182" s="166"/>
      <c r="S182" s="166"/>
      <c r="T182" s="166"/>
      <c r="U182" s="166"/>
      <c r="V182" s="166"/>
      <c r="W182" s="381"/>
      <c r="X182" s="186"/>
      <c r="Y182" s="186"/>
      <c r="Z182" s="186"/>
      <c r="AA182" s="186"/>
      <c r="AB182" s="186"/>
      <c r="AC182" s="186"/>
      <c r="AD182" s="186"/>
      <c r="AE182" s="186"/>
      <c r="AF182" s="186"/>
      <c r="AG182" s="186"/>
      <c r="AH182" s="186"/>
      <c r="AI182" s="186"/>
      <c r="AJ182" s="638" t="s">
        <v>952</v>
      </c>
      <c r="AK182" s="558"/>
      <c r="AL182" s="639"/>
      <c r="AM182" s="588"/>
      <c r="AN182" s="499"/>
      <c r="AO182" s="166"/>
      <c r="AP182" s="166"/>
      <c r="AQ182" s="166"/>
      <c r="AR182" s="166"/>
      <c r="AS182" s="166"/>
      <c r="AT182" s="166"/>
      <c r="AU182" s="166"/>
      <c r="AV182" s="166"/>
      <c r="AW182" s="166"/>
      <c r="AX182" s="166"/>
      <c r="AY182" s="166"/>
      <c r="AZ182" s="166"/>
      <c r="BA182" s="166"/>
      <c r="BB182" s="166"/>
      <c r="BC182" s="166"/>
      <c r="BD182" s="166"/>
      <c r="BE182" s="166"/>
      <c r="BF182" s="166"/>
      <c r="BG182" s="166"/>
      <c r="BH182" s="166"/>
      <c r="BI182" s="166"/>
      <c r="BJ182" s="166"/>
      <c r="BK182" s="166"/>
      <c r="BL182" s="166"/>
      <c r="BM182" s="159"/>
      <c r="BN182" s="159"/>
    </row>
    <row r="183" spans="1:66" ht="25.35" x14ac:dyDescent="0.25">
      <c r="A183" s="166"/>
      <c r="B183" s="166"/>
      <c r="C183" s="166"/>
      <c r="D183" s="166"/>
      <c r="E183" s="166"/>
      <c r="F183" s="166"/>
      <c r="G183" s="166"/>
      <c r="H183" s="166"/>
      <c r="I183" s="166"/>
      <c r="J183" s="166"/>
      <c r="K183" s="166"/>
      <c r="L183" s="166"/>
      <c r="M183" s="166"/>
      <c r="N183" s="166"/>
      <c r="O183" s="166"/>
      <c r="P183" s="166"/>
      <c r="Q183" s="166"/>
      <c r="R183" s="166"/>
      <c r="S183" s="166"/>
      <c r="T183" s="166"/>
      <c r="U183" s="166"/>
      <c r="V183" s="166"/>
      <c r="W183" s="381"/>
      <c r="X183" s="186"/>
      <c r="Y183" s="186"/>
      <c r="Z183" s="186"/>
      <c r="AA183" s="186"/>
      <c r="AB183" s="186"/>
      <c r="AC183" s="186"/>
      <c r="AD183" s="186"/>
      <c r="AE183" s="186"/>
      <c r="AF183" s="186"/>
      <c r="AG183" s="186"/>
      <c r="AH183" s="186"/>
      <c r="AI183" s="186"/>
      <c r="AJ183" s="640"/>
      <c r="AK183" s="549" t="str">
        <f>'6.PrimaryProcessing'!C35</f>
        <v>Grid electricity</v>
      </c>
      <c r="AL183" s="498">
        <f>'6.PrimaryProcessing'!E35</f>
        <v>0</v>
      </c>
      <c r="AM183" s="589">
        <f>'6.PrimaryProcessing'!L68</f>
        <v>0</v>
      </c>
      <c r="AN183" s="499"/>
      <c r="AO183" s="166"/>
      <c r="AP183" s="166"/>
      <c r="AQ183" s="166"/>
      <c r="AR183" s="166"/>
      <c r="AS183" s="166"/>
      <c r="AT183" s="166"/>
      <c r="AU183" s="166"/>
      <c r="AV183" s="166"/>
      <c r="AW183" s="166"/>
      <c r="AX183" s="166"/>
      <c r="AY183" s="166"/>
      <c r="AZ183" s="166"/>
      <c r="BA183" s="166"/>
      <c r="BB183" s="166"/>
      <c r="BC183" s="166"/>
      <c r="BD183" s="166"/>
      <c r="BE183" s="166"/>
      <c r="BF183" s="166"/>
      <c r="BG183" s="166"/>
      <c r="BH183" s="166"/>
      <c r="BI183" s="166"/>
      <c r="BJ183" s="166"/>
      <c r="BK183" s="166"/>
      <c r="BL183" s="166"/>
      <c r="BM183" s="159"/>
      <c r="BN183" s="159"/>
    </row>
    <row r="184" spans="1:66" ht="63.4" x14ac:dyDescent="0.25">
      <c r="A184" s="166"/>
      <c r="B184" s="166"/>
      <c r="C184" s="166"/>
      <c r="D184" s="166"/>
      <c r="E184" s="166"/>
      <c r="F184" s="166"/>
      <c r="G184" s="166"/>
      <c r="H184" s="166"/>
      <c r="I184" s="166"/>
      <c r="J184" s="166"/>
      <c r="K184" s="166"/>
      <c r="L184" s="166"/>
      <c r="M184" s="166"/>
      <c r="N184" s="166"/>
      <c r="O184" s="166"/>
      <c r="P184" s="166"/>
      <c r="Q184" s="166"/>
      <c r="R184" s="166"/>
      <c r="S184" s="166"/>
      <c r="T184" s="166"/>
      <c r="U184" s="166"/>
      <c r="V184" s="166"/>
      <c r="W184" s="381"/>
      <c r="X184" s="186"/>
      <c r="Y184" s="186"/>
      <c r="Z184" s="186"/>
      <c r="AA184" s="186"/>
      <c r="AB184" s="186"/>
      <c r="AC184" s="186"/>
      <c r="AD184" s="186"/>
      <c r="AE184" s="186"/>
      <c r="AF184" s="186"/>
      <c r="AG184" s="186"/>
      <c r="AH184" s="186"/>
      <c r="AI184" s="186"/>
      <c r="AJ184" s="640"/>
      <c r="AK184" s="549" t="str">
        <f>'6.PrimaryProcessing'!C36</f>
        <v>Local wind, solar, hydro-electric</v>
      </c>
      <c r="AL184" s="498">
        <f>'6.PrimaryProcessing'!E36</f>
        <v>0</v>
      </c>
      <c r="AM184" s="589">
        <f>'6.PrimaryProcessing'!L69</f>
        <v>0</v>
      </c>
      <c r="AN184" s="499"/>
      <c r="AO184" s="166"/>
      <c r="AP184" s="166"/>
      <c r="AQ184" s="166"/>
      <c r="AR184" s="166"/>
      <c r="AS184" s="166"/>
      <c r="AT184" s="166"/>
      <c r="AU184" s="166"/>
      <c r="AV184" s="166"/>
      <c r="AW184" s="166"/>
      <c r="AX184" s="166"/>
      <c r="AY184" s="166"/>
      <c r="AZ184" s="166"/>
      <c r="BA184" s="166"/>
      <c r="BB184" s="166"/>
      <c r="BC184" s="166"/>
      <c r="BD184" s="166"/>
      <c r="BE184" s="166"/>
      <c r="BF184" s="166"/>
      <c r="BG184" s="166"/>
      <c r="BH184" s="166"/>
      <c r="BI184" s="166"/>
      <c r="BJ184" s="166"/>
      <c r="BK184" s="166"/>
      <c r="BL184" s="166"/>
      <c r="BM184" s="159"/>
      <c r="BN184" s="159"/>
    </row>
    <row r="185" spans="1:66" x14ac:dyDescent="0.25">
      <c r="A185" s="166"/>
      <c r="B185" s="166"/>
      <c r="C185" s="166"/>
      <c r="D185" s="166"/>
      <c r="E185" s="166"/>
      <c r="F185" s="166"/>
      <c r="G185" s="166"/>
      <c r="H185" s="166"/>
      <c r="I185" s="166"/>
      <c r="J185" s="166"/>
      <c r="K185" s="166"/>
      <c r="L185" s="166"/>
      <c r="M185" s="166"/>
      <c r="N185" s="166"/>
      <c r="O185" s="166"/>
      <c r="P185" s="166"/>
      <c r="Q185" s="166"/>
      <c r="R185" s="166"/>
      <c r="S185" s="166"/>
      <c r="T185" s="166"/>
      <c r="U185" s="166"/>
      <c r="V185" s="166"/>
      <c r="W185" s="381"/>
      <c r="X185" s="186"/>
      <c r="Y185" s="186"/>
      <c r="Z185" s="186"/>
      <c r="AA185" s="186"/>
      <c r="AB185" s="186"/>
      <c r="AC185" s="186"/>
      <c r="AD185" s="186"/>
      <c r="AE185" s="186"/>
      <c r="AF185" s="186"/>
      <c r="AG185" s="186"/>
      <c r="AH185" s="186"/>
      <c r="AI185" s="186"/>
      <c r="AJ185" s="640"/>
      <c r="AK185" s="549" t="str">
        <f>'6.PrimaryProcessing'!C37</f>
        <v>Biomass</v>
      </c>
      <c r="AL185" s="498">
        <f ca="1">'6.PrimaryProcessing'!E37</f>
        <v>0</v>
      </c>
      <c r="AM185" s="589">
        <f ca="1">'6.PrimaryProcessing'!L70</f>
        <v>0</v>
      </c>
      <c r="AN185" s="499"/>
      <c r="AO185" s="166"/>
      <c r="AP185" s="166"/>
      <c r="AQ185" s="166"/>
      <c r="AR185" s="166"/>
      <c r="AS185" s="166"/>
      <c r="AT185" s="166"/>
      <c r="AU185" s="166"/>
      <c r="AV185" s="166"/>
      <c r="AW185" s="166"/>
      <c r="AX185" s="166"/>
      <c r="AY185" s="166"/>
      <c r="AZ185" s="166"/>
      <c r="BA185" s="166"/>
      <c r="BB185" s="166"/>
      <c r="BC185" s="166"/>
      <c r="BD185" s="166"/>
      <c r="BE185" s="166"/>
      <c r="BF185" s="166"/>
      <c r="BG185" s="166"/>
      <c r="BH185" s="166"/>
      <c r="BI185" s="166"/>
      <c r="BJ185" s="166"/>
      <c r="BK185" s="166"/>
      <c r="BL185" s="166"/>
      <c r="BM185" s="159"/>
      <c r="BN185" s="159"/>
    </row>
    <row r="186" spans="1:66" ht="25.95" thickBot="1" x14ac:dyDescent="0.3">
      <c r="A186" s="166"/>
      <c r="B186" s="166"/>
      <c r="C186" s="166"/>
      <c r="D186" s="166"/>
      <c r="E186" s="166"/>
      <c r="F186" s="166"/>
      <c r="G186" s="166"/>
      <c r="H186" s="166"/>
      <c r="I186" s="166"/>
      <c r="J186" s="166"/>
      <c r="K186" s="166"/>
      <c r="L186" s="166"/>
      <c r="M186" s="166"/>
      <c r="N186" s="166"/>
      <c r="O186" s="166"/>
      <c r="P186" s="166"/>
      <c r="Q186" s="166"/>
      <c r="R186" s="166"/>
      <c r="S186" s="166"/>
      <c r="T186" s="166"/>
      <c r="U186" s="166"/>
      <c r="V186" s="166"/>
      <c r="W186" s="596"/>
      <c r="X186" s="493"/>
      <c r="Y186" s="493"/>
      <c r="Z186" s="493"/>
      <c r="AA186" s="493"/>
      <c r="AB186" s="493"/>
      <c r="AC186" s="493"/>
      <c r="AD186" s="493"/>
      <c r="AE186" s="493"/>
      <c r="AF186" s="493"/>
      <c r="AG186" s="493"/>
      <c r="AH186" s="493"/>
      <c r="AI186" s="493"/>
      <c r="AJ186" s="640"/>
      <c r="AK186" s="549" t="str">
        <f>'6.PrimaryProcessing'!C38</f>
        <v>Fossil Fuels</v>
      </c>
      <c r="AL186" s="498">
        <f ca="1">'6.PrimaryProcessing'!E38</f>
        <v>0</v>
      </c>
      <c r="AM186" s="589">
        <f ca="1">'6.PrimaryProcessing'!L71</f>
        <v>0</v>
      </c>
      <c r="AN186" s="561"/>
      <c r="AO186" s="166"/>
      <c r="AP186" s="166"/>
      <c r="AQ186" s="166"/>
      <c r="AR186" s="166"/>
      <c r="AS186" s="166"/>
      <c r="AT186" s="166"/>
      <c r="AU186" s="166"/>
      <c r="AV186" s="166"/>
      <c r="AW186" s="166"/>
      <c r="AX186" s="166"/>
      <c r="AY186" s="166"/>
      <c r="AZ186" s="166"/>
      <c r="BA186" s="166"/>
      <c r="BB186" s="166"/>
      <c r="BC186" s="166"/>
      <c r="BD186" s="166"/>
      <c r="BE186" s="166"/>
      <c r="BF186" s="166"/>
      <c r="BG186" s="166"/>
      <c r="BH186" s="166"/>
      <c r="BI186" s="166"/>
      <c r="BJ186" s="166"/>
      <c r="BK186" s="166"/>
      <c r="BL186" s="166"/>
      <c r="BM186" s="159"/>
      <c r="BN186" s="159"/>
    </row>
    <row r="187" spans="1:66" x14ac:dyDescent="0.25">
      <c r="A187" s="166"/>
      <c r="B187" s="166"/>
      <c r="C187" s="166"/>
      <c r="D187" s="166"/>
      <c r="E187" s="166"/>
      <c r="F187" s="166"/>
      <c r="G187" s="166"/>
      <c r="H187" s="166"/>
      <c r="I187" s="166"/>
      <c r="J187" s="166"/>
      <c r="K187" s="166"/>
      <c r="L187" s="166"/>
      <c r="M187" s="166"/>
      <c r="N187" s="166"/>
      <c r="O187" s="166"/>
      <c r="P187" s="166"/>
      <c r="Q187" s="166"/>
      <c r="R187" s="166"/>
      <c r="S187" s="166"/>
      <c r="T187" s="166"/>
      <c r="U187" s="166"/>
      <c r="V187" s="166"/>
      <c r="W187" s="166"/>
      <c r="X187" s="166"/>
      <c r="Y187" s="166"/>
      <c r="Z187" s="166"/>
      <c r="AA187" s="166"/>
      <c r="AB187" s="166"/>
      <c r="AC187" s="166"/>
      <c r="AD187" s="166"/>
      <c r="AE187" s="166"/>
      <c r="AF187" s="166"/>
      <c r="AG187" s="166"/>
      <c r="AH187" s="166"/>
      <c r="AI187" s="166"/>
      <c r="AJ187" s="483"/>
      <c r="AK187" s="647" t="str">
        <f>'6.PrimaryProcessing'!C41</f>
        <v xml:space="preserve">Totals </v>
      </c>
      <c r="AL187" s="648">
        <f ca="1">'6.PrimaryProcessing'!E41</f>
        <v>0</v>
      </c>
      <c r="AM187" s="649">
        <f ca="1">'6.PrimaryProcessing'!L74</f>
        <v>0</v>
      </c>
      <c r="AN187" s="166"/>
      <c r="AO187" s="166"/>
      <c r="AP187" s="166"/>
      <c r="AQ187" s="166"/>
      <c r="AR187" s="166"/>
      <c r="AS187" s="166"/>
      <c r="AT187" s="166"/>
      <c r="AU187" s="166"/>
      <c r="AV187" s="166"/>
      <c r="AW187" s="166"/>
      <c r="AX187" s="166"/>
      <c r="AY187" s="166"/>
      <c r="AZ187" s="166"/>
      <c r="BA187" s="166"/>
      <c r="BB187" s="166"/>
      <c r="BC187" s="166"/>
      <c r="BD187" s="166"/>
      <c r="BE187" s="166"/>
      <c r="BF187" s="166"/>
      <c r="BG187" s="166"/>
      <c r="BH187" s="166"/>
      <c r="BI187" s="166"/>
      <c r="BJ187" s="166"/>
      <c r="BK187" s="166"/>
      <c r="BL187" s="166"/>
      <c r="BM187" s="159"/>
      <c r="BN187" s="159"/>
    </row>
    <row r="188" spans="1:66" ht="25.95" thickBot="1" x14ac:dyDescent="0.3">
      <c r="A188" s="166"/>
      <c r="B188" s="166"/>
      <c r="C188" s="166"/>
      <c r="D188" s="166"/>
      <c r="E188" s="166"/>
      <c r="F188" s="166"/>
      <c r="G188" s="166"/>
      <c r="H188" s="166"/>
      <c r="I188" s="166"/>
      <c r="J188" s="166"/>
      <c r="K188" s="166"/>
      <c r="L188" s="166"/>
      <c r="M188" s="166"/>
      <c r="N188" s="166"/>
      <c r="O188" s="166"/>
      <c r="P188" s="166"/>
      <c r="Q188" s="166"/>
      <c r="R188" s="166"/>
      <c r="S188" s="166"/>
      <c r="T188" s="166"/>
      <c r="U188" s="166"/>
      <c r="V188" s="166"/>
      <c r="W188" s="166"/>
      <c r="X188" s="166"/>
      <c r="Y188" s="166"/>
      <c r="Z188" s="166"/>
      <c r="AA188" s="166"/>
      <c r="AB188" s="166"/>
      <c r="AC188" s="166"/>
      <c r="AD188" s="149"/>
      <c r="AE188" s="149"/>
      <c r="AF188" s="149"/>
      <c r="AG188" s="149"/>
      <c r="AH188" s="149"/>
      <c r="AI188" s="149"/>
      <c r="AJ188" s="596"/>
      <c r="AK188" s="644" t="str">
        <f>'6.PrimaryProcessing'!C42</f>
        <v>Totals/ hectare</v>
      </c>
      <c r="AL188" s="650">
        <f ca="1">'6.PrimaryProcessing'!E42</f>
        <v>0</v>
      </c>
      <c r="AM188" s="651">
        <f ca="1">'6.PrimaryProcessing'!L75</f>
        <v>0</v>
      </c>
      <c r="AN188" s="149"/>
      <c r="AO188" s="166"/>
      <c r="AP188" s="166"/>
      <c r="AQ188" s="166"/>
      <c r="AR188" s="166"/>
      <c r="AS188" s="166"/>
      <c r="AT188" s="166"/>
      <c r="AU188" s="166"/>
      <c r="AV188" s="166"/>
      <c r="AW188" s="166"/>
      <c r="AX188" s="166"/>
      <c r="AY188" s="166"/>
      <c r="AZ188" s="166"/>
      <c r="BA188" s="166"/>
      <c r="BB188" s="166"/>
      <c r="BC188" s="166"/>
      <c r="BD188" s="166"/>
      <c r="BE188" s="166"/>
      <c r="BF188" s="166"/>
      <c r="BG188" s="166"/>
      <c r="BH188" s="166"/>
      <c r="BI188" s="166"/>
      <c r="BJ188" s="166"/>
      <c r="BK188" s="166"/>
      <c r="BL188" s="166"/>
      <c r="BM188" s="159"/>
      <c r="BN188" s="159"/>
    </row>
    <row r="189" spans="1:66" x14ac:dyDescent="0.25">
      <c r="A189" s="166"/>
      <c r="B189" s="166"/>
      <c r="C189" s="166"/>
      <c r="D189" s="166"/>
      <c r="E189" s="166"/>
      <c r="F189" s="166"/>
      <c r="G189" s="166"/>
      <c r="H189" s="166"/>
      <c r="I189" s="166"/>
      <c r="J189" s="166"/>
      <c r="K189" s="166"/>
      <c r="L189" s="166"/>
      <c r="M189" s="166"/>
      <c r="N189" s="166"/>
      <c r="O189" s="166"/>
      <c r="P189" s="166"/>
      <c r="Q189" s="166"/>
      <c r="R189" s="166"/>
      <c r="S189" s="166"/>
      <c r="T189" s="166"/>
      <c r="U189" s="166"/>
      <c r="V189" s="166"/>
      <c r="W189" s="166"/>
      <c r="X189" s="166"/>
      <c r="Y189" s="166"/>
      <c r="Z189" s="166"/>
      <c r="AA189" s="166"/>
      <c r="AB189" s="166"/>
      <c r="AC189" s="166"/>
      <c r="AD189" s="149"/>
      <c r="AE189" s="149"/>
      <c r="AF189" s="149"/>
      <c r="AG189" s="149"/>
      <c r="AH189" s="149"/>
      <c r="AI189" s="149"/>
      <c r="AJ189" s="149"/>
      <c r="AK189" s="149"/>
      <c r="AL189" s="149"/>
      <c r="AM189" s="149"/>
      <c r="AN189" s="149"/>
      <c r="AO189" s="166"/>
      <c r="AP189" s="166"/>
      <c r="AQ189" s="166"/>
      <c r="AR189" s="166"/>
      <c r="AS189" s="166"/>
      <c r="AT189" s="166"/>
      <c r="AU189" s="166"/>
      <c r="AV189" s="166"/>
      <c r="AW189" s="166"/>
      <c r="AX189" s="166"/>
      <c r="AY189" s="166"/>
      <c r="AZ189" s="166"/>
      <c r="BA189" s="166"/>
      <c r="BB189" s="166"/>
      <c r="BC189" s="166"/>
      <c r="BD189" s="166"/>
      <c r="BE189" s="166"/>
      <c r="BF189" s="166"/>
      <c r="BG189" s="166"/>
      <c r="BH189" s="166"/>
      <c r="BI189" s="166"/>
      <c r="BJ189" s="166"/>
      <c r="BK189" s="166"/>
      <c r="BL189" s="166"/>
      <c r="BM189" s="159"/>
      <c r="BN189" s="159"/>
    </row>
    <row r="190" spans="1:66" x14ac:dyDescent="0.25">
      <c r="A190" s="166"/>
      <c r="B190" s="166"/>
      <c r="C190" s="166"/>
      <c r="D190" s="166"/>
      <c r="E190" s="166"/>
      <c r="F190" s="166"/>
      <c r="G190" s="166"/>
      <c r="H190" s="166"/>
      <c r="I190" s="166"/>
      <c r="J190" s="166"/>
      <c r="K190" s="166"/>
      <c r="L190" s="166"/>
      <c r="M190" s="166"/>
      <c r="N190" s="166"/>
      <c r="O190" s="166"/>
      <c r="P190" s="166"/>
      <c r="Q190" s="166"/>
      <c r="R190" s="166"/>
      <c r="S190" s="166"/>
      <c r="T190" s="166"/>
      <c r="U190" s="166"/>
      <c r="V190" s="166"/>
      <c r="W190" s="166"/>
      <c r="X190" s="166"/>
      <c r="Y190" s="166"/>
      <c r="Z190" s="166"/>
      <c r="AA190" s="166"/>
      <c r="AB190" s="166"/>
      <c r="AC190" s="166"/>
      <c r="AD190" s="149"/>
      <c r="AE190" s="149"/>
      <c r="AF190" s="149"/>
      <c r="AG190" s="149"/>
      <c r="AH190" s="149"/>
      <c r="AI190" s="149"/>
      <c r="AJ190" s="149"/>
      <c r="AK190" s="149"/>
      <c r="AL190" s="149"/>
      <c r="AM190" s="149"/>
      <c r="AN190" s="149"/>
      <c r="AO190" s="166"/>
      <c r="AP190" s="166"/>
      <c r="AQ190" s="166"/>
      <c r="AR190" s="166"/>
      <c r="AS190" s="166"/>
      <c r="AT190" s="166"/>
      <c r="AU190" s="166"/>
      <c r="AV190" s="166"/>
      <c r="AW190" s="166"/>
      <c r="AX190" s="166"/>
      <c r="AY190" s="166"/>
      <c r="AZ190" s="166"/>
      <c r="BA190" s="166"/>
      <c r="BB190" s="166"/>
      <c r="BC190" s="166"/>
      <c r="BD190" s="166"/>
      <c r="BE190" s="166"/>
      <c r="BF190" s="166"/>
      <c r="BG190" s="166"/>
      <c r="BH190" s="166"/>
      <c r="BI190" s="166"/>
      <c r="BJ190" s="166"/>
      <c r="BK190" s="166"/>
      <c r="BL190" s="166"/>
      <c r="BM190" s="159"/>
      <c r="BN190" s="159"/>
    </row>
    <row r="191" spans="1:66" x14ac:dyDescent="0.25">
      <c r="A191" s="166"/>
      <c r="B191" s="166"/>
      <c r="C191" s="166"/>
      <c r="D191" s="166"/>
      <c r="E191" s="166"/>
      <c r="F191" s="166"/>
      <c r="G191" s="166"/>
      <c r="H191" s="166"/>
      <c r="I191" s="166"/>
      <c r="J191" s="166"/>
      <c r="K191" s="166"/>
      <c r="L191" s="166"/>
      <c r="M191" s="166"/>
      <c r="N191" s="166"/>
      <c r="O191" s="166"/>
      <c r="P191" s="166"/>
      <c r="Q191" s="166"/>
      <c r="R191" s="166"/>
      <c r="S191" s="166"/>
      <c r="T191" s="166"/>
      <c r="U191" s="166"/>
      <c r="V191" s="166"/>
      <c r="W191" s="166"/>
      <c r="X191" s="166"/>
      <c r="Y191" s="166"/>
      <c r="Z191" s="166"/>
      <c r="AA191" s="166"/>
      <c r="AB191" s="166"/>
      <c r="AC191" s="166"/>
      <c r="AD191" s="149"/>
      <c r="AE191" s="149"/>
      <c r="AF191" s="149"/>
      <c r="AG191" s="149"/>
      <c r="AH191" s="149"/>
      <c r="AI191" s="149"/>
      <c r="AJ191" s="149"/>
      <c r="AK191" s="149"/>
      <c r="AL191" s="149"/>
      <c r="AM191" s="149"/>
      <c r="AN191" s="149"/>
      <c r="AO191" s="166"/>
      <c r="AP191" s="166"/>
      <c r="AQ191" s="166"/>
      <c r="AR191" s="166"/>
      <c r="AS191" s="166"/>
      <c r="AT191" s="166"/>
      <c r="AU191" s="166"/>
      <c r="AV191" s="166"/>
      <c r="AW191" s="166"/>
      <c r="AX191" s="166"/>
      <c r="AY191" s="166"/>
      <c r="AZ191" s="166"/>
      <c r="BA191" s="166"/>
      <c r="BB191" s="166"/>
      <c r="BC191" s="166"/>
      <c r="BD191" s="166"/>
      <c r="BE191" s="166"/>
      <c r="BF191" s="166"/>
      <c r="BG191" s="166"/>
      <c r="BH191" s="166"/>
      <c r="BI191" s="166"/>
      <c r="BJ191" s="166"/>
      <c r="BK191" s="166"/>
      <c r="BL191" s="166"/>
      <c r="BM191" s="159"/>
      <c r="BN191" s="159"/>
    </row>
    <row r="192" spans="1:66" x14ac:dyDescent="0.25">
      <c r="A192" s="166"/>
      <c r="B192" s="166"/>
      <c r="C192" s="166"/>
      <c r="D192" s="166"/>
      <c r="E192" s="166"/>
      <c r="F192" s="166"/>
      <c r="G192" s="166"/>
      <c r="H192" s="166"/>
      <c r="I192" s="166"/>
      <c r="J192" s="166"/>
      <c r="K192" s="166"/>
      <c r="L192" s="166"/>
      <c r="M192" s="166"/>
      <c r="N192" s="166"/>
      <c r="O192" s="166"/>
      <c r="P192" s="166"/>
      <c r="Q192" s="166"/>
      <c r="R192" s="166"/>
      <c r="S192" s="166"/>
      <c r="T192" s="166"/>
      <c r="U192" s="166"/>
      <c r="V192" s="166"/>
      <c r="W192" s="166"/>
      <c r="X192" s="166"/>
      <c r="Y192" s="166"/>
      <c r="Z192" s="166"/>
      <c r="AA192" s="166"/>
      <c r="AB192" s="166"/>
      <c r="AC192" s="166"/>
      <c r="AD192" s="149"/>
      <c r="AE192" s="149"/>
      <c r="AF192" s="149"/>
      <c r="AG192" s="149"/>
      <c r="AH192" s="149"/>
      <c r="AI192" s="149"/>
      <c r="AJ192" s="149"/>
      <c r="AK192" s="149"/>
      <c r="AL192" s="149"/>
      <c r="AM192" s="149"/>
      <c r="AN192" s="149"/>
      <c r="AO192" s="166"/>
      <c r="AP192" s="166"/>
      <c r="AQ192" s="166"/>
      <c r="AR192" s="166"/>
      <c r="AS192" s="166"/>
      <c r="AT192" s="166"/>
      <c r="AU192" s="166"/>
      <c r="AV192" s="166"/>
      <c r="AW192" s="166"/>
      <c r="AX192" s="166"/>
      <c r="AY192" s="166"/>
      <c r="AZ192" s="166"/>
      <c r="BA192" s="166"/>
      <c r="BB192" s="166"/>
      <c r="BC192" s="166"/>
      <c r="BD192" s="166"/>
      <c r="BE192" s="166"/>
      <c r="BF192" s="166"/>
      <c r="BG192" s="166"/>
      <c r="BH192" s="166"/>
      <c r="BI192" s="166"/>
      <c r="BJ192" s="166"/>
      <c r="BK192" s="166"/>
      <c r="BL192" s="166"/>
      <c r="BM192" s="159"/>
      <c r="BN192" s="159"/>
    </row>
    <row r="193" spans="1:66" x14ac:dyDescent="0.25">
      <c r="A193" s="166"/>
      <c r="B193" s="166"/>
      <c r="C193" s="166"/>
      <c r="D193" s="166"/>
      <c r="E193" s="166"/>
      <c r="F193" s="166"/>
      <c r="G193" s="166"/>
      <c r="H193" s="166"/>
      <c r="I193" s="166"/>
      <c r="J193" s="166"/>
      <c r="K193" s="166"/>
      <c r="L193" s="166"/>
      <c r="M193" s="166"/>
      <c r="N193" s="166"/>
      <c r="O193" s="166"/>
      <c r="P193" s="166"/>
      <c r="Q193" s="166"/>
      <c r="R193" s="166"/>
      <c r="S193" s="166"/>
      <c r="T193" s="166"/>
      <c r="U193" s="166"/>
      <c r="V193" s="166"/>
      <c r="W193" s="166"/>
      <c r="X193" s="166"/>
      <c r="Y193" s="166"/>
      <c r="Z193" s="166"/>
      <c r="AA193" s="166"/>
      <c r="AB193" s="166"/>
      <c r="AC193" s="166"/>
      <c r="AD193" s="149"/>
      <c r="AE193" s="149"/>
      <c r="AF193" s="149"/>
      <c r="AG193" s="149"/>
      <c r="AH193" s="149"/>
      <c r="AI193" s="149"/>
      <c r="AJ193" s="149"/>
      <c r="AK193" s="149"/>
      <c r="AL193" s="149"/>
      <c r="AM193" s="149"/>
      <c r="AN193" s="149"/>
      <c r="AO193" s="166"/>
      <c r="AP193" s="166"/>
      <c r="AQ193" s="166"/>
      <c r="AR193" s="166"/>
      <c r="AS193" s="166"/>
      <c r="AT193" s="166"/>
      <c r="AU193" s="166"/>
      <c r="AV193" s="166"/>
      <c r="AW193" s="166"/>
      <c r="AX193" s="166"/>
      <c r="AY193" s="166"/>
      <c r="AZ193" s="166"/>
      <c r="BA193" s="166"/>
      <c r="BB193" s="166"/>
      <c r="BC193" s="166"/>
      <c r="BD193" s="166"/>
      <c r="BE193" s="166"/>
      <c r="BF193" s="166"/>
      <c r="BG193" s="166"/>
      <c r="BH193" s="166"/>
      <c r="BI193" s="166"/>
      <c r="BJ193" s="166"/>
      <c r="BK193" s="166"/>
      <c r="BL193" s="166"/>
      <c r="BM193" s="159"/>
      <c r="BN193" s="159"/>
    </row>
    <row r="194" spans="1:66" x14ac:dyDescent="0.25">
      <c r="A194" s="166"/>
      <c r="B194" s="166"/>
      <c r="C194" s="166"/>
      <c r="D194" s="166"/>
      <c r="E194" s="166"/>
      <c r="F194" s="166"/>
      <c r="G194" s="166"/>
      <c r="H194" s="166"/>
      <c r="I194" s="166"/>
      <c r="J194" s="166"/>
      <c r="K194" s="166"/>
      <c r="L194" s="166"/>
      <c r="M194" s="166"/>
      <c r="N194" s="166"/>
      <c r="O194" s="166"/>
      <c r="P194" s="166"/>
      <c r="Q194" s="166"/>
      <c r="R194" s="166"/>
      <c r="S194" s="166"/>
      <c r="T194" s="166"/>
      <c r="U194" s="166"/>
      <c r="V194" s="166"/>
      <c r="W194" s="166"/>
      <c r="X194" s="166"/>
      <c r="Y194" s="166"/>
      <c r="Z194" s="166"/>
      <c r="AA194" s="166"/>
      <c r="AB194" s="166"/>
      <c r="AC194" s="159"/>
      <c r="AD194" s="159"/>
      <c r="AE194" s="159"/>
      <c r="AF194" s="159"/>
      <c r="AG194" s="159"/>
      <c r="AH194" s="159"/>
      <c r="AI194" s="159"/>
      <c r="AJ194" s="159"/>
      <c r="AK194" s="159"/>
      <c r="AL194" s="159"/>
      <c r="AM194" s="159"/>
      <c r="AN194" s="159"/>
      <c r="AO194" s="159"/>
      <c r="AP194" s="159"/>
      <c r="AQ194" s="159"/>
      <c r="AR194" s="159"/>
      <c r="AS194" s="159"/>
      <c r="AT194" s="159"/>
      <c r="AU194" s="159"/>
      <c r="AV194" s="159"/>
      <c r="AW194" s="159"/>
      <c r="AX194" s="159"/>
      <c r="AY194" s="159"/>
      <c r="AZ194" s="159"/>
      <c r="BA194" s="159"/>
      <c r="BB194" s="159"/>
      <c r="BC194" s="159"/>
      <c r="BD194" s="159"/>
      <c r="BE194" s="159"/>
      <c r="BF194" s="159"/>
      <c r="BG194" s="159"/>
      <c r="BH194" s="159"/>
      <c r="BI194" s="159"/>
      <c r="BJ194" s="159"/>
      <c r="BK194" s="159"/>
      <c r="BL194" s="159"/>
      <c r="BM194" s="159"/>
      <c r="BN194" s="159"/>
    </row>
    <row r="195" spans="1:66" x14ac:dyDescent="0.25">
      <c r="A195" s="166"/>
      <c r="B195" s="166"/>
      <c r="C195" s="166"/>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c r="AA195" s="166"/>
      <c r="AB195" s="166"/>
      <c r="AC195" s="159"/>
      <c r="AD195" s="159"/>
      <c r="AE195" s="159"/>
      <c r="AF195" s="159"/>
      <c r="AG195" s="159"/>
      <c r="AH195" s="159"/>
      <c r="AI195" s="159"/>
      <c r="AJ195" s="159"/>
      <c r="AK195" s="159"/>
      <c r="AL195" s="159"/>
      <c r="AM195" s="159"/>
      <c r="AN195" s="159"/>
      <c r="AO195" s="159"/>
      <c r="AP195" s="159"/>
      <c r="AQ195" s="159"/>
      <c r="AR195" s="159"/>
      <c r="AS195" s="159"/>
      <c r="AT195" s="159"/>
      <c r="AU195" s="159"/>
      <c r="AV195" s="159"/>
      <c r="AW195" s="159"/>
      <c r="AX195" s="159"/>
      <c r="AY195" s="159"/>
      <c r="AZ195" s="159"/>
      <c r="BA195" s="159"/>
      <c r="BB195" s="159"/>
      <c r="BC195" s="159"/>
      <c r="BD195" s="159"/>
      <c r="BE195" s="159"/>
      <c r="BF195" s="159"/>
      <c r="BG195" s="159"/>
      <c r="BH195" s="159"/>
      <c r="BI195" s="159"/>
      <c r="BJ195" s="159"/>
      <c r="BK195" s="159"/>
      <c r="BL195" s="159"/>
      <c r="BM195" s="159"/>
      <c r="BN195" s="159"/>
    </row>
    <row r="196" spans="1:66" x14ac:dyDescent="0.25">
      <c r="A196" s="166"/>
      <c r="B196" s="159"/>
      <c r="C196" s="159"/>
      <c r="D196" s="159"/>
      <c r="E196" s="159"/>
      <c r="F196" s="159"/>
      <c r="G196" s="159"/>
      <c r="H196" s="159"/>
      <c r="I196" s="159"/>
      <c r="J196" s="159"/>
      <c r="K196" s="159"/>
      <c r="L196" s="159"/>
      <c r="M196" s="159"/>
      <c r="N196" s="159"/>
      <c r="O196" s="159"/>
      <c r="P196" s="159"/>
      <c r="Q196" s="159"/>
      <c r="R196" s="159"/>
      <c r="S196" s="159"/>
      <c r="T196" s="166"/>
      <c r="U196" s="166"/>
      <c r="V196" s="166"/>
      <c r="W196" s="166"/>
      <c r="X196" s="166"/>
      <c r="Y196" s="166"/>
      <c r="Z196" s="166"/>
      <c r="AA196" s="166"/>
      <c r="AB196" s="166"/>
      <c r="AC196" s="159"/>
      <c r="AD196" s="159"/>
      <c r="AE196" s="159"/>
      <c r="AF196" s="159"/>
      <c r="AG196" s="159"/>
      <c r="AH196" s="159"/>
      <c r="AI196" s="159"/>
      <c r="AJ196" s="159"/>
      <c r="AK196" s="159"/>
      <c r="AL196" s="159"/>
      <c r="AM196" s="159"/>
      <c r="AN196" s="159"/>
      <c r="AO196" s="159"/>
      <c r="AP196" s="159"/>
      <c r="AQ196" s="159"/>
      <c r="AR196" s="159"/>
      <c r="AS196" s="159"/>
      <c r="AT196" s="159"/>
      <c r="AU196" s="159"/>
      <c r="AV196" s="159"/>
      <c r="AW196" s="159"/>
      <c r="AX196" s="159"/>
      <c r="AY196" s="159"/>
      <c r="AZ196" s="159"/>
      <c r="BA196" s="159"/>
      <c r="BB196" s="159"/>
      <c r="BC196" s="159"/>
      <c r="BD196" s="159"/>
      <c r="BE196" s="159"/>
      <c r="BF196" s="159"/>
      <c r="BG196" s="159"/>
      <c r="BH196" s="159"/>
      <c r="BI196" s="159"/>
      <c r="BJ196" s="159"/>
      <c r="BK196" s="159"/>
      <c r="BL196" s="159"/>
      <c r="BM196" s="159"/>
      <c r="BN196" s="159"/>
    </row>
    <row r="197" spans="1:66" x14ac:dyDescent="0.25">
      <c r="A197" s="166"/>
      <c r="B197" s="159"/>
      <c r="C197" s="159"/>
      <c r="D197" s="159"/>
      <c r="E197" s="159"/>
      <c r="F197" s="159"/>
      <c r="G197" s="159"/>
      <c r="H197" s="159"/>
      <c r="I197" s="159"/>
      <c r="J197" s="159"/>
      <c r="K197" s="159"/>
      <c r="L197" s="159"/>
      <c r="M197" s="159"/>
      <c r="N197" s="159"/>
      <c r="O197" s="159"/>
      <c r="P197" s="159"/>
      <c r="Q197" s="159"/>
      <c r="R197" s="159"/>
      <c r="S197" s="159"/>
      <c r="T197" s="166"/>
      <c r="U197" s="166"/>
      <c r="V197" s="166"/>
      <c r="W197" s="166"/>
      <c r="X197" s="166"/>
      <c r="Y197" s="166"/>
      <c r="Z197" s="166"/>
      <c r="AA197" s="166"/>
      <c r="AB197" s="166"/>
      <c r="AC197" s="159"/>
      <c r="AD197" s="159"/>
      <c r="AE197" s="159"/>
      <c r="AF197" s="159"/>
      <c r="AG197" s="159"/>
      <c r="AH197" s="159"/>
      <c r="AI197" s="159"/>
      <c r="AJ197" s="159"/>
      <c r="AK197" s="159"/>
      <c r="AL197" s="159"/>
      <c r="AM197" s="159"/>
      <c r="AN197" s="159"/>
      <c r="AO197" s="159"/>
      <c r="AP197" s="159"/>
      <c r="AQ197" s="159"/>
      <c r="AR197" s="159"/>
      <c r="AS197" s="159"/>
      <c r="AT197" s="159"/>
      <c r="AU197" s="159"/>
      <c r="AV197" s="159"/>
      <c r="AW197" s="159"/>
      <c r="AX197" s="159"/>
      <c r="AY197" s="159"/>
      <c r="AZ197" s="159"/>
      <c r="BA197" s="159"/>
      <c r="BB197" s="159"/>
      <c r="BC197" s="159"/>
      <c r="BD197" s="159"/>
      <c r="BE197" s="159"/>
      <c r="BF197" s="159"/>
      <c r="BG197" s="159"/>
      <c r="BH197" s="159"/>
      <c r="BI197" s="159"/>
      <c r="BJ197" s="159"/>
      <c r="BK197" s="159"/>
      <c r="BL197" s="159"/>
      <c r="BM197" s="159"/>
      <c r="BN197" s="159"/>
    </row>
    <row r="198" spans="1:66" x14ac:dyDescent="0.25">
      <c r="A198" s="166"/>
      <c r="B198" s="159"/>
      <c r="C198" s="159"/>
      <c r="D198" s="159"/>
      <c r="E198" s="159"/>
      <c r="F198" s="159"/>
      <c r="G198" s="159"/>
      <c r="H198" s="159"/>
      <c r="I198" s="159"/>
      <c r="J198" s="159"/>
      <c r="K198" s="159"/>
      <c r="L198" s="159"/>
      <c r="M198" s="159"/>
      <c r="N198" s="159"/>
      <c r="O198" s="159"/>
      <c r="P198" s="159"/>
      <c r="Q198" s="159"/>
      <c r="R198" s="159"/>
      <c r="S198" s="159"/>
      <c r="T198" s="166"/>
      <c r="U198" s="166"/>
      <c r="V198" s="166"/>
      <c r="W198" s="166"/>
      <c r="X198" s="166"/>
      <c r="Y198" s="166"/>
      <c r="Z198" s="166"/>
      <c r="AA198" s="166"/>
      <c r="AB198" s="166"/>
      <c r="AC198" s="159"/>
      <c r="AD198" s="159"/>
      <c r="AE198" s="159"/>
      <c r="AF198" s="159"/>
      <c r="AG198" s="159"/>
      <c r="AH198" s="159"/>
      <c r="AI198" s="159"/>
      <c r="AJ198" s="159"/>
      <c r="AK198" s="159"/>
      <c r="AL198" s="159"/>
      <c r="AM198" s="159"/>
      <c r="AN198" s="159"/>
      <c r="AO198" s="159"/>
      <c r="AP198" s="159"/>
      <c r="AQ198" s="159"/>
      <c r="AR198" s="159"/>
      <c r="AS198" s="159"/>
      <c r="AT198" s="159"/>
      <c r="AU198" s="159"/>
      <c r="AV198" s="159"/>
      <c r="AW198" s="159"/>
      <c r="AX198" s="159"/>
      <c r="AY198" s="159"/>
      <c r="AZ198" s="159"/>
      <c r="BA198" s="159"/>
      <c r="BB198" s="159"/>
      <c r="BC198" s="159"/>
      <c r="BD198" s="159"/>
      <c r="BE198" s="159"/>
      <c r="BF198" s="159"/>
      <c r="BG198" s="159"/>
      <c r="BH198" s="159"/>
      <c r="BI198" s="159"/>
      <c r="BJ198" s="159"/>
      <c r="BK198" s="159"/>
      <c r="BL198" s="159"/>
      <c r="BM198" s="159"/>
      <c r="BN198" s="159"/>
    </row>
    <row r="199" spans="1:66" x14ac:dyDescent="0.25">
      <c r="A199" s="166"/>
      <c r="B199" s="159"/>
      <c r="C199" s="159"/>
      <c r="D199" s="159"/>
      <c r="E199" s="159"/>
      <c r="F199" s="159"/>
      <c r="G199" s="159"/>
      <c r="H199" s="159"/>
      <c r="I199" s="159"/>
      <c r="J199" s="159"/>
      <c r="K199" s="159"/>
      <c r="L199" s="159"/>
      <c r="M199" s="159"/>
      <c r="N199" s="159"/>
      <c r="O199" s="159"/>
      <c r="P199" s="159"/>
      <c r="Q199" s="159"/>
      <c r="R199" s="159"/>
      <c r="S199" s="159"/>
      <c r="T199" s="166"/>
      <c r="U199" s="166"/>
      <c r="V199" s="166"/>
      <c r="W199" s="166"/>
      <c r="X199" s="166"/>
      <c r="Y199" s="166"/>
      <c r="Z199" s="166"/>
      <c r="AA199" s="166"/>
      <c r="AB199" s="166"/>
      <c r="AC199" s="159"/>
      <c r="AD199" s="159"/>
      <c r="AE199" s="159"/>
      <c r="AF199" s="159"/>
      <c r="AG199" s="159"/>
      <c r="AH199" s="159"/>
      <c r="AI199" s="159"/>
      <c r="AJ199" s="159"/>
      <c r="AK199" s="159"/>
      <c r="AL199" s="159"/>
      <c r="AM199" s="159"/>
      <c r="AN199" s="159"/>
      <c r="AO199" s="159"/>
      <c r="AP199" s="159"/>
      <c r="AQ199" s="159"/>
      <c r="AR199" s="159"/>
      <c r="AS199" s="159"/>
      <c r="AT199" s="159"/>
      <c r="AU199" s="159"/>
      <c r="AV199" s="159"/>
      <c r="AW199" s="159"/>
      <c r="AX199" s="159"/>
      <c r="AY199" s="159"/>
      <c r="AZ199" s="159"/>
      <c r="BA199" s="159"/>
      <c r="BB199" s="159"/>
      <c r="BC199" s="159"/>
      <c r="BD199" s="159"/>
      <c r="BE199" s="159"/>
      <c r="BF199" s="159"/>
      <c r="BG199" s="159"/>
      <c r="BH199" s="159"/>
      <c r="BI199" s="159"/>
      <c r="BJ199" s="159"/>
      <c r="BK199" s="159"/>
      <c r="BL199" s="159"/>
      <c r="BM199" s="159"/>
      <c r="BN199" s="159"/>
    </row>
    <row r="200" spans="1:66" x14ac:dyDescent="0.25">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c r="AA200" s="166"/>
      <c r="AB200" s="166"/>
      <c r="AC200" s="159"/>
      <c r="AD200" s="159"/>
      <c r="AE200" s="159"/>
      <c r="AF200" s="159"/>
      <c r="AG200" s="159"/>
      <c r="AH200" s="159"/>
      <c r="AI200" s="159"/>
      <c r="AJ200" s="159"/>
      <c r="AK200" s="159"/>
      <c r="AL200" s="159"/>
      <c r="AM200" s="159"/>
      <c r="AN200" s="159"/>
      <c r="AO200" s="159"/>
      <c r="AP200" s="159"/>
      <c r="AQ200" s="159"/>
      <c r="AR200" s="159"/>
      <c r="AS200" s="159"/>
      <c r="AT200" s="159"/>
      <c r="AU200" s="159"/>
      <c r="AV200" s="159"/>
      <c r="AW200" s="159"/>
      <c r="AX200" s="159"/>
      <c r="AY200" s="159"/>
      <c r="AZ200" s="159"/>
      <c r="BA200" s="159"/>
      <c r="BB200" s="159"/>
      <c r="BC200" s="159"/>
      <c r="BD200" s="159"/>
      <c r="BE200" s="159"/>
      <c r="BF200" s="159"/>
      <c r="BG200" s="159"/>
      <c r="BH200" s="159"/>
      <c r="BI200" s="159"/>
      <c r="BJ200" s="159"/>
      <c r="BK200" s="159"/>
      <c r="BL200" s="159"/>
      <c r="BM200" s="159"/>
      <c r="BN200" s="159"/>
    </row>
    <row r="201" spans="1:66" x14ac:dyDescent="0.25">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166"/>
      <c r="X201" s="166"/>
      <c r="Y201" s="166"/>
      <c r="Z201" s="166"/>
      <c r="AA201" s="166"/>
      <c r="AB201" s="166"/>
      <c r="AC201" s="159"/>
      <c r="AD201" s="159"/>
      <c r="AE201" s="159"/>
      <c r="AF201" s="159"/>
      <c r="AG201" s="159"/>
      <c r="AH201" s="159"/>
      <c r="AI201" s="159"/>
      <c r="AJ201" s="159"/>
      <c r="AK201" s="159"/>
      <c r="AL201" s="159"/>
      <c r="AM201" s="159"/>
      <c r="AN201" s="159"/>
      <c r="AO201" s="159"/>
      <c r="AP201" s="159"/>
      <c r="AQ201" s="159"/>
      <c r="AR201" s="159"/>
      <c r="AS201" s="159"/>
      <c r="AT201" s="159"/>
      <c r="AU201" s="159"/>
      <c r="AV201" s="159"/>
      <c r="AW201" s="159"/>
      <c r="AX201" s="159"/>
      <c r="AY201" s="159"/>
      <c r="AZ201" s="159"/>
      <c r="BA201" s="159"/>
      <c r="BB201" s="159"/>
      <c r="BC201" s="159"/>
      <c r="BD201" s="159"/>
      <c r="BE201" s="159"/>
      <c r="BF201" s="159"/>
      <c r="BG201" s="159"/>
      <c r="BH201" s="159"/>
      <c r="BI201" s="159"/>
      <c r="BJ201" s="159"/>
      <c r="BK201" s="159"/>
      <c r="BL201" s="159"/>
      <c r="BM201" s="159"/>
      <c r="BN201" s="159"/>
    </row>
    <row r="202" spans="1:66" x14ac:dyDescent="0.25">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166"/>
      <c r="X202" s="166"/>
      <c r="Y202" s="166"/>
      <c r="Z202" s="166"/>
      <c r="AA202" s="166"/>
      <c r="AB202" s="166"/>
      <c r="AC202" s="159"/>
      <c r="AD202" s="159"/>
      <c r="AE202" s="159"/>
      <c r="AF202" s="159"/>
      <c r="AG202" s="159"/>
      <c r="AH202" s="159"/>
      <c r="AI202" s="159"/>
      <c r="AJ202" s="159"/>
      <c r="AK202" s="159"/>
      <c r="AL202" s="159"/>
      <c r="AM202" s="159"/>
      <c r="AN202" s="159"/>
      <c r="AO202" s="159"/>
      <c r="AP202" s="159"/>
      <c r="AQ202" s="159"/>
      <c r="AR202" s="159"/>
      <c r="AS202" s="159"/>
      <c r="AT202" s="159"/>
      <c r="AU202" s="159"/>
      <c r="AV202" s="159"/>
      <c r="AW202" s="159"/>
      <c r="AX202" s="159"/>
      <c r="AY202" s="159"/>
      <c r="AZ202" s="159"/>
      <c r="BA202" s="159"/>
      <c r="BB202" s="159"/>
      <c r="BC202" s="159"/>
      <c r="BD202" s="159"/>
      <c r="BE202" s="159"/>
      <c r="BF202" s="159"/>
      <c r="BG202" s="159"/>
      <c r="BH202" s="159"/>
      <c r="BI202" s="159"/>
      <c r="BJ202" s="159"/>
      <c r="BK202" s="159"/>
      <c r="BL202" s="159"/>
      <c r="BM202" s="159"/>
      <c r="BN202" s="159"/>
    </row>
    <row r="203" spans="1:66" x14ac:dyDescent="0.25">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166"/>
      <c r="X203" s="166"/>
      <c r="Y203" s="166"/>
      <c r="Z203" s="166"/>
      <c r="AA203" s="166"/>
      <c r="AB203" s="166"/>
      <c r="AC203" s="159"/>
      <c r="AD203" s="159"/>
      <c r="AE203" s="159"/>
      <c r="AF203" s="159"/>
      <c r="AG203" s="159"/>
      <c r="AH203" s="159"/>
      <c r="AI203" s="159"/>
      <c r="AJ203" s="159"/>
      <c r="AK203" s="159"/>
      <c r="AL203" s="159"/>
      <c r="AM203" s="159"/>
      <c r="AN203" s="159"/>
      <c r="AO203" s="159"/>
      <c r="AP203" s="159"/>
      <c r="AQ203" s="159"/>
      <c r="AR203" s="159"/>
      <c r="AS203" s="159"/>
      <c r="AT203" s="159"/>
      <c r="AU203" s="159"/>
      <c r="AV203" s="159"/>
      <c r="AW203" s="159"/>
      <c r="AX203" s="159"/>
      <c r="AY203" s="159"/>
      <c r="AZ203" s="159"/>
      <c r="BA203" s="159"/>
      <c r="BB203" s="159"/>
      <c r="BC203" s="159"/>
      <c r="BD203" s="159"/>
      <c r="BE203" s="159"/>
      <c r="BF203" s="159"/>
      <c r="BG203" s="159"/>
      <c r="BH203" s="159"/>
      <c r="BI203" s="159"/>
      <c r="BJ203" s="159"/>
      <c r="BK203" s="159"/>
      <c r="BL203" s="159"/>
      <c r="BM203" s="159"/>
      <c r="BN203" s="159"/>
    </row>
    <row r="204" spans="1:66" x14ac:dyDescent="0.25">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c r="AA204" s="166"/>
      <c r="AB204" s="166"/>
      <c r="AC204" s="159"/>
      <c r="AD204" s="159"/>
      <c r="AE204" s="159"/>
      <c r="AF204" s="159"/>
      <c r="AG204" s="159"/>
      <c r="AH204" s="159"/>
      <c r="AI204" s="159"/>
      <c r="AJ204" s="159"/>
      <c r="AK204" s="159"/>
      <c r="AL204" s="159"/>
      <c r="AM204" s="159"/>
      <c r="AN204" s="159"/>
      <c r="AO204" s="159"/>
      <c r="AP204" s="159"/>
      <c r="AQ204" s="159"/>
      <c r="AR204" s="159"/>
      <c r="AS204" s="159"/>
      <c r="AT204" s="159"/>
      <c r="AU204" s="159"/>
      <c r="AV204" s="159"/>
      <c r="AW204" s="159"/>
      <c r="AX204" s="159"/>
      <c r="AY204" s="159"/>
      <c r="AZ204" s="159"/>
      <c r="BA204" s="159"/>
      <c r="BB204" s="159"/>
      <c r="BC204" s="159"/>
      <c r="BD204" s="159"/>
      <c r="BE204" s="159"/>
      <c r="BF204" s="159"/>
      <c r="BG204" s="159"/>
      <c r="BH204" s="159"/>
      <c r="BI204" s="159"/>
      <c r="BJ204" s="159"/>
      <c r="BK204" s="159"/>
      <c r="BL204" s="159"/>
      <c r="BM204" s="159"/>
      <c r="BN204" s="159"/>
    </row>
    <row r="205" spans="1:66" x14ac:dyDescent="0.25">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c r="AA205" s="166"/>
      <c r="AB205" s="166"/>
      <c r="AC205" s="159"/>
      <c r="AD205" s="159"/>
      <c r="AE205" s="159"/>
      <c r="AF205" s="159"/>
      <c r="AG205" s="159"/>
      <c r="AH205" s="159"/>
      <c r="AI205" s="159"/>
      <c r="AJ205" s="159"/>
      <c r="AK205" s="159"/>
      <c r="AL205" s="159"/>
      <c r="AM205" s="159"/>
      <c r="AN205" s="159"/>
      <c r="AO205" s="159"/>
      <c r="AP205" s="159"/>
      <c r="AQ205" s="159"/>
      <c r="AR205" s="159"/>
      <c r="AS205" s="159"/>
      <c r="AT205" s="159"/>
      <c r="AU205" s="159"/>
      <c r="AV205" s="159"/>
      <c r="AW205" s="159"/>
      <c r="AX205" s="159"/>
      <c r="AY205" s="159"/>
      <c r="AZ205" s="159"/>
      <c r="BA205" s="159"/>
      <c r="BB205" s="159"/>
      <c r="BC205" s="159"/>
      <c r="BD205" s="159"/>
      <c r="BE205" s="159"/>
      <c r="BF205" s="159"/>
      <c r="BG205" s="159"/>
      <c r="BH205" s="159"/>
      <c r="BI205" s="159"/>
      <c r="BJ205" s="159"/>
      <c r="BK205" s="159"/>
      <c r="BL205" s="159"/>
      <c r="BM205" s="159"/>
      <c r="BN205" s="159"/>
    </row>
    <row r="206" spans="1:66" x14ac:dyDescent="0.25">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c r="AA206" s="166"/>
      <c r="AB206" s="166"/>
      <c r="AC206" s="159"/>
      <c r="AD206" s="159"/>
      <c r="AE206" s="159"/>
      <c r="AF206" s="159"/>
      <c r="AG206" s="159"/>
      <c r="AH206" s="159"/>
      <c r="AI206" s="159"/>
      <c r="AJ206" s="159"/>
      <c r="AK206" s="159"/>
      <c r="AL206" s="159"/>
      <c r="AM206" s="159"/>
      <c r="AN206" s="159"/>
      <c r="AO206" s="159"/>
      <c r="AP206" s="159"/>
      <c r="AQ206" s="159"/>
      <c r="AR206" s="159"/>
      <c r="AS206" s="159"/>
      <c r="AT206" s="159"/>
      <c r="AU206" s="159"/>
      <c r="AV206" s="159"/>
      <c r="AW206" s="159"/>
      <c r="AX206" s="159"/>
      <c r="AY206" s="159"/>
      <c r="AZ206" s="159"/>
      <c r="BA206" s="159"/>
      <c r="BB206" s="159"/>
      <c r="BC206" s="159"/>
      <c r="BD206" s="159"/>
      <c r="BE206" s="159"/>
      <c r="BF206" s="159"/>
      <c r="BG206" s="159"/>
      <c r="BH206" s="159"/>
      <c r="BI206" s="159"/>
      <c r="BJ206" s="159"/>
      <c r="BK206" s="159"/>
      <c r="BL206" s="159"/>
      <c r="BM206" s="159"/>
      <c r="BN206" s="159"/>
    </row>
    <row r="207" spans="1:66" x14ac:dyDescent="0.25">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c r="AA207" s="166"/>
      <c r="AB207" s="166"/>
      <c r="AC207" s="159"/>
      <c r="AD207" s="159"/>
      <c r="AE207" s="159"/>
      <c r="AF207" s="159"/>
      <c r="AG207" s="159"/>
      <c r="AH207" s="159"/>
      <c r="AI207" s="159"/>
      <c r="AJ207" s="159"/>
      <c r="AK207" s="159"/>
      <c r="AL207" s="159"/>
      <c r="AM207" s="159"/>
      <c r="AN207" s="159"/>
      <c r="AO207" s="159"/>
      <c r="AP207" s="159"/>
      <c r="AQ207" s="159"/>
      <c r="AR207" s="159"/>
      <c r="AS207" s="159"/>
      <c r="AT207" s="159"/>
      <c r="AU207" s="159"/>
      <c r="AV207" s="159"/>
      <c r="AW207" s="159"/>
      <c r="AX207" s="159"/>
      <c r="AY207" s="159"/>
      <c r="AZ207" s="159"/>
      <c r="BA207" s="159"/>
      <c r="BB207" s="159"/>
      <c r="BC207" s="159"/>
      <c r="BD207" s="159"/>
      <c r="BE207" s="159"/>
      <c r="BF207" s="159"/>
      <c r="BG207" s="159"/>
      <c r="BH207" s="159"/>
      <c r="BI207" s="159"/>
      <c r="BJ207" s="159"/>
      <c r="BK207" s="159"/>
      <c r="BL207" s="159"/>
      <c r="BM207" s="159"/>
      <c r="BN207" s="159"/>
    </row>
    <row r="208" spans="1:66" x14ac:dyDescent="0.25">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59"/>
      <c r="AD208" s="159"/>
      <c r="AE208" s="159"/>
      <c r="AF208" s="159"/>
      <c r="AG208" s="159"/>
      <c r="AH208" s="159"/>
      <c r="AI208" s="159"/>
      <c r="AJ208" s="159"/>
      <c r="AK208" s="159"/>
      <c r="AL208" s="159"/>
      <c r="AM208" s="159"/>
      <c r="AN208" s="159"/>
      <c r="AO208" s="159"/>
      <c r="AP208" s="159"/>
      <c r="AQ208" s="159"/>
      <c r="AR208" s="159"/>
      <c r="AS208" s="159"/>
      <c r="AT208" s="159"/>
      <c r="AU208" s="159"/>
      <c r="AV208" s="159"/>
      <c r="AW208" s="159"/>
      <c r="AX208" s="159"/>
      <c r="AY208" s="159"/>
      <c r="AZ208" s="159"/>
      <c r="BA208" s="159"/>
      <c r="BB208" s="159"/>
      <c r="BC208" s="159"/>
      <c r="BD208" s="159"/>
      <c r="BE208" s="159"/>
      <c r="BF208" s="159"/>
      <c r="BG208" s="159"/>
      <c r="BH208" s="159"/>
      <c r="BI208" s="159"/>
      <c r="BJ208" s="159"/>
      <c r="BK208" s="159"/>
      <c r="BL208" s="159"/>
      <c r="BM208" s="159"/>
      <c r="BN208" s="159"/>
    </row>
    <row r="209" spans="1:66" x14ac:dyDescent="0.25">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c r="AA209" s="166"/>
      <c r="AB209" s="166"/>
      <c r="AC209" s="159"/>
      <c r="AD209" s="159"/>
      <c r="AE209" s="159"/>
      <c r="AF209" s="159"/>
      <c r="AG209" s="159"/>
      <c r="AH209" s="159"/>
      <c r="AI209" s="159"/>
      <c r="AJ209" s="159"/>
      <c r="AK209" s="159"/>
      <c r="AL209" s="159"/>
      <c r="AM209" s="159"/>
      <c r="AN209" s="159"/>
      <c r="AO209" s="159"/>
      <c r="AP209" s="159"/>
      <c r="AQ209" s="159"/>
      <c r="AR209" s="159"/>
      <c r="AS209" s="159"/>
      <c r="AT209" s="159"/>
      <c r="AU209" s="159"/>
      <c r="AV209" s="159"/>
      <c r="AW209" s="159"/>
      <c r="AX209" s="159"/>
      <c r="AY209" s="159"/>
      <c r="AZ209" s="159"/>
      <c r="BA209" s="159"/>
      <c r="BB209" s="159"/>
      <c r="BC209" s="159"/>
      <c r="BD209" s="159"/>
      <c r="BE209" s="159"/>
      <c r="BF209" s="159"/>
      <c r="BG209" s="159"/>
      <c r="BH209" s="159"/>
      <c r="BI209" s="159"/>
      <c r="BJ209" s="159"/>
      <c r="BK209" s="159"/>
      <c r="BL209" s="159"/>
      <c r="BM209" s="159"/>
      <c r="BN209" s="159"/>
    </row>
    <row r="210" spans="1:66" x14ac:dyDescent="0.25">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c r="AA210" s="166"/>
      <c r="AB210" s="166"/>
      <c r="AC210" s="159"/>
      <c r="AD210" s="159"/>
      <c r="AE210" s="159"/>
      <c r="AF210" s="159"/>
      <c r="AG210" s="159"/>
      <c r="AH210" s="159"/>
      <c r="AI210" s="159"/>
      <c r="AJ210" s="159"/>
      <c r="AK210" s="159"/>
      <c r="AL210" s="159"/>
      <c r="AM210" s="159"/>
      <c r="AN210" s="159"/>
      <c r="AO210" s="159"/>
      <c r="AP210" s="159"/>
      <c r="AQ210" s="159"/>
      <c r="AR210" s="159"/>
      <c r="AS210" s="159"/>
      <c r="AT210" s="159"/>
      <c r="AU210" s="159"/>
      <c r="AV210" s="159"/>
      <c r="AW210" s="159"/>
      <c r="AX210" s="159"/>
      <c r="AY210" s="159"/>
      <c r="AZ210" s="159"/>
      <c r="BA210" s="159"/>
      <c r="BB210" s="159"/>
      <c r="BC210" s="159"/>
      <c r="BD210" s="159"/>
      <c r="BE210" s="159"/>
      <c r="BF210" s="159"/>
      <c r="BG210" s="159"/>
      <c r="BH210" s="159"/>
      <c r="BI210" s="159"/>
      <c r="BJ210" s="159"/>
      <c r="BK210" s="159"/>
      <c r="BL210" s="159"/>
      <c r="BM210" s="159"/>
      <c r="BN210" s="159"/>
    </row>
    <row r="211" spans="1:66" x14ac:dyDescent="0.25">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c r="AA211" s="166"/>
      <c r="AB211" s="166"/>
      <c r="AC211" s="159"/>
      <c r="AD211" s="159"/>
      <c r="AE211" s="159"/>
      <c r="AF211" s="159"/>
      <c r="AG211" s="159"/>
      <c r="AH211" s="159"/>
      <c r="AI211" s="159"/>
      <c r="AJ211" s="159"/>
      <c r="AK211" s="159"/>
      <c r="AL211" s="159"/>
      <c r="AM211" s="159"/>
      <c r="AN211" s="159"/>
      <c r="AO211" s="159"/>
      <c r="AP211" s="159"/>
      <c r="AQ211" s="159"/>
      <c r="AR211" s="159"/>
      <c r="AS211" s="159"/>
      <c r="AT211" s="159"/>
      <c r="AU211" s="159"/>
      <c r="AV211" s="159"/>
      <c r="AW211" s="159"/>
      <c r="AX211" s="159"/>
      <c r="AY211" s="159"/>
      <c r="AZ211" s="159"/>
      <c r="BA211" s="159"/>
      <c r="BB211" s="159"/>
      <c r="BC211" s="159"/>
      <c r="BD211" s="159"/>
      <c r="BE211" s="159"/>
      <c r="BF211" s="159"/>
      <c r="BG211" s="159"/>
      <c r="BH211" s="159"/>
      <c r="BI211" s="159"/>
      <c r="BJ211" s="159"/>
      <c r="BK211" s="159"/>
      <c r="BL211" s="159"/>
      <c r="BM211" s="159"/>
      <c r="BN211" s="159"/>
    </row>
    <row r="212" spans="1:66" x14ac:dyDescent="0.25">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c r="AA212" s="166"/>
      <c r="AB212" s="166"/>
      <c r="AC212" s="159"/>
      <c r="AD212" s="159"/>
      <c r="AE212" s="159"/>
      <c r="AF212" s="159"/>
      <c r="AG212" s="159"/>
      <c r="AH212" s="159"/>
      <c r="AI212" s="159"/>
      <c r="AJ212" s="159"/>
      <c r="AK212" s="159"/>
      <c r="AL212" s="159"/>
      <c r="AM212" s="159"/>
      <c r="AN212" s="159"/>
      <c r="AO212" s="159"/>
      <c r="AP212" s="159"/>
      <c r="AQ212" s="159"/>
      <c r="AR212" s="159"/>
      <c r="AS212" s="159"/>
      <c r="AT212" s="159"/>
      <c r="AU212" s="159"/>
      <c r="AV212" s="159"/>
      <c r="AW212" s="159"/>
      <c r="AX212" s="159"/>
      <c r="AY212" s="159"/>
      <c r="AZ212" s="159"/>
      <c r="BA212" s="159"/>
      <c r="BB212" s="159"/>
      <c r="BC212" s="159"/>
      <c r="BD212" s="159"/>
      <c r="BE212" s="159"/>
      <c r="BF212" s="159"/>
      <c r="BG212" s="159"/>
      <c r="BH212" s="159"/>
      <c r="BI212" s="159"/>
      <c r="BJ212" s="159"/>
      <c r="BK212" s="159"/>
      <c r="BL212" s="159"/>
      <c r="BM212" s="159"/>
      <c r="BN212" s="159"/>
    </row>
    <row r="213" spans="1:66" x14ac:dyDescent="0.25">
      <c r="A213" s="166"/>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c r="AA213" s="166"/>
      <c r="AB213" s="166"/>
      <c r="AC213" s="159"/>
      <c r="AD213" s="159"/>
      <c r="AE213" s="159"/>
      <c r="AF213" s="159"/>
      <c r="AG213" s="159"/>
      <c r="AH213" s="159"/>
      <c r="AI213" s="159"/>
      <c r="AJ213" s="159"/>
      <c r="AK213" s="159"/>
      <c r="AL213" s="159"/>
      <c r="AM213" s="159"/>
      <c r="AN213" s="159"/>
      <c r="AO213" s="159"/>
      <c r="AP213" s="159"/>
      <c r="AQ213" s="159"/>
      <c r="AR213" s="159"/>
      <c r="AS213" s="159"/>
      <c r="AT213" s="159"/>
      <c r="AU213" s="159"/>
      <c r="AV213" s="159"/>
      <c r="AW213" s="159"/>
      <c r="AX213" s="159"/>
      <c r="AY213" s="159"/>
      <c r="AZ213" s="159"/>
      <c r="BA213" s="159"/>
      <c r="BB213" s="159"/>
      <c r="BC213" s="159"/>
      <c r="BD213" s="159"/>
      <c r="BE213" s="159"/>
      <c r="BF213" s="159"/>
      <c r="BG213" s="159"/>
      <c r="BH213" s="159"/>
      <c r="BI213" s="159"/>
      <c r="BJ213" s="159"/>
      <c r="BK213" s="159"/>
      <c r="BL213" s="159"/>
      <c r="BM213" s="159"/>
      <c r="BN213" s="159"/>
    </row>
    <row r="214" spans="1:66" x14ac:dyDescent="0.25">
      <c r="A214" s="166"/>
      <c r="B214" s="159"/>
      <c r="C214" s="159"/>
      <c r="D214" s="159"/>
      <c r="E214" s="159"/>
      <c r="F214" s="159"/>
      <c r="G214" s="159"/>
      <c r="H214" s="159"/>
      <c r="I214" s="159"/>
      <c r="J214" s="159"/>
      <c r="K214" s="159"/>
      <c r="L214" s="159"/>
      <c r="M214" s="159"/>
      <c r="N214" s="159"/>
      <c r="O214" s="159"/>
      <c r="P214" s="159"/>
      <c r="Q214" s="159"/>
      <c r="R214" s="159"/>
      <c r="S214" s="159"/>
      <c r="T214" s="166"/>
      <c r="U214" s="166"/>
      <c r="V214" s="166"/>
      <c r="W214" s="166"/>
      <c r="X214" s="166"/>
      <c r="Y214" s="166"/>
      <c r="Z214" s="166"/>
      <c r="AA214" s="166"/>
      <c r="AB214" s="166"/>
      <c r="AC214" s="159"/>
      <c r="AD214" s="159"/>
      <c r="AE214" s="159"/>
      <c r="AF214" s="159"/>
      <c r="AG214" s="159"/>
      <c r="AH214" s="159"/>
      <c r="AI214" s="159"/>
      <c r="AJ214" s="159"/>
      <c r="AK214" s="159"/>
      <c r="AL214" s="159"/>
      <c r="AM214" s="159"/>
      <c r="AN214" s="159"/>
      <c r="AO214" s="159"/>
      <c r="AP214" s="159"/>
      <c r="AQ214" s="159"/>
      <c r="AR214" s="159"/>
      <c r="AS214" s="159"/>
      <c r="AT214" s="159"/>
      <c r="AU214" s="159"/>
      <c r="AV214" s="159"/>
      <c r="AW214" s="159"/>
      <c r="AX214" s="159"/>
      <c r="AY214" s="159"/>
      <c r="AZ214" s="159"/>
      <c r="BA214" s="159"/>
      <c r="BB214" s="159"/>
      <c r="BC214" s="159"/>
      <c r="BD214" s="159"/>
      <c r="BE214" s="159"/>
      <c r="BF214" s="159"/>
      <c r="BG214" s="159"/>
      <c r="BH214" s="159"/>
      <c r="BI214" s="159"/>
      <c r="BJ214" s="159"/>
      <c r="BK214" s="159"/>
      <c r="BL214" s="159"/>
      <c r="BM214" s="159"/>
      <c r="BN214" s="159"/>
    </row>
    <row r="215" spans="1:66" x14ac:dyDescent="0.25">
      <c r="A215" s="166"/>
      <c r="B215" s="159"/>
      <c r="C215" s="159"/>
      <c r="D215" s="159"/>
      <c r="E215" s="159"/>
      <c r="F215" s="159"/>
      <c r="G215" s="159"/>
      <c r="H215" s="159"/>
      <c r="I215" s="159"/>
      <c r="J215" s="159"/>
      <c r="K215" s="159"/>
      <c r="L215" s="159"/>
      <c r="M215" s="159"/>
      <c r="N215" s="159"/>
      <c r="O215" s="159"/>
      <c r="P215" s="159"/>
      <c r="Q215" s="159"/>
      <c r="R215" s="159"/>
      <c r="S215" s="159"/>
      <c r="T215" s="166"/>
      <c r="U215" s="166"/>
      <c r="V215" s="166"/>
      <c r="W215" s="166"/>
      <c r="X215" s="166"/>
      <c r="Y215" s="166"/>
      <c r="Z215" s="166"/>
      <c r="AA215" s="166"/>
      <c r="AB215" s="166"/>
      <c r="AC215" s="159"/>
      <c r="AD215" s="159"/>
      <c r="AE215" s="159"/>
      <c r="AF215" s="159"/>
      <c r="AG215" s="159"/>
      <c r="AH215" s="159"/>
      <c r="AI215" s="159"/>
      <c r="AJ215" s="159"/>
      <c r="AK215" s="159"/>
      <c r="AL215" s="159"/>
      <c r="AM215" s="159"/>
      <c r="AN215" s="159"/>
      <c r="AO215" s="159"/>
      <c r="AP215" s="159"/>
      <c r="AQ215" s="159"/>
      <c r="AR215" s="159"/>
      <c r="AS215" s="159"/>
      <c r="AT215" s="159"/>
      <c r="AU215" s="159"/>
      <c r="AV215" s="159"/>
      <c r="AW215" s="159"/>
      <c r="AX215" s="159"/>
      <c r="AY215" s="159"/>
      <c r="AZ215" s="159"/>
      <c r="BA215" s="159"/>
      <c r="BB215" s="159"/>
      <c r="BC215" s="159"/>
      <c r="BD215" s="159"/>
      <c r="BE215" s="159"/>
      <c r="BF215" s="159"/>
      <c r="BG215" s="159"/>
      <c r="BH215" s="159"/>
      <c r="BI215" s="159"/>
      <c r="BJ215" s="159"/>
      <c r="BK215" s="159"/>
      <c r="BL215" s="159"/>
      <c r="BM215" s="159"/>
      <c r="BN215" s="159"/>
    </row>
    <row r="216" spans="1:66" x14ac:dyDescent="0.25">
      <c r="A216" s="166"/>
      <c r="B216" s="159"/>
      <c r="C216" s="159"/>
      <c r="D216" s="159"/>
      <c r="E216" s="159"/>
      <c r="F216" s="159"/>
      <c r="G216" s="159"/>
      <c r="H216" s="159"/>
      <c r="I216" s="159"/>
      <c r="J216" s="159"/>
      <c r="K216" s="159"/>
      <c r="L216" s="159"/>
      <c r="M216" s="159"/>
      <c r="N216" s="159"/>
      <c r="O216" s="159"/>
      <c r="P216" s="159"/>
      <c r="Q216" s="159"/>
      <c r="R216" s="159"/>
      <c r="S216" s="159"/>
      <c r="T216" s="166"/>
      <c r="U216" s="166"/>
      <c r="V216" s="166"/>
      <c r="W216" s="166"/>
      <c r="X216" s="166"/>
      <c r="Y216" s="166"/>
      <c r="Z216" s="166"/>
      <c r="AA216" s="166"/>
      <c r="AB216" s="166"/>
      <c r="AC216" s="159"/>
      <c r="AD216" s="159"/>
      <c r="AE216" s="159"/>
      <c r="AF216" s="159"/>
      <c r="AG216" s="159"/>
      <c r="AH216" s="159"/>
      <c r="AI216" s="159"/>
      <c r="AJ216" s="159"/>
      <c r="AK216" s="159"/>
      <c r="AL216" s="159"/>
      <c r="AM216" s="159"/>
      <c r="AN216" s="159"/>
      <c r="AO216" s="159"/>
      <c r="AP216" s="159"/>
      <c r="AQ216" s="159"/>
      <c r="AR216" s="159"/>
      <c r="AS216" s="159"/>
      <c r="AT216" s="159"/>
      <c r="AU216" s="159"/>
      <c r="AV216" s="159"/>
      <c r="AW216" s="159"/>
      <c r="AX216" s="159"/>
      <c r="AY216" s="159"/>
      <c r="AZ216" s="159"/>
      <c r="BA216" s="159"/>
      <c r="BB216" s="159"/>
      <c r="BC216" s="159"/>
      <c r="BD216" s="159"/>
      <c r="BE216" s="159"/>
      <c r="BF216" s="159"/>
      <c r="BG216" s="159"/>
      <c r="BH216" s="159"/>
      <c r="BI216" s="159"/>
      <c r="BJ216" s="159"/>
      <c r="BK216" s="159"/>
      <c r="BL216" s="159"/>
      <c r="BM216" s="159"/>
      <c r="BN216" s="159"/>
    </row>
    <row r="217" spans="1:66" x14ac:dyDescent="0.25">
      <c r="A217" s="166"/>
      <c r="B217" s="159"/>
      <c r="C217" s="159"/>
      <c r="D217" s="159"/>
      <c r="E217" s="159"/>
      <c r="F217" s="159"/>
      <c r="G217" s="159"/>
      <c r="H217" s="159"/>
      <c r="I217" s="159"/>
      <c r="J217" s="159"/>
      <c r="K217" s="159"/>
      <c r="L217" s="159"/>
      <c r="M217" s="159"/>
      <c r="N217" s="159"/>
      <c r="O217" s="159"/>
      <c r="P217" s="159"/>
      <c r="Q217" s="159"/>
      <c r="R217" s="159"/>
      <c r="S217" s="159"/>
      <c r="T217" s="166"/>
      <c r="U217" s="166"/>
      <c r="V217" s="166"/>
      <c r="W217" s="166"/>
      <c r="X217" s="166"/>
      <c r="Y217" s="166"/>
      <c r="Z217" s="166"/>
      <c r="AA217" s="166"/>
      <c r="AB217" s="166"/>
      <c r="AC217" s="159"/>
      <c r="AD217" s="159"/>
      <c r="AE217" s="159"/>
      <c r="AF217" s="159"/>
      <c r="AG217" s="159"/>
      <c r="AH217" s="159"/>
      <c r="AI217" s="159"/>
      <c r="AJ217" s="159"/>
      <c r="AK217" s="159"/>
      <c r="AL217" s="159"/>
      <c r="AM217" s="159"/>
      <c r="AN217" s="159"/>
      <c r="AO217" s="159"/>
      <c r="AP217" s="159"/>
      <c r="AQ217" s="159"/>
      <c r="AR217" s="159"/>
      <c r="AS217" s="159"/>
      <c r="AT217" s="159"/>
      <c r="AU217" s="159"/>
      <c r="AV217" s="159"/>
      <c r="AW217" s="159"/>
      <c r="AX217" s="159"/>
      <c r="AY217" s="159"/>
      <c r="AZ217" s="159"/>
      <c r="BA217" s="159"/>
      <c r="BB217" s="159"/>
      <c r="BC217" s="159"/>
      <c r="BD217" s="159"/>
      <c r="BE217" s="159"/>
      <c r="BF217" s="159"/>
      <c r="BG217" s="159"/>
      <c r="BH217" s="159"/>
      <c r="BI217" s="159"/>
      <c r="BJ217" s="159"/>
      <c r="BK217" s="159"/>
      <c r="BL217" s="159"/>
      <c r="BM217" s="159"/>
      <c r="BN217" s="159"/>
    </row>
    <row r="218" spans="1:66" x14ac:dyDescent="0.25">
      <c r="A218" s="166"/>
      <c r="B218" s="159"/>
      <c r="C218" s="159"/>
      <c r="D218" s="159"/>
      <c r="E218" s="159"/>
      <c r="F218" s="159"/>
      <c r="G218" s="159"/>
      <c r="H218" s="159"/>
      <c r="I218" s="159"/>
      <c r="J218" s="159"/>
      <c r="K218" s="159"/>
      <c r="L218" s="159"/>
      <c r="M218" s="159"/>
      <c r="N218" s="159"/>
      <c r="O218" s="159"/>
      <c r="P218" s="159"/>
      <c r="Q218" s="159"/>
      <c r="R218" s="159"/>
      <c r="S218" s="159"/>
      <c r="T218" s="166"/>
      <c r="U218" s="166"/>
      <c r="V218" s="166"/>
      <c r="W218" s="166"/>
      <c r="X218" s="166"/>
      <c r="Y218" s="166"/>
      <c r="Z218" s="166"/>
      <c r="AA218" s="166"/>
      <c r="AB218" s="166"/>
      <c r="AC218" s="159"/>
      <c r="AD218" s="159"/>
      <c r="AE218" s="159"/>
      <c r="AF218" s="159"/>
      <c r="AG218" s="159"/>
      <c r="AH218" s="159"/>
      <c r="AI218" s="159"/>
      <c r="AJ218" s="159"/>
      <c r="AK218" s="159"/>
      <c r="AL218" s="159"/>
      <c r="AM218" s="159"/>
      <c r="AN218" s="159"/>
      <c r="AO218" s="159"/>
      <c r="AP218" s="159"/>
      <c r="AQ218" s="159"/>
      <c r="AR218" s="159"/>
      <c r="AS218" s="159"/>
      <c r="AT218" s="159"/>
      <c r="AU218" s="159"/>
      <c r="AV218" s="159"/>
      <c r="AW218" s="159"/>
      <c r="AX218" s="159"/>
      <c r="AY218" s="159"/>
      <c r="AZ218" s="159"/>
      <c r="BA218" s="159"/>
      <c r="BB218" s="159"/>
      <c r="BC218" s="159"/>
      <c r="BD218" s="159"/>
      <c r="BE218" s="159"/>
      <c r="BF218" s="159"/>
      <c r="BG218" s="159"/>
      <c r="BH218" s="159"/>
      <c r="BI218" s="159"/>
      <c r="BJ218" s="159"/>
      <c r="BK218" s="159"/>
      <c r="BL218" s="159"/>
      <c r="BM218" s="159"/>
      <c r="BN218" s="159"/>
    </row>
    <row r="219" spans="1:66" x14ac:dyDescent="0.25">
      <c r="A219" s="166"/>
      <c r="B219" s="159"/>
      <c r="C219" s="159"/>
      <c r="D219" s="159"/>
      <c r="E219" s="159"/>
      <c r="F219" s="159"/>
      <c r="G219" s="159"/>
      <c r="H219" s="159"/>
      <c r="I219" s="159"/>
      <c r="J219" s="159"/>
      <c r="K219" s="159"/>
      <c r="L219" s="159"/>
      <c r="M219" s="159"/>
      <c r="N219" s="159"/>
      <c r="O219" s="159"/>
      <c r="P219" s="159"/>
      <c r="Q219" s="159"/>
      <c r="R219" s="159"/>
      <c r="S219" s="159"/>
      <c r="T219" s="166"/>
      <c r="U219" s="166"/>
      <c r="V219" s="166"/>
      <c r="W219" s="166"/>
      <c r="X219" s="166"/>
      <c r="Y219" s="166"/>
      <c r="Z219" s="166"/>
      <c r="AA219" s="166"/>
      <c r="AB219" s="166"/>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59"/>
      <c r="BH219" s="159"/>
      <c r="BI219" s="159"/>
      <c r="BJ219" s="159"/>
      <c r="BK219" s="159"/>
      <c r="BL219" s="159"/>
      <c r="BM219" s="159"/>
      <c r="BN219" s="159"/>
    </row>
    <row r="220" spans="1:66" x14ac:dyDescent="0.25">
      <c r="A220" s="166"/>
      <c r="B220" s="159"/>
      <c r="C220" s="159"/>
      <c r="D220" s="159"/>
      <c r="E220" s="159"/>
      <c r="F220" s="159"/>
      <c r="G220" s="159"/>
      <c r="H220" s="159"/>
      <c r="I220" s="159"/>
      <c r="J220" s="159"/>
      <c r="K220" s="159"/>
      <c r="L220" s="159"/>
      <c r="M220" s="159"/>
      <c r="N220" s="159"/>
      <c r="O220" s="159"/>
      <c r="P220" s="159"/>
      <c r="Q220" s="159"/>
      <c r="R220" s="159"/>
      <c r="S220" s="159"/>
      <c r="T220" s="166"/>
      <c r="U220" s="166"/>
      <c r="V220" s="166"/>
      <c r="W220" s="166"/>
      <c r="X220" s="166"/>
      <c r="Y220" s="166"/>
      <c r="Z220" s="166"/>
      <c r="AA220" s="166"/>
      <c r="AB220" s="166"/>
      <c r="AC220" s="159"/>
      <c r="AD220" s="159"/>
      <c r="AE220" s="159"/>
      <c r="AF220" s="159"/>
      <c r="AG220" s="159"/>
      <c r="AH220" s="159"/>
      <c r="AI220" s="159"/>
      <c r="AJ220" s="159"/>
      <c r="AK220" s="159"/>
      <c r="AL220" s="159"/>
      <c r="AM220" s="159"/>
      <c r="AN220" s="159"/>
      <c r="AO220" s="159"/>
      <c r="AP220" s="159"/>
      <c r="AQ220" s="159"/>
      <c r="AR220" s="159"/>
      <c r="AS220" s="159"/>
      <c r="AT220" s="159"/>
      <c r="AU220" s="159"/>
      <c r="AV220" s="159"/>
      <c r="AW220" s="159"/>
      <c r="AX220" s="159"/>
      <c r="AY220" s="159"/>
      <c r="AZ220" s="159"/>
      <c r="BA220" s="159"/>
      <c r="BB220" s="159"/>
      <c r="BC220" s="159"/>
      <c r="BD220" s="159"/>
      <c r="BE220" s="159"/>
      <c r="BF220" s="159"/>
      <c r="BG220" s="159"/>
      <c r="BH220" s="159"/>
      <c r="BI220" s="159"/>
      <c r="BJ220" s="159"/>
      <c r="BK220" s="159"/>
      <c r="BL220" s="159"/>
      <c r="BM220" s="159"/>
      <c r="BN220" s="159"/>
    </row>
    <row r="221" spans="1:66" x14ac:dyDescent="0.25">
      <c r="A221" s="166"/>
      <c r="B221" s="159"/>
      <c r="C221" s="159"/>
      <c r="D221" s="159"/>
      <c r="E221" s="159"/>
      <c r="F221" s="159"/>
      <c r="G221" s="159"/>
      <c r="H221" s="159"/>
      <c r="I221" s="159"/>
      <c r="J221" s="159"/>
      <c r="K221" s="159"/>
      <c r="L221" s="159"/>
      <c r="M221" s="159"/>
      <c r="N221" s="159"/>
      <c r="O221" s="159"/>
      <c r="P221" s="159"/>
      <c r="Q221" s="159"/>
      <c r="R221" s="159"/>
      <c r="S221" s="159"/>
      <c r="T221" s="166"/>
      <c r="U221" s="166"/>
      <c r="V221" s="166"/>
      <c r="W221" s="166"/>
      <c r="X221" s="166"/>
      <c r="Y221" s="166"/>
      <c r="Z221" s="166"/>
      <c r="AA221" s="166"/>
      <c r="AB221" s="166"/>
      <c r="AC221" s="159"/>
      <c r="AD221" s="159"/>
      <c r="AE221" s="159"/>
      <c r="AF221" s="159"/>
      <c r="AG221" s="159"/>
      <c r="AH221" s="159"/>
      <c r="AI221" s="159"/>
      <c r="AJ221" s="159"/>
      <c r="AK221" s="159"/>
      <c r="AL221" s="159"/>
      <c r="AM221" s="159"/>
      <c r="AN221" s="159"/>
      <c r="AO221" s="159"/>
      <c r="AP221" s="159"/>
      <c r="AQ221" s="159"/>
      <c r="AR221" s="159"/>
      <c r="AS221" s="159"/>
      <c r="AT221" s="159"/>
      <c r="AU221" s="159"/>
      <c r="AV221" s="159"/>
      <c r="AW221" s="159"/>
      <c r="AX221" s="159"/>
      <c r="AY221" s="159"/>
      <c r="AZ221" s="159"/>
      <c r="BA221" s="159"/>
      <c r="BB221" s="159"/>
      <c r="BC221" s="159"/>
      <c r="BD221" s="159"/>
      <c r="BE221" s="159"/>
      <c r="BF221" s="159"/>
      <c r="BG221" s="159"/>
      <c r="BH221" s="159"/>
      <c r="BI221" s="159"/>
      <c r="BJ221" s="159"/>
      <c r="BK221" s="159"/>
      <c r="BL221" s="159"/>
      <c r="BM221" s="159"/>
      <c r="BN221" s="159"/>
    </row>
    <row r="222" spans="1:66" x14ac:dyDescent="0.25">
      <c r="A222" s="166"/>
      <c r="B222" s="159"/>
      <c r="C222" s="159"/>
      <c r="D222" s="159"/>
      <c r="E222" s="159"/>
      <c r="F222" s="159"/>
      <c r="G222" s="159"/>
      <c r="H222" s="159"/>
      <c r="I222" s="159"/>
      <c r="J222" s="159"/>
      <c r="K222" s="159"/>
      <c r="L222" s="159"/>
      <c r="M222" s="159"/>
      <c r="N222" s="159"/>
      <c r="O222" s="159"/>
      <c r="P222" s="159"/>
      <c r="Q222" s="159"/>
      <c r="R222" s="159"/>
      <c r="S222" s="159"/>
      <c r="T222" s="166"/>
      <c r="U222" s="166"/>
      <c r="V222" s="166"/>
      <c r="W222" s="166"/>
      <c r="X222" s="166"/>
      <c r="Y222" s="166"/>
      <c r="Z222" s="166"/>
      <c r="AA222" s="166"/>
      <c r="AB222" s="166"/>
      <c r="AC222" s="159"/>
      <c r="AD222" s="159"/>
      <c r="AE222" s="159"/>
      <c r="AF222" s="159"/>
      <c r="AG222" s="159"/>
      <c r="AH222" s="159"/>
      <c r="AI222" s="159"/>
      <c r="AJ222" s="159"/>
      <c r="AK222" s="159"/>
      <c r="AL222" s="159"/>
      <c r="AM222" s="159"/>
      <c r="AN222" s="159"/>
      <c r="AO222" s="159"/>
      <c r="AP222" s="159"/>
      <c r="AQ222" s="159"/>
      <c r="AR222" s="159"/>
      <c r="AS222" s="159"/>
      <c r="AT222" s="159"/>
      <c r="AU222" s="159"/>
      <c r="AV222" s="159"/>
      <c r="AW222" s="159"/>
      <c r="AX222" s="159"/>
      <c r="AY222" s="159"/>
      <c r="AZ222" s="159"/>
      <c r="BA222" s="159"/>
      <c r="BB222" s="159"/>
      <c r="BC222" s="159"/>
      <c r="BD222" s="159"/>
      <c r="BE222" s="159"/>
      <c r="BF222" s="159"/>
      <c r="BG222" s="159"/>
      <c r="BH222" s="159"/>
      <c r="BI222" s="159"/>
      <c r="BJ222" s="159"/>
      <c r="BK222" s="159"/>
      <c r="BL222" s="159"/>
      <c r="BM222" s="159"/>
      <c r="BN222" s="159"/>
    </row>
    <row r="223" spans="1:66" x14ac:dyDescent="0.25">
      <c r="A223" s="166"/>
      <c r="B223" s="159"/>
      <c r="C223" s="159"/>
      <c r="D223" s="159"/>
      <c r="E223" s="159"/>
      <c r="F223" s="159"/>
      <c r="G223" s="159"/>
      <c r="H223" s="159"/>
      <c r="I223" s="159"/>
      <c r="J223" s="159"/>
      <c r="K223" s="159"/>
      <c r="L223" s="159"/>
      <c r="M223" s="159"/>
      <c r="N223" s="159"/>
      <c r="O223" s="159"/>
      <c r="P223" s="159"/>
      <c r="Q223" s="159"/>
      <c r="R223" s="159"/>
      <c r="S223" s="159"/>
      <c r="T223" s="166"/>
      <c r="U223" s="166"/>
      <c r="V223" s="166"/>
      <c r="W223" s="166"/>
      <c r="X223" s="166"/>
      <c r="Y223" s="166"/>
      <c r="Z223" s="166"/>
      <c r="AA223" s="166"/>
      <c r="AB223" s="166"/>
      <c r="AC223" s="159"/>
      <c r="AD223" s="159"/>
      <c r="AE223" s="159"/>
      <c r="AF223" s="159"/>
      <c r="AG223" s="159"/>
      <c r="AH223" s="159"/>
      <c r="AI223" s="159"/>
      <c r="AJ223" s="159"/>
      <c r="AK223" s="159"/>
      <c r="AL223" s="159"/>
      <c r="AM223" s="159"/>
      <c r="AN223" s="159"/>
      <c r="AO223" s="159"/>
      <c r="AP223" s="159"/>
      <c r="AQ223" s="159"/>
      <c r="AR223" s="159"/>
      <c r="AS223" s="159"/>
      <c r="AT223" s="159"/>
      <c r="AU223" s="159"/>
      <c r="AV223" s="159"/>
      <c r="AW223" s="159"/>
      <c r="AX223" s="159"/>
      <c r="AY223" s="159"/>
      <c r="AZ223" s="159"/>
      <c r="BA223" s="159"/>
      <c r="BB223" s="159"/>
      <c r="BC223" s="159"/>
      <c r="BD223" s="159"/>
      <c r="BE223" s="159"/>
      <c r="BF223" s="159"/>
      <c r="BG223" s="159"/>
      <c r="BH223" s="159"/>
      <c r="BI223" s="159"/>
      <c r="BJ223" s="159"/>
      <c r="BK223" s="159"/>
      <c r="BL223" s="159"/>
      <c r="BM223" s="159"/>
      <c r="BN223" s="159"/>
    </row>
    <row r="224" spans="1:66" x14ac:dyDescent="0.25">
      <c r="A224" s="166"/>
      <c r="B224" s="159"/>
      <c r="C224" s="159"/>
      <c r="D224" s="159"/>
      <c r="E224" s="159"/>
      <c r="F224" s="159"/>
      <c r="G224" s="159"/>
      <c r="H224" s="159"/>
      <c r="I224" s="159"/>
      <c r="J224" s="159"/>
      <c r="K224" s="159"/>
      <c r="L224" s="159"/>
      <c r="M224" s="159"/>
      <c r="N224" s="159"/>
      <c r="O224" s="159"/>
      <c r="P224" s="159"/>
      <c r="Q224" s="159"/>
      <c r="R224" s="159"/>
      <c r="S224" s="159"/>
      <c r="T224" s="166"/>
      <c r="U224" s="166"/>
      <c r="V224" s="166"/>
      <c r="W224" s="166"/>
      <c r="X224" s="166"/>
      <c r="Y224" s="166"/>
      <c r="Z224" s="166"/>
      <c r="AA224" s="166"/>
      <c r="AB224" s="166"/>
      <c r="AC224" s="159"/>
      <c r="AD224" s="159"/>
      <c r="AE224" s="159"/>
      <c r="AF224" s="159"/>
      <c r="AG224" s="159"/>
      <c r="AH224" s="159"/>
      <c r="AI224" s="159"/>
      <c r="AJ224" s="159"/>
      <c r="AK224" s="159"/>
      <c r="AL224" s="159"/>
      <c r="AM224" s="159"/>
      <c r="AN224" s="159"/>
      <c r="AO224" s="159"/>
      <c r="AP224" s="159"/>
      <c r="AQ224" s="159"/>
      <c r="AR224" s="159"/>
      <c r="AS224" s="159"/>
      <c r="AT224" s="159"/>
      <c r="AU224" s="159"/>
      <c r="AV224" s="159"/>
      <c r="AW224" s="159"/>
      <c r="AX224" s="159"/>
      <c r="AY224" s="159"/>
      <c r="AZ224" s="159"/>
      <c r="BA224" s="159"/>
      <c r="BB224" s="159"/>
      <c r="BC224" s="159"/>
      <c r="BD224" s="159"/>
      <c r="BE224" s="159"/>
      <c r="BF224" s="159"/>
      <c r="BG224" s="159"/>
      <c r="BH224" s="159"/>
      <c r="BI224" s="159"/>
      <c r="BJ224" s="159"/>
      <c r="BK224" s="159"/>
      <c r="BL224" s="159"/>
      <c r="BM224" s="159"/>
      <c r="BN224" s="159"/>
    </row>
    <row r="225" spans="1:66" x14ac:dyDescent="0.25">
      <c r="A225" s="166"/>
      <c r="B225" s="159"/>
      <c r="C225" s="159"/>
      <c r="D225" s="159"/>
      <c r="E225" s="159"/>
      <c r="F225" s="159"/>
      <c r="G225" s="159"/>
      <c r="H225" s="159"/>
      <c r="I225" s="159"/>
      <c r="J225" s="159"/>
      <c r="K225" s="159"/>
      <c r="L225" s="159"/>
      <c r="M225" s="159"/>
      <c r="N225" s="159"/>
      <c r="O225" s="159"/>
      <c r="P225" s="159"/>
      <c r="Q225" s="159"/>
      <c r="R225" s="159"/>
      <c r="S225" s="159"/>
      <c r="T225" s="166"/>
      <c r="U225" s="166"/>
      <c r="V225" s="166"/>
      <c r="W225" s="166"/>
      <c r="X225" s="166"/>
      <c r="Y225" s="166"/>
      <c r="Z225" s="166"/>
      <c r="AA225" s="166"/>
      <c r="AB225" s="166"/>
      <c r="AC225" s="159"/>
      <c r="AD225" s="159"/>
      <c r="AE225" s="159"/>
      <c r="AF225" s="159"/>
      <c r="AG225" s="159"/>
      <c r="AH225" s="159"/>
      <c r="AI225" s="159"/>
      <c r="AJ225" s="159"/>
      <c r="AK225" s="159"/>
      <c r="AL225" s="159"/>
      <c r="AM225" s="159"/>
      <c r="AN225" s="159"/>
      <c r="AO225" s="159"/>
      <c r="AP225" s="159"/>
      <c r="AQ225" s="159"/>
      <c r="AR225" s="159"/>
      <c r="AS225" s="159"/>
      <c r="AT225" s="159"/>
      <c r="AU225" s="159"/>
      <c r="AV225" s="159"/>
      <c r="AW225" s="159"/>
      <c r="AX225" s="159"/>
      <c r="AY225" s="159"/>
      <c r="AZ225" s="159"/>
      <c r="BA225" s="159"/>
      <c r="BB225" s="159"/>
      <c r="BC225" s="159"/>
      <c r="BD225" s="159"/>
      <c r="BE225" s="159"/>
      <c r="BF225" s="159"/>
      <c r="BG225" s="159"/>
      <c r="BH225" s="159"/>
      <c r="BI225" s="159"/>
      <c r="BJ225" s="159"/>
      <c r="BK225" s="159"/>
      <c r="BL225" s="159"/>
      <c r="BM225" s="159"/>
      <c r="BN225" s="159"/>
    </row>
    <row r="226" spans="1:66" x14ac:dyDescent="0.25">
      <c r="A226" s="166"/>
      <c r="B226" s="159"/>
      <c r="C226" s="159"/>
      <c r="D226" s="159"/>
      <c r="E226" s="159"/>
      <c r="F226" s="159"/>
      <c r="G226" s="159"/>
      <c r="H226" s="159"/>
      <c r="I226" s="159"/>
      <c r="J226" s="159"/>
      <c r="K226" s="159"/>
      <c r="L226" s="159"/>
      <c r="M226" s="159"/>
      <c r="N226" s="159"/>
      <c r="O226" s="159"/>
      <c r="P226" s="159"/>
      <c r="Q226" s="159"/>
      <c r="R226" s="159"/>
      <c r="S226" s="159"/>
      <c r="T226" s="166"/>
      <c r="U226" s="166"/>
      <c r="V226" s="166"/>
      <c r="W226" s="166"/>
      <c r="X226" s="166"/>
      <c r="Y226" s="166"/>
      <c r="Z226" s="166"/>
      <c r="AA226" s="166"/>
      <c r="AB226" s="166"/>
      <c r="AC226" s="159"/>
      <c r="AD226" s="159"/>
      <c r="AE226" s="159"/>
      <c r="AF226" s="159"/>
      <c r="AG226" s="159"/>
      <c r="AH226" s="159"/>
      <c r="AI226" s="159"/>
      <c r="AJ226" s="159"/>
      <c r="AK226" s="159"/>
      <c r="AL226" s="159"/>
      <c r="AM226" s="159"/>
      <c r="AN226" s="159"/>
      <c r="AO226" s="159"/>
      <c r="AP226" s="159"/>
      <c r="AQ226" s="159"/>
      <c r="AR226" s="159"/>
      <c r="AS226" s="159"/>
      <c r="AT226" s="159"/>
      <c r="AU226" s="159"/>
      <c r="AV226" s="159"/>
      <c r="AW226" s="159"/>
      <c r="AX226" s="159"/>
      <c r="AY226" s="159"/>
      <c r="AZ226" s="159"/>
      <c r="BA226" s="159"/>
      <c r="BB226" s="159"/>
      <c r="BC226" s="159"/>
      <c r="BD226" s="159"/>
      <c r="BE226" s="159"/>
      <c r="BF226" s="159"/>
      <c r="BG226" s="159"/>
      <c r="BH226" s="159"/>
      <c r="BI226" s="159"/>
      <c r="BJ226" s="159"/>
      <c r="BK226" s="159"/>
      <c r="BL226" s="159"/>
      <c r="BM226" s="159"/>
      <c r="BN226" s="159"/>
    </row>
    <row r="227" spans="1:66" x14ac:dyDescent="0.25">
      <c r="A227" s="166"/>
      <c r="B227" s="159"/>
      <c r="C227" s="159"/>
      <c r="D227" s="159"/>
      <c r="E227" s="159"/>
      <c r="F227" s="159"/>
      <c r="G227" s="159"/>
      <c r="H227" s="159"/>
      <c r="I227" s="159"/>
      <c r="J227" s="159"/>
      <c r="K227" s="159"/>
      <c r="L227" s="159"/>
      <c r="M227" s="159"/>
      <c r="N227" s="159"/>
      <c r="O227" s="159"/>
      <c r="P227" s="159"/>
      <c r="Q227" s="159"/>
      <c r="R227" s="159"/>
      <c r="S227" s="159"/>
      <c r="T227" s="166"/>
      <c r="U227" s="166"/>
      <c r="V227" s="166"/>
      <c r="W227" s="166"/>
      <c r="X227" s="166"/>
      <c r="Y227" s="166"/>
      <c r="Z227" s="166"/>
      <c r="AA227" s="166"/>
      <c r="AB227" s="166"/>
      <c r="AC227" s="159"/>
      <c r="AD227" s="159"/>
      <c r="AE227" s="159"/>
      <c r="AF227" s="159"/>
      <c r="AG227" s="159"/>
      <c r="AH227" s="159"/>
      <c r="AI227" s="159"/>
      <c r="AJ227" s="159"/>
      <c r="AK227" s="159"/>
      <c r="AL227" s="159"/>
      <c r="AM227" s="159"/>
      <c r="AN227" s="159"/>
      <c r="AO227" s="159"/>
      <c r="AP227" s="159"/>
      <c r="AQ227" s="159"/>
      <c r="AR227" s="159"/>
      <c r="AS227" s="159"/>
      <c r="AT227" s="159"/>
      <c r="AU227" s="159"/>
      <c r="AV227" s="159"/>
      <c r="AW227" s="159"/>
      <c r="AX227" s="159"/>
      <c r="AY227" s="159"/>
      <c r="AZ227" s="159"/>
      <c r="BA227" s="159"/>
      <c r="BB227" s="159"/>
      <c r="BC227" s="159"/>
      <c r="BD227" s="159"/>
      <c r="BE227" s="159"/>
      <c r="BF227" s="159"/>
      <c r="BG227" s="159"/>
      <c r="BH227" s="159"/>
      <c r="BI227" s="159"/>
      <c r="BJ227" s="159"/>
      <c r="BK227" s="159"/>
      <c r="BL227" s="159"/>
      <c r="BM227" s="159"/>
      <c r="BN227" s="159"/>
    </row>
    <row r="228" spans="1:66" x14ac:dyDescent="0.25">
      <c r="A228" s="166"/>
      <c r="B228" s="159"/>
      <c r="C228" s="159"/>
      <c r="D228" s="159"/>
      <c r="E228" s="159"/>
      <c r="F228" s="159"/>
      <c r="G228" s="159"/>
      <c r="H228" s="159"/>
      <c r="I228" s="159"/>
      <c r="J228" s="159"/>
      <c r="K228" s="159"/>
      <c r="L228" s="159"/>
      <c r="M228" s="159"/>
      <c r="N228" s="159"/>
      <c r="O228" s="159"/>
      <c r="P228" s="159"/>
      <c r="Q228" s="159"/>
      <c r="R228" s="159"/>
      <c r="S228" s="159"/>
      <c r="T228" s="166"/>
      <c r="U228" s="166"/>
      <c r="V228" s="166"/>
      <c r="W228" s="166"/>
      <c r="X228" s="166"/>
      <c r="Y228" s="166"/>
      <c r="Z228" s="166"/>
      <c r="AA228" s="166"/>
      <c r="AB228" s="166"/>
      <c r="AC228" s="159"/>
      <c r="AD228" s="159"/>
      <c r="AE228" s="159"/>
      <c r="AF228" s="159"/>
      <c r="AG228" s="159"/>
      <c r="AH228" s="159"/>
      <c r="AI228" s="159"/>
      <c r="AJ228" s="159"/>
      <c r="AK228" s="159"/>
      <c r="AL228" s="159"/>
      <c r="AM228" s="159"/>
      <c r="AN228" s="159"/>
      <c r="AO228" s="159"/>
      <c r="AP228" s="159"/>
      <c r="AQ228" s="159"/>
      <c r="AR228" s="159"/>
      <c r="AS228" s="159"/>
      <c r="AT228" s="159"/>
      <c r="AU228" s="159"/>
      <c r="AV228" s="159"/>
      <c r="AW228" s="159"/>
      <c r="AX228" s="159"/>
      <c r="AY228" s="159"/>
      <c r="AZ228" s="159"/>
      <c r="BA228" s="159"/>
      <c r="BB228" s="159"/>
      <c r="BC228" s="159"/>
      <c r="BD228" s="159"/>
      <c r="BE228" s="159"/>
      <c r="BF228" s="159"/>
      <c r="BG228" s="159"/>
      <c r="BH228" s="159"/>
      <c r="BI228" s="159"/>
      <c r="BJ228" s="159"/>
      <c r="BK228" s="159"/>
      <c r="BL228" s="159"/>
      <c r="BM228" s="159"/>
      <c r="BN228" s="159"/>
    </row>
    <row r="229" spans="1:66" x14ac:dyDescent="0.25">
      <c r="A229" s="166"/>
      <c r="B229" s="159"/>
      <c r="C229" s="159"/>
      <c r="D229" s="159"/>
      <c r="E229" s="159"/>
      <c r="F229" s="159"/>
      <c r="G229" s="159"/>
      <c r="H229" s="159"/>
      <c r="I229" s="159"/>
      <c r="J229" s="159"/>
      <c r="K229" s="159"/>
      <c r="L229" s="159"/>
      <c r="M229" s="159"/>
      <c r="N229" s="159"/>
      <c r="O229" s="159"/>
      <c r="P229" s="159"/>
      <c r="Q229" s="159"/>
      <c r="R229" s="159"/>
      <c r="S229" s="159"/>
      <c r="T229" s="166"/>
      <c r="U229" s="166"/>
      <c r="V229" s="166"/>
      <c r="W229" s="166"/>
      <c r="X229" s="166"/>
      <c r="Y229" s="166"/>
      <c r="Z229" s="166"/>
      <c r="AA229" s="166"/>
      <c r="AB229" s="166"/>
      <c r="AC229" s="159"/>
      <c r="AD229" s="159"/>
      <c r="AE229" s="159"/>
      <c r="AF229" s="159"/>
      <c r="AG229" s="159"/>
      <c r="AH229" s="159"/>
      <c r="AI229" s="159"/>
      <c r="AJ229" s="159"/>
      <c r="AK229" s="159"/>
      <c r="AL229" s="159"/>
      <c r="AM229" s="159"/>
      <c r="AN229" s="159"/>
      <c r="AO229" s="159"/>
      <c r="AP229" s="159"/>
      <c r="AQ229" s="159"/>
      <c r="AR229" s="159"/>
      <c r="AS229" s="159"/>
      <c r="AT229" s="159"/>
      <c r="AU229" s="159"/>
      <c r="AV229" s="159"/>
      <c r="AW229" s="159"/>
      <c r="AX229" s="159"/>
      <c r="AY229" s="159"/>
      <c r="AZ229" s="159"/>
      <c r="BA229" s="159"/>
      <c r="BB229" s="159"/>
      <c r="BC229" s="159"/>
      <c r="BD229" s="159"/>
      <c r="BE229" s="159"/>
      <c r="BF229" s="159"/>
      <c r="BG229" s="159"/>
      <c r="BH229" s="159"/>
      <c r="BI229" s="159"/>
      <c r="BJ229" s="159"/>
      <c r="BK229" s="159"/>
      <c r="BL229" s="159"/>
      <c r="BM229" s="159"/>
      <c r="BN229" s="159"/>
    </row>
    <row r="230" spans="1:66" x14ac:dyDescent="0.25">
      <c r="A230" s="166"/>
      <c r="B230" s="159"/>
      <c r="C230" s="159"/>
      <c r="D230" s="159"/>
      <c r="E230" s="159"/>
      <c r="F230" s="159"/>
      <c r="G230" s="159"/>
      <c r="H230" s="159"/>
      <c r="I230" s="159"/>
      <c r="J230" s="159"/>
      <c r="K230" s="159"/>
      <c r="L230" s="159"/>
      <c r="M230" s="159"/>
      <c r="N230" s="159"/>
      <c r="O230" s="159"/>
      <c r="P230" s="159"/>
      <c r="Q230" s="159"/>
      <c r="R230" s="159"/>
      <c r="S230" s="159"/>
      <c r="T230" s="166"/>
      <c r="U230" s="166"/>
      <c r="V230" s="166"/>
      <c r="W230" s="166"/>
      <c r="X230" s="166"/>
      <c r="Y230" s="166"/>
      <c r="Z230" s="166"/>
      <c r="AA230" s="166"/>
      <c r="AB230" s="166"/>
      <c r="AC230" s="159"/>
      <c r="AD230" s="159"/>
      <c r="AE230" s="159"/>
      <c r="AF230" s="159"/>
      <c r="AG230" s="159"/>
      <c r="AH230" s="159"/>
      <c r="AI230" s="159"/>
      <c r="AJ230" s="159"/>
      <c r="AK230" s="159"/>
      <c r="AL230" s="159"/>
      <c r="AM230" s="159"/>
      <c r="AN230" s="159"/>
      <c r="AO230" s="159"/>
      <c r="AP230" s="159"/>
      <c r="AQ230" s="159"/>
      <c r="AR230" s="159"/>
      <c r="AS230" s="159"/>
      <c r="AT230" s="159"/>
      <c r="AU230" s="159"/>
      <c r="AV230" s="159"/>
      <c r="AW230" s="159"/>
      <c r="AX230" s="159"/>
      <c r="AY230" s="159"/>
      <c r="AZ230" s="159"/>
      <c r="BA230" s="159"/>
      <c r="BB230" s="159"/>
      <c r="BC230" s="159"/>
      <c r="BD230" s="159"/>
      <c r="BE230" s="159"/>
      <c r="BF230" s="159"/>
      <c r="BG230" s="159"/>
      <c r="BH230" s="159"/>
      <c r="BI230" s="159"/>
      <c r="BJ230" s="159"/>
      <c r="BK230" s="159"/>
      <c r="BL230" s="159"/>
      <c r="BM230" s="159"/>
      <c r="BN230" s="159"/>
    </row>
    <row r="231" spans="1:66" x14ac:dyDescent="0.25">
      <c r="A231" s="166"/>
      <c r="B231" s="159"/>
      <c r="C231" s="159"/>
      <c r="D231" s="159"/>
      <c r="E231" s="159"/>
      <c r="F231" s="159"/>
      <c r="G231" s="159"/>
      <c r="H231" s="159"/>
      <c r="I231" s="159"/>
      <c r="J231" s="159"/>
      <c r="K231" s="159"/>
      <c r="L231" s="159"/>
      <c r="M231" s="159"/>
      <c r="N231" s="159"/>
      <c r="O231" s="159"/>
      <c r="P231" s="159"/>
      <c r="Q231" s="159"/>
      <c r="R231" s="159"/>
      <c r="S231" s="159"/>
      <c r="T231" s="166"/>
      <c r="U231" s="166"/>
      <c r="V231" s="166"/>
      <c r="W231" s="166"/>
      <c r="X231" s="166"/>
      <c r="Y231" s="166"/>
      <c r="Z231" s="166"/>
      <c r="AA231" s="166"/>
      <c r="AB231" s="166"/>
      <c r="AC231" s="159"/>
      <c r="AD231" s="159"/>
      <c r="AE231" s="159"/>
      <c r="AF231" s="159"/>
      <c r="AG231" s="159"/>
      <c r="AH231" s="159"/>
      <c r="AI231" s="159"/>
      <c r="AJ231" s="159"/>
      <c r="AK231" s="159"/>
      <c r="AL231" s="159"/>
      <c r="AM231" s="159"/>
      <c r="AN231" s="159"/>
      <c r="AO231" s="159"/>
      <c r="AP231" s="159"/>
      <c r="AQ231" s="159"/>
      <c r="AR231" s="159"/>
      <c r="AS231" s="159"/>
      <c r="AT231" s="159"/>
      <c r="AU231" s="159"/>
      <c r="AV231" s="159"/>
      <c r="AW231" s="159"/>
      <c r="AX231" s="159"/>
      <c r="AY231" s="159"/>
      <c r="AZ231" s="159"/>
      <c r="BA231" s="159"/>
      <c r="BB231" s="159"/>
      <c r="BC231" s="159"/>
      <c r="BD231" s="159"/>
      <c r="BE231" s="159"/>
      <c r="BF231" s="159"/>
      <c r="BG231" s="159"/>
      <c r="BH231" s="159"/>
      <c r="BI231" s="159"/>
      <c r="BJ231" s="159"/>
      <c r="BK231" s="159"/>
      <c r="BL231" s="159"/>
      <c r="BM231" s="159"/>
      <c r="BN231" s="159"/>
    </row>
    <row r="232" spans="1:66" x14ac:dyDescent="0.25">
      <c r="A232" s="166"/>
      <c r="B232" s="159"/>
      <c r="C232" s="159"/>
      <c r="D232" s="159"/>
      <c r="E232" s="159"/>
      <c r="F232" s="159"/>
      <c r="G232" s="159"/>
      <c r="H232" s="159"/>
      <c r="I232" s="159"/>
      <c r="J232" s="159"/>
      <c r="K232" s="159"/>
      <c r="L232" s="159"/>
      <c r="M232" s="159"/>
      <c r="N232" s="159"/>
      <c r="O232" s="159"/>
      <c r="P232" s="159"/>
      <c r="Q232" s="159"/>
      <c r="R232" s="159"/>
      <c r="S232" s="159"/>
      <c r="T232" s="166"/>
      <c r="U232" s="166"/>
      <c r="V232" s="166"/>
      <c r="W232" s="166"/>
      <c r="X232" s="166"/>
      <c r="Y232" s="166"/>
      <c r="Z232" s="166"/>
      <c r="AA232" s="166"/>
      <c r="AB232" s="166"/>
      <c r="AC232" s="159"/>
      <c r="AD232" s="159"/>
      <c r="AE232" s="159"/>
      <c r="AF232" s="159"/>
      <c r="AG232" s="159"/>
      <c r="AH232" s="159"/>
      <c r="AI232" s="159"/>
      <c r="AJ232" s="159"/>
      <c r="AK232" s="159"/>
      <c r="AL232" s="159"/>
      <c r="AM232" s="159"/>
      <c r="AN232" s="159"/>
      <c r="AO232" s="159"/>
      <c r="AP232" s="159"/>
      <c r="AQ232" s="159"/>
      <c r="AR232" s="159"/>
      <c r="AS232" s="159"/>
      <c r="AT232" s="159"/>
      <c r="AU232" s="159"/>
      <c r="AV232" s="159"/>
      <c r="AW232" s="159"/>
      <c r="AX232" s="159"/>
      <c r="AY232" s="159"/>
      <c r="AZ232" s="159"/>
      <c r="BA232" s="159"/>
      <c r="BB232" s="159"/>
      <c r="BC232" s="159"/>
      <c r="BD232" s="159"/>
      <c r="BE232" s="159"/>
      <c r="BF232" s="159"/>
      <c r="BG232" s="159"/>
      <c r="BH232" s="159"/>
      <c r="BI232" s="159"/>
      <c r="BJ232" s="159"/>
      <c r="BK232" s="159"/>
      <c r="BL232" s="159"/>
      <c r="BM232" s="159"/>
      <c r="BN232" s="159"/>
    </row>
    <row r="233" spans="1:66" x14ac:dyDescent="0.25">
      <c r="A233" s="166"/>
      <c r="B233" s="159"/>
      <c r="C233" s="159"/>
      <c r="D233" s="159"/>
      <c r="E233" s="159"/>
      <c r="F233" s="159"/>
      <c r="G233" s="159"/>
      <c r="H233" s="159"/>
      <c r="I233" s="159"/>
      <c r="J233" s="159"/>
      <c r="K233" s="159"/>
      <c r="L233" s="159"/>
      <c r="M233" s="159"/>
      <c r="N233" s="159"/>
      <c r="O233" s="159"/>
      <c r="P233" s="159"/>
      <c r="Q233" s="159"/>
      <c r="R233" s="159"/>
      <c r="S233" s="159"/>
      <c r="T233" s="166"/>
      <c r="U233" s="166"/>
      <c r="V233" s="166"/>
      <c r="W233" s="166"/>
      <c r="X233" s="166"/>
      <c r="Y233" s="166"/>
      <c r="Z233" s="166"/>
      <c r="AA233" s="166"/>
      <c r="AB233" s="166"/>
      <c r="AC233" s="159"/>
      <c r="AD233" s="159"/>
      <c r="AE233" s="159"/>
      <c r="AF233" s="159"/>
      <c r="AG233" s="159"/>
      <c r="AH233" s="159"/>
      <c r="AI233" s="159"/>
      <c r="AJ233" s="159"/>
      <c r="AK233" s="159"/>
      <c r="AL233" s="159"/>
      <c r="AM233" s="159"/>
      <c r="AN233" s="159"/>
      <c r="AO233" s="159"/>
      <c r="AP233" s="159"/>
      <c r="AQ233" s="159"/>
      <c r="AR233" s="159"/>
      <c r="AS233" s="159"/>
      <c r="AT233" s="159"/>
      <c r="AU233" s="159"/>
      <c r="AV233" s="159"/>
      <c r="AW233" s="159"/>
      <c r="AX233" s="159"/>
      <c r="AY233" s="159"/>
      <c r="AZ233" s="159"/>
      <c r="BA233" s="159"/>
      <c r="BB233" s="159"/>
      <c r="BC233" s="159"/>
      <c r="BD233" s="159"/>
      <c r="BE233" s="159"/>
      <c r="BF233" s="159"/>
      <c r="BG233" s="159"/>
      <c r="BH233" s="159"/>
      <c r="BI233" s="159"/>
      <c r="BJ233" s="159"/>
      <c r="BK233" s="159"/>
      <c r="BL233" s="159"/>
      <c r="BM233" s="159"/>
      <c r="BN233" s="159"/>
    </row>
    <row r="234" spans="1:66" x14ac:dyDescent="0.25">
      <c r="A234" s="166"/>
      <c r="B234" s="159"/>
      <c r="C234" s="159"/>
      <c r="D234" s="159"/>
      <c r="E234" s="159"/>
      <c r="F234" s="159"/>
      <c r="G234" s="159"/>
      <c r="H234" s="159"/>
      <c r="I234" s="159"/>
      <c r="J234" s="159"/>
      <c r="K234" s="159"/>
      <c r="L234" s="159"/>
      <c r="M234" s="159"/>
      <c r="N234" s="159"/>
      <c r="O234" s="159"/>
      <c r="P234" s="159"/>
      <c r="Q234" s="159"/>
      <c r="R234" s="159"/>
      <c r="S234" s="159"/>
      <c r="T234" s="166"/>
      <c r="U234" s="166"/>
      <c r="V234" s="166"/>
      <c r="W234" s="166"/>
      <c r="X234" s="166"/>
      <c r="Y234" s="166"/>
      <c r="Z234" s="166"/>
      <c r="AA234" s="166"/>
      <c r="AB234" s="166"/>
      <c r="AC234" s="159"/>
      <c r="AD234" s="159"/>
      <c r="AE234" s="159"/>
      <c r="AF234" s="159"/>
      <c r="AG234" s="159"/>
      <c r="AH234" s="159"/>
      <c r="AI234" s="159"/>
      <c r="AJ234" s="159"/>
      <c r="AK234" s="159"/>
      <c r="AL234" s="159"/>
      <c r="AM234" s="159"/>
      <c r="AN234" s="159"/>
      <c r="AO234" s="159"/>
      <c r="AP234" s="159"/>
      <c r="AQ234" s="159"/>
      <c r="AR234" s="159"/>
      <c r="AS234" s="159"/>
      <c r="AT234" s="159"/>
      <c r="AU234" s="159"/>
      <c r="AV234" s="159"/>
      <c r="AW234" s="159"/>
      <c r="AX234" s="159"/>
      <c r="AY234" s="159"/>
      <c r="AZ234" s="159"/>
      <c r="BA234" s="159"/>
      <c r="BB234" s="159"/>
      <c r="BC234" s="159"/>
      <c r="BD234" s="159"/>
      <c r="BE234" s="159"/>
      <c r="BF234" s="159"/>
      <c r="BG234" s="159"/>
      <c r="BH234" s="159"/>
      <c r="BI234" s="159"/>
      <c r="BJ234" s="159"/>
      <c r="BK234" s="159"/>
      <c r="BL234" s="159"/>
      <c r="BM234" s="159"/>
      <c r="BN234" s="159"/>
    </row>
    <row r="235" spans="1:66" x14ac:dyDescent="0.25">
      <c r="A235" s="166"/>
      <c r="B235" s="159"/>
      <c r="C235" s="159"/>
      <c r="D235" s="159"/>
      <c r="E235" s="159"/>
      <c r="F235" s="159"/>
      <c r="G235" s="159"/>
      <c r="H235" s="159"/>
      <c r="I235" s="159"/>
      <c r="J235" s="159"/>
      <c r="K235" s="159"/>
      <c r="L235" s="159"/>
      <c r="M235" s="159"/>
      <c r="N235" s="159"/>
      <c r="O235" s="159"/>
      <c r="P235" s="159"/>
      <c r="Q235" s="159"/>
      <c r="R235" s="159"/>
      <c r="S235" s="159"/>
      <c r="T235" s="166"/>
      <c r="U235" s="166"/>
      <c r="V235" s="166"/>
      <c r="W235" s="166"/>
      <c r="X235" s="166"/>
      <c r="Y235" s="166"/>
      <c r="Z235" s="166"/>
      <c r="AA235" s="166"/>
      <c r="AB235" s="166"/>
      <c r="AC235" s="159"/>
      <c r="AD235" s="159"/>
      <c r="AE235" s="159"/>
      <c r="AF235" s="159"/>
      <c r="AG235" s="159"/>
      <c r="AH235" s="159"/>
      <c r="AI235" s="159"/>
      <c r="AJ235" s="159"/>
      <c r="AK235" s="159"/>
      <c r="AL235" s="159"/>
      <c r="AM235" s="159"/>
      <c r="AN235" s="159"/>
      <c r="AO235" s="159"/>
      <c r="AP235" s="159"/>
      <c r="AQ235" s="159"/>
      <c r="AR235" s="159"/>
      <c r="AS235" s="159"/>
      <c r="AT235" s="159"/>
      <c r="AU235" s="159"/>
      <c r="AV235" s="159"/>
      <c r="AW235" s="159"/>
      <c r="AX235" s="159"/>
      <c r="AY235" s="159"/>
      <c r="AZ235" s="159"/>
      <c r="BA235" s="159"/>
      <c r="BB235" s="159"/>
      <c r="BC235" s="159"/>
      <c r="BD235" s="159"/>
      <c r="BE235" s="159"/>
      <c r="BF235" s="159"/>
      <c r="BG235" s="159"/>
      <c r="BH235" s="159"/>
      <c r="BI235" s="159"/>
      <c r="BJ235" s="159"/>
      <c r="BK235" s="159"/>
      <c r="BL235" s="159"/>
      <c r="BM235" s="159"/>
      <c r="BN235" s="159"/>
    </row>
    <row r="236" spans="1:66" x14ac:dyDescent="0.25">
      <c r="A236" s="166"/>
      <c r="B236" s="159"/>
      <c r="C236" s="159"/>
      <c r="D236" s="159"/>
      <c r="E236" s="159"/>
      <c r="F236" s="159"/>
      <c r="G236" s="159"/>
      <c r="H236" s="159"/>
      <c r="I236" s="159"/>
      <c r="J236" s="159"/>
      <c r="K236" s="159"/>
      <c r="L236" s="159"/>
      <c r="M236" s="159"/>
      <c r="N236" s="159"/>
      <c r="O236" s="159"/>
      <c r="P236" s="159"/>
      <c r="Q236" s="159"/>
      <c r="R236" s="159"/>
      <c r="S236" s="159"/>
      <c r="T236" s="166"/>
      <c r="U236" s="166"/>
      <c r="V236" s="166"/>
      <c r="W236" s="166"/>
      <c r="X236" s="166"/>
      <c r="Y236" s="166"/>
      <c r="Z236" s="166"/>
      <c r="AA236" s="166"/>
      <c r="AB236" s="166"/>
      <c r="AC236" s="159"/>
      <c r="AD236" s="159"/>
      <c r="AE236" s="159"/>
      <c r="AF236" s="159"/>
      <c r="AG236" s="159"/>
      <c r="AH236" s="159"/>
      <c r="AI236" s="159"/>
      <c r="AJ236" s="159"/>
      <c r="AK236" s="159"/>
      <c r="AL236" s="159"/>
      <c r="AM236" s="159"/>
      <c r="AN236" s="159"/>
      <c r="AO236" s="159"/>
      <c r="AP236" s="159"/>
      <c r="AQ236" s="159"/>
      <c r="AR236" s="159"/>
      <c r="AS236" s="159"/>
      <c r="AT236" s="159"/>
      <c r="AU236" s="159"/>
      <c r="AV236" s="159"/>
      <c r="AW236" s="159"/>
      <c r="AX236" s="159"/>
      <c r="AY236" s="159"/>
      <c r="AZ236" s="159"/>
      <c r="BA236" s="159"/>
      <c r="BB236" s="159"/>
      <c r="BC236" s="159"/>
      <c r="BD236" s="159"/>
      <c r="BE236" s="159"/>
      <c r="BF236" s="159"/>
      <c r="BG236" s="159"/>
      <c r="BH236" s="159"/>
      <c r="BI236" s="159"/>
      <c r="BJ236" s="159"/>
      <c r="BK236" s="159"/>
      <c r="BL236" s="159"/>
      <c r="BM236" s="159"/>
      <c r="BN236" s="159"/>
    </row>
    <row r="237" spans="1:66" x14ac:dyDescent="0.25">
      <c r="A237" s="166"/>
      <c r="B237" s="159"/>
      <c r="C237" s="159"/>
      <c r="D237" s="159"/>
      <c r="E237" s="159"/>
      <c r="F237" s="159"/>
      <c r="G237" s="159"/>
      <c r="H237" s="159"/>
      <c r="I237" s="159"/>
      <c r="J237" s="159"/>
      <c r="K237" s="159"/>
      <c r="L237" s="159"/>
      <c r="M237" s="159"/>
      <c r="N237" s="159"/>
      <c r="O237" s="159"/>
      <c r="P237" s="159"/>
      <c r="Q237" s="159"/>
      <c r="R237" s="159"/>
      <c r="S237" s="159"/>
      <c r="T237" s="166"/>
      <c r="U237" s="166"/>
      <c r="V237" s="166"/>
      <c r="W237" s="166"/>
      <c r="X237" s="166"/>
      <c r="Y237" s="166"/>
      <c r="Z237" s="166"/>
      <c r="AA237" s="166"/>
      <c r="AB237" s="166"/>
      <c r="AC237" s="159"/>
      <c r="AD237" s="159"/>
      <c r="AE237" s="159"/>
      <c r="AF237" s="159"/>
      <c r="AG237" s="159"/>
      <c r="AH237" s="159"/>
      <c r="AI237" s="159"/>
      <c r="AJ237" s="159"/>
      <c r="AK237" s="159"/>
      <c r="AL237" s="159"/>
      <c r="AM237" s="159"/>
      <c r="AN237" s="159"/>
      <c r="AO237" s="159"/>
      <c r="AP237" s="159"/>
      <c r="AQ237" s="159"/>
      <c r="AR237" s="159"/>
      <c r="AS237" s="159"/>
      <c r="AT237" s="159"/>
      <c r="AU237" s="159"/>
      <c r="AV237" s="159"/>
      <c r="AW237" s="159"/>
      <c r="AX237" s="159"/>
      <c r="AY237" s="159"/>
      <c r="AZ237" s="159"/>
      <c r="BA237" s="159"/>
      <c r="BB237" s="159"/>
      <c r="BC237" s="159"/>
      <c r="BD237" s="159"/>
      <c r="BE237" s="159"/>
      <c r="BF237" s="159"/>
      <c r="BG237" s="159"/>
      <c r="BH237" s="159"/>
      <c r="BI237" s="159"/>
      <c r="BJ237" s="159"/>
      <c r="BK237" s="159"/>
      <c r="BL237" s="159"/>
      <c r="BM237" s="159"/>
      <c r="BN237" s="159"/>
    </row>
    <row r="238" spans="1:66" x14ac:dyDescent="0.25">
      <c r="A238" s="166"/>
      <c r="B238" s="159"/>
      <c r="C238" s="159"/>
      <c r="D238" s="159"/>
      <c r="E238" s="159"/>
      <c r="F238" s="159"/>
      <c r="G238" s="159"/>
      <c r="H238" s="159"/>
      <c r="I238" s="159"/>
      <c r="J238" s="159"/>
      <c r="K238" s="159"/>
      <c r="L238" s="159"/>
      <c r="M238" s="159"/>
      <c r="N238" s="159"/>
      <c r="O238" s="159"/>
      <c r="P238" s="159"/>
      <c r="Q238" s="159"/>
      <c r="R238" s="159"/>
      <c r="S238" s="159"/>
      <c r="T238" s="166"/>
      <c r="U238" s="166"/>
      <c r="V238" s="166"/>
      <c r="W238" s="166"/>
      <c r="X238" s="166"/>
      <c r="Y238" s="166"/>
      <c r="Z238" s="166"/>
      <c r="AA238" s="166"/>
      <c r="AB238" s="166"/>
      <c r="AC238" s="159"/>
      <c r="AD238" s="159"/>
      <c r="AE238" s="159"/>
      <c r="AF238" s="159"/>
      <c r="AG238" s="159"/>
      <c r="AH238" s="159"/>
      <c r="AI238" s="159"/>
      <c r="AJ238" s="159"/>
      <c r="AK238" s="159"/>
      <c r="AL238" s="159"/>
      <c r="AM238" s="159"/>
      <c r="AN238" s="159"/>
      <c r="AO238" s="159"/>
      <c r="AP238" s="159"/>
      <c r="AQ238" s="159"/>
      <c r="AR238" s="159"/>
      <c r="AS238" s="159"/>
      <c r="AT238" s="159"/>
      <c r="AU238" s="159"/>
      <c r="AV238" s="159"/>
      <c r="AW238" s="159"/>
      <c r="AX238" s="159"/>
      <c r="AY238" s="159"/>
      <c r="AZ238" s="159"/>
      <c r="BA238" s="159"/>
      <c r="BB238" s="159"/>
      <c r="BC238" s="159"/>
      <c r="BD238" s="159"/>
      <c r="BE238" s="159"/>
      <c r="BF238" s="159"/>
      <c r="BG238" s="159"/>
      <c r="BH238" s="159"/>
      <c r="BI238" s="159"/>
      <c r="BJ238" s="159"/>
      <c r="BK238" s="159"/>
      <c r="BL238" s="159"/>
      <c r="BM238" s="159"/>
      <c r="BN238" s="159"/>
    </row>
    <row r="239" spans="1:66" x14ac:dyDescent="0.25">
      <c r="A239" s="166"/>
      <c r="B239" s="159"/>
      <c r="C239" s="159"/>
      <c r="D239" s="159"/>
      <c r="E239" s="159"/>
      <c r="F239" s="159"/>
      <c r="G239" s="159"/>
      <c r="H239" s="159"/>
      <c r="I239" s="159"/>
      <c r="J239" s="159"/>
      <c r="K239" s="159"/>
      <c r="L239" s="159"/>
      <c r="M239" s="159"/>
      <c r="N239" s="159"/>
      <c r="O239" s="159"/>
      <c r="P239" s="159"/>
      <c r="Q239" s="159"/>
      <c r="R239" s="159"/>
      <c r="S239" s="159"/>
      <c r="T239" s="166"/>
      <c r="U239" s="166"/>
      <c r="V239" s="166"/>
      <c r="W239" s="166"/>
      <c r="X239" s="166"/>
      <c r="Y239" s="166"/>
      <c r="Z239" s="166"/>
      <c r="AA239" s="166"/>
      <c r="AB239" s="166"/>
      <c r="AC239" s="159"/>
      <c r="AD239" s="159"/>
      <c r="AE239" s="159"/>
      <c r="AF239" s="159"/>
      <c r="AG239" s="159"/>
      <c r="AH239" s="159"/>
      <c r="AI239" s="159"/>
      <c r="AJ239" s="159"/>
      <c r="AK239" s="159"/>
      <c r="AL239" s="159"/>
      <c r="AM239" s="159"/>
      <c r="AN239" s="159"/>
      <c r="AO239" s="159"/>
      <c r="AP239" s="159"/>
      <c r="AQ239" s="159"/>
      <c r="AR239" s="159"/>
      <c r="AS239" s="159"/>
      <c r="AT239" s="159"/>
      <c r="AU239" s="159"/>
      <c r="AV239" s="159"/>
      <c r="AW239" s="159"/>
      <c r="AX239" s="159"/>
      <c r="AY239" s="159"/>
      <c r="AZ239" s="159"/>
      <c r="BA239" s="159"/>
      <c r="BB239" s="159"/>
      <c r="BC239" s="159"/>
      <c r="BD239" s="159"/>
      <c r="BE239" s="159"/>
      <c r="BF239" s="159"/>
      <c r="BG239" s="159"/>
      <c r="BH239" s="159"/>
      <c r="BI239" s="159"/>
      <c r="BJ239" s="159"/>
      <c r="BK239" s="159"/>
      <c r="BL239" s="159"/>
      <c r="BM239" s="159"/>
      <c r="BN239" s="159"/>
    </row>
    <row r="240" spans="1:66" x14ac:dyDescent="0.25">
      <c r="A240" s="166"/>
      <c r="B240" s="159"/>
      <c r="C240" s="159"/>
      <c r="D240" s="159"/>
      <c r="E240" s="159"/>
      <c r="F240" s="159"/>
      <c r="G240" s="159"/>
      <c r="H240" s="159"/>
      <c r="I240" s="159"/>
      <c r="J240" s="159"/>
      <c r="K240" s="159"/>
      <c r="L240" s="159"/>
      <c r="M240" s="159"/>
      <c r="N240" s="159"/>
      <c r="O240" s="159"/>
      <c r="P240" s="159"/>
      <c r="Q240" s="159"/>
      <c r="R240" s="159"/>
      <c r="S240" s="159"/>
      <c r="T240" s="166"/>
      <c r="U240" s="166"/>
      <c r="V240" s="166"/>
      <c r="W240" s="166"/>
      <c r="X240" s="166"/>
      <c r="Y240" s="166"/>
      <c r="Z240" s="166"/>
      <c r="AA240" s="166"/>
      <c r="AB240" s="166"/>
      <c r="AC240" s="159"/>
      <c r="AD240" s="159"/>
      <c r="AE240" s="159"/>
      <c r="AF240" s="159"/>
      <c r="AG240" s="159"/>
      <c r="AH240" s="159"/>
      <c r="AI240" s="159"/>
      <c r="AJ240" s="159"/>
      <c r="AK240" s="159"/>
      <c r="AL240" s="159"/>
      <c r="AM240" s="159"/>
      <c r="AN240" s="159"/>
      <c r="AO240" s="159"/>
      <c r="AP240" s="159"/>
      <c r="AQ240" s="159"/>
      <c r="AR240" s="159"/>
      <c r="AS240" s="159"/>
      <c r="AT240" s="159"/>
      <c r="AU240" s="159"/>
      <c r="AV240" s="159"/>
      <c r="AW240" s="159"/>
      <c r="AX240" s="159"/>
      <c r="AY240" s="159"/>
      <c r="AZ240" s="159"/>
      <c r="BA240" s="159"/>
      <c r="BB240" s="159"/>
      <c r="BC240" s="159"/>
      <c r="BD240" s="159"/>
      <c r="BE240" s="159"/>
      <c r="BF240" s="159"/>
      <c r="BG240" s="159"/>
      <c r="BH240" s="159"/>
      <c r="BI240" s="159"/>
      <c r="BJ240" s="159"/>
      <c r="BK240" s="159"/>
      <c r="BL240" s="159"/>
      <c r="BM240" s="159"/>
      <c r="BN240" s="159"/>
    </row>
    <row r="241" spans="1:66" x14ac:dyDescent="0.25">
      <c r="A241" s="166"/>
      <c r="B241" s="159"/>
      <c r="C241" s="159"/>
      <c r="D241" s="159"/>
      <c r="E241" s="159"/>
      <c r="F241" s="159"/>
      <c r="G241" s="159"/>
      <c r="H241" s="159"/>
      <c r="I241" s="159"/>
      <c r="J241" s="159"/>
      <c r="K241" s="159"/>
      <c r="L241" s="159"/>
      <c r="M241" s="159"/>
      <c r="N241" s="159"/>
      <c r="O241" s="159"/>
      <c r="P241" s="159"/>
      <c r="Q241" s="159"/>
      <c r="R241" s="159"/>
      <c r="S241" s="159"/>
      <c r="T241" s="166"/>
      <c r="U241" s="166"/>
      <c r="V241" s="166"/>
      <c r="W241" s="166"/>
      <c r="X241" s="166"/>
      <c r="Y241" s="166"/>
      <c r="Z241" s="166"/>
      <c r="AA241" s="166"/>
      <c r="AB241" s="166"/>
      <c r="AC241" s="159"/>
      <c r="AD241" s="159"/>
      <c r="AE241" s="159"/>
      <c r="AF241" s="159"/>
      <c r="AG241" s="159"/>
      <c r="AH241" s="159"/>
      <c r="AI241" s="159"/>
      <c r="AJ241" s="159"/>
      <c r="AK241" s="159"/>
      <c r="AL241" s="159"/>
      <c r="AM241" s="159"/>
      <c r="AN241" s="159"/>
      <c r="AO241" s="159"/>
      <c r="AP241" s="159"/>
      <c r="AQ241" s="159"/>
      <c r="AR241" s="159"/>
      <c r="AS241" s="159"/>
      <c r="AT241" s="159"/>
      <c r="AU241" s="159"/>
      <c r="AV241" s="159"/>
      <c r="AW241" s="159"/>
      <c r="AX241" s="159"/>
      <c r="AY241" s="159"/>
      <c r="AZ241" s="159"/>
      <c r="BA241" s="159"/>
      <c r="BB241" s="159"/>
      <c r="BC241" s="159"/>
      <c r="BD241" s="159"/>
      <c r="BE241" s="159"/>
      <c r="BF241" s="159"/>
      <c r="BG241" s="159"/>
      <c r="BH241" s="159"/>
      <c r="BI241" s="159"/>
      <c r="BJ241" s="159"/>
      <c r="BK241" s="159"/>
      <c r="BL241" s="159"/>
      <c r="BM241" s="159"/>
      <c r="BN241" s="159"/>
    </row>
    <row r="242" spans="1:66" x14ac:dyDescent="0.25">
      <c r="A242" s="166"/>
      <c r="B242" s="159"/>
      <c r="C242" s="159"/>
      <c r="D242" s="159"/>
      <c r="E242" s="159"/>
      <c r="F242" s="159"/>
      <c r="G242" s="159"/>
      <c r="H242" s="159"/>
      <c r="I242" s="159"/>
      <c r="J242" s="159"/>
      <c r="K242" s="159"/>
      <c r="L242" s="159"/>
      <c r="M242" s="159"/>
      <c r="N242" s="159"/>
      <c r="O242" s="159"/>
      <c r="P242" s="159"/>
      <c r="Q242" s="159"/>
      <c r="R242" s="159"/>
      <c r="S242" s="159"/>
      <c r="T242" s="166"/>
      <c r="U242" s="166"/>
      <c r="V242" s="166"/>
      <c r="W242" s="166"/>
      <c r="X242" s="166"/>
      <c r="Y242" s="166"/>
      <c r="Z242" s="166"/>
      <c r="AA242" s="166"/>
      <c r="AB242" s="166"/>
      <c r="AC242" s="159"/>
      <c r="AD242" s="159"/>
      <c r="AE242" s="159"/>
      <c r="AF242" s="159"/>
      <c r="AG242" s="159"/>
      <c r="AH242" s="159"/>
      <c r="AI242" s="159"/>
      <c r="AJ242" s="159"/>
      <c r="AK242" s="159"/>
      <c r="AL242" s="159"/>
      <c r="AM242" s="159"/>
      <c r="AN242" s="159"/>
      <c r="AO242" s="159"/>
      <c r="AP242" s="159"/>
      <c r="AQ242" s="159"/>
      <c r="AR242" s="159"/>
      <c r="AS242" s="159"/>
      <c r="AT242" s="159"/>
      <c r="AU242" s="159"/>
      <c r="AV242" s="159"/>
      <c r="AW242" s="159"/>
      <c r="AX242" s="159"/>
      <c r="AY242" s="159"/>
      <c r="AZ242" s="159"/>
      <c r="BA242" s="159"/>
      <c r="BB242" s="159"/>
      <c r="BC242" s="159"/>
      <c r="BD242" s="159"/>
      <c r="BE242" s="159"/>
      <c r="BF242" s="159"/>
      <c r="BG242" s="159"/>
      <c r="BH242" s="159"/>
      <c r="BI242" s="159"/>
      <c r="BJ242" s="159"/>
      <c r="BK242" s="159"/>
      <c r="BL242" s="159"/>
      <c r="BM242" s="159"/>
      <c r="BN242" s="159"/>
    </row>
    <row r="243" spans="1:66" x14ac:dyDescent="0.25">
      <c r="A243" s="166"/>
      <c r="B243" s="159"/>
      <c r="C243" s="159"/>
      <c r="D243" s="159"/>
      <c r="E243" s="159"/>
      <c r="F243" s="159"/>
      <c r="G243" s="159"/>
      <c r="H243" s="159"/>
      <c r="I243" s="159"/>
      <c r="J243" s="159"/>
      <c r="K243" s="159"/>
      <c r="L243" s="159"/>
      <c r="M243" s="159"/>
      <c r="N243" s="159"/>
      <c r="O243" s="159"/>
      <c r="P243" s="159"/>
      <c r="Q243" s="159"/>
      <c r="R243" s="159"/>
      <c r="S243" s="159"/>
      <c r="T243" s="166"/>
      <c r="U243" s="166"/>
      <c r="V243" s="166"/>
      <c r="W243" s="166"/>
      <c r="X243" s="166"/>
      <c r="Y243" s="166"/>
      <c r="Z243" s="166"/>
      <c r="AA243" s="166"/>
      <c r="AB243" s="166"/>
      <c r="AC243" s="159"/>
      <c r="AD243" s="159"/>
      <c r="AE243" s="159"/>
      <c r="AF243" s="159"/>
      <c r="AG243" s="159"/>
      <c r="AH243" s="159"/>
      <c r="AI243" s="159"/>
      <c r="AJ243" s="159"/>
      <c r="AK243" s="159"/>
      <c r="AL243" s="159"/>
      <c r="AM243" s="159"/>
      <c r="AN243" s="159"/>
      <c r="AO243" s="159"/>
      <c r="AP243" s="159"/>
      <c r="AQ243" s="159"/>
      <c r="AR243" s="159"/>
      <c r="AS243" s="159"/>
      <c r="AT243" s="159"/>
      <c r="AU243" s="159"/>
      <c r="AV243" s="159"/>
      <c r="AW243" s="159"/>
      <c r="AX243" s="159"/>
      <c r="AY243" s="159"/>
      <c r="AZ243" s="159"/>
      <c r="BA243" s="159"/>
      <c r="BB243" s="159"/>
      <c r="BC243" s="159"/>
      <c r="BD243" s="159"/>
      <c r="BE243" s="159"/>
      <c r="BF243" s="159"/>
      <c r="BG243" s="159"/>
      <c r="BH243" s="159"/>
      <c r="BI243" s="159"/>
      <c r="BJ243" s="159"/>
      <c r="BK243" s="159"/>
      <c r="BL243" s="159"/>
      <c r="BM243" s="159"/>
      <c r="BN243" s="159"/>
    </row>
    <row r="244" spans="1:66" x14ac:dyDescent="0.25">
      <c r="A244" s="166"/>
      <c r="B244" s="159"/>
      <c r="C244" s="159"/>
      <c r="D244" s="159"/>
      <c r="E244" s="159"/>
      <c r="F244" s="159"/>
      <c r="G244" s="159"/>
      <c r="H244" s="159"/>
      <c r="I244" s="159"/>
      <c r="J244" s="159"/>
      <c r="K244" s="159"/>
      <c r="L244" s="159"/>
      <c r="M244" s="159"/>
      <c r="N244" s="159"/>
      <c r="O244" s="159"/>
      <c r="P244" s="159"/>
      <c r="Q244" s="159"/>
      <c r="R244" s="159"/>
      <c r="S244" s="159"/>
      <c r="T244" s="166"/>
      <c r="U244" s="166"/>
      <c r="V244" s="166"/>
      <c r="W244" s="166"/>
      <c r="X244" s="166"/>
      <c r="Y244" s="166"/>
      <c r="Z244" s="166"/>
      <c r="AA244" s="166"/>
      <c r="AB244" s="166"/>
      <c r="AC244" s="159"/>
      <c r="AD244" s="159"/>
      <c r="AE244" s="159"/>
      <c r="AF244" s="159"/>
      <c r="AG244" s="159"/>
      <c r="AH244" s="159"/>
      <c r="AI244" s="159"/>
      <c r="AJ244" s="159"/>
      <c r="AK244" s="159"/>
      <c r="AL244" s="159"/>
      <c r="AM244" s="159"/>
      <c r="AN244" s="159"/>
      <c r="AO244" s="159"/>
      <c r="AP244" s="159"/>
      <c r="AQ244" s="159"/>
      <c r="AR244" s="159"/>
      <c r="AS244" s="159"/>
      <c r="AT244" s="159"/>
      <c r="AU244" s="159"/>
      <c r="AV244" s="159"/>
      <c r="AW244" s="159"/>
      <c r="AX244" s="159"/>
      <c r="AY244" s="159"/>
      <c r="AZ244" s="159"/>
      <c r="BA244" s="159"/>
      <c r="BB244" s="159"/>
      <c r="BC244" s="159"/>
      <c r="BD244" s="159"/>
      <c r="BE244" s="159"/>
      <c r="BF244" s="159"/>
      <c r="BG244" s="159"/>
      <c r="BH244" s="159"/>
      <c r="BI244" s="159"/>
      <c r="BJ244" s="159"/>
      <c r="BK244" s="159"/>
      <c r="BL244" s="159"/>
      <c r="BM244" s="159"/>
      <c r="BN244" s="159"/>
    </row>
    <row r="245" spans="1:66" x14ac:dyDescent="0.25">
      <c r="A245" s="166"/>
      <c r="B245" s="159"/>
      <c r="C245" s="159"/>
      <c r="D245" s="159"/>
      <c r="E245" s="159"/>
      <c r="F245" s="159"/>
      <c r="G245" s="159"/>
      <c r="H245" s="159"/>
      <c r="I245" s="159"/>
      <c r="J245" s="159"/>
      <c r="K245" s="159"/>
      <c r="L245" s="159"/>
      <c r="M245" s="159"/>
      <c r="N245" s="159"/>
      <c r="O245" s="159"/>
      <c r="P245" s="159"/>
      <c r="Q245" s="159"/>
      <c r="R245" s="159"/>
      <c r="S245" s="159"/>
      <c r="T245" s="166"/>
      <c r="U245" s="166"/>
      <c r="V245" s="166"/>
      <c r="W245" s="166"/>
      <c r="X245" s="166"/>
      <c r="Y245" s="166"/>
      <c r="Z245" s="166"/>
      <c r="AA245" s="166"/>
      <c r="AB245" s="166"/>
      <c r="AC245" s="159"/>
      <c r="AD245" s="159"/>
      <c r="AE245" s="159"/>
      <c r="AF245" s="159"/>
      <c r="AG245" s="159"/>
      <c r="AH245" s="159"/>
      <c r="AI245" s="159"/>
      <c r="AJ245" s="159"/>
      <c r="AK245" s="159"/>
      <c r="AL245" s="159"/>
      <c r="AM245" s="159"/>
      <c r="AN245" s="159"/>
      <c r="AO245" s="159"/>
      <c r="AP245" s="159"/>
      <c r="AQ245" s="159"/>
      <c r="AR245" s="159"/>
      <c r="AS245" s="159"/>
      <c r="AT245" s="159"/>
      <c r="AU245" s="159"/>
      <c r="AV245" s="159"/>
      <c r="AW245" s="159"/>
      <c r="AX245" s="159"/>
      <c r="AY245" s="159"/>
      <c r="AZ245" s="159"/>
      <c r="BA245" s="159"/>
      <c r="BB245" s="159"/>
      <c r="BC245" s="159"/>
      <c r="BD245" s="159"/>
      <c r="BE245" s="159"/>
      <c r="BF245" s="159"/>
      <c r="BG245" s="159"/>
      <c r="BH245" s="159"/>
      <c r="BI245" s="159"/>
      <c r="BJ245" s="159"/>
      <c r="BK245" s="159"/>
      <c r="BL245" s="159"/>
      <c r="BM245" s="159"/>
      <c r="BN245" s="159"/>
    </row>
    <row r="246" spans="1:66" x14ac:dyDescent="0.25">
      <c r="A246" s="166"/>
      <c r="B246" s="159"/>
      <c r="C246" s="159"/>
      <c r="D246" s="159"/>
      <c r="E246" s="159"/>
      <c r="F246" s="159"/>
      <c r="G246" s="159"/>
      <c r="H246" s="159"/>
      <c r="I246" s="159"/>
      <c r="J246" s="159"/>
      <c r="K246" s="159"/>
      <c r="L246" s="159"/>
      <c r="M246" s="159"/>
      <c r="N246" s="159"/>
      <c r="O246" s="159"/>
      <c r="P246" s="159"/>
      <c r="Q246" s="159"/>
      <c r="R246" s="159"/>
      <c r="S246" s="159"/>
      <c r="T246" s="166"/>
      <c r="U246" s="166"/>
      <c r="V246" s="166"/>
      <c r="W246" s="166"/>
      <c r="X246" s="166"/>
      <c r="Y246" s="166"/>
      <c r="Z246" s="166"/>
      <c r="AA246" s="166"/>
      <c r="AB246" s="166"/>
      <c r="AC246" s="159"/>
      <c r="AD246" s="159"/>
      <c r="AE246" s="159"/>
      <c r="AF246" s="159"/>
      <c r="AG246" s="159"/>
      <c r="AH246" s="159"/>
      <c r="AI246" s="159"/>
      <c r="AJ246" s="159"/>
      <c r="AK246" s="159"/>
      <c r="AL246" s="159"/>
      <c r="AM246" s="159"/>
      <c r="AN246" s="159"/>
      <c r="AO246" s="159"/>
      <c r="AP246" s="159"/>
      <c r="AQ246" s="159"/>
      <c r="AR246" s="159"/>
      <c r="AS246" s="159"/>
      <c r="AT246" s="159"/>
      <c r="AU246" s="159"/>
      <c r="AV246" s="159"/>
      <c r="AW246" s="159"/>
      <c r="AX246" s="159"/>
      <c r="AY246" s="159"/>
      <c r="AZ246" s="159"/>
      <c r="BA246" s="159"/>
      <c r="BB246" s="159"/>
      <c r="BC246" s="159"/>
      <c r="BD246" s="159"/>
      <c r="BE246" s="159"/>
      <c r="BF246" s="159"/>
      <c r="BG246" s="159"/>
      <c r="BH246" s="159"/>
      <c r="BI246" s="159"/>
      <c r="BJ246" s="159"/>
      <c r="BK246" s="159"/>
      <c r="BL246" s="159"/>
      <c r="BM246" s="159"/>
      <c r="BN246" s="159"/>
    </row>
    <row r="247" spans="1:66" x14ac:dyDescent="0.25">
      <c r="A247" s="166"/>
      <c r="B247" s="159"/>
      <c r="C247" s="159"/>
      <c r="D247" s="159"/>
      <c r="E247" s="159"/>
      <c r="F247" s="159"/>
      <c r="G247" s="159"/>
      <c r="H247" s="159"/>
      <c r="I247" s="159"/>
      <c r="J247" s="159"/>
      <c r="K247" s="159"/>
      <c r="L247" s="159"/>
      <c r="M247" s="159"/>
      <c r="N247" s="159"/>
      <c r="O247" s="159"/>
      <c r="P247" s="159"/>
      <c r="Q247" s="159"/>
      <c r="R247" s="159"/>
      <c r="S247" s="159"/>
      <c r="T247" s="166"/>
      <c r="U247" s="166"/>
      <c r="V247" s="166"/>
      <c r="W247" s="166"/>
      <c r="X247" s="166"/>
      <c r="Y247" s="166"/>
      <c r="Z247" s="166"/>
      <c r="AA247" s="166"/>
      <c r="AB247" s="166"/>
      <c r="AC247" s="159"/>
      <c r="AD247" s="159"/>
      <c r="AE247" s="159"/>
      <c r="AF247" s="159"/>
      <c r="AG247" s="159"/>
      <c r="AH247" s="159"/>
      <c r="AI247" s="159"/>
      <c r="AJ247" s="159"/>
      <c r="AK247" s="159"/>
      <c r="AL247" s="159"/>
      <c r="AM247" s="159"/>
      <c r="AN247" s="159"/>
      <c r="AO247" s="159"/>
      <c r="AP247" s="159"/>
      <c r="AQ247" s="159"/>
      <c r="AR247" s="159"/>
      <c r="AS247" s="159"/>
      <c r="AT247" s="159"/>
      <c r="AU247" s="159"/>
      <c r="AV247" s="159"/>
      <c r="AW247" s="159"/>
      <c r="AX247" s="159"/>
      <c r="AY247" s="159"/>
      <c r="AZ247" s="159"/>
      <c r="BA247" s="159"/>
      <c r="BB247" s="159"/>
      <c r="BC247" s="159"/>
      <c r="BD247" s="159"/>
      <c r="BE247" s="159"/>
      <c r="BF247" s="159"/>
      <c r="BG247" s="159"/>
      <c r="BH247" s="159"/>
      <c r="BI247" s="159"/>
      <c r="BJ247" s="159"/>
      <c r="BK247" s="159"/>
      <c r="BL247" s="159"/>
      <c r="BM247" s="159"/>
      <c r="BN247" s="159"/>
    </row>
    <row r="248" spans="1:66" x14ac:dyDescent="0.25">
      <c r="A248" s="166"/>
      <c r="B248" s="159"/>
      <c r="C248" s="159"/>
      <c r="D248" s="159"/>
      <c r="E248" s="159"/>
      <c r="F248" s="159"/>
      <c r="G248" s="159"/>
      <c r="H248" s="159"/>
      <c r="I248" s="159"/>
      <c r="J248" s="159"/>
      <c r="K248" s="159"/>
      <c r="L248" s="159"/>
      <c r="M248" s="159"/>
      <c r="N248" s="159"/>
      <c r="O248" s="159"/>
      <c r="P248" s="159"/>
      <c r="Q248" s="159"/>
      <c r="R248" s="159"/>
      <c r="S248" s="159"/>
      <c r="T248" s="166"/>
      <c r="U248" s="166"/>
      <c r="V248" s="166"/>
      <c r="W248" s="166"/>
      <c r="X248" s="166"/>
      <c r="Y248" s="166"/>
      <c r="Z248" s="166"/>
      <c r="AA248" s="166"/>
      <c r="AB248" s="166"/>
      <c r="AC248" s="159"/>
      <c r="AD248" s="159"/>
      <c r="AE248" s="159"/>
      <c r="AF248" s="159"/>
      <c r="AG248" s="159"/>
      <c r="AH248" s="159"/>
      <c r="AI248" s="159"/>
      <c r="AJ248" s="159"/>
      <c r="AK248" s="159"/>
      <c r="AL248" s="159"/>
      <c r="AM248" s="159"/>
      <c r="AN248" s="159"/>
      <c r="AO248" s="159"/>
      <c r="AP248" s="159"/>
      <c r="AQ248" s="159"/>
      <c r="AR248" s="159"/>
      <c r="AS248" s="159"/>
      <c r="AT248" s="159"/>
      <c r="AU248" s="159"/>
      <c r="AV248" s="159"/>
      <c r="AW248" s="159"/>
      <c r="AX248" s="159"/>
      <c r="AY248" s="159"/>
      <c r="AZ248" s="159"/>
      <c r="BA248" s="159"/>
      <c r="BB248" s="159"/>
      <c r="BC248" s="159"/>
      <c r="BD248" s="159"/>
      <c r="BE248" s="159"/>
      <c r="BF248" s="159"/>
      <c r="BG248" s="159"/>
      <c r="BH248" s="159"/>
      <c r="BI248" s="159"/>
      <c r="BJ248" s="159"/>
      <c r="BK248" s="159"/>
      <c r="BL248" s="159"/>
      <c r="BM248" s="159"/>
      <c r="BN248" s="159"/>
    </row>
    <row r="249" spans="1:66" x14ac:dyDescent="0.25">
      <c r="A249" s="166"/>
      <c r="B249" s="159"/>
      <c r="C249" s="159"/>
      <c r="D249" s="159"/>
      <c r="E249" s="159"/>
      <c r="F249" s="159"/>
      <c r="G249" s="159"/>
      <c r="H249" s="159"/>
      <c r="I249" s="159"/>
      <c r="J249" s="159"/>
      <c r="K249" s="159"/>
      <c r="L249" s="159"/>
      <c r="M249" s="159"/>
      <c r="N249" s="159"/>
      <c r="O249" s="159"/>
      <c r="P249" s="159"/>
      <c r="Q249" s="159"/>
      <c r="R249" s="159"/>
      <c r="S249" s="159"/>
      <c r="T249" s="166"/>
      <c r="U249" s="166"/>
      <c r="V249" s="166"/>
      <c r="W249" s="166"/>
      <c r="X249" s="166"/>
      <c r="Y249" s="166"/>
      <c r="Z249" s="166"/>
      <c r="AA249" s="166"/>
      <c r="AB249" s="166"/>
      <c r="AC249" s="159"/>
      <c r="AD249" s="159"/>
      <c r="AE249" s="159"/>
      <c r="AF249" s="159"/>
      <c r="AG249" s="159"/>
      <c r="AH249" s="159"/>
      <c r="AI249" s="159"/>
      <c r="AJ249" s="159"/>
      <c r="AK249" s="159"/>
      <c r="AL249" s="159"/>
      <c r="AM249" s="159"/>
      <c r="AN249" s="159"/>
      <c r="AO249" s="159"/>
      <c r="AP249" s="159"/>
      <c r="AQ249" s="159"/>
      <c r="AR249" s="159"/>
      <c r="AS249" s="159"/>
      <c r="AT249" s="159"/>
      <c r="AU249" s="159"/>
      <c r="AV249" s="159"/>
      <c r="AW249" s="159"/>
      <c r="AX249" s="159"/>
      <c r="AY249" s="159"/>
      <c r="AZ249" s="159"/>
      <c r="BA249" s="159"/>
      <c r="BB249" s="159"/>
      <c r="BC249" s="159"/>
      <c r="BD249" s="159"/>
      <c r="BE249" s="159"/>
      <c r="BF249" s="159"/>
      <c r="BG249" s="159"/>
      <c r="BH249" s="159"/>
      <c r="BI249" s="159"/>
      <c r="BJ249" s="159"/>
      <c r="BK249" s="159"/>
      <c r="BL249" s="159"/>
      <c r="BM249" s="159"/>
      <c r="BN249" s="159"/>
    </row>
    <row r="250" spans="1:66" x14ac:dyDescent="0.25">
      <c r="A250" s="166"/>
      <c r="B250" s="159"/>
      <c r="C250" s="159" t="s">
        <v>866</v>
      </c>
      <c r="D250" s="159"/>
      <c r="E250" s="159"/>
      <c r="F250" s="159"/>
      <c r="G250" s="159"/>
      <c r="H250" s="159"/>
      <c r="I250" s="159"/>
      <c r="J250" s="159"/>
      <c r="K250" s="159"/>
      <c r="L250" s="159"/>
      <c r="M250" s="159"/>
      <c r="N250" s="159"/>
      <c r="O250" s="159"/>
      <c r="P250" s="159"/>
      <c r="Q250" s="159"/>
      <c r="R250" s="159"/>
      <c r="S250" s="159"/>
      <c r="T250" s="166"/>
      <c r="U250" s="166"/>
      <c r="V250" s="166"/>
      <c r="W250" s="166"/>
      <c r="X250" s="166"/>
      <c r="Y250" s="166"/>
      <c r="Z250" s="166"/>
      <c r="AA250" s="166"/>
      <c r="AB250" s="166"/>
      <c r="AC250" s="159"/>
      <c r="AD250" s="159"/>
      <c r="AE250" s="159"/>
      <c r="AF250" s="159"/>
      <c r="AG250" s="159"/>
      <c r="AH250" s="159"/>
      <c r="AI250" s="159"/>
      <c r="AJ250" s="159"/>
      <c r="AK250" s="159"/>
      <c r="AL250" s="159"/>
      <c r="AM250" s="159"/>
      <c r="AN250" s="159"/>
      <c r="AO250" s="159"/>
      <c r="AP250" s="159"/>
      <c r="AQ250" s="159"/>
      <c r="AR250" s="159"/>
      <c r="AS250" s="159"/>
      <c r="AT250" s="159"/>
      <c r="AU250" s="159"/>
      <c r="AV250" s="159"/>
      <c r="AW250" s="159"/>
      <c r="AX250" s="159"/>
      <c r="AY250" s="159"/>
      <c r="AZ250" s="159"/>
      <c r="BA250" s="159"/>
      <c r="BB250" s="159"/>
      <c r="BC250" s="159"/>
      <c r="BD250" s="159"/>
      <c r="BE250" s="159"/>
      <c r="BF250" s="159"/>
      <c r="BG250" s="159"/>
      <c r="BH250" s="159"/>
      <c r="BI250" s="159"/>
      <c r="BJ250" s="159"/>
      <c r="BK250" s="159"/>
      <c r="BL250" s="159"/>
      <c r="BM250" s="159"/>
      <c r="BN250" s="159"/>
    </row>
    <row r="251" spans="1:66" x14ac:dyDescent="0.25">
      <c r="A251" s="166"/>
      <c r="B251" s="159"/>
      <c r="C251" s="159" t="s">
        <v>1948</v>
      </c>
      <c r="D251" s="159" t="s">
        <v>1949</v>
      </c>
      <c r="E251" s="159" t="s">
        <v>867</v>
      </c>
      <c r="F251" s="159" t="s">
        <v>1428</v>
      </c>
      <c r="G251" s="159" t="s">
        <v>1950</v>
      </c>
      <c r="H251" s="159" t="s">
        <v>1360</v>
      </c>
      <c r="I251" s="159" t="s">
        <v>1014</v>
      </c>
      <c r="J251" s="159" t="s">
        <v>1160</v>
      </c>
      <c r="K251" s="159"/>
      <c r="L251" s="159"/>
      <c r="M251" s="159"/>
      <c r="N251" s="159"/>
      <c r="O251" s="159"/>
      <c r="P251" s="159"/>
      <c r="Q251" s="159"/>
      <c r="R251" s="159"/>
      <c r="S251" s="159"/>
      <c r="T251" s="166"/>
      <c r="U251" s="166"/>
      <c r="V251" s="166"/>
      <c r="W251" s="166"/>
      <c r="X251" s="166"/>
      <c r="Y251" s="166"/>
      <c r="Z251" s="166"/>
      <c r="AA251" s="166"/>
      <c r="AB251" s="166"/>
      <c r="AC251" s="159"/>
      <c r="AD251" s="159"/>
      <c r="AE251" s="159"/>
      <c r="AF251" s="159"/>
      <c r="AG251" s="159"/>
      <c r="AH251" s="159"/>
      <c r="AI251" s="159"/>
      <c r="AJ251" s="159"/>
      <c r="AK251" s="159"/>
      <c r="AL251" s="159"/>
      <c r="AM251" s="159"/>
      <c r="AN251" s="159"/>
      <c r="AO251" s="159"/>
      <c r="AP251" s="159"/>
      <c r="AQ251" s="159"/>
      <c r="AR251" s="159"/>
      <c r="AS251" s="159"/>
      <c r="AT251" s="159"/>
      <c r="AU251" s="159"/>
      <c r="AV251" s="159"/>
      <c r="AW251" s="159"/>
      <c r="AX251" s="159"/>
      <c r="AY251" s="159"/>
      <c r="AZ251" s="159"/>
      <c r="BA251" s="159"/>
      <c r="BB251" s="159"/>
      <c r="BC251" s="159"/>
      <c r="BD251" s="159"/>
      <c r="BE251" s="159"/>
      <c r="BF251" s="159"/>
      <c r="BG251" s="159"/>
      <c r="BH251" s="159"/>
      <c r="BI251" s="159"/>
      <c r="BJ251" s="159"/>
      <c r="BK251" s="159"/>
      <c r="BL251" s="159"/>
      <c r="BM251" s="159"/>
      <c r="BN251" s="159"/>
    </row>
    <row r="252" spans="1:66" x14ac:dyDescent="0.25">
      <c r="A252" s="166"/>
      <c r="B252" s="159"/>
      <c r="C252" s="159">
        <f>F252*907.18474</f>
        <v>-9071.8474000000006</v>
      </c>
      <c r="D252" s="159">
        <f>F252*0.90718474</f>
        <v>-9.0718474000000011</v>
      </c>
      <c r="E252" s="159">
        <f>F252*2000</f>
        <v>-20000</v>
      </c>
      <c r="F252" s="159">
        <v>-10</v>
      </c>
      <c r="G252" s="159">
        <f>C252*2.41</f>
        <v>-21863.152234000001</v>
      </c>
      <c r="H252" s="159">
        <f>D252*2.471</f>
        <v>-22.416534925400004</v>
      </c>
      <c r="I252" s="159">
        <f>E252*2.471</f>
        <v>-49420</v>
      </c>
      <c r="J252" s="159">
        <f>F252*2.471</f>
        <v>-24.71</v>
      </c>
      <c r="K252" s="159"/>
      <c r="L252" s="159"/>
      <c r="M252" s="159"/>
      <c r="N252" s="159"/>
      <c r="O252" s="159"/>
      <c r="P252" s="159"/>
      <c r="Q252" s="159"/>
      <c r="R252" s="159"/>
      <c r="S252" s="159"/>
      <c r="T252" s="166"/>
      <c r="U252" s="166"/>
      <c r="V252" s="166"/>
      <c r="W252" s="166"/>
      <c r="X252" s="166"/>
      <c r="Y252" s="166"/>
      <c r="Z252" s="166"/>
      <c r="AA252" s="166"/>
      <c r="AB252" s="166"/>
      <c r="AC252" s="159"/>
      <c r="AD252" s="159"/>
      <c r="AE252" s="159"/>
      <c r="AF252" s="159"/>
      <c r="AG252" s="159"/>
      <c r="AH252" s="159"/>
      <c r="AI252" s="159"/>
      <c r="AJ252" s="159"/>
      <c r="AK252" s="159"/>
      <c r="AL252" s="159"/>
      <c r="AM252" s="159"/>
      <c r="AN252" s="159"/>
      <c r="AO252" s="159"/>
      <c r="AP252" s="159"/>
      <c r="AQ252" s="159"/>
      <c r="AR252" s="159"/>
      <c r="AS252" s="159"/>
      <c r="AT252" s="159"/>
      <c r="AU252" s="159"/>
      <c r="AV252" s="159"/>
      <c r="AW252" s="159"/>
      <c r="AX252" s="159"/>
      <c r="AY252" s="159"/>
      <c r="AZ252" s="159"/>
      <c r="BA252" s="159"/>
      <c r="BB252" s="159"/>
      <c r="BC252" s="159"/>
      <c r="BD252" s="159"/>
      <c r="BE252" s="159"/>
      <c r="BF252" s="159"/>
      <c r="BG252" s="159"/>
      <c r="BH252" s="159"/>
      <c r="BI252" s="159"/>
      <c r="BJ252" s="159"/>
      <c r="BK252" s="159"/>
      <c r="BL252" s="159"/>
      <c r="BM252" s="159"/>
      <c r="BN252" s="159"/>
    </row>
    <row r="253" spans="1:66" x14ac:dyDescent="0.25">
      <c r="A253" s="166"/>
      <c r="B253" s="159"/>
      <c r="C253" s="159">
        <f t="shared" ref="C253:C272" si="6">F253*907.18474</f>
        <v>-8164.66266</v>
      </c>
      <c r="D253" s="159">
        <f t="shared" ref="D253:D272" si="7">F253*0.90718474</f>
        <v>-8.1646626600000012</v>
      </c>
      <c r="E253" s="159">
        <f t="shared" ref="E253:E272" si="8">F253*2000</f>
        <v>-18000</v>
      </c>
      <c r="F253" s="159">
        <v>-9</v>
      </c>
      <c r="G253" s="159">
        <f t="shared" ref="G253:G272" si="9">C253*2.41</f>
        <v>-19676.8370106</v>
      </c>
      <c r="H253" s="159">
        <f t="shared" ref="H253:H272" si="10">D253*2.471</f>
        <v>-20.174881432860005</v>
      </c>
      <c r="I253" s="159">
        <f t="shared" ref="I253:I272" si="11">E253*2.471</f>
        <v>-44478</v>
      </c>
      <c r="J253" s="159">
        <f t="shared" ref="J253:J272" si="12">F253*2.471</f>
        <v>-22.239000000000001</v>
      </c>
      <c r="K253" s="159"/>
      <c r="L253" s="159"/>
      <c r="M253" s="159"/>
      <c r="N253" s="159"/>
      <c r="O253" s="159"/>
      <c r="P253" s="159"/>
      <c r="Q253" s="159"/>
      <c r="R253" s="159"/>
      <c r="S253" s="159"/>
      <c r="T253" s="166"/>
      <c r="U253" s="166"/>
      <c r="V253" s="166"/>
      <c r="W253" s="166"/>
      <c r="X253" s="166"/>
      <c r="Y253" s="166"/>
      <c r="Z253" s="166"/>
      <c r="AA253" s="166"/>
      <c r="AB253" s="166"/>
      <c r="AC253" s="159"/>
      <c r="AD253" s="159"/>
      <c r="AE253" s="159"/>
      <c r="AF253" s="159"/>
      <c r="AG253" s="159"/>
      <c r="AH253" s="159"/>
      <c r="AI253" s="159"/>
      <c r="AJ253" s="159"/>
      <c r="AK253" s="159"/>
      <c r="AL253" s="159"/>
      <c r="AM253" s="159"/>
      <c r="AN253" s="159"/>
      <c r="AO253" s="159"/>
      <c r="AP253" s="159"/>
      <c r="AQ253" s="159"/>
      <c r="AR253" s="159"/>
      <c r="AS253" s="159"/>
      <c r="AT253" s="159"/>
      <c r="AU253" s="159"/>
      <c r="AV253" s="159"/>
      <c r="AW253" s="159"/>
      <c r="AX253" s="159"/>
      <c r="AY253" s="159"/>
      <c r="AZ253" s="159"/>
      <c r="BA253" s="159"/>
      <c r="BB253" s="159"/>
      <c r="BC253" s="159"/>
      <c r="BD253" s="159"/>
      <c r="BE253" s="159"/>
      <c r="BF253" s="159"/>
      <c r="BG253" s="159"/>
      <c r="BH253" s="159"/>
      <c r="BI253" s="159"/>
      <c r="BJ253" s="159"/>
      <c r="BK253" s="159"/>
      <c r="BL253" s="159"/>
      <c r="BM253" s="159"/>
      <c r="BN253" s="159"/>
    </row>
    <row r="254" spans="1:66" x14ac:dyDescent="0.25">
      <c r="A254" s="166"/>
      <c r="B254" s="159"/>
      <c r="C254" s="159">
        <f t="shared" si="6"/>
        <v>-7257.4779200000003</v>
      </c>
      <c r="D254" s="159">
        <f t="shared" si="7"/>
        <v>-7.2574779200000004</v>
      </c>
      <c r="E254" s="159">
        <f t="shared" si="8"/>
        <v>-16000</v>
      </c>
      <c r="F254" s="159">
        <v>-8</v>
      </c>
      <c r="G254" s="159">
        <f t="shared" si="9"/>
        <v>-17490.521787200003</v>
      </c>
      <c r="H254" s="159">
        <f t="shared" si="10"/>
        <v>-17.933227940320002</v>
      </c>
      <c r="I254" s="159">
        <f t="shared" si="11"/>
        <v>-39536</v>
      </c>
      <c r="J254" s="159">
        <f t="shared" si="12"/>
        <v>-19.768000000000001</v>
      </c>
      <c r="K254" s="159"/>
      <c r="L254" s="159"/>
      <c r="M254" s="159"/>
      <c r="N254" s="159"/>
      <c r="O254" s="159"/>
      <c r="P254" s="159"/>
      <c r="Q254" s="159"/>
      <c r="R254" s="159"/>
      <c r="S254" s="159"/>
      <c r="T254" s="166"/>
      <c r="U254" s="166"/>
      <c r="V254" s="166"/>
      <c r="W254" s="166"/>
      <c r="X254" s="166"/>
      <c r="Y254" s="166"/>
      <c r="Z254" s="166"/>
      <c r="AA254" s="166"/>
      <c r="AB254" s="166"/>
      <c r="AC254" s="159"/>
      <c r="AD254" s="159"/>
      <c r="AE254" s="159"/>
      <c r="AF254" s="159"/>
      <c r="AG254" s="159"/>
      <c r="AH254" s="159"/>
      <c r="AI254" s="159"/>
      <c r="AJ254" s="159"/>
      <c r="AK254" s="159"/>
      <c r="AL254" s="159"/>
      <c r="AM254" s="159"/>
      <c r="AN254" s="159"/>
      <c r="AO254" s="159"/>
      <c r="AP254" s="159"/>
      <c r="AQ254" s="159"/>
      <c r="AR254" s="159"/>
      <c r="AS254" s="159"/>
      <c r="AT254" s="159"/>
      <c r="AU254" s="159"/>
      <c r="AV254" s="159"/>
      <c r="AW254" s="159"/>
      <c r="AX254" s="159"/>
      <c r="AY254" s="159"/>
      <c r="AZ254" s="159"/>
      <c r="BA254" s="159"/>
      <c r="BB254" s="159"/>
      <c r="BC254" s="159"/>
      <c r="BD254" s="159"/>
      <c r="BE254" s="159"/>
      <c r="BF254" s="159"/>
      <c r="BG254" s="159"/>
      <c r="BH254" s="159"/>
      <c r="BI254" s="159"/>
      <c r="BJ254" s="159"/>
      <c r="BK254" s="159"/>
      <c r="BL254" s="159"/>
      <c r="BM254" s="159"/>
      <c r="BN254" s="159"/>
    </row>
    <row r="255" spans="1:66" x14ac:dyDescent="0.25">
      <c r="A255" s="166"/>
      <c r="B255" s="159"/>
      <c r="C255" s="159">
        <f t="shared" si="6"/>
        <v>-6350.2931800000006</v>
      </c>
      <c r="D255" s="159">
        <f t="shared" si="7"/>
        <v>-6.3502931800000004</v>
      </c>
      <c r="E255" s="159">
        <f t="shared" si="8"/>
        <v>-14000</v>
      </c>
      <c r="F255" s="159">
        <v>-7</v>
      </c>
      <c r="G255" s="159">
        <f t="shared" si="9"/>
        <v>-15304.206563800002</v>
      </c>
      <c r="H255" s="159">
        <f t="shared" si="10"/>
        <v>-15.691574447780001</v>
      </c>
      <c r="I255" s="159">
        <f t="shared" si="11"/>
        <v>-34594</v>
      </c>
      <c r="J255" s="159">
        <f t="shared" si="12"/>
        <v>-17.297000000000001</v>
      </c>
      <c r="K255" s="159"/>
      <c r="L255" s="159"/>
      <c r="M255" s="159"/>
      <c r="N255" s="159"/>
      <c r="O255" s="159"/>
      <c r="P255" s="159"/>
      <c r="Q255" s="159"/>
      <c r="R255" s="159"/>
      <c r="S255" s="159"/>
      <c r="T255" s="166"/>
      <c r="U255" s="166"/>
      <c r="V255" s="166"/>
      <c r="W255" s="166"/>
      <c r="X255" s="166"/>
      <c r="Y255" s="166"/>
      <c r="Z255" s="166"/>
      <c r="AA255" s="166"/>
      <c r="AB255" s="166"/>
      <c r="AC255" s="159"/>
      <c r="AD255" s="159"/>
      <c r="AE255" s="159"/>
      <c r="AF255" s="159"/>
      <c r="AG255" s="159"/>
      <c r="AH255" s="159"/>
      <c r="AI255" s="159"/>
      <c r="AJ255" s="159"/>
      <c r="AK255" s="159"/>
      <c r="AL255" s="159"/>
      <c r="AM255" s="159"/>
      <c r="AN255" s="159"/>
      <c r="AO255" s="159"/>
      <c r="AP255" s="159"/>
      <c r="AQ255" s="159"/>
      <c r="AR255" s="159"/>
      <c r="AS255" s="159"/>
      <c r="AT255" s="159"/>
      <c r="AU255" s="159"/>
      <c r="AV255" s="159"/>
      <c r="AW255" s="159"/>
      <c r="AX255" s="159"/>
      <c r="AY255" s="159"/>
      <c r="AZ255" s="159"/>
      <c r="BA255" s="159"/>
      <c r="BB255" s="159"/>
      <c r="BC255" s="159"/>
      <c r="BD255" s="159"/>
      <c r="BE255" s="159"/>
      <c r="BF255" s="159"/>
      <c r="BG255" s="159"/>
      <c r="BH255" s="159"/>
      <c r="BI255" s="159"/>
      <c r="BJ255" s="159"/>
      <c r="BK255" s="159"/>
      <c r="BL255" s="159"/>
      <c r="BM255" s="159"/>
      <c r="BN255" s="159"/>
    </row>
    <row r="256" spans="1:66" x14ac:dyDescent="0.25">
      <c r="A256" s="166"/>
      <c r="B256" s="159"/>
      <c r="C256" s="159">
        <f t="shared" si="6"/>
        <v>-5443.10844</v>
      </c>
      <c r="D256" s="159">
        <f t="shared" si="7"/>
        <v>-5.4431084400000005</v>
      </c>
      <c r="E256" s="159">
        <f t="shared" si="8"/>
        <v>-12000</v>
      </c>
      <c r="F256" s="159">
        <v>-6</v>
      </c>
      <c r="G256" s="159">
        <f t="shared" si="9"/>
        <v>-13117.891340400001</v>
      </c>
      <c r="H256" s="159">
        <f t="shared" si="10"/>
        <v>-13.449920955240001</v>
      </c>
      <c r="I256" s="159">
        <f t="shared" si="11"/>
        <v>-29652</v>
      </c>
      <c r="J256" s="159">
        <f t="shared" si="12"/>
        <v>-14.826000000000001</v>
      </c>
      <c r="K256" s="159"/>
      <c r="L256" s="159"/>
      <c r="M256" s="159"/>
      <c r="N256" s="159"/>
      <c r="O256" s="159"/>
      <c r="P256" s="159"/>
      <c r="Q256" s="159"/>
      <c r="R256" s="159"/>
      <c r="S256" s="159"/>
      <c r="T256" s="166"/>
      <c r="U256" s="166"/>
      <c r="V256" s="166"/>
      <c r="W256" s="166"/>
      <c r="X256" s="166"/>
      <c r="Y256" s="166"/>
      <c r="Z256" s="166"/>
      <c r="AA256" s="166"/>
      <c r="AB256" s="166"/>
      <c r="AC256" s="159"/>
      <c r="AD256" s="159"/>
      <c r="AE256" s="159"/>
      <c r="AF256" s="159"/>
      <c r="AG256" s="159"/>
      <c r="AH256" s="159"/>
      <c r="AI256" s="159"/>
      <c r="AJ256" s="159"/>
      <c r="AK256" s="159"/>
      <c r="AL256" s="159"/>
      <c r="AM256" s="159"/>
      <c r="AN256" s="159"/>
      <c r="AO256" s="159"/>
      <c r="AP256" s="159"/>
      <c r="AQ256" s="159"/>
      <c r="AR256" s="159"/>
      <c r="AS256" s="159"/>
      <c r="AT256" s="159"/>
      <c r="AU256" s="159"/>
      <c r="AV256" s="159"/>
      <c r="AW256" s="159"/>
      <c r="AX256" s="159"/>
      <c r="AY256" s="159"/>
      <c r="AZ256" s="159"/>
      <c r="BA256" s="159"/>
      <c r="BB256" s="159"/>
      <c r="BC256" s="159"/>
      <c r="BD256" s="159"/>
      <c r="BE256" s="159"/>
      <c r="BF256" s="159"/>
      <c r="BG256" s="159"/>
      <c r="BH256" s="159"/>
      <c r="BI256" s="159"/>
      <c r="BJ256" s="159"/>
      <c r="BK256" s="159"/>
      <c r="BL256" s="159"/>
      <c r="BM256" s="159"/>
      <c r="BN256" s="159"/>
    </row>
    <row r="257" spans="1:66" x14ac:dyDescent="0.25">
      <c r="A257" s="166"/>
      <c r="B257" s="159"/>
      <c r="C257" s="159">
        <f t="shared" si="6"/>
        <v>-4535.9237000000003</v>
      </c>
      <c r="D257" s="159">
        <f t="shared" si="7"/>
        <v>-4.5359237000000006</v>
      </c>
      <c r="E257" s="159">
        <f t="shared" si="8"/>
        <v>-10000</v>
      </c>
      <c r="F257" s="159">
        <v>-5</v>
      </c>
      <c r="G257" s="159">
        <f t="shared" si="9"/>
        <v>-10931.576117000001</v>
      </c>
      <c r="H257" s="159">
        <f t="shared" si="10"/>
        <v>-11.208267462700002</v>
      </c>
      <c r="I257" s="159">
        <f t="shared" si="11"/>
        <v>-24710</v>
      </c>
      <c r="J257" s="159">
        <f t="shared" si="12"/>
        <v>-12.355</v>
      </c>
      <c r="K257" s="159"/>
      <c r="L257" s="159"/>
      <c r="M257" s="159"/>
      <c r="N257" s="159"/>
      <c r="O257" s="159"/>
      <c r="P257" s="159"/>
      <c r="Q257" s="159"/>
      <c r="R257" s="159"/>
      <c r="S257" s="159"/>
      <c r="T257" s="166"/>
      <c r="U257" s="166"/>
      <c r="V257" s="166"/>
      <c r="W257" s="166"/>
      <c r="X257" s="166"/>
      <c r="Y257" s="166"/>
      <c r="Z257" s="166"/>
      <c r="AA257" s="166"/>
      <c r="AB257" s="166"/>
      <c r="AC257" s="159"/>
      <c r="AD257" s="159"/>
      <c r="AE257" s="159"/>
      <c r="AF257" s="159"/>
      <c r="AG257" s="159"/>
      <c r="AH257" s="159"/>
      <c r="AI257" s="159"/>
      <c r="AJ257" s="159"/>
      <c r="AK257" s="159"/>
      <c r="AL257" s="159"/>
      <c r="AM257" s="159"/>
      <c r="AN257" s="159"/>
      <c r="AO257" s="159"/>
      <c r="AP257" s="159"/>
      <c r="AQ257" s="159"/>
      <c r="AR257" s="159"/>
      <c r="AS257" s="159"/>
      <c r="AT257" s="159"/>
      <c r="AU257" s="159"/>
      <c r="AV257" s="159"/>
      <c r="AW257" s="159"/>
      <c r="AX257" s="159"/>
      <c r="AY257" s="159"/>
      <c r="AZ257" s="159"/>
      <c r="BA257" s="159"/>
      <c r="BB257" s="159"/>
      <c r="BC257" s="159"/>
      <c r="BD257" s="159"/>
      <c r="BE257" s="159"/>
      <c r="BF257" s="159"/>
      <c r="BG257" s="159"/>
      <c r="BH257" s="159"/>
      <c r="BI257" s="159"/>
      <c r="BJ257" s="159"/>
      <c r="BK257" s="159"/>
      <c r="BL257" s="159"/>
      <c r="BM257" s="159"/>
      <c r="BN257" s="159"/>
    </row>
    <row r="258" spans="1:66" x14ac:dyDescent="0.25">
      <c r="A258" s="166"/>
      <c r="B258" s="159"/>
      <c r="C258" s="159">
        <f t="shared" si="6"/>
        <v>-3628.7389600000001</v>
      </c>
      <c r="D258" s="159">
        <f t="shared" si="7"/>
        <v>-3.6287389600000002</v>
      </c>
      <c r="E258" s="159">
        <f t="shared" si="8"/>
        <v>-8000</v>
      </c>
      <c r="F258" s="159">
        <v>-4</v>
      </c>
      <c r="G258" s="159">
        <f t="shared" si="9"/>
        <v>-8745.2608936000015</v>
      </c>
      <c r="H258" s="159">
        <f t="shared" si="10"/>
        <v>-8.9666139701600009</v>
      </c>
      <c r="I258" s="159">
        <f t="shared" si="11"/>
        <v>-19768</v>
      </c>
      <c r="J258" s="159">
        <f t="shared" si="12"/>
        <v>-9.8840000000000003</v>
      </c>
      <c r="K258" s="159"/>
      <c r="L258" s="159"/>
      <c r="M258" s="159"/>
      <c r="N258" s="159"/>
      <c r="O258" s="159"/>
      <c r="P258" s="159"/>
      <c r="Q258" s="159"/>
      <c r="R258" s="159"/>
      <c r="S258" s="159"/>
      <c r="T258" s="166"/>
      <c r="U258" s="166"/>
      <c r="V258" s="166"/>
      <c r="W258" s="166"/>
      <c r="X258" s="166"/>
      <c r="Y258" s="166"/>
      <c r="Z258" s="166"/>
      <c r="AA258" s="166"/>
      <c r="AB258" s="166"/>
      <c r="AC258" s="159"/>
      <c r="AD258" s="159"/>
      <c r="AE258" s="159"/>
      <c r="AF258" s="159"/>
      <c r="AG258" s="159"/>
      <c r="AH258" s="159"/>
      <c r="AI258" s="159"/>
      <c r="AJ258" s="159"/>
      <c r="AK258" s="159"/>
      <c r="AL258" s="159"/>
      <c r="AM258" s="159"/>
      <c r="AN258" s="159"/>
      <c r="AO258" s="159"/>
      <c r="AP258" s="159"/>
      <c r="AQ258" s="159"/>
      <c r="AR258" s="159"/>
      <c r="AS258" s="159"/>
      <c r="AT258" s="159"/>
      <c r="AU258" s="159"/>
      <c r="AV258" s="159"/>
      <c r="AW258" s="159"/>
      <c r="AX258" s="159"/>
      <c r="AY258" s="159"/>
      <c r="AZ258" s="159"/>
      <c r="BA258" s="159"/>
      <c r="BB258" s="159"/>
      <c r="BC258" s="159"/>
      <c r="BD258" s="159"/>
      <c r="BE258" s="159"/>
      <c r="BF258" s="159"/>
      <c r="BG258" s="159"/>
      <c r="BH258" s="159"/>
      <c r="BI258" s="159"/>
      <c r="BJ258" s="159"/>
      <c r="BK258" s="159"/>
      <c r="BL258" s="159"/>
      <c r="BM258" s="159"/>
      <c r="BN258" s="159"/>
    </row>
    <row r="259" spans="1:66" x14ac:dyDescent="0.25">
      <c r="A259" s="166"/>
      <c r="B259" s="159"/>
      <c r="C259" s="159">
        <f t="shared" si="6"/>
        <v>-2721.55422</v>
      </c>
      <c r="D259" s="159">
        <f t="shared" si="7"/>
        <v>-2.7215542200000002</v>
      </c>
      <c r="E259" s="159">
        <f t="shared" si="8"/>
        <v>-6000</v>
      </c>
      <c r="F259" s="159">
        <v>-3</v>
      </c>
      <c r="G259" s="159">
        <f t="shared" si="9"/>
        <v>-6558.9456702000007</v>
      </c>
      <c r="H259" s="159">
        <f t="shared" si="10"/>
        <v>-6.7249604776200007</v>
      </c>
      <c r="I259" s="159">
        <f t="shared" si="11"/>
        <v>-14826</v>
      </c>
      <c r="J259" s="159">
        <f t="shared" si="12"/>
        <v>-7.4130000000000003</v>
      </c>
      <c r="K259" s="159"/>
      <c r="L259" s="159"/>
      <c r="M259" s="159"/>
      <c r="N259" s="159"/>
      <c r="O259" s="159"/>
      <c r="P259" s="159"/>
      <c r="Q259" s="159"/>
      <c r="R259" s="159"/>
      <c r="S259" s="159"/>
      <c r="T259" s="166"/>
      <c r="U259" s="166"/>
      <c r="V259" s="166"/>
      <c r="W259" s="166"/>
      <c r="X259" s="166"/>
      <c r="Y259" s="166"/>
      <c r="Z259" s="166"/>
      <c r="AA259" s="166"/>
      <c r="AB259" s="166"/>
      <c r="AC259" s="159"/>
      <c r="AD259" s="159"/>
      <c r="AE259" s="159"/>
      <c r="AF259" s="159"/>
      <c r="AG259" s="159"/>
      <c r="AH259" s="159"/>
      <c r="AI259" s="159"/>
      <c r="AJ259" s="159"/>
      <c r="AK259" s="159"/>
      <c r="AL259" s="159"/>
      <c r="AM259" s="159"/>
      <c r="AN259" s="159"/>
      <c r="AO259" s="159"/>
      <c r="AP259" s="159"/>
      <c r="AQ259" s="159"/>
      <c r="AR259" s="159"/>
      <c r="AS259" s="159"/>
      <c r="AT259" s="159"/>
      <c r="AU259" s="159"/>
      <c r="AV259" s="159"/>
      <c r="AW259" s="159"/>
      <c r="AX259" s="159"/>
      <c r="AY259" s="159"/>
      <c r="AZ259" s="159"/>
      <c r="BA259" s="159"/>
      <c r="BB259" s="159"/>
      <c r="BC259" s="159"/>
      <c r="BD259" s="159"/>
      <c r="BE259" s="159"/>
      <c r="BF259" s="159"/>
      <c r="BG259" s="159"/>
      <c r="BH259" s="159"/>
      <c r="BI259" s="159"/>
      <c r="BJ259" s="159"/>
      <c r="BK259" s="159"/>
      <c r="BL259" s="159"/>
      <c r="BM259" s="159"/>
      <c r="BN259" s="159"/>
    </row>
    <row r="260" spans="1:66" x14ac:dyDescent="0.25">
      <c r="A260" s="166"/>
      <c r="B260" s="159"/>
      <c r="C260" s="159">
        <f t="shared" si="6"/>
        <v>-1814.3694800000001</v>
      </c>
      <c r="D260" s="159">
        <f t="shared" si="7"/>
        <v>-1.8143694800000001</v>
      </c>
      <c r="E260" s="159">
        <f t="shared" si="8"/>
        <v>-4000</v>
      </c>
      <c r="F260" s="159">
        <v>-2</v>
      </c>
      <c r="G260" s="159">
        <f t="shared" si="9"/>
        <v>-4372.6304468000008</v>
      </c>
      <c r="H260" s="159">
        <f t="shared" si="10"/>
        <v>-4.4833069850800005</v>
      </c>
      <c r="I260" s="159">
        <f t="shared" si="11"/>
        <v>-9884</v>
      </c>
      <c r="J260" s="159">
        <f t="shared" si="12"/>
        <v>-4.9420000000000002</v>
      </c>
      <c r="K260" s="159"/>
      <c r="L260" s="159"/>
      <c r="M260" s="159"/>
      <c r="N260" s="159"/>
      <c r="O260" s="159"/>
      <c r="P260" s="159"/>
      <c r="Q260" s="159"/>
      <c r="R260" s="159"/>
      <c r="S260" s="159"/>
      <c r="T260" s="166"/>
      <c r="U260" s="166"/>
      <c r="V260" s="166"/>
      <c r="W260" s="166"/>
      <c r="X260" s="166"/>
      <c r="Y260" s="166"/>
      <c r="Z260" s="166"/>
      <c r="AA260" s="166"/>
      <c r="AB260" s="166"/>
      <c r="AC260" s="159"/>
      <c r="AD260" s="159"/>
      <c r="AE260" s="159"/>
      <c r="AF260" s="159"/>
      <c r="AG260" s="159"/>
      <c r="AH260" s="159"/>
      <c r="AI260" s="159"/>
      <c r="AJ260" s="159"/>
      <c r="AK260" s="159"/>
      <c r="AL260" s="159"/>
      <c r="AM260" s="159"/>
      <c r="AN260" s="159"/>
      <c r="AO260" s="159"/>
      <c r="AP260" s="159"/>
      <c r="AQ260" s="159"/>
      <c r="AR260" s="159"/>
      <c r="AS260" s="159"/>
      <c r="AT260" s="159"/>
      <c r="AU260" s="159"/>
      <c r="AV260" s="159"/>
      <c r="AW260" s="159"/>
      <c r="AX260" s="159"/>
      <c r="AY260" s="159"/>
      <c r="AZ260" s="159"/>
      <c r="BA260" s="159"/>
      <c r="BB260" s="159"/>
      <c r="BC260" s="159"/>
      <c r="BD260" s="159"/>
      <c r="BE260" s="159"/>
      <c r="BF260" s="159"/>
      <c r="BG260" s="159"/>
      <c r="BH260" s="159"/>
      <c r="BI260" s="159"/>
      <c r="BJ260" s="159"/>
      <c r="BK260" s="159"/>
      <c r="BL260" s="159"/>
      <c r="BM260" s="159"/>
      <c r="BN260" s="159"/>
    </row>
    <row r="261" spans="1:66" x14ac:dyDescent="0.25">
      <c r="A261" s="166"/>
      <c r="B261" s="159"/>
      <c r="C261" s="159">
        <f t="shared" si="6"/>
        <v>-907.18474000000003</v>
      </c>
      <c r="D261" s="159">
        <f t="shared" si="7"/>
        <v>-0.90718474000000004</v>
      </c>
      <c r="E261" s="159">
        <f t="shared" si="8"/>
        <v>-2000</v>
      </c>
      <c r="F261" s="159">
        <v>-1</v>
      </c>
      <c r="G261" s="159">
        <f t="shared" si="9"/>
        <v>-2186.3152234000004</v>
      </c>
      <c r="H261" s="159">
        <f t="shared" si="10"/>
        <v>-2.2416534925400002</v>
      </c>
      <c r="I261" s="159">
        <f t="shared" si="11"/>
        <v>-4942</v>
      </c>
      <c r="J261" s="159">
        <f t="shared" si="12"/>
        <v>-2.4710000000000001</v>
      </c>
      <c r="K261" s="159"/>
      <c r="L261" s="159"/>
      <c r="M261" s="159"/>
      <c r="N261" s="159"/>
      <c r="O261" s="159"/>
      <c r="P261" s="159"/>
      <c r="Q261" s="159"/>
      <c r="R261" s="159"/>
      <c r="S261" s="159"/>
      <c r="T261" s="166"/>
      <c r="U261" s="166"/>
      <c r="V261" s="166"/>
      <c r="W261" s="166"/>
      <c r="X261" s="166"/>
      <c r="Y261" s="166"/>
      <c r="Z261" s="166"/>
      <c r="AA261" s="166"/>
      <c r="AB261" s="166"/>
      <c r="AC261" s="159"/>
      <c r="AD261" s="159"/>
      <c r="AE261" s="159"/>
      <c r="AF261" s="159"/>
      <c r="AG261" s="159"/>
      <c r="AH261" s="159"/>
      <c r="AI261" s="159"/>
      <c r="AJ261" s="159"/>
      <c r="AK261" s="159"/>
      <c r="AL261" s="159"/>
      <c r="AM261" s="159"/>
      <c r="AN261" s="159"/>
      <c r="AO261" s="159"/>
      <c r="AP261" s="159"/>
      <c r="AQ261" s="159"/>
      <c r="AR261" s="159"/>
      <c r="AS261" s="159"/>
      <c r="AT261" s="159"/>
      <c r="AU261" s="159"/>
      <c r="AV261" s="159"/>
      <c r="AW261" s="159"/>
      <c r="AX261" s="159"/>
      <c r="AY261" s="159"/>
      <c r="AZ261" s="159"/>
      <c r="BA261" s="159"/>
      <c r="BB261" s="159"/>
      <c r="BC261" s="159"/>
      <c r="BD261" s="159"/>
      <c r="BE261" s="159"/>
      <c r="BF261" s="159"/>
      <c r="BG261" s="159"/>
      <c r="BH261" s="159"/>
      <c r="BI261" s="159"/>
      <c r="BJ261" s="159"/>
      <c r="BK261" s="159"/>
      <c r="BL261" s="159"/>
      <c r="BM261" s="159"/>
      <c r="BN261" s="159"/>
    </row>
    <row r="262" spans="1:66" x14ac:dyDescent="0.25">
      <c r="A262" s="166"/>
      <c r="B262" s="159"/>
      <c r="C262" s="159">
        <f t="shared" si="6"/>
        <v>0</v>
      </c>
      <c r="D262" s="159">
        <f t="shared" si="7"/>
        <v>0</v>
      </c>
      <c r="E262" s="159">
        <f t="shared" si="8"/>
        <v>0</v>
      </c>
      <c r="F262" s="159">
        <v>0</v>
      </c>
      <c r="G262" s="159">
        <f t="shared" si="9"/>
        <v>0</v>
      </c>
      <c r="H262" s="159">
        <f t="shared" si="10"/>
        <v>0</v>
      </c>
      <c r="I262" s="159">
        <f t="shared" si="11"/>
        <v>0</v>
      </c>
      <c r="J262" s="159">
        <f t="shared" si="12"/>
        <v>0</v>
      </c>
      <c r="K262" s="159"/>
      <c r="L262" s="159"/>
      <c r="M262" s="159"/>
      <c r="N262" s="159"/>
      <c r="O262" s="159"/>
      <c r="P262" s="159"/>
      <c r="Q262" s="159"/>
      <c r="R262" s="159"/>
      <c r="S262" s="159"/>
      <c r="T262" s="166"/>
      <c r="U262" s="166"/>
      <c r="V262" s="166"/>
      <c r="W262" s="166"/>
      <c r="X262" s="166"/>
      <c r="Y262" s="166"/>
      <c r="Z262" s="166"/>
      <c r="AA262" s="166"/>
      <c r="AB262" s="166"/>
      <c r="AC262" s="159"/>
      <c r="AD262" s="159"/>
      <c r="AE262" s="159"/>
      <c r="AF262" s="159"/>
      <c r="AG262" s="159"/>
      <c r="AH262" s="159"/>
      <c r="AI262" s="159"/>
      <c r="AJ262" s="159"/>
      <c r="AK262" s="159"/>
      <c r="AL262" s="159"/>
      <c r="AM262" s="159"/>
      <c r="AN262" s="159"/>
      <c r="AO262" s="159"/>
      <c r="AP262" s="159"/>
      <c r="AQ262" s="159"/>
      <c r="AR262" s="159"/>
      <c r="AS262" s="159"/>
      <c r="AT262" s="159"/>
      <c r="AU262" s="159"/>
      <c r="AV262" s="159"/>
      <c r="AW262" s="159"/>
      <c r="AX262" s="159"/>
      <c r="AY262" s="159"/>
      <c r="AZ262" s="159"/>
      <c r="BA262" s="159"/>
      <c r="BB262" s="159"/>
      <c r="BC262" s="159"/>
      <c r="BD262" s="159"/>
      <c r="BE262" s="159"/>
      <c r="BF262" s="159"/>
      <c r="BG262" s="159"/>
      <c r="BH262" s="159"/>
      <c r="BI262" s="159"/>
      <c r="BJ262" s="159"/>
      <c r="BK262" s="159"/>
      <c r="BL262" s="159"/>
      <c r="BM262" s="159"/>
      <c r="BN262" s="159"/>
    </row>
    <row r="263" spans="1:66" x14ac:dyDescent="0.25">
      <c r="A263" s="166"/>
      <c r="B263" s="159"/>
      <c r="C263" s="159">
        <f t="shared" si="6"/>
        <v>907.18474000000003</v>
      </c>
      <c r="D263" s="159">
        <f t="shared" si="7"/>
        <v>0.90718474000000004</v>
      </c>
      <c r="E263" s="159">
        <f t="shared" si="8"/>
        <v>2000</v>
      </c>
      <c r="F263" s="159">
        <v>1</v>
      </c>
      <c r="G263" s="159">
        <f t="shared" si="9"/>
        <v>2186.3152234000004</v>
      </c>
      <c r="H263" s="159">
        <f t="shared" si="10"/>
        <v>2.2416534925400002</v>
      </c>
      <c r="I263" s="159">
        <f t="shared" si="11"/>
        <v>4942</v>
      </c>
      <c r="J263" s="159">
        <f t="shared" si="12"/>
        <v>2.4710000000000001</v>
      </c>
      <c r="K263" s="159"/>
      <c r="L263" s="159"/>
      <c r="M263" s="159"/>
      <c r="N263" s="159"/>
      <c r="O263" s="159"/>
      <c r="P263" s="159"/>
      <c r="Q263" s="159"/>
      <c r="R263" s="159"/>
      <c r="S263" s="159"/>
      <c r="T263" s="166"/>
      <c r="U263" s="166"/>
      <c r="V263" s="166"/>
      <c r="W263" s="166"/>
      <c r="X263" s="166"/>
      <c r="Y263" s="166"/>
      <c r="Z263" s="166"/>
      <c r="AA263" s="166"/>
      <c r="AB263" s="166"/>
      <c r="AC263" s="159"/>
      <c r="AD263" s="159"/>
      <c r="AE263" s="159"/>
      <c r="AF263" s="159"/>
      <c r="AG263" s="159"/>
      <c r="AH263" s="159"/>
      <c r="AI263" s="159"/>
      <c r="AJ263" s="159"/>
      <c r="AK263" s="159"/>
      <c r="AL263" s="159"/>
      <c r="AM263" s="159"/>
      <c r="AN263" s="159"/>
      <c r="AO263" s="159"/>
      <c r="AP263" s="159"/>
      <c r="AQ263" s="159"/>
      <c r="AR263" s="159"/>
      <c r="AS263" s="159"/>
      <c r="AT263" s="159"/>
      <c r="AU263" s="159"/>
      <c r="AV263" s="159"/>
      <c r="AW263" s="159"/>
      <c r="AX263" s="159"/>
      <c r="AY263" s="159"/>
      <c r="AZ263" s="159"/>
      <c r="BA263" s="159"/>
      <c r="BB263" s="159"/>
      <c r="BC263" s="159"/>
      <c r="BD263" s="159"/>
      <c r="BE263" s="159"/>
      <c r="BF263" s="159"/>
      <c r="BG263" s="159"/>
      <c r="BH263" s="159"/>
      <c r="BI263" s="159"/>
      <c r="BJ263" s="159"/>
      <c r="BK263" s="159"/>
      <c r="BL263" s="159"/>
      <c r="BM263" s="159"/>
      <c r="BN263" s="159"/>
    </row>
    <row r="264" spans="1:66" x14ac:dyDescent="0.25">
      <c r="A264" s="166"/>
      <c r="B264" s="159"/>
      <c r="C264" s="159">
        <f t="shared" si="6"/>
        <v>1814.3694800000001</v>
      </c>
      <c r="D264" s="159">
        <f t="shared" si="7"/>
        <v>1.8143694800000001</v>
      </c>
      <c r="E264" s="159">
        <f t="shared" si="8"/>
        <v>4000</v>
      </c>
      <c r="F264" s="159">
        <v>2</v>
      </c>
      <c r="G264" s="159">
        <f t="shared" si="9"/>
        <v>4372.6304468000008</v>
      </c>
      <c r="H264" s="159">
        <f t="shared" si="10"/>
        <v>4.4833069850800005</v>
      </c>
      <c r="I264" s="159">
        <f t="shared" si="11"/>
        <v>9884</v>
      </c>
      <c r="J264" s="159">
        <f t="shared" si="12"/>
        <v>4.9420000000000002</v>
      </c>
      <c r="K264" s="159"/>
      <c r="L264" s="159"/>
      <c r="M264" s="159"/>
      <c r="N264" s="159"/>
      <c r="O264" s="159"/>
      <c r="P264" s="159"/>
      <c r="Q264" s="159"/>
      <c r="R264" s="159"/>
      <c r="S264" s="159"/>
      <c r="T264" s="166"/>
      <c r="U264" s="166"/>
      <c r="V264" s="166"/>
      <c r="W264" s="166"/>
      <c r="X264" s="166"/>
      <c r="Y264" s="166"/>
      <c r="Z264" s="166"/>
      <c r="AA264" s="166"/>
      <c r="AB264" s="166"/>
      <c r="AC264" s="159"/>
      <c r="AD264" s="159"/>
      <c r="AE264" s="159"/>
      <c r="AF264" s="159"/>
      <c r="AG264" s="159"/>
      <c r="AH264" s="159"/>
      <c r="AI264" s="159"/>
      <c r="AJ264" s="159"/>
      <c r="AK264" s="159"/>
      <c r="AL264" s="159"/>
      <c r="AM264" s="159"/>
      <c r="AN264" s="159"/>
      <c r="AO264" s="159"/>
      <c r="AP264" s="159"/>
      <c r="AQ264" s="159"/>
      <c r="AR264" s="159"/>
      <c r="AS264" s="159"/>
      <c r="AT264" s="159"/>
      <c r="AU264" s="159"/>
      <c r="AV264" s="159"/>
      <c r="AW264" s="159"/>
      <c r="AX264" s="159"/>
      <c r="AY264" s="159"/>
      <c r="AZ264" s="159"/>
      <c r="BA264" s="159"/>
      <c r="BB264" s="159"/>
      <c r="BC264" s="159"/>
      <c r="BD264" s="159"/>
      <c r="BE264" s="159"/>
      <c r="BF264" s="159"/>
      <c r="BG264" s="159"/>
      <c r="BH264" s="159"/>
      <c r="BI264" s="159"/>
      <c r="BJ264" s="159"/>
      <c r="BK264" s="159"/>
      <c r="BL264" s="159"/>
      <c r="BM264" s="159"/>
      <c r="BN264" s="159"/>
    </row>
    <row r="265" spans="1:66" x14ac:dyDescent="0.25">
      <c r="A265" s="166"/>
      <c r="B265" s="159"/>
      <c r="C265" s="159">
        <f t="shared" si="6"/>
        <v>2721.55422</v>
      </c>
      <c r="D265" s="159">
        <f t="shared" si="7"/>
        <v>2.7215542200000002</v>
      </c>
      <c r="E265" s="159">
        <f t="shared" si="8"/>
        <v>6000</v>
      </c>
      <c r="F265" s="159">
        <v>3</v>
      </c>
      <c r="G265" s="159">
        <f t="shared" si="9"/>
        <v>6558.9456702000007</v>
      </c>
      <c r="H265" s="159">
        <f t="shared" si="10"/>
        <v>6.7249604776200007</v>
      </c>
      <c r="I265" s="159">
        <f t="shared" si="11"/>
        <v>14826</v>
      </c>
      <c r="J265" s="159">
        <f t="shared" si="12"/>
        <v>7.4130000000000003</v>
      </c>
      <c r="K265" s="159"/>
      <c r="L265" s="159"/>
      <c r="M265" s="159"/>
      <c r="N265" s="159"/>
      <c r="O265" s="159"/>
      <c r="P265" s="159"/>
      <c r="Q265" s="159"/>
      <c r="R265" s="159"/>
      <c r="S265" s="159"/>
      <c r="T265" s="166"/>
      <c r="U265" s="166"/>
      <c r="V265" s="166"/>
      <c r="W265" s="166"/>
      <c r="X265" s="166"/>
      <c r="Y265" s="166"/>
      <c r="Z265" s="166"/>
      <c r="AA265" s="166"/>
      <c r="AB265" s="166"/>
      <c r="AC265" s="159"/>
      <c r="AD265" s="159"/>
      <c r="AE265" s="159"/>
      <c r="AF265" s="159"/>
      <c r="AG265" s="159"/>
      <c r="AH265" s="159"/>
      <c r="AI265" s="159"/>
      <c r="AJ265" s="159"/>
      <c r="AK265" s="159"/>
      <c r="AL265" s="159"/>
      <c r="AM265" s="159"/>
      <c r="AN265" s="159"/>
      <c r="AO265" s="159"/>
      <c r="AP265" s="159"/>
      <c r="AQ265" s="159"/>
      <c r="AR265" s="159"/>
      <c r="AS265" s="159"/>
      <c r="AT265" s="159"/>
      <c r="AU265" s="159"/>
      <c r="AV265" s="159"/>
      <c r="AW265" s="159"/>
      <c r="AX265" s="159"/>
      <c r="AY265" s="159"/>
      <c r="AZ265" s="159"/>
      <c r="BA265" s="159"/>
      <c r="BB265" s="159"/>
      <c r="BC265" s="159"/>
      <c r="BD265" s="159"/>
      <c r="BE265" s="159"/>
      <c r="BF265" s="159"/>
      <c r="BG265" s="159"/>
      <c r="BH265" s="159"/>
      <c r="BI265" s="159"/>
      <c r="BJ265" s="159"/>
      <c r="BK265" s="159"/>
      <c r="BL265" s="159"/>
      <c r="BM265" s="159"/>
      <c r="BN265" s="159"/>
    </row>
    <row r="266" spans="1:66" x14ac:dyDescent="0.25">
      <c r="A266" s="166"/>
      <c r="B266" s="159"/>
      <c r="C266" s="159">
        <f t="shared" si="6"/>
        <v>3628.7389600000001</v>
      </c>
      <c r="D266" s="159">
        <f t="shared" si="7"/>
        <v>3.6287389600000002</v>
      </c>
      <c r="E266" s="159">
        <f t="shared" si="8"/>
        <v>8000</v>
      </c>
      <c r="F266" s="159">
        <v>4</v>
      </c>
      <c r="G266" s="159">
        <f t="shared" si="9"/>
        <v>8745.2608936000015</v>
      </c>
      <c r="H266" s="159">
        <f t="shared" si="10"/>
        <v>8.9666139701600009</v>
      </c>
      <c r="I266" s="159">
        <f t="shared" si="11"/>
        <v>19768</v>
      </c>
      <c r="J266" s="159">
        <f t="shared" si="12"/>
        <v>9.8840000000000003</v>
      </c>
      <c r="K266" s="159"/>
      <c r="L266" s="159"/>
      <c r="M266" s="159"/>
      <c r="N266" s="159"/>
      <c r="O266" s="159"/>
      <c r="P266" s="159"/>
      <c r="Q266" s="159"/>
      <c r="R266" s="159"/>
      <c r="S266" s="159"/>
      <c r="T266" s="166"/>
      <c r="U266" s="166"/>
      <c r="V266" s="166"/>
      <c r="W266" s="166"/>
      <c r="X266" s="166"/>
      <c r="Y266" s="166"/>
      <c r="Z266" s="166"/>
      <c r="AA266" s="166"/>
      <c r="AB266" s="166"/>
      <c r="AC266" s="159"/>
      <c r="AD266" s="159"/>
      <c r="AE266" s="159"/>
      <c r="AF266" s="159"/>
      <c r="AG266" s="159"/>
      <c r="AH266" s="159"/>
      <c r="AI266" s="159"/>
      <c r="AJ266" s="159"/>
      <c r="AK266" s="159"/>
      <c r="AL266" s="159"/>
      <c r="AM266" s="159"/>
      <c r="AN266" s="159"/>
      <c r="AO266" s="159"/>
      <c r="AP266" s="159"/>
      <c r="AQ266" s="159"/>
      <c r="AR266" s="159"/>
      <c r="AS266" s="159"/>
      <c r="AT266" s="159"/>
      <c r="AU266" s="159"/>
      <c r="AV266" s="159"/>
      <c r="AW266" s="159"/>
      <c r="AX266" s="159"/>
      <c r="AY266" s="159"/>
      <c r="AZ266" s="159"/>
      <c r="BA266" s="159"/>
      <c r="BB266" s="159"/>
      <c r="BC266" s="159"/>
      <c r="BD266" s="159"/>
      <c r="BE266" s="159"/>
      <c r="BF266" s="159"/>
      <c r="BG266" s="159"/>
      <c r="BH266" s="159"/>
      <c r="BI266" s="159"/>
      <c r="BJ266" s="159"/>
      <c r="BK266" s="159"/>
      <c r="BL266" s="159"/>
      <c r="BM266" s="159"/>
      <c r="BN266" s="159"/>
    </row>
    <row r="267" spans="1:66" x14ac:dyDescent="0.25">
      <c r="A267" s="166"/>
      <c r="B267" s="159"/>
      <c r="C267" s="159">
        <f t="shared" si="6"/>
        <v>4535.9237000000003</v>
      </c>
      <c r="D267" s="159">
        <f t="shared" si="7"/>
        <v>4.5359237000000006</v>
      </c>
      <c r="E267" s="159">
        <f t="shared" si="8"/>
        <v>10000</v>
      </c>
      <c r="F267" s="159">
        <v>5</v>
      </c>
      <c r="G267" s="159">
        <f t="shared" si="9"/>
        <v>10931.576117000001</v>
      </c>
      <c r="H267" s="159">
        <f t="shared" si="10"/>
        <v>11.208267462700002</v>
      </c>
      <c r="I267" s="159">
        <f t="shared" si="11"/>
        <v>24710</v>
      </c>
      <c r="J267" s="159">
        <f t="shared" si="12"/>
        <v>12.355</v>
      </c>
      <c r="K267" s="159"/>
      <c r="L267" s="159"/>
      <c r="M267" s="159"/>
      <c r="N267" s="159"/>
      <c r="O267" s="159"/>
      <c r="P267" s="159"/>
      <c r="Q267" s="159"/>
      <c r="R267" s="159"/>
      <c r="S267" s="159"/>
      <c r="T267" s="166"/>
      <c r="U267" s="166"/>
      <c r="V267" s="166"/>
      <c r="W267" s="166"/>
      <c r="X267" s="166"/>
      <c r="Y267" s="166"/>
      <c r="Z267" s="166"/>
      <c r="AA267" s="166"/>
      <c r="AB267" s="166"/>
      <c r="AC267" s="159"/>
      <c r="AD267" s="159"/>
      <c r="AE267" s="159"/>
      <c r="AF267" s="159"/>
      <c r="AG267" s="159"/>
      <c r="AH267" s="159"/>
      <c r="AI267" s="159"/>
      <c r="AJ267" s="159"/>
      <c r="AK267" s="159"/>
      <c r="AL267" s="159"/>
      <c r="AM267" s="159"/>
      <c r="AN267" s="159"/>
      <c r="AO267" s="159"/>
      <c r="AP267" s="159"/>
      <c r="AQ267" s="159"/>
      <c r="AR267" s="159"/>
      <c r="AS267" s="159"/>
      <c r="AT267" s="159"/>
      <c r="AU267" s="159"/>
      <c r="AV267" s="159"/>
      <c r="AW267" s="159"/>
      <c r="AX267" s="159"/>
      <c r="AY267" s="159"/>
      <c r="AZ267" s="159"/>
      <c r="BA267" s="159"/>
      <c r="BB267" s="159"/>
      <c r="BC267" s="159"/>
      <c r="BD267" s="159"/>
      <c r="BE267" s="159"/>
      <c r="BF267" s="159"/>
      <c r="BG267" s="159"/>
      <c r="BH267" s="159"/>
      <c r="BI267" s="159"/>
      <c r="BJ267" s="159"/>
      <c r="BK267" s="159"/>
      <c r="BL267" s="159"/>
      <c r="BM267" s="159"/>
      <c r="BN267" s="159"/>
    </row>
    <row r="268" spans="1:66" x14ac:dyDescent="0.25">
      <c r="A268" s="166"/>
      <c r="B268" s="159"/>
      <c r="C268" s="159">
        <f t="shared" si="6"/>
        <v>5443.10844</v>
      </c>
      <c r="D268" s="159">
        <f t="shared" si="7"/>
        <v>5.4431084400000005</v>
      </c>
      <c r="E268" s="159">
        <f t="shared" si="8"/>
        <v>12000</v>
      </c>
      <c r="F268" s="159">
        <v>6</v>
      </c>
      <c r="G268" s="159">
        <f t="shared" si="9"/>
        <v>13117.891340400001</v>
      </c>
      <c r="H268" s="159">
        <f t="shared" si="10"/>
        <v>13.449920955240001</v>
      </c>
      <c r="I268" s="159">
        <f t="shared" si="11"/>
        <v>29652</v>
      </c>
      <c r="J268" s="159">
        <f t="shared" si="12"/>
        <v>14.826000000000001</v>
      </c>
      <c r="K268" s="159"/>
      <c r="L268" s="159"/>
      <c r="M268" s="159"/>
      <c r="N268" s="159"/>
      <c r="O268" s="159"/>
      <c r="P268" s="159"/>
      <c r="Q268" s="159"/>
      <c r="R268" s="159"/>
      <c r="S268" s="159"/>
      <c r="T268" s="166"/>
      <c r="U268" s="166"/>
      <c r="V268" s="166"/>
      <c r="W268" s="166"/>
      <c r="X268" s="166"/>
      <c r="Y268" s="166"/>
      <c r="Z268" s="166"/>
      <c r="AA268" s="166"/>
      <c r="AB268" s="166"/>
      <c r="AC268" s="159"/>
      <c r="AD268" s="159"/>
      <c r="AE268" s="159"/>
      <c r="AF268" s="159"/>
      <c r="AG268" s="159"/>
      <c r="AH268" s="159"/>
      <c r="AI268" s="159"/>
      <c r="AJ268" s="159"/>
      <c r="AK268" s="159"/>
      <c r="AL268" s="159"/>
      <c r="AM268" s="159"/>
      <c r="AN268" s="159"/>
      <c r="AO268" s="159"/>
      <c r="AP268" s="159"/>
      <c r="AQ268" s="159"/>
      <c r="AR268" s="159"/>
      <c r="AS268" s="159"/>
      <c r="AT268" s="159"/>
      <c r="AU268" s="159"/>
      <c r="AV268" s="159"/>
      <c r="AW268" s="159"/>
      <c r="AX268" s="159"/>
      <c r="AY268" s="159"/>
      <c r="AZ268" s="159"/>
      <c r="BA268" s="159"/>
      <c r="BB268" s="159"/>
      <c r="BC268" s="159"/>
      <c r="BD268" s="159"/>
      <c r="BE268" s="159"/>
      <c r="BF268" s="159"/>
      <c r="BG268" s="159"/>
      <c r="BH268" s="159"/>
      <c r="BI268" s="159"/>
      <c r="BJ268" s="159"/>
      <c r="BK268" s="159"/>
      <c r="BL268" s="159"/>
      <c r="BM268" s="159"/>
      <c r="BN268" s="159"/>
    </row>
    <row r="269" spans="1:66" x14ac:dyDescent="0.25">
      <c r="A269" s="166"/>
      <c r="B269" s="159"/>
      <c r="C269" s="159">
        <f t="shared" si="6"/>
        <v>6350.2931800000006</v>
      </c>
      <c r="D269" s="159">
        <f t="shared" si="7"/>
        <v>6.3502931800000004</v>
      </c>
      <c r="E269" s="159">
        <f t="shared" si="8"/>
        <v>14000</v>
      </c>
      <c r="F269" s="159">
        <v>7</v>
      </c>
      <c r="G269" s="159">
        <f t="shared" si="9"/>
        <v>15304.206563800002</v>
      </c>
      <c r="H269" s="159">
        <f t="shared" si="10"/>
        <v>15.691574447780001</v>
      </c>
      <c r="I269" s="159">
        <f t="shared" si="11"/>
        <v>34594</v>
      </c>
      <c r="J269" s="159">
        <f t="shared" si="12"/>
        <v>17.297000000000001</v>
      </c>
      <c r="K269" s="159"/>
      <c r="L269" s="159"/>
      <c r="M269" s="159"/>
      <c r="N269" s="159"/>
      <c r="O269" s="159"/>
      <c r="P269" s="159"/>
      <c r="Q269" s="159"/>
      <c r="R269" s="159"/>
      <c r="S269" s="159"/>
      <c r="T269" s="166"/>
      <c r="U269" s="166"/>
      <c r="V269" s="166"/>
      <c r="W269" s="166"/>
      <c r="X269" s="166"/>
      <c r="Y269" s="166"/>
      <c r="Z269" s="166"/>
      <c r="AA269" s="166"/>
      <c r="AB269" s="166"/>
      <c r="AC269" s="159"/>
      <c r="AD269" s="159"/>
      <c r="AE269" s="159"/>
      <c r="AF269" s="159"/>
      <c r="AG269" s="159"/>
      <c r="AH269" s="159"/>
      <c r="AI269" s="159"/>
      <c r="AJ269" s="159"/>
      <c r="AK269" s="159"/>
      <c r="AL269" s="159"/>
      <c r="AM269" s="159"/>
      <c r="AN269" s="159"/>
      <c r="AO269" s="159"/>
      <c r="AP269" s="159"/>
      <c r="AQ269" s="159"/>
      <c r="AR269" s="159"/>
      <c r="AS269" s="159"/>
      <c r="AT269" s="159"/>
      <c r="AU269" s="159"/>
      <c r="AV269" s="159"/>
      <c r="AW269" s="159"/>
      <c r="AX269" s="159"/>
      <c r="AY269" s="159"/>
      <c r="AZ269" s="159"/>
      <c r="BA269" s="159"/>
      <c r="BB269" s="159"/>
      <c r="BC269" s="159"/>
      <c r="BD269" s="159"/>
      <c r="BE269" s="159"/>
      <c r="BF269" s="159"/>
      <c r="BG269" s="159"/>
      <c r="BH269" s="159"/>
      <c r="BI269" s="159"/>
      <c r="BJ269" s="159"/>
      <c r="BK269" s="159"/>
      <c r="BL269" s="159"/>
      <c r="BM269" s="159"/>
      <c r="BN269" s="159"/>
    </row>
    <row r="270" spans="1:66" x14ac:dyDescent="0.25">
      <c r="A270" s="166"/>
      <c r="B270" s="159"/>
      <c r="C270" s="159">
        <f t="shared" si="6"/>
        <v>7257.4779200000003</v>
      </c>
      <c r="D270" s="159">
        <f t="shared" si="7"/>
        <v>7.2574779200000004</v>
      </c>
      <c r="E270" s="159">
        <f t="shared" si="8"/>
        <v>16000</v>
      </c>
      <c r="F270" s="159">
        <v>8</v>
      </c>
      <c r="G270" s="159">
        <f t="shared" si="9"/>
        <v>17490.521787200003</v>
      </c>
      <c r="H270" s="159">
        <f t="shared" si="10"/>
        <v>17.933227940320002</v>
      </c>
      <c r="I270" s="159">
        <f t="shared" si="11"/>
        <v>39536</v>
      </c>
      <c r="J270" s="159">
        <f t="shared" si="12"/>
        <v>19.768000000000001</v>
      </c>
      <c r="K270" s="159"/>
      <c r="L270" s="159"/>
      <c r="M270" s="159"/>
      <c r="N270" s="159"/>
      <c r="O270" s="159"/>
      <c r="P270" s="159"/>
      <c r="Q270" s="159"/>
      <c r="R270" s="159"/>
      <c r="S270" s="159"/>
      <c r="T270" s="166"/>
      <c r="U270" s="166"/>
      <c r="V270" s="166"/>
      <c r="W270" s="166"/>
      <c r="X270" s="166"/>
      <c r="Y270" s="166"/>
      <c r="Z270" s="166"/>
      <c r="AA270" s="166"/>
      <c r="AB270" s="166"/>
      <c r="AC270" s="159"/>
      <c r="AD270" s="159"/>
      <c r="AE270" s="159"/>
      <c r="AF270" s="159"/>
      <c r="AG270" s="159"/>
      <c r="AH270" s="159"/>
      <c r="AI270" s="159"/>
      <c r="AJ270" s="159"/>
      <c r="AK270" s="159"/>
      <c r="AL270" s="159"/>
      <c r="AM270" s="159"/>
      <c r="AN270" s="159"/>
      <c r="AO270" s="159"/>
      <c r="AP270" s="159"/>
      <c r="AQ270" s="159"/>
      <c r="AR270" s="159"/>
      <c r="AS270" s="159"/>
      <c r="AT270" s="159"/>
      <c r="AU270" s="159"/>
      <c r="AV270" s="159"/>
      <c r="AW270" s="159"/>
      <c r="AX270" s="159"/>
      <c r="AY270" s="159"/>
      <c r="AZ270" s="159"/>
      <c r="BA270" s="159"/>
      <c r="BB270" s="159"/>
      <c r="BC270" s="159"/>
      <c r="BD270" s="159"/>
      <c r="BE270" s="159"/>
      <c r="BF270" s="159"/>
      <c r="BG270" s="159"/>
      <c r="BH270" s="159"/>
      <c r="BI270" s="159"/>
      <c r="BJ270" s="159"/>
      <c r="BK270" s="159"/>
      <c r="BL270" s="159"/>
      <c r="BM270" s="159"/>
      <c r="BN270" s="159"/>
    </row>
    <row r="271" spans="1:66" x14ac:dyDescent="0.25">
      <c r="A271" s="166"/>
      <c r="B271" s="159"/>
      <c r="C271" s="159">
        <f t="shared" si="6"/>
        <v>8164.66266</v>
      </c>
      <c r="D271" s="159">
        <f t="shared" si="7"/>
        <v>8.1646626600000012</v>
      </c>
      <c r="E271" s="159">
        <f t="shared" si="8"/>
        <v>18000</v>
      </c>
      <c r="F271" s="159">
        <v>9</v>
      </c>
      <c r="G271" s="159">
        <f t="shared" si="9"/>
        <v>19676.8370106</v>
      </c>
      <c r="H271" s="159">
        <f t="shared" si="10"/>
        <v>20.174881432860005</v>
      </c>
      <c r="I271" s="159">
        <f t="shared" si="11"/>
        <v>44478</v>
      </c>
      <c r="J271" s="159">
        <f t="shared" si="12"/>
        <v>22.239000000000001</v>
      </c>
      <c r="K271" s="159"/>
      <c r="L271" s="159"/>
      <c r="M271" s="159"/>
      <c r="N271" s="159"/>
      <c r="O271" s="159"/>
      <c r="P271" s="159"/>
      <c r="Q271" s="159"/>
      <c r="R271" s="159"/>
      <c r="S271" s="159"/>
      <c r="T271" s="166"/>
      <c r="U271" s="166"/>
      <c r="V271" s="166"/>
      <c r="W271" s="166"/>
      <c r="X271" s="166"/>
      <c r="Y271" s="166"/>
      <c r="Z271" s="166"/>
      <c r="AA271" s="166"/>
      <c r="AB271" s="166"/>
      <c r="AC271" s="159"/>
      <c r="AD271" s="159"/>
      <c r="AE271" s="159"/>
      <c r="AF271" s="159"/>
      <c r="AG271" s="159"/>
      <c r="AH271" s="159"/>
      <c r="AI271" s="159"/>
      <c r="AJ271" s="159"/>
      <c r="AK271" s="159"/>
      <c r="AL271" s="159"/>
      <c r="AM271" s="159"/>
      <c r="AN271" s="159"/>
      <c r="AO271" s="159"/>
      <c r="AP271" s="159"/>
      <c r="AQ271" s="159"/>
      <c r="AR271" s="159"/>
      <c r="AS271" s="159"/>
      <c r="AT271" s="159"/>
      <c r="AU271" s="159"/>
      <c r="AV271" s="159"/>
      <c r="AW271" s="159"/>
      <c r="AX271" s="159"/>
      <c r="AY271" s="159"/>
      <c r="AZ271" s="159"/>
      <c r="BA271" s="159"/>
      <c r="BB271" s="159"/>
      <c r="BC271" s="159"/>
      <c r="BD271" s="159"/>
      <c r="BE271" s="159"/>
      <c r="BF271" s="159"/>
      <c r="BG271" s="159"/>
      <c r="BH271" s="159"/>
      <c r="BI271" s="159"/>
      <c r="BJ271" s="159"/>
      <c r="BK271" s="159"/>
      <c r="BL271" s="159"/>
      <c r="BM271" s="159"/>
      <c r="BN271" s="159"/>
    </row>
    <row r="272" spans="1:66" x14ac:dyDescent="0.25">
      <c r="A272" s="166"/>
      <c r="B272" s="159"/>
      <c r="C272" s="159">
        <f t="shared" si="6"/>
        <v>9071.8474000000006</v>
      </c>
      <c r="D272" s="159">
        <f t="shared" si="7"/>
        <v>9.0718474000000011</v>
      </c>
      <c r="E272" s="159">
        <f t="shared" si="8"/>
        <v>20000</v>
      </c>
      <c r="F272" s="159">
        <v>10</v>
      </c>
      <c r="G272" s="159">
        <f t="shared" si="9"/>
        <v>21863.152234000001</v>
      </c>
      <c r="H272" s="159">
        <f t="shared" si="10"/>
        <v>22.416534925400004</v>
      </c>
      <c r="I272" s="159">
        <f t="shared" si="11"/>
        <v>49420</v>
      </c>
      <c r="J272" s="159">
        <f t="shared" si="12"/>
        <v>24.71</v>
      </c>
      <c r="K272" s="159"/>
      <c r="L272" s="159"/>
      <c r="M272" s="159"/>
      <c r="N272" s="159"/>
      <c r="O272" s="159"/>
      <c r="P272" s="159"/>
      <c r="Q272" s="159"/>
      <c r="R272" s="159"/>
      <c r="S272" s="159"/>
      <c r="T272" s="166"/>
      <c r="U272" s="166"/>
      <c r="V272" s="166"/>
      <c r="W272" s="166"/>
      <c r="X272" s="166"/>
      <c r="Y272" s="166"/>
      <c r="Z272" s="166"/>
      <c r="AA272" s="166"/>
      <c r="AB272" s="166"/>
      <c r="AC272" s="159"/>
      <c r="AD272" s="159"/>
      <c r="AE272" s="159"/>
      <c r="AF272" s="159"/>
      <c r="AG272" s="159"/>
      <c r="AH272" s="159"/>
      <c r="AI272" s="159"/>
      <c r="AJ272" s="159"/>
      <c r="AK272" s="159"/>
      <c r="AL272" s="159"/>
      <c r="AM272" s="159"/>
      <c r="AN272" s="159"/>
      <c r="AO272" s="159"/>
      <c r="AP272" s="159"/>
      <c r="AQ272" s="159"/>
      <c r="AR272" s="159"/>
      <c r="AS272" s="159"/>
      <c r="AT272" s="159"/>
      <c r="AU272" s="159"/>
      <c r="AV272" s="159"/>
      <c r="AW272" s="159"/>
      <c r="AX272" s="159"/>
      <c r="AY272" s="159"/>
      <c r="AZ272" s="159"/>
      <c r="BA272" s="159"/>
      <c r="BB272" s="159"/>
      <c r="BC272" s="159"/>
      <c r="BD272" s="159"/>
      <c r="BE272" s="159"/>
      <c r="BF272" s="159"/>
      <c r="BG272" s="159"/>
      <c r="BH272" s="159"/>
      <c r="BI272" s="159"/>
      <c r="BJ272" s="159"/>
      <c r="BK272" s="159"/>
      <c r="BL272" s="159"/>
      <c r="BM272" s="159"/>
      <c r="BN272" s="159"/>
    </row>
    <row r="273" spans="1:66" x14ac:dyDescent="0.25">
      <c r="A273" s="166"/>
      <c r="B273" s="159"/>
      <c r="C273" s="159"/>
      <c r="D273" s="159"/>
      <c r="E273" s="159"/>
      <c r="F273" s="159"/>
      <c r="G273" s="159"/>
      <c r="H273" s="159"/>
      <c r="I273" s="159"/>
      <c r="J273" s="159"/>
      <c r="K273" s="159"/>
      <c r="L273" s="159"/>
      <c r="M273" s="159"/>
      <c r="N273" s="159"/>
      <c r="O273" s="159"/>
      <c r="P273" s="159"/>
      <c r="Q273" s="159"/>
      <c r="R273" s="159"/>
      <c r="S273" s="159"/>
      <c r="T273" s="166"/>
      <c r="U273" s="166"/>
      <c r="V273" s="166"/>
      <c r="W273" s="166"/>
      <c r="X273" s="166"/>
      <c r="Y273" s="166"/>
      <c r="Z273" s="166"/>
      <c r="AA273" s="166"/>
      <c r="AB273" s="166"/>
      <c r="AC273" s="159"/>
      <c r="AD273" s="159"/>
      <c r="AE273" s="159"/>
      <c r="AF273" s="159"/>
      <c r="AG273" s="159"/>
      <c r="AH273" s="159"/>
      <c r="AI273" s="159"/>
      <c r="AJ273" s="159"/>
      <c r="AK273" s="159"/>
      <c r="AL273" s="159"/>
      <c r="AM273" s="159"/>
      <c r="AN273" s="159"/>
      <c r="AO273" s="159"/>
      <c r="AP273" s="159"/>
      <c r="AQ273" s="159"/>
      <c r="AR273" s="159"/>
      <c r="AS273" s="159"/>
      <c r="AT273" s="159"/>
      <c r="AU273" s="159"/>
      <c r="AV273" s="159"/>
      <c r="AW273" s="159"/>
      <c r="AX273" s="159"/>
      <c r="AY273" s="159"/>
      <c r="AZ273" s="159"/>
      <c r="BA273" s="159"/>
      <c r="BB273" s="159"/>
      <c r="BC273" s="159"/>
      <c r="BD273" s="159"/>
      <c r="BE273" s="159"/>
      <c r="BF273" s="159"/>
      <c r="BG273" s="159"/>
      <c r="BH273" s="159"/>
      <c r="BI273" s="159"/>
      <c r="BJ273" s="159"/>
      <c r="BK273" s="159"/>
      <c r="BL273" s="159"/>
      <c r="BM273" s="159"/>
      <c r="BN273" s="159"/>
    </row>
    <row r="274" spans="1:66" x14ac:dyDescent="0.25">
      <c r="A274" s="166"/>
      <c r="B274" s="159"/>
      <c r="C274" s="159"/>
      <c r="D274" s="159"/>
      <c r="E274" s="159"/>
      <c r="F274" s="159"/>
      <c r="G274" s="159"/>
      <c r="H274" s="159"/>
      <c r="I274" s="159"/>
      <c r="J274" s="159"/>
      <c r="K274" s="159"/>
      <c r="L274" s="159"/>
      <c r="M274" s="159"/>
      <c r="N274" s="159"/>
      <c r="O274" s="159"/>
      <c r="P274" s="159"/>
      <c r="Q274" s="159"/>
      <c r="R274" s="159"/>
      <c r="S274" s="159"/>
      <c r="T274" s="166"/>
      <c r="U274" s="166"/>
      <c r="V274" s="166"/>
      <c r="W274" s="166"/>
      <c r="X274" s="166"/>
      <c r="Y274" s="166"/>
      <c r="Z274" s="166"/>
      <c r="AA274" s="166"/>
      <c r="AB274" s="166"/>
      <c r="AC274" s="159"/>
      <c r="AD274" s="159"/>
      <c r="AE274" s="159"/>
      <c r="AF274" s="159"/>
      <c r="AG274" s="159"/>
      <c r="AH274" s="159"/>
      <c r="AI274" s="159"/>
      <c r="AJ274" s="159"/>
      <c r="AK274" s="159"/>
      <c r="AL274" s="159"/>
      <c r="AM274" s="159"/>
      <c r="AN274" s="159"/>
      <c r="AO274" s="159"/>
      <c r="AP274" s="159"/>
      <c r="AQ274" s="159"/>
      <c r="AR274" s="159"/>
      <c r="AS274" s="159"/>
      <c r="AT274" s="159"/>
      <c r="AU274" s="159"/>
      <c r="AV274" s="159"/>
      <c r="AW274" s="159"/>
      <c r="AX274" s="159"/>
      <c r="AY274" s="159"/>
      <c r="AZ274" s="159"/>
      <c r="BA274" s="159"/>
      <c r="BB274" s="159"/>
      <c r="BC274" s="159"/>
      <c r="BD274" s="159"/>
      <c r="BE274" s="159"/>
      <c r="BF274" s="159"/>
      <c r="BG274" s="159"/>
      <c r="BH274" s="159"/>
      <c r="BI274" s="159"/>
      <c r="BJ274" s="159"/>
      <c r="BK274" s="159"/>
      <c r="BL274" s="159"/>
      <c r="BM274" s="159"/>
      <c r="BN274" s="159"/>
    </row>
    <row r="275" spans="1:66" x14ac:dyDescent="0.25">
      <c r="A275" s="166"/>
      <c r="B275" s="159"/>
      <c r="C275" s="159"/>
      <c r="D275" s="159"/>
      <c r="E275" s="159"/>
      <c r="F275" s="159"/>
      <c r="G275" s="159"/>
      <c r="H275" s="159"/>
      <c r="I275" s="159"/>
      <c r="J275" s="159"/>
      <c r="K275" s="159"/>
      <c r="L275" s="159"/>
      <c r="M275" s="159"/>
      <c r="N275" s="159"/>
      <c r="O275" s="159"/>
      <c r="P275" s="159"/>
      <c r="Q275" s="159"/>
      <c r="R275" s="159"/>
      <c r="S275" s="159"/>
      <c r="T275" s="166"/>
      <c r="U275" s="166"/>
      <c r="V275" s="166"/>
      <c r="W275" s="166"/>
      <c r="X275" s="166"/>
      <c r="Y275" s="166"/>
      <c r="Z275" s="166"/>
      <c r="AA275" s="166"/>
      <c r="AB275" s="166"/>
      <c r="AC275" s="159"/>
      <c r="AD275" s="159"/>
      <c r="AE275" s="159"/>
      <c r="AF275" s="159"/>
      <c r="AG275" s="159"/>
      <c r="AH275" s="159"/>
      <c r="AI275" s="159"/>
      <c r="AJ275" s="159"/>
      <c r="AK275" s="159"/>
      <c r="AL275" s="159"/>
      <c r="AM275" s="159"/>
      <c r="AN275" s="159"/>
      <c r="AO275" s="159"/>
      <c r="AP275" s="159"/>
      <c r="AQ275" s="159"/>
      <c r="AR275" s="159"/>
      <c r="AS275" s="159"/>
      <c r="AT275" s="159"/>
      <c r="AU275" s="159"/>
      <c r="AV275" s="159"/>
      <c r="AW275" s="159"/>
      <c r="AX275" s="159"/>
      <c r="AY275" s="159"/>
      <c r="AZ275" s="159"/>
      <c r="BA275" s="159"/>
      <c r="BB275" s="159"/>
      <c r="BC275" s="159"/>
      <c r="BD275" s="159"/>
      <c r="BE275" s="159"/>
      <c r="BF275" s="159"/>
      <c r="BG275" s="159"/>
      <c r="BH275" s="159"/>
      <c r="BI275" s="159"/>
      <c r="BJ275" s="159"/>
      <c r="BK275" s="159"/>
      <c r="BL275" s="159"/>
      <c r="BM275" s="159"/>
      <c r="BN275" s="159"/>
    </row>
    <row r="276" spans="1:66" x14ac:dyDescent="0.25">
      <c r="A276" s="166"/>
      <c r="B276" s="159"/>
      <c r="C276" s="159"/>
      <c r="D276" s="159"/>
      <c r="E276" s="159"/>
      <c r="F276" s="159"/>
      <c r="G276" s="159"/>
      <c r="H276" s="159"/>
      <c r="I276" s="159"/>
      <c r="J276" s="159"/>
      <c r="K276" s="159"/>
      <c r="L276" s="159"/>
      <c r="M276" s="159"/>
      <c r="N276" s="159"/>
      <c r="O276" s="159"/>
      <c r="P276" s="159"/>
      <c r="Q276" s="159"/>
      <c r="R276" s="159"/>
      <c r="S276" s="159"/>
      <c r="T276" s="166"/>
      <c r="U276" s="166"/>
      <c r="V276" s="166"/>
      <c r="W276" s="166"/>
      <c r="X276" s="166"/>
      <c r="Y276" s="166"/>
      <c r="Z276" s="166"/>
      <c r="AA276" s="166"/>
      <c r="AB276" s="166"/>
      <c r="AC276" s="159"/>
      <c r="AD276" s="159"/>
      <c r="AE276" s="159"/>
      <c r="AF276" s="159"/>
      <c r="AG276" s="159"/>
      <c r="AH276" s="159"/>
      <c r="AI276" s="159"/>
      <c r="AJ276" s="159"/>
      <c r="AK276" s="159"/>
      <c r="AL276" s="159"/>
      <c r="AM276" s="159"/>
      <c r="AN276" s="159"/>
      <c r="AO276" s="159"/>
      <c r="AP276" s="159"/>
      <c r="AQ276" s="159"/>
      <c r="AR276" s="159"/>
      <c r="AS276" s="159"/>
      <c r="AT276" s="159"/>
      <c r="AU276" s="159"/>
      <c r="AV276" s="159"/>
      <c r="AW276" s="159"/>
      <c r="AX276" s="159"/>
      <c r="AY276" s="159"/>
      <c r="AZ276" s="159"/>
      <c r="BA276" s="159"/>
      <c r="BB276" s="159"/>
      <c r="BC276" s="159"/>
      <c r="BD276" s="159"/>
      <c r="BE276" s="159"/>
      <c r="BF276" s="159"/>
      <c r="BG276" s="159"/>
      <c r="BH276" s="159"/>
      <c r="BI276" s="159"/>
      <c r="BJ276" s="159"/>
      <c r="BK276" s="159"/>
      <c r="BL276" s="159"/>
      <c r="BM276" s="159"/>
      <c r="BN276" s="159"/>
    </row>
    <row r="277" spans="1:66" x14ac:dyDescent="0.25">
      <c r="A277" s="166"/>
      <c r="B277" s="159"/>
      <c r="C277" s="159"/>
      <c r="D277" s="159"/>
      <c r="E277" s="159"/>
      <c r="F277" s="159"/>
      <c r="G277" s="159"/>
      <c r="H277" s="159"/>
      <c r="I277" s="159"/>
      <c r="J277" s="159"/>
      <c r="K277" s="159"/>
      <c r="L277" s="159"/>
      <c r="M277" s="159"/>
      <c r="N277" s="159"/>
      <c r="O277" s="159"/>
      <c r="P277" s="159"/>
      <c r="Q277" s="159"/>
      <c r="R277" s="159"/>
      <c r="S277" s="159"/>
      <c r="T277" s="166"/>
      <c r="U277" s="166"/>
      <c r="V277" s="166"/>
      <c r="W277" s="166"/>
      <c r="X277" s="166"/>
      <c r="Y277" s="166"/>
      <c r="Z277" s="166"/>
      <c r="AA277" s="166"/>
      <c r="AB277" s="166"/>
      <c r="AC277" s="159"/>
      <c r="AD277" s="159"/>
      <c r="AE277" s="159"/>
      <c r="AF277" s="159"/>
      <c r="AG277" s="159"/>
      <c r="AH277" s="159"/>
      <c r="AI277" s="159"/>
      <c r="AJ277" s="159"/>
      <c r="AK277" s="159"/>
      <c r="AL277" s="159"/>
      <c r="AM277" s="159"/>
      <c r="AN277" s="159"/>
      <c r="AO277" s="159"/>
      <c r="AP277" s="159"/>
      <c r="AQ277" s="159"/>
      <c r="AR277" s="159"/>
      <c r="AS277" s="159"/>
      <c r="AT277" s="159"/>
      <c r="AU277" s="159"/>
      <c r="AV277" s="159"/>
      <c r="AW277" s="159"/>
      <c r="AX277" s="159"/>
      <c r="AY277" s="159"/>
      <c r="AZ277" s="159"/>
      <c r="BA277" s="159"/>
      <c r="BB277" s="159"/>
      <c r="BC277" s="159"/>
      <c r="BD277" s="159"/>
      <c r="BE277" s="159"/>
      <c r="BF277" s="159"/>
      <c r="BG277" s="159"/>
      <c r="BH277" s="159"/>
      <c r="BI277" s="159"/>
      <c r="BJ277" s="159"/>
      <c r="BK277" s="159"/>
      <c r="BL277" s="159"/>
      <c r="BM277" s="159"/>
      <c r="BN277" s="159"/>
    </row>
  </sheetData>
  <sheetProtection algorithmName="SHA-512" hashValue="0jptC7ZdDywASeAt9wONgR/J1/xwZ0Fn9cvBRqzGtnjzvgFwEcH24I5zoKWo/+VN3PNzsIwiRNNggAK0DMg5xg==" saltValue="nY049b+GIUi6uAOe+4D29Q==" spinCount="100000" sheet="1" objects="1" scenarios="1"/>
  <customSheetViews>
    <customSheetView guid="{BD1481C3-A8C6-46E4-9B09-3BB5EA0E455E}" scale="75" showRuler="0">
      <selection activeCell="M11" sqref="M11"/>
      <pageMargins left="0.7" right="0.7" top="0.75" bottom="0.75" header="0.3" footer="0.3"/>
      <pageSetup paperSize="9" orientation="portrait" horizontalDpi="4294967293" verticalDpi="4294967293"/>
    </customSheetView>
  </customSheetViews>
  <mergeCells count="19">
    <mergeCell ref="AT6:AW6"/>
    <mergeCell ref="AX6:BA6"/>
    <mergeCell ref="C9:H9"/>
    <mergeCell ref="C54:I54"/>
    <mergeCell ref="C50:E50"/>
    <mergeCell ref="C30:E30"/>
    <mergeCell ref="C56:I56"/>
    <mergeCell ref="C55:I55"/>
    <mergeCell ref="AP6:AS6"/>
    <mergeCell ref="C3:O3"/>
    <mergeCell ref="H5:I5"/>
    <mergeCell ref="C29:G29"/>
    <mergeCell ref="C8:H8"/>
    <mergeCell ref="E86:F86"/>
    <mergeCell ref="E85:F85"/>
    <mergeCell ref="E81:F81"/>
    <mergeCell ref="E82:F82"/>
    <mergeCell ref="E83:F83"/>
    <mergeCell ref="E84:F84"/>
  </mergeCells>
  <phoneticPr fontId="0" type="noConversion"/>
  <conditionalFormatting sqref="E39:F42 D39:D41">
    <cfRule type="cellIs" dxfId="5" priority="3" stopIfTrue="1" operator="equal">
      <formula>0</formula>
    </cfRule>
  </conditionalFormatting>
  <conditionalFormatting sqref="C56:I56">
    <cfRule type="cellIs" dxfId="4" priority="7" stopIfTrue="1" operator="equal">
      <formula>0</formula>
    </cfRule>
  </conditionalFormatting>
  <conditionalFormatting sqref="J5">
    <cfRule type="cellIs" dxfId="3" priority="1" stopIfTrue="1" operator="equal">
      <formula>$AO$4</formula>
    </cfRule>
  </conditionalFormatting>
  <dataValidations xWindow="247" yWindow="580" count="4">
    <dataValidation type="list" allowBlank="1" showInputMessage="1" showErrorMessage="1" sqref="D5" xr:uid="{00000000-0002-0000-0800-000000000000}">
      <formula1>$AK$4:$AK$7</formula1>
    </dataValidation>
    <dataValidation type="list" allowBlank="1" showInputMessage="1" showErrorMessage="1" sqref="AP10" xr:uid="{00000000-0002-0000-0800-000001000000}">
      <formula1>"TRUE,FALSE"</formula1>
    </dataValidation>
    <dataValidation type="list" allowBlank="1" showInputMessage="1" sqref="J5" xr:uid="{00000000-0002-0000-08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29" xr:uid="{00000000-0002-0000-0800-000003000000}"/>
  </dataValidations>
  <pageMargins left="0.75" right="0.75" top="1" bottom="1" header="0.5" footer="0.5"/>
  <pageSetup paperSize="9" orientation="portrait" horizontalDpi="4294967293" verticalDpi="4294967293" r:id="rId1"/>
  <ignoredErrors>
    <ignoredError sqref="J5" unlocked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Q294"/>
  <sheetViews>
    <sheetView workbookViewId="0">
      <pane ySplit="1" topLeftCell="A17" activePane="bottomLeft" state="frozen"/>
      <selection activeCell="E31" sqref="E31"/>
      <selection pane="bottomLeft"/>
    </sheetView>
  </sheetViews>
  <sheetFormatPr defaultColWidth="8.77734375" defaultRowHeight="12.7" x14ac:dyDescent="0.25"/>
  <cols>
    <col min="1" max="1" width="1.44140625" customWidth="1" collapsed="1"/>
    <col min="2" max="2" width="4.33203125" customWidth="1" collapsed="1"/>
    <col min="3" max="3" width="29.21875" customWidth="1" collapsed="1"/>
    <col min="4" max="5" width="12.6640625" customWidth="1" collapsed="1"/>
    <col min="6" max="6" width="11.77734375" customWidth="1" collapsed="1"/>
    <col min="7" max="7" width="14" customWidth="1" collapsed="1"/>
    <col min="8" max="8" width="13" customWidth="1" collapsed="1"/>
    <col min="9" max="9" width="15.44140625" customWidth="1" collapsed="1"/>
    <col min="10" max="10" width="13.44140625" customWidth="1" collapsed="1"/>
    <col min="11" max="11" width="11.77734375" customWidth="1" collapsed="1"/>
    <col min="12" max="15" width="10.44140625" customWidth="1" collapsed="1"/>
    <col min="16" max="16" width="18.44140625" customWidth="1" collapsed="1"/>
    <col min="17" max="17" width="9.6640625" customWidth="1" collapsed="1"/>
    <col min="18" max="18" width="10.6640625" customWidth="1" collapsed="1"/>
    <col min="19" max="19" width="40.6640625" customWidth="1" collapsed="1"/>
    <col min="20" max="20" width="7.77734375" customWidth="1" collapsed="1"/>
    <col min="21" max="21" width="111.33203125" customWidth="1" collapsed="1"/>
    <col min="22" max="22" width="26" customWidth="1" collapsed="1"/>
    <col min="23" max="23" width="12.44140625" customWidth="1" collapsed="1"/>
    <col min="24" max="26" width="7.77734375" customWidth="1" collapsed="1"/>
    <col min="27" max="27" width="12.6640625" bestFit="1" customWidth="1" collapsed="1"/>
    <col min="28" max="30" width="9.21875" customWidth="1" collapsed="1"/>
    <col min="36" max="36" width="11.33203125" customWidth="1" collapsed="1"/>
    <col min="39" max="39" width="12.6640625" customWidth="1" collapsed="1"/>
    <col min="42" max="42" width="16.77734375" customWidth="1" collapsed="1"/>
    <col min="48" max="48" width="43.21875" customWidth="1" collapsed="1"/>
    <col min="54" max="54" width="12.33203125" customWidth="1" collapsed="1"/>
    <col min="57" max="57" width="20" customWidth="1" collapsed="1"/>
    <col min="64" max="65" width="25.33203125" customWidth="1" collapsed="1"/>
    <col min="66" max="67" width="8.77734375" customWidth="1" collapsed="1"/>
    <col min="69" max="69" width="8.77734375" customWidth="1" collapsed="1"/>
  </cols>
  <sheetData>
    <row r="1" spans="1:66" ht="97.5" customHeight="1" x14ac:dyDescent="0.25">
      <c r="A1" s="166"/>
      <c r="B1" s="149"/>
      <c r="C1" s="149"/>
      <c r="D1" s="149"/>
      <c r="E1" s="149"/>
      <c r="F1" s="149"/>
      <c r="G1" s="149"/>
      <c r="H1" s="149"/>
      <c r="I1" s="149"/>
      <c r="J1" s="149"/>
      <c r="K1" s="149"/>
      <c r="L1" s="149"/>
      <c r="M1" s="149"/>
      <c r="N1" s="149"/>
      <c r="O1" s="149"/>
      <c r="P1" s="149"/>
      <c r="Q1" s="149"/>
      <c r="R1" s="149"/>
      <c r="S1" s="149"/>
      <c r="T1" s="149"/>
      <c r="U1" s="149"/>
      <c r="V1" s="166"/>
      <c r="W1" s="166"/>
      <c r="X1" s="166"/>
      <c r="Y1" s="166"/>
      <c r="Z1" s="166"/>
      <c r="AA1" s="166"/>
      <c r="AB1" s="166"/>
      <c r="AC1" s="146"/>
      <c r="AD1" s="146"/>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row>
    <row r="2" spans="1:66" ht="15" customHeight="1" thickBot="1" x14ac:dyDescent="0.3">
      <c r="A2" s="166"/>
      <c r="B2" s="166" t="s">
        <v>2067</v>
      </c>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46"/>
      <c r="AD2" s="146"/>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row>
    <row r="3" spans="1:66" ht="21.05" customHeight="1" thickBot="1" x14ac:dyDescent="0.3">
      <c r="A3" s="166"/>
      <c r="B3" s="955" t="s">
        <v>2067</v>
      </c>
      <c r="C3" s="2526" t="s">
        <v>1245</v>
      </c>
      <c r="D3" s="2526"/>
      <c r="E3" s="2526"/>
      <c r="F3" s="2526"/>
      <c r="G3" s="2526"/>
      <c r="H3" s="2526"/>
      <c r="I3" s="2526"/>
      <c r="J3" s="2526"/>
      <c r="K3" s="2526"/>
      <c r="L3" s="2526"/>
      <c r="M3" s="2526"/>
      <c r="N3" s="2526"/>
      <c r="O3" s="2526"/>
      <c r="P3" s="1023"/>
      <c r="Q3" s="1023"/>
      <c r="R3" s="1023"/>
      <c r="S3" s="1024"/>
      <c r="T3" s="190"/>
      <c r="U3" s="190"/>
      <c r="V3" s="190" t="s">
        <v>1234</v>
      </c>
      <c r="W3" s="190"/>
      <c r="X3" s="166"/>
      <c r="Y3" s="149"/>
      <c r="Z3" s="149"/>
      <c r="AA3" s="149"/>
      <c r="AB3" s="149"/>
      <c r="AC3" s="186"/>
      <c r="AD3" s="186"/>
      <c r="AE3" s="186"/>
      <c r="AF3" s="186"/>
      <c r="AG3" s="186"/>
      <c r="AH3" s="186"/>
      <c r="AI3" s="186"/>
      <c r="AJ3" s="186"/>
      <c r="AK3" s="186"/>
      <c r="AL3" s="186"/>
      <c r="AM3" s="186"/>
      <c r="AN3" s="146"/>
      <c r="AO3" s="146"/>
      <c r="AP3" s="146"/>
      <c r="AQ3" s="146"/>
      <c r="AR3" s="146"/>
      <c r="AS3" s="146"/>
      <c r="AT3" s="146"/>
      <c r="AU3" s="146"/>
      <c r="AV3" s="146"/>
      <c r="AW3" s="146"/>
      <c r="AX3" s="146"/>
      <c r="AY3" s="146"/>
      <c r="AZ3" s="146"/>
      <c r="BA3" s="146"/>
      <c r="BB3" s="60"/>
      <c r="BC3" s="60"/>
      <c r="BD3" s="60"/>
      <c r="BE3" s="60"/>
      <c r="BF3" s="60"/>
      <c r="BG3" s="60"/>
      <c r="BH3" s="60"/>
      <c r="BI3" s="60"/>
      <c r="BJ3" s="60"/>
      <c r="BK3" s="60"/>
      <c r="BL3" s="60"/>
      <c r="BM3" s="60"/>
      <c r="BN3" s="60"/>
    </row>
    <row r="4" spans="1:66" ht="27.8" customHeight="1" x14ac:dyDescent="0.25">
      <c r="A4" s="166"/>
      <c r="B4" s="1108"/>
      <c r="C4" s="1107"/>
      <c r="D4" s="1107"/>
      <c r="E4" s="1107"/>
      <c r="F4" s="1107"/>
      <c r="G4" s="1107"/>
      <c r="H4" s="1107"/>
      <c r="I4" s="1107"/>
      <c r="J4" s="1107"/>
      <c r="K4" s="1107"/>
      <c r="L4" s="1107"/>
      <c r="M4" s="1107"/>
      <c r="N4" s="1107"/>
      <c r="O4" s="1107"/>
      <c r="P4" s="1109"/>
      <c r="Q4" s="1109"/>
      <c r="R4" s="1109"/>
      <c r="S4" s="1110"/>
      <c r="T4" s="149"/>
      <c r="U4" s="149"/>
      <c r="V4" s="149"/>
      <c r="W4" s="166"/>
      <c r="X4" s="166"/>
      <c r="Y4" s="598"/>
      <c r="Z4" s="436"/>
      <c r="AA4" s="436"/>
      <c r="AB4" s="436"/>
      <c r="AC4" s="454"/>
      <c r="AD4" s="454"/>
      <c r="AE4" s="454"/>
      <c r="AF4" s="454"/>
      <c r="AG4" s="454"/>
      <c r="AH4" s="186"/>
      <c r="AI4" s="186"/>
      <c r="AJ4" s="186" t="str">
        <f>"Emissions for total area," &amp; AK4</f>
        <v>Emissions for total area,kg CO2 eq</v>
      </c>
      <c r="AK4" s="272" t="s">
        <v>1479</v>
      </c>
      <c r="AL4" s="286">
        <v>1</v>
      </c>
      <c r="AM4" s="291"/>
      <c r="AN4" s="291"/>
      <c r="AO4" s="291" t="s">
        <v>830</v>
      </c>
      <c r="AP4" s="291"/>
      <c r="AQ4" s="291"/>
      <c r="AR4" s="291"/>
      <c r="AS4" s="291"/>
      <c r="AT4" s="291"/>
      <c r="AU4" s="291"/>
      <c r="AV4" s="291"/>
      <c r="AW4" s="291"/>
      <c r="AX4" s="291"/>
      <c r="AY4" s="291"/>
      <c r="AZ4" s="291"/>
      <c r="BA4" s="291"/>
      <c r="BB4" s="291"/>
      <c r="BC4" s="291"/>
      <c r="BD4" s="291"/>
      <c r="BE4" s="291"/>
      <c r="BF4" s="291"/>
      <c r="BG4" s="291"/>
      <c r="BH4" s="291"/>
      <c r="BI4" s="60"/>
      <c r="BJ4" s="60"/>
      <c r="BK4" s="60"/>
      <c r="BL4" s="60"/>
      <c r="BM4" s="60"/>
      <c r="BN4" s="60"/>
    </row>
    <row r="5" spans="1:66" ht="22.5" customHeight="1" x14ac:dyDescent="0.25">
      <c r="A5" s="166"/>
      <c r="B5" s="381"/>
      <c r="C5" s="1036" t="s">
        <v>1663</v>
      </c>
      <c r="D5" s="1204" t="s">
        <v>1479</v>
      </c>
      <c r="E5" s="186"/>
      <c r="F5" s="186"/>
      <c r="G5" s="186"/>
      <c r="H5" s="2527" t="str">
        <f ca="1">OFFSET(W7,SUMIF(Z7:Z8,X8,AA7:AA8),0)</f>
        <v xml:space="preserve"> </v>
      </c>
      <c r="I5" s="2527"/>
      <c r="J5" s="1423" t="str">
        <f>IF('4.Livestock'!E7="cattle","No","null")</f>
        <v>null</v>
      </c>
      <c r="K5" s="186"/>
      <c r="L5" s="186"/>
      <c r="M5" s="186"/>
      <c r="N5" s="186"/>
      <c r="O5" s="186"/>
      <c r="P5" s="186"/>
      <c r="Q5" s="186"/>
      <c r="R5" s="186"/>
      <c r="S5" s="499"/>
      <c r="T5" s="149"/>
      <c r="U5" s="149"/>
      <c r="V5" s="149"/>
      <c r="W5" s="166" t="str">
        <f ca="1">OFFSET('2.CropManagement'!AA151,SUMIF('2.CropManagement'!X152:X153,'1.GeneralInfo'!F12,'2.CropManagement'!AB152:AB153),0)</f>
        <v>hectare</v>
      </c>
      <c r="X5" s="166" t="str">
        <f ca="1">OFFSET('2.CropManagement'!AA156,SUMIF('2.CropManagement'!X157:X164,'1.GeneralInfo'!F14,'2.CropManagement'!AB157:AB164),0)</f>
        <v>tonne</v>
      </c>
      <c r="Y5" s="149"/>
      <c r="Z5" s="149"/>
      <c r="AA5" s="149"/>
      <c r="AB5" s="149"/>
      <c r="AC5" s="186"/>
      <c r="AD5" s="186"/>
      <c r="AE5" s="186"/>
      <c r="AF5" s="186"/>
      <c r="AG5" s="186"/>
      <c r="AH5" s="186"/>
      <c r="AI5" s="186"/>
      <c r="AJ5" s="186" t="str">
        <f>"Emissions for total area," &amp; AK5</f>
        <v>Emissions for total area,tonnes CO2 eq</v>
      </c>
      <c r="AK5" s="278" t="s">
        <v>1478</v>
      </c>
      <c r="AL5" s="286">
        <v>1E-3</v>
      </c>
      <c r="AM5" s="291"/>
      <c r="AN5" s="291"/>
      <c r="AO5" s="291"/>
      <c r="AP5" s="291"/>
      <c r="AQ5" s="291"/>
      <c r="AR5" s="291"/>
      <c r="AS5" s="291"/>
      <c r="AT5" s="291"/>
      <c r="AU5" s="291"/>
      <c r="AV5" s="291"/>
      <c r="AW5" s="291"/>
      <c r="AX5" s="291"/>
      <c r="AY5" s="291"/>
      <c r="AZ5" s="291"/>
      <c r="BA5" s="291"/>
      <c r="BB5" s="291"/>
      <c r="BC5" s="291"/>
      <c r="BD5" s="291"/>
      <c r="BE5" s="291"/>
      <c r="BF5" s="291"/>
      <c r="BG5" s="291"/>
      <c r="BH5" s="291"/>
      <c r="BI5" s="60"/>
      <c r="BJ5" s="60"/>
      <c r="BK5" s="60"/>
      <c r="BL5" s="60"/>
      <c r="BM5" s="60"/>
      <c r="BN5" s="60"/>
    </row>
    <row r="6" spans="1:66" ht="28.55" customHeight="1" thickBot="1" x14ac:dyDescent="0.3">
      <c r="A6" s="166"/>
      <c r="B6" s="381"/>
      <c r="C6" s="186"/>
      <c r="E6" s="186"/>
      <c r="F6" s="186"/>
      <c r="G6" s="186"/>
      <c r="H6" s="186"/>
      <c r="I6" s="186"/>
      <c r="J6" s="186"/>
      <c r="K6" s="186"/>
      <c r="L6" s="186"/>
      <c r="M6" s="186"/>
      <c r="N6" s="186"/>
      <c r="O6" s="186"/>
      <c r="P6" s="186"/>
      <c r="Q6" s="186"/>
      <c r="R6" s="186"/>
      <c r="S6" s="499"/>
      <c r="T6" s="876"/>
      <c r="U6" s="876" t="str">
        <f>IF(AP$10,AV7,"")</f>
        <v/>
      </c>
      <c r="V6" s="876"/>
      <c r="W6" s="873"/>
      <c r="X6" s="876" t="s">
        <v>698</v>
      </c>
      <c r="Y6" s="876"/>
      <c r="Z6" s="876"/>
      <c r="AA6" s="876"/>
      <c r="AB6" s="876"/>
      <c r="AC6" s="875"/>
      <c r="AD6" s="875"/>
      <c r="AE6" s="875"/>
      <c r="AF6" s="875"/>
      <c r="AG6" s="875"/>
      <c r="AH6" s="875"/>
      <c r="AI6" s="875"/>
      <c r="AJ6" s="875" t="str">
        <f>"Emissions for total area," &amp; AK6</f>
        <v>Emissions for total area,pounds CO2 eq</v>
      </c>
      <c r="AK6" s="873" t="s">
        <v>1480</v>
      </c>
      <c r="AL6" s="877">
        <v>2.2046000000000001</v>
      </c>
      <c r="AM6" s="878"/>
      <c r="AN6" s="878"/>
      <c r="AO6" s="878"/>
      <c r="AP6" s="2525"/>
      <c r="AQ6" s="2525"/>
      <c r="AR6" s="2525"/>
      <c r="AS6" s="2525"/>
      <c r="AT6" s="2525"/>
      <c r="AU6" s="2525"/>
      <c r="AV6" s="2525"/>
      <c r="AW6" s="2525"/>
      <c r="AX6" s="2525"/>
      <c r="AY6" s="2525"/>
      <c r="AZ6" s="2525"/>
      <c r="BA6" s="2525"/>
      <c r="BB6" s="878"/>
      <c r="BC6" s="878"/>
      <c r="BD6" s="878"/>
      <c r="BE6" s="878"/>
      <c r="BF6" s="878"/>
      <c r="BG6" s="878"/>
      <c r="BH6" s="878"/>
      <c r="BI6" s="879"/>
      <c r="BJ6" s="879"/>
      <c r="BK6" s="879"/>
      <c r="BL6" s="879" t="str">
        <f>'2.CropManagement'!X155</f>
        <v>Quantity conversions</v>
      </c>
      <c r="BM6" s="879"/>
      <c r="BN6" s="879"/>
    </row>
    <row r="7" spans="1:66" ht="28.55" customHeight="1" x14ac:dyDescent="0.35">
      <c r="A7" s="166"/>
      <c r="B7" s="381"/>
      <c r="C7" s="1020" t="s">
        <v>1134</v>
      </c>
      <c r="D7" s="1260"/>
      <c r="E7" s="346"/>
      <c r="F7" s="346"/>
      <c r="G7" s="346"/>
      <c r="H7" s="732"/>
      <c r="I7" s="181"/>
      <c r="J7" s="186"/>
      <c r="K7" s="186"/>
      <c r="L7" s="186"/>
      <c r="M7" s="186"/>
      <c r="N7" s="186"/>
      <c r="O7" s="186"/>
      <c r="P7" s="186"/>
      <c r="Q7" s="186"/>
      <c r="R7" s="186"/>
      <c r="S7" s="499"/>
      <c r="T7" s="876"/>
      <c r="U7" s="876" t="str">
        <f>IF(AP$10,AV8,"")</f>
        <v/>
      </c>
      <c r="V7" s="876"/>
      <c r="W7" s="873" t="s">
        <v>1234</v>
      </c>
      <c r="X7" s="876" t="s">
        <v>1234</v>
      </c>
      <c r="Y7" s="876"/>
      <c r="Z7" s="876" t="b">
        <v>0</v>
      </c>
      <c r="AA7" s="876">
        <v>0</v>
      </c>
      <c r="AB7" s="876">
        <v>1</v>
      </c>
      <c r="AC7" s="875"/>
      <c r="AD7" s="875"/>
      <c r="AE7" s="875"/>
      <c r="AF7" s="875"/>
      <c r="AG7" s="875"/>
      <c r="AH7" s="875"/>
      <c r="AI7" s="875"/>
      <c r="AJ7" s="875" t="str">
        <f>"Emissions for total area," &amp; AK7</f>
        <v>Emissions for total area,tons CO2 eq</v>
      </c>
      <c r="AK7" s="873" t="s">
        <v>1481</v>
      </c>
      <c r="AL7" s="877">
        <f>2.201/2000</f>
        <v>1.1005000000000001E-3</v>
      </c>
      <c r="AM7" s="878"/>
      <c r="AN7" s="878"/>
      <c r="AO7" s="880"/>
      <c r="AP7" s="881"/>
      <c r="AQ7" s="881"/>
      <c r="AR7" s="881"/>
      <c r="AS7" s="882"/>
      <c r="AT7" s="881"/>
      <c r="AU7" s="881"/>
      <c r="AV7" s="440" t="str">
        <f ca="1">"The total annual emissions from your farm system are "&amp;AG11&amp;" kg CO2-equiv per tree."</f>
        <v>The total annual emissions from your farm system are 204.79 kg CO2-equiv per tree.</v>
      </c>
      <c r="AW7" s="882"/>
      <c r="AX7" s="881"/>
      <c r="AY7" s="881"/>
      <c r="AZ7" s="881"/>
      <c r="BA7" s="882"/>
      <c r="BB7" s="878"/>
      <c r="BC7" s="878"/>
      <c r="BD7" s="878"/>
      <c r="BE7" s="878"/>
      <c r="BF7" s="878"/>
      <c r="BG7" s="878"/>
      <c r="BH7" s="878"/>
      <c r="BI7" s="879"/>
      <c r="BJ7" s="879"/>
      <c r="BK7" s="879"/>
      <c r="BL7" s="879" t="str">
        <f>'2.CropManagement'!X156</f>
        <v>[Select]</v>
      </c>
      <c r="BM7" s="879" t="str">
        <f>'2.CropManagement'!Y156</f>
        <v>Conversion factor to tonnes</v>
      </c>
      <c r="BN7" s="879"/>
    </row>
    <row r="8" spans="1:66" ht="28.55" customHeight="1" x14ac:dyDescent="0.25">
      <c r="A8" s="873"/>
      <c r="B8" s="874"/>
      <c r="C8" s="2545" t="str">
        <f ca="1">"1. The total annual emissions from your farm system are "&amp;AG11&amp; " " &amp; D5&amp; " "&amp;"per " &amp;X5&amp;" finished product."</f>
        <v>1. The total annual emissions from your farm system are 204.79 kg CO2 eq per tonne finished product.</v>
      </c>
      <c r="D8" s="2546"/>
      <c r="E8" s="2546"/>
      <c r="F8" s="2546"/>
      <c r="G8" s="2546"/>
      <c r="H8" s="2547"/>
      <c r="I8" s="875"/>
      <c r="J8" s="875"/>
      <c r="K8" s="875"/>
      <c r="L8" s="875"/>
      <c r="M8" s="875"/>
      <c r="N8" s="875"/>
      <c r="O8" s="875"/>
      <c r="P8" s="875"/>
      <c r="Q8" s="875"/>
      <c r="R8" s="875"/>
      <c r="S8" s="1028"/>
      <c r="T8" s="876"/>
      <c r="U8" s="876" t="str">
        <f>IF(AP$10,AV9,"")</f>
        <v/>
      </c>
      <c r="V8" s="873"/>
      <c r="W8" s="873" t="s">
        <v>798</v>
      </c>
      <c r="X8" s="883" t="b">
        <f>IF('4.Livestock'!P44&lt;&gt;"",IF('4.Livestock'!P45&lt;&gt;"",TRUE,FALSE),FALSE)</f>
        <v>0</v>
      </c>
      <c r="Y8" s="873"/>
      <c r="Z8" s="873" t="b">
        <v>1</v>
      </c>
      <c r="AA8" s="873">
        <v>1</v>
      </c>
      <c r="AB8" s="873">
        <f>(0.1226*'4.Livestock'!P44+0.0776*'4.Livestock'!P45+0.2534)</f>
        <v>0.25340000000000001</v>
      </c>
      <c r="AC8" s="884"/>
      <c r="AD8" s="884"/>
      <c r="AE8" s="884"/>
      <c r="AF8" s="884"/>
      <c r="AG8" s="884"/>
      <c r="AH8" s="884"/>
      <c r="AI8" s="884"/>
      <c r="AJ8" s="875"/>
      <c r="AK8" s="875"/>
      <c r="AL8" s="875"/>
      <c r="AM8" s="878"/>
      <c r="AN8" s="885"/>
      <c r="AO8" s="885"/>
      <c r="AP8" s="886"/>
      <c r="AQ8" s="887"/>
      <c r="AR8" s="888"/>
      <c r="AS8" s="886"/>
      <c r="AT8" s="886"/>
      <c r="AU8" s="887"/>
      <c r="AV8" s="440" t="str">
        <f ca="1">"In terms of CO2 equivalents the greatest emissions in your case come from "&amp;W11&amp;", with a total of "&amp;Y11&amp;"kg CO2 equiv per tree."</f>
        <v>In terms of CO2 equivalents the greatest emissions in your case come from fertiliser production, with a total of 156kg CO2 equiv per tree.</v>
      </c>
      <c r="AW8" s="886"/>
      <c r="AX8" s="886"/>
      <c r="AY8" s="887"/>
      <c r="AZ8" s="888"/>
      <c r="BA8" s="886"/>
      <c r="BB8" s="885"/>
      <c r="BC8" s="885"/>
      <c r="BD8" s="885"/>
      <c r="BE8" s="885"/>
      <c r="BF8" s="878"/>
      <c r="BG8" s="878"/>
      <c r="BH8" s="878"/>
      <c r="BI8" s="879"/>
      <c r="BJ8" s="879"/>
      <c r="BK8" s="879"/>
      <c r="BL8" s="879" t="str">
        <f>'2.CropManagement'!X157</f>
        <v>kgs</v>
      </c>
      <c r="BM8" s="879">
        <f>'2.CropManagement'!Y157</f>
        <v>1E-3</v>
      </c>
      <c r="BN8" s="879"/>
    </row>
    <row r="9" spans="1:66" ht="41.2" customHeight="1" x14ac:dyDescent="0.25">
      <c r="A9" s="873"/>
      <c r="B9" s="874"/>
      <c r="C9" s="2539" t="str">
        <f ca="1">"2. In terms of CO2 equivalents the greatest emissions in your case come from "&amp; W11&amp;", with a total of "&amp;Y11&amp;" " &amp; D5 &amp; " " &amp;"per "&amp;X5 &amp;"."</f>
        <v>2. In terms of CO2 equivalents the greatest emissions in your case come from fertiliser production, with a total of 156 kg CO2 eq per tonne.</v>
      </c>
      <c r="D9" s="2540"/>
      <c r="E9" s="2540"/>
      <c r="F9" s="2540"/>
      <c r="G9" s="2540"/>
      <c r="H9" s="2541"/>
      <c r="I9" s="875"/>
      <c r="J9" s="875"/>
      <c r="K9" s="875"/>
      <c r="L9" s="875"/>
      <c r="M9" s="875"/>
      <c r="N9" s="875"/>
      <c r="O9" s="875"/>
      <c r="P9" s="875"/>
      <c r="Q9" s="875"/>
      <c r="R9" s="875"/>
      <c r="S9" s="1028"/>
      <c r="T9" s="149"/>
      <c r="U9" s="149" t="str">
        <f>IF(AP$10,AV10,"")</f>
        <v/>
      </c>
      <c r="V9" s="166"/>
      <c r="W9" s="166"/>
      <c r="X9" s="166"/>
      <c r="Y9" s="166"/>
      <c r="Z9" s="166"/>
      <c r="AA9" s="166"/>
      <c r="AB9" s="166"/>
      <c r="AC9" s="146"/>
      <c r="AD9" s="146"/>
      <c r="AE9" s="146"/>
      <c r="AF9" s="146"/>
      <c r="AG9" s="146"/>
      <c r="AH9" s="146"/>
      <c r="AI9" s="146"/>
      <c r="AJ9" s="186"/>
      <c r="AK9" s="186"/>
      <c r="AL9" s="186"/>
      <c r="AM9" s="291"/>
      <c r="AN9" s="563"/>
      <c r="AO9" s="563"/>
      <c r="AP9" s="603" t="s">
        <v>983</v>
      </c>
      <c r="AQ9" s="601"/>
      <c r="AR9" s="602"/>
      <c r="AS9" s="600"/>
      <c r="AT9" s="600"/>
      <c r="AU9" s="601"/>
      <c r="AV9" s="448" t="str">
        <f ca="1">"In terms of compounds the largest emissions in CO2 equivalents come from "&amp;AB17</f>
        <v>In terms of compounds the largest emissions in CO2 equivalents come from CO2</v>
      </c>
      <c r="AW9" s="600"/>
      <c r="AX9" s="600"/>
      <c r="AY9" s="601"/>
      <c r="AZ9" s="602"/>
      <c r="BA9" s="600"/>
      <c r="BB9" s="563"/>
      <c r="BC9" s="563"/>
      <c r="BD9" s="563"/>
      <c r="BE9" s="563"/>
      <c r="BF9" s="291"/>
      <c r="BG9" s="291"/>
      <c r="BH9" s="291"/>
      <c r="BI9" s="60"/>
      <c r="BJ9" s="60"/>
      <c r="BK9" s="60"/>
      <c r="BL9" s="879" t="str">
        <f>'2.CropManagement'!X158</f>
        <v xml:space="preserve">tonnes </v>
      </c>
      <c r="BM9" s="879">
        <f>'2.CropManagement'!Y158</f>
        <v>1</v>
      </c>
      <c r="BN9" s="60"/>
    </row>
    <row r="10" spans="1:66" ht="35.299999999999997" customHeight="1" thickBot="1" x14ac:dyDescent="0.3">
      <c r="A10" s="873"/>
      <c r="B10" s="874"/>
      <c r="C10" s="874" t="str">
        <f ca="1">"3. In terms of compounds the largest emissions in CO2 equivalents come from "&amp;AB17&amp;"."</f>
        <v>3. In terms of compounds the largest emissions in CO2 equivalents come from CO2.</v>
      </c>
      <c r="D10" s="875"/>
      <c r="E10" s="875"/>
      <c r="F10" s="875"/>
      <c r="G10" s="875"/>
      <c r="H10" s="1028"/>
      <c r="I10" s="875"/>
      <c r="J10" s="875"/>
      <c r="K10" s="875"/>
      <c r="L10" s="875"/>
      <c r="M10" s="875"/>
      <c r="N10" s="875"/>
      <c r="O10" s="875"/>
      <c r="P10" s="875"/>
      <c r="Q10" s="875"/>
      <c r="R10" s="875"/>
      <c r="S10" s="1028"/>
      <c r="T10" s="149"/>
      <c r="U10" s="149"/>
      <c r="V10" s="166"/>
      <c r="W10" s="166"/>
      <c r="X10" s="166"/>
      <c r="Y10" s="166"/>
      <c r="Z10" s="166"/>
      <c r="AA10" s="166"/>
      <c r="AB10" s="166"/>
      <c r="AC10" s="146"/>
      <c r="AD10" s="146"/>
      <c r="AE10" s="146"/>
      <c r="AF10" s="146"/>
      <c r="AG10" s="146"/>
      <c r="AH10" s="146"/>
      <c r="AI10" s="146"/>
      <c r="AJ10" s="186"/>
      <c r="AK10" s="186"/>
      <c r="AL10" s="186"/>
      <c r="AM10" s="291"/>
      <c r="AN10" s="563"/>
      <c r="AO10" s="563"/>
      <c r="AP10" s="604" t="b">
        <f>SUM('3.Sequestration'!H21:H30)&gt;0</f>
        <v>0</v>
      </c>
      <c r="AQ10" s="600">
        <f>SUM('3.Sequestration'!F21:F30)*'1.GeneralInfo'!S12</f>
        <v>0</v>
      </c>
      <c r="AR10" s="602"/>
      <c r="AS10" s="600"/>
      <c r="AT10" s="600"/>
      <c r="AU10" s="601"/>
      <c r="AV10" s="448" t="str">
        <f ca="1">IF(AB13&lt;&gt;AB12,AV11,AV12)</f>
        <v>- with a total of 185.691214470284kgs of CO2 per tree.</v>
      </c>
      <c r="AW10" s="600"/>
      <c r="AX10" s="600"/>
      <c r="AY10" s="601"/>
      <c r="AZ10" s="602"/>
      <c r="BA10" s="600"/>
      <c r="BB10" s="563"/>
      <c r="BC10" s="563"/>
      <c r="BD10" s="563"/>
      <c r="BE10" s="563"/>
      <c r="BF10" s="291"/>
      <c r="BG10" s="291"/>
      <c r="BH10" s="291"/>
      <c r="BI10" s="60"/>
      <c r="BJ10" s="60"/>
      <c r="BK10" s="60"/>
      <c r="BL10" s="879" t="str">
        <f>'2.CropManagement'!X159</f>
        <v>tons (US, short)</v>
      </c>
      <c r="BM10" s="879">
        <f>'2.CropManagement'!Y159</f>
        <v>0.90718474000000004</v>
      </c>
      <c r="BN10" s="60"/>
    </row>
    <row r="11" spans="1:66" ht="45.1" customHeight="1" thickBot="1" x14ac:dyDescent="0.3">
      <c r="A11" s="166"/>
      <c r="B11" s="381"/>
      <c r="C11" s="1123" t="str">
        <f ca="1">IF(ISERROR(IF(AB13&lt;&gt;AB12,AB18,AB19)),"",IF(AB13&lt;&gt;AB12,AB18,AB19))</f>
        <v>- with a total of 185.69kgs of CO2 per tonne.</v>
      </c>
      <c r="D11" s="1021"/>
      <c r="E11" s="1021"/>
      <c r="F11" s="1021"/>
      <c r="G11" s="1021"/>
      <c r="H11" s="1022"/>
      <c r="I11" s="186"/>
      <c r="J11" s="2548" t="str">
        <f ca="1" xml:space="preserve"> "*" &amp; ROUND(BG18*100,1) &amp; "% of emissions are allocated to main product"</f>
        <v>*100% of emissions are allocated to main product</v>
      </c>
      <c r="K11" s="2548"/>
      <c r="L11" s="569"/>
      <c r="M11" s="186"/>
      <c r="N11" s="186"/>
      <c r="O11" s="186"/>
      <c r="P11" s="186"/>
      <c r="Q11" s="186"/>
      <c r="R11" s="186"/>
      <c r="S11" s="499"/>
      <c r="T11" s="149"/>
      <c r="U11" s="149"/>
      <c r="V11" s="166"/>
      <c r="W11" s="253" t="str">
        <f ca="1">OFFSET(C13,SUMIF(I14:I26,X11,Y12:Y25),0)</f>
        <v>fertiliser production</v>
      </c>
      <c r="X11" s="279">
        <f ca="1">MAX(I14:I26)</f>
        <v>156.41196013289036</v>
      </c>
      <c r="Y11" s="279">
        <f ca="1">ROUND(X11,0)</f>
        <v>156</v>
      </c>
      <c r="Z11" s="166"/>
      <c r="AA11" s="166"/>
      <c r="AB11" s="1407">
        <f ca="1">ROUND(D27,2)</f>
        <v>11498.39</v>
      </c>
      <c r="AC11" s="605">
        <f ca="1">ROUND(E27,0)</f>
        <v>4</v>
      </c>
      <c r="AD11" s="605">
        <f ca="1">ROUND(F27,0)</f>
        <v>0</v>
      </c>
      <c r="AE11" s="605">
        <f ca="1">ROUND(AM25,0)</f>
        <v>12681</v>
      </c>
      <c r="AF11" s="605">
        <f ca="1">ROUND(H27,0)</f>
        <v>1761</v>
      </c>
      <c r="AG11" s="1406">
        <f ca="1">ROUND(I27,2)</f>
        <v>204.79</v>
      </c>
      <c r="AH11" s="146"/>
      <c r="AI11" s="146"/>
      <c r="AJ11" s="186"/>
      <c r="AK11" s="186"/>
      <c r="AL11" s="186"/>
      <c r="AM11" s="60"/>
      <c r="AN11" s="563"/>
      <c r="AO11" s="563"/>
      <c r="AP11" s="606"/>
      <c r="AQ11" s="607"/>
      <c r="AR11" s="608" t="b">
        <f>IF(AP10,"per tree")</f>
        <v>0</v>
      </c>
      <c r="AS11" s="600"/>
      <c r="AT11" s="600"/>
      <c r="AU11" s="601"/>
      <c r="AV11" s="149" t="str">
        <f ca="1">" - the "&amp;AC16/AB20&amp;" kgs of " &amp;AB17&amp; " equating to " &amp;AC13/AB20&amp; " kgs of CO2 per tree."</f>
        <v xml:space="preserve"> - the 185.697529069767 kgs of CO2 equating to 185.691214470284 kgs of CO2 per tree.</v>
      </c>
      <c r="AW11" s="600"/>
      <c r="AX11" s="600"/>
      <c r="AY11" s="601"/>
      <c r="AZ11" s="602"/>
      <c r="BA11" s="600"/>
      <c r="BB11" s="563"/>
      <c r="BC11" s="563" t="str">
        <f ca="1">'1.GeneralInfo'!M11</f>
        <v xml:space="preserve">2. Finished product in tonnes </v>
      </c>
      <c r="BD11" s="563"/>
      <c r="BE11" s="563" t="str">
        <f>'1.GeneralInfo'!N11</f>
        <v>3. Proportion of finished product value (%)</v>
      </c>
      <c r="BF11" s="291" t="s">
        <v>1725</v>
      </c>
      <c r="BG11" s="291" t="s">
        <v>1724</v>
      </c>
      <c r="BH11" s="291"/>
      <c r="BI11" s="60"/>
      <c r="BJ11" s="60"/>
      <c r="BK11" s="60"/>
      <c r="BL11" s="879" t="str">
        <f>'2.CropManagement'!X160</f>
        <v>litres</v>
      </c>
      <c r="BM11" s="879">
        <f>'2.CropManagement'!Y160</f>
        <v>1E-3</v>
      </c>
      <c r="BN11" s="60"/>
    </row>
    <row r="12" spans="1:66" ht="22.5" customHeight="1" thickBot="1" x14ac:dyDescent="0.4">
      <c r="A12" s="166"/>
      <c r="B12" s="381"/>
      <c r="C12" s="119" t="s">
        <v>1133</v>
      </c>
      <c r="D12" s="186"/>
      <c r="E12" s="186"/>
      <c r="F12" s="186"/>
      <c r="G12" s="186"/>
      <c r="H12" s="186"/>
      <c r="I12" s="186"/>
      <c r="J12" s="186"/>
      <c r="K12" s="186"/>
      <c r="L12" s="186"/>
      <c r="M12" s="186"/>
      <c r="N12" s="186"/>
      <c r="O12" s="186"/>
      <c r="P12" s="186"/>
      <c r="Q12" s="186"/>
      <c r="R12" s="186"/>
      <c r="S12" s="499"/>
      <c r="T12" s="149"/>
      <c r="U12" s="149"/>
      <c r="V12" s="166"/>
      <c r="W12" s="166"/>
      <c r="X12" s="166"/>
      <c r="Y12" s="566">
        <v>1</v>
      </c>
      <c r="Z12" s="166"/>
      <c r="AA12" s="166"/>
      <c r="AB12" s="609">
        <f ca="1">AB11</f>
        <v>11498.39</v>
      </c>
      <c r="AC12" s="166">
        <f ca="1">'A1. Submodels &amp; data'!B379*E27</f>
        <v>1182.5089197708812</v>
      </c>
      <c r="AD12" s="166">
        <f ca="1">'A1. Submodels &amp; data'!B378*F27</f>
        <v>0</v>
      </c>
      <c r="AE12" s="259"/>
      <c r="AF12" s="259"/>
      <c r="AG12" s="259"/>
      <c r="AH12" s="146"/>
      <c r="AI12" s="146"/>
      <c r="AJ12" s="186"/>
      <c r="AK12" s="186"/>
      <c r="AL12" s="565">
        <f ca="1">'2.CropManagement'!O36</f>
        <v>9685.028571428571</v>
      </c>
      <c r="AM12" s="565">
        <f ca="1">AL12*$BG$18</f>
        <v>9685.028571428571</v>
      </c>
      <c r="AN12" s="291"/>
      <c r="AO12" s="563"/>
      <c r="AP12" s="6" t="s">
        <v>8</v>
      </c>
      <c r="AQ12" s="610"/>
      <c r="AR12" s="611" t="e">
        <f t="shared" ref="AR12:AR20" ca="1" si="0">AM12/AQ$10</f>
        <v>#DIV/0!</v>
      </c>
      <c r="AS12" s="600"/>
      <c r="AT12" s="600"/>
      <c r="AU12" s="601"/>
      <c r="AV12" s="149" t="str">
        <f ca="1">"- with a total of " &amp;AC13/AB20&amp; "kgs of CO2 per tree."</f>
        <v>- with a total of 185.691214470284kgs of CO2 per tree.</v>
      </c>
      <c r="AW12" s="600"/>
      <c r="AX12" s="600"/>
      <c r="AY12" s="601"/>
      <c r="AZ12" s="602"/>
      <c r="BA12" s="600"/>
      <c r="BB12" s="563" t="str">
        <f>'1.GeneralInfo'!I12</f>
        <v>Co-product 1</v>
      </c>
      <c r="BC12" s="563" t="str">
        <f>'1.GeneralInfo'!M12</f>
        <v/>
      </c>
      <c r="BD12" s="563" t="str">
        <f ca="1">'1.GeneralInfo'!F14</f>
        <v xml:space="preserve">tonnes </v>
      </c>
      <c r="BE12" s="563" t="str">
        <f>'1.GeneralInfo'!N12</f>
        <v/>
      </c>
      <c r="BF12" s="291">
        <f ca="1">IF(ISERROR(BC12*SUMIF(BL$7:BL$15,BD12,BM$7:BM$15)),0,BC12*SUMIF(BL$7:BL$15,BD12,BM$7:BM$15))</f>
        <v>0</v>
      </c>
      <c r="BG12" s="291">
        <f>IF('1.GeneralInfo'!K12="",IF(ISERROR(BE12*BF12),0,BE12*BF12)/100/'1.GeneralInfo'!S14,'1.GeneralInfo'!K12/100)</f>
        <v>0</v>
      </c>
      <c r="BH12" s="291">
        <f ca="1">BG12/SUM(BG$12:BG$16)</f>
        <v>0</v>
      </c>
      <c r="BI12" s="291">
        <f ca="1">BH13</f>
        <v>0</v>
      </c>
      <c r="BJ12" s="60">
        <f ca="1">BH14</f>
        <v>0</v>
      </c>
      <c r="BK12" s="60">
        <f ca="1">BH15</f>
        <v>0</v>
      </c>
      <c r="BL12" s="879" t="str">
        <f>'2.CropManagement'!X161</f>
        <v>pieces</v>
      </c>
      <c r="BM12" s="879">
        <f>'2.CropManagement'!Y161</f>
        <v>1</v>
      </c>
      <c r="BN12" s="60"/>
    </row>
    <row r="13" spans="1:66" ht="56.3" customHeight="1" thickBot="1" x14ac:dyDescent="0.4">
      <c r="A13" s="166"/>
      <c r="B13" s="381"/>
      <c r="C13" s="1607" t="str">
        <f>'1.GeneralInfo'!E11</f>
        <v>Winter wheat</v>
      </c>
      <c r="D13" s="1425" t="s">
        <v>2071</v>
      </c>
      <c r="E13" s="1425" t="s">
        <v>1793</v>
      </c>
      <c r="F13" s="1425" t="s">
        <v>2073</v>
      </c>
      <c r="G13" s="1425" t="str">
        <f>"Emissions for total area, " &amp; D5 &amp; "*"</f>
        <v>Emissions for total area, kg CO2 eq*</v>
      </c>
      <c r="H13" s="1426" t="str">
        <f ca="1" xml:space="preserve"> "Per " &amp; W5 &amp; "*"</f>
        <v>Per hectare*</v>
      </c>
      <c r="I13" s="1427" t="str">
        <f ca="1" xml:space="preserve"> "Per " &amp;X5 &amp; "*"</f>
        <v>Per tonne*</v>
      </c>
      <c r="J13" s="1428" t="s">
        <v>1335</v>
      </c>
      <c r="K13" s="11"/>
      <c r="L13" s="11"/>
      <c r="M13" s="11"/>
      <c r="N13" s="11"/>
      <c r="O13" s="186"/>
      <c r="P13" s="186"/>
      <c r="Q13" s="186"/>
      <c r="R13" s="186"/>
      <c r="S13" s="499"/>
      <c r="T13" s="149"/>
      <c r="U13" s="149"/>
      <c r="V13" s="166"/>
      <c r="W13" s="166"/>
      <c r="X13" s="166"/>
      <c r="Y13" s="566">
        <v>2</v>
      </c>
      <c r="Z13" s="166"/>
      <c r="AA13" s="166"/>
      <c r="AB13" s="612">
        <f ca="1">MAX(AB12:AD12)</f>
        <v>11498.39</v>
      </c>
      <c r="AC13" s="613">
        <f ca="1">ROUND(AB13,0)</f>
        <v>11498</v>
      </c>
      <c r="AD13" s="146"/>
      <c r="AE13" s="146"/>
      <c r="AF13" s="146"/>
      <c r="AG13" s="146"/>
      <c r="AH13" s="146"/>
      <c r="AI13" s="146"/>
      <c r="AJ13" s="186"/>
      <c r="AK13" s="186"/>
      <c r="AL13" s="562">
        <f ca="1">'2.CropManagement'!O38+'2.CropManagement'!O37</f>
        <v>1182.5089197708812</v>
      </c>
      <c r="AM13" s="565">
        <f t="shared" ref="AM13:AM24" ca="1" si="1">AL13*$BG$18</f>
        <v>1182.5089197708812</v>
      </c>
      <c r="AN13" s="291"/>
      <c r="AO13" s="563"/>
      <c r="AP13" s="6" t="s">
        <v>88</v>
      </c>
      <c r="AQ13" s="610"/>
      <c r="AR13" s="611" t="e">
        <f t="shared" ca="1" si="0"/>
        <v>#DIV/0!</v>
      </c>
      <c r="AS13" s="600"/>
      <c r="AT13" s="600"/>
      <c r="AU13" s="601"/>
      <c r="AV13" s="602"/>
      <c r="AW13" s="600"/>
      <c r="AX13" s="600"/>
      <c r="AY13" s="601"/>
      <c r="AZ13" s="602"/>
      <c r="BA13" s="600"/>
      <c r="BB13" s="563" t="str">
        <f>'1.GeneralInfo'!I13</f>
        <v>Co-product 2</v>
      </c>
      <c r="BC13" s="563" t="str">
        <f>'1.GeneralInfo'!M13</f>
        <v/>
      </c>
      <c r="BD13" s="563" t="str">
        <f ca="1">BD12</f>
        <v xml:space="preserve">tonnes </v>
      </c>
      <c r="BE13" s="563" t="str">
        <f>'1.GeneralInfo'!N13</f>
        <v/>
      </c>
      <c r="BF13" s="291">
        <f ca="1">IF(ISERROR(BC13*SUMIF(BL$7:BL$15,BD13,BM$7:BM$15)),0,BC13*SUMIF(BL$7:BL$15,BD13,BM$7:BM$15))</f>
        <v>0</v>
      </c>
      <c r="BG13" s="291">
        <f>IF('1.GeneralInfo'!K13="",IF(ISERROR(BE13*BF13),0,BE13*BF13)/100/'1.GeneralInfo'!S$14,'1.GeneralInfo'!K13/100)</f>
        <v>0</v>
      </c>
      <c r="BH13" s="291">
        <f ca="1">BG13/SUM(BG$12:BG$16)</f>
        <v>0</v>
      </c>
      <c r="BI13" s="60"/>
      <c r="BJ13" s="60"/>
      <c r="BK13" s="60"/>
      <c r="BL13" s="879" t="str">
        <f>'2.CropManagement'!X162</f>
        <v>trees</v>
      </c>
      <c r="BM13" s="879">
        <f>'2.CropManagement'!Y162</f>
        <v>1</v>
      </c>
      <c r="BN13" s="60"/>
    </row>
    <row r="14" spans="1:66" ht="22.5" customHeight="1" thickBot="1" x14ac:dyDescent="0.3">
      <c r="A14" s="166"/>
      <c r="B14" s="381"/>
      <c r="C14" s="92" t="s">
        <v>8</v>
      </c>
      <c r="D14" s="1429">
        <f ca="1">'2.CropManagement'!D36</f>
        <v>9685.028571428571</v>
      </c>
      <c r="E14" s="1430"/>
      <c r="F14" s="1430"/>
      <c r="G14" s="1429">
        <f t="shared" ref="G14:G27" ca="1" si="2">SUMIF(AK$4:AK$7,D$5,AL$4:AL$7)*AM12</f>
        <v>9685.028571428571</v>
      </c>
      <c r="H14" s="1431">
        <f ca="1">IF('1.GeneralInfo'!E$12=0,"N/A",$G14/('1.GeneralInfo'!S$12/SUMIF('2.CropManagement'!X$152:X$153,'1.GeneralInfo'!F$12,'2.CropManagement'!Y$152:Y$153)))</f>
        <v>1345.1428571428571</v>
      </c>
      <c r="I14" s="1432">
        <f ca="1">IF('1.GeneralInfo'!E14=0,"N/A",G14/('1.GeneralInfo'!S$14/SUMIF('2.CropManagement'!X$157:X$164,'1.GeneralInfo'!F$14,'2.CropManagement'!Y$157:Y$164))*IF(J$5="Yes",AB$8,AB$7))</f>
        <v>156.41196013289036</v>
      </c>
      <c r="J14" s="1433" t="str">
        <f t="shared" ref="J14:J22" si="3">IF(AP$10,AR12,"")</f>
        <v/>
      </c>
      <c r="K14" s="11"/>
      <c r="L14" s="11"/>
      <c r="M14" s="11"/>
      <c r="N14" s="11"/>
      <c r="O14" s="186"/>
      <c r="P14" s="186"/>
      <c r="Q14" s="186"/>
      <c r="R14" s="186"/>
      <c r="S14" s="499"/>
      <c r="T14" s="149"/>
      <c r="U14" s="149"/>
      <c r="V14" s="166"/>
      <c r="W14" s="166"/>
      <c r="X14" s="166"/>
      <c r="Y14" s="566">
        <v>3</v>
      </c>
      <c r="Z14" s="166"/>
      <c r="AA14" s="166"/>
      <c r="AB14" s="609">
        <v>1</v>
      </c>
      <c r="AC14" s="166">
        <f>'A1. Submodels &amp; data'!B379</f>
        <v>296</v>
      </c>
      <c r="AD14" s="166">
        <f>'A1. Submodels &amp; data'!B378</f>
        <v>25</v>
      </c>
      <c r="AE14" s="146"/>
      <c r="AF14" s="146"/>
      <c r="AG14" s="146"/>
      <c r="AH14" s="146"/>
      <c r="AI14" s="146"/>
      <c r="AJ14" s="186"/>
      <c r="AK14" s="186"/>
      <c r="AL14" s="562">
        <f>'2.CropManagement'!O39</f>
        <v>0</v>
      </c>
      <c r="AM14" s="565">
        <f t="shared" ca="1" si="1"/>
        <v>0</v>
      </c>
      <c r="AN14" s="563"/>
      <c r="AO14" s="563"/>
      <c r="AP14" s="6" t="s">
        <v>89</v>
      </c>
      <c r="AQ14" s="610"/>
      <c r="AR14" s="611" t="e">
        <f t="shared" ca="1" si="0"/>
        <v>#DIV/0!</v>
      </c>
      <c r="AS14" s="600"/>
      <c r="AT14" s="600"/>
      <c r="AU14" s="601"/>
      <c r="AV14" s="602"/>
      <c r="AW14" s="600"/>
      <c r="AX14" s="600"/>
      <c r="AY14" s="601"/>
      <c r="AZ14" s="602"/>
      <c r="BA14" s="600"/>
      <c r="BB14" s="563" t="str">
        <f>'1.GeneralInfo'!I14</f>
        <v>Co-product 3</v>
      </c>
      <c r="BC14" s="563" t="str">
        <f>'1.GeneralInfo'!M14</f>
        <v/>
      </c>
      <c r="BD14" s="563" t="str">
        <f ca="1">BD13</f>
        <v xml:space="preserve">tonnes </v>
      </c>
      <c r="BE14" s="563" t="str">
        <f>'1.GeneralInfo'!N14</f>
        <v/>
      </c>
      <c r="BF14" s="291">
        <f ca="1">IF(ISERROR(BC14*SUMIF(BL$7:BL$15,BD14,BM$7:BM$15)),0,BC14*SUMIF(BL$7:BL$15,BD14,BM$7:BM$15))</f>
        <v>0</v>
      </c>
      <c r="BG14" s="291">
        <f>IF('1.GeneralInfo'!K14="",IF(ISERROR(BE14*BF14),0,BE14*BF14)/100/'1.GeneralInfo'!S$14,'1.GeneralInfo'!K14/100)</f>
        <v>0</v>
      </c>
      <c r="BH14" s="291">
        <f ca="1">BG14/SUM(BG$12:BG$16)</f>
        <v>0</v>
      </c>
      <c r="BI14" s="60"/>
      <c r="BJ14" s="60"/>
      <c r="BK14" s="60"/>
      <c r="BL14" s="879" t="str">
        <f>'2.CropManagement'!X163</f>
        <v>gallons</v>
      </c>
      <c r="BM14" s="879">
        <f>'2.CropManagement'!Y163</f>
        <v>3.7854120000000002E-3</v>
      </c>
      <c r="BN14" s="60"/>
    </row>
    <row r="15" spans="1:66" ht="22.5" customHeight="1" thickBot="1" x14ac:dyDescent="0.3">
      <c r="A15" s="166"/>
      <c r="B15" s="381"/>
      <c r="C15" s="93" t="s">
        <v>1393</v>
      </c>
      <c r="D15" s="1434">
        <f ca="1">'2.CropManagement'!D38</f>
        <v>0</v>
      </c>
      <c r="E15" s="1435">
        <f ca="1">'2.CropManagement'!E38+'2.CropManagement'!E37</f>
        <v>3.994962566793518</v>
      </c>
      <c r="F15" s="1436"/>
      <c r="G15" s="1434">
        <f t="shared" ca="1" si="2"/>
        <v>1182.5089197708812</v>
      </c>
      <c r="H15" s="1437">
        <f ca="1">IF('1.GeneralInfo'!E$12=0,"N/A",$G15/('1.GeneralInfo'!S$12/SUMIF('2.CropManagement'!X$152:X$153,'1.GeneralInfo'!F$12,'2.CropManagement'!Y$152:Y$153)))</f>
        <v>164.23734996817794</v>
      </c>
      <c r="I15" s="1433">
        <f ca="1">IF('1.GeneralInfo'!E14=0,"N/A",G15/('1.GeneralInfo'!S$14/SUMIF('2.CropManagement'!X$157:X$164,'1.GeneralInfo'!F$14,'2.CropManagement'!Y$157:Y$164))*IF(J$5="Yes",AB$8,AB$7))</f>
        <v>19.097366275369527</v>
      </c>
      <c r="J15" s="1433" t="str">
        <f t="shared" si="3"/>
        <v/>
      </c>
      <c r="K15" s="11"/>
      <c r="L15" s="11"/>
      <c r="M15" s="11"/>
      <c r="N15" s="11"/>
      <c r="O15" s="186"/>
      <c r="P15" s="186"/>
      <c r="Q15" s="186"/>
      <c r="R15" s="186"/>
      <c r="S15" s="499"/>
      <c r="T15" s="149"/>
      <c r="U15" s="149"/>
      <c r="V15" s="271"/>
      <c r="W15" s="271"/>
      <c r="X15" s="271"/>
      <c r="Y15" s="614">
        <v>4</v>
      </c>
      <c r="Z15" s="271"/>
      <c r="AA15" s="149"/>
      <c r="AB15" s="149">
        <v>1</v>
      </c>
      <c r="AC15" s="186">
        <v>2</v>
      </c>
      <c r="AD15" s="186">
        <v>3</v>
      </c>
      <c r="AE15" s="186"/>
      <c r="AF15" s="186"/>
      <c r="AG15" s="186"/>
      <c r="AH15" s="186"/>
      <c r="AI15" s="186"/>
      <c r="AJ15" s="186"/>
      <c r="AK15" s="186"/>
      <c r="AL15" s="562">
        <f ca="1">'2.CropManagement'!O40</f>
        <v>1514.0808</v>
      </c>
      <c r="AM15" s="565">
        <f t="shared" ca="1" si="1"/>
        <v>1514.0808</v>
      </c>
      <c r="AN15" s="563"/>
      <c r="AO15" s="563"/>
      <c r="AP15" s="6" t="s">
        <v>90</v>
      </c>
      <c r="AQ15" s="610"/>
      <c r="AR15" s="611" t="e">
        <f t="shared" ca="1" si="0"/>
        <v>#DIV/0!</v>
      </c>
      <c r="AS15" s="600"/>
      <c r="AT15" s="600"/>
      <c r="AU15" s="601"/>
      <c r="AV15" s="602"/>
      <c r="AW15" s="600"/>
      <c r="AX15" s="600"/>
      <c r="AY15" s="601"/>
      <c r="AZ15" s="602"/>
      <c r="BA15" s="600"/>
      <c r="BB15" s="563" t="str">
        <f>'1.GeneralInfo'!I15</f>
        <v>Co-product 4</v>
      </c>
      <c r="BC15" s="563" t="str">
        <f>'1.GeneralInfo'!M15</f>
        <v/>
      </c>
      <c r="BD15" s="563" t="str">
        <f ca="1">BD14</f>
        <v xml:space="preserve">tonnes </v>
      </c>
      <c r="BE15" s="563" t="str">
        <f>'1.GeneralInfo'!N15</f>
        <v/>
      </c>
      <c r="BF15" s="291">
        <f ca="1">IF(ISERROR(BC15*SUMIF(BL$7:BL$15,BD15,BM$7:BM$15)),0,BC15*SUMIF(BL$7:BL$15,BD15,BM$7:BM$15))</f>
        <v>0</v>
      </c>
      <c r="BG15" s="291">
        <f>IF('1.GeneralInfo'!K15="",IF(ISERROR(BE15*BF15),0,BE15*BF15)/100/'1.GeneralInfo'!S$14,'1.GeneralInfo'!K15/100)</f>
        <v>0</v>
      </c>
      <c r="BH15" s="291">
        <f ca="1">BG15/SUM(BG$12:BG$16)</f>
        <v>0</v>
      </c>
      <c r="BI15" s="60"/>
      <c r="BJ15" s="60"/>
      <c r="BK15" s="60"/>
      <c r="BL15" s="879" t="str">
        <f>'2.CropManagement'!X164</f>
        <v>pounds</v>
      </c>
      <c r="BM15" s="879">
        <f>'2.CropManagement'!Y164</f>
        <v>4.5359237000000004E-4</v>
      </c>
      <c r="BN15" s="60"/>
    </row>
    <row r="16" spans="1:66" ht="22.5" customHeight="1" thickBot="1" x14ac:dyDescent="0.3">
      <c r="A16" s="166"/>
      <c r="B16" s="381"/>
      <c r="C16" s="93" t="s">
        <v>89</v>
      </c>
      <c r="D16" s="1438"/>
      <c r="E16" s="1436"/>
      <c r="F16" s="1435">
        <f>'2.CropManagement'!F39</f>
        <v>0</v>
      </c>
      <c r="G16" s="1434">
        <f t="shared" ca="1" si="2"/>
        <v>0</v>
      </c>
      <c r="H16" s="1437">
        <f ca="1">IF('1.GeneralInfo'!E$12=0,"N/A",$G16/('1.GeneralInfo'!S$12/SUMIF('2.CropManagement'!X$152:X$153,'1.GeneralInfo'!F$12,'2.CropManagement'!Y$152:Y$153)))</f>
        <v>0</v>
      </c>
      <c r="I16" s="1433">
        <f ca="1">IF('1.GeneralInfo'!E14=0,"N/A",G16/('1.GeneralInfo'!S$14/SUMIF('2.CropManagement'!X$157:X$164,'1.GeneralInfo'!F$14,'2.CropManagement'!Y$157:Y$164))*IF(J$5="Yes",AB$8,AB$7))</f>
        <v>0</v>
      </c>
      <c r="J16" s="1433" t="str">
        <f t="shared" si="3"/>
        <v/>
      </c>
      <c r="K16" s="11"/>
      <c r="L16" s="11"/>
      <c r="M16" s="11"/>
      <c r="N16" s="11"/>
      <c r="O16" s="186"/>
      <c r="P16" s="186"/>
      <c r="Q16" s="186"/>
      <c r="R16" s="186"/>
      <c r="S16" s="499"/>
      <c r="T16" s="149"/>
      <c r="U16" s="149"/>
      <c r="V16" s="149"/>
      <c r="W16" s="166"/>
      <c r="X16" s="149"/>
      <c r="Y16" s="614">
        <v>5</v>
      </c>
      <c r="Z16" s="149"/>
      <c r="AA16" s="149"/>
      <c r="AB16" s="149">
        <f ca="1">OFFSET(C27,0,SUMIF(AB12:AD12,AB13,AB15:AD15))</f>
        <v>11498.391043009711</v>
      </c>
      <c r="AC16" s="186">
        <f ca="1">ROUND(AB16,3)</f>
        <v>11498.391</v>
      </c>
      <c r="AD16" s="186"/>
      <c r="AE16" s="186"/>
      <c r="AF16" s="186"/>
      <c r="AG16" s="186"/>
      <c r="AH16" s="186"/>
      <c r="AI16" s="186"/>
      <c r="AJ16" s="186"/>
      <c r="AK16" s="186"/>
      <c r="AL16" s="562">
        <f ca="1">'2.CropManagement'!O41</f>
        <v>0</v>
      </c>
      <c r="AM16" s="565">
        <f t="shared" ca="1" si="1"/>
        <v>0</v>
      </c>
      <c r="AN16" s="563"/>
      <c r="AO16" s="563"/>
      <c r="AP16" s="6" t="s">
        <v>91</v>
      </c>
      <c r="AQ16" s="610"/>
      <c r="AR16" s="611" t="e">
        <f t="shared" ca="1" si="0"/>
        <v>#DIV/0!</v>
      </c>
      <c r="AS16" s="600"/>
      <c r="AT16" s="600"/>
      <c r="AU16" s="601"/>
      <c r="AV16" s="602"/>
      <c r="AW16" s="600"/>
      <c r="AX16" s="600"/>
      <c r="AY16" s="601"/>
      <c r="AZ16" s="602"/>
      <c r="BA16" s="600"/>
      <c r="BB16" s="563" t="s">
        <v>913</v>
      </c>
      <c r="BC16" s="563"/>
      <c r="BD16" s="563"/>
      <c r="BF16" s="291">
        <f ca="1">'1.GeneralInfo'!E14*SUMIF(BL$7:BL$15,'1.GeneralInfo'!F14,BM$7:BM$15)</f>
        <v>61.92</v>
      </c>
      <c r="BG16" s="291">
        <f ca="1">IF(SUM(BG12:BG15)&lt;&gt;0,1,BF16*100)</f>
        <v>6192</v>
      </c>
      <c r="BH16" s="291"/>
      <c r="BI16" s="60"/>
      <c r="BJ16" s="60"/>
      <c r="BK16" s="60"/>
      <c r="BL16" s="879"/>
      <c r="BM16" s="879"/>
      <c r="BN16" s="60"/>
    </row>
    <row r="17" spans="1:66" ht="22.5" customHeight="1" thickBot="1" x14ac:dyDescent="0.3">
      <c r="A17" s="166"/>
      <c r="B17" s="381"/>
      <c r="C17" s="93" t="s">
        <v>90</v>
      </c>
      <c r="D17" s="1434">
        <f ca="1">'2.CropManagement'!D40</f>
        <v>1514.0808</v>
      </c>
      <c r="E17" s="1436"/>
      <c r="F17" s="1436"/>
      <c r="G17" s="1434">
        <f t="shared" ca="1" si="2"/>
        <v>1514.0808</v>
      </c>
      <c r="H17" s="1437">
        <f ca="1">IF('1.GeneralInfo'!E$12=0,"N/A",$G17/('1.GeneralInfo'!S$12/SUMIF('2.CropManagement'!X$152:X$153,'1.GeneralInfo'!F$12,'2.CropManagement'!Y$152:Y$153)))</f>
        <v>210.28899999999999</v>
      </c>
      <c r="I17" s="1433">
        <f ca="1">IF('1.GeneralInfo'!E14=0,"N/A",G17/('1.GeneralInfo'!S$14/SUMIF('2.CropManagement'!X$157:X$164,'1.GeneralInfo'!F$14,'2.CropManagement'!Y$157:Y$164))*IF(J$5="Yes",AB$8,AB$7))</f>
        <v>24.452209302325581</v>
      </c>
      <c r="J17" s="1433" t="str">
        <f t="shared" si="3"/>
        <v/>
      </c>
      <c r="K17" s="11"/>
      <c r="L17" s="11"/>
      <c r="M17" s="11"/>
      <c r="N17" s="11"/>
      <c r="O17" s="186"/>
      <c r="P17" s="186"/>
      <c r="Q17" s="186"/>
      <c r="R17" s="186"/>
      <c r="S17" s="499"/>
      <c r="T17" s="149"/>
      <c r="U17" s="149"/>
      <c r="V17" s="149"/>
      <c r="W17" s="166"/>
      <c r="X17" s="166"/>
      <c r="Y17" s="614">
        <v>6</v>
      </c>
      <c r="Z17" s="149"/>
      <c r="AA17" s="149"/>
      <c r="AB17" s="149" t="str">
        <f ca="1">OFFSET(C13,0,SUMIF(AB12:AD12,AB13,AB15:AD15))</f>
        <v>CO2</v>
      </c>
      <c r="AC17" s="186"/>
      <c r="AD17" s="186"/>
      <c r="AE17" s="186"/>
      <c r="AF17" s="186"/>
      <c r="AG17" s="186"/>
      <c r="AH17" s="186"/>
      <c r="AI17" s="186"/>
      <c r="AJ17" s="186"/>
      <c r="AK17" s="186"/>
      <c r="AL17" s="562">
        <f>D19</f>
        <v>0</v>
      </c>
      <c r="AM17" s="565">
        <f t="shared" ca="1" si="1"/>
        <v>0</v>
      </c>
      <c r="AN17" s="563"/>
      <c r="AO17" s="563"/>
      <c r="AP17" s="6" t="s">
        <v>92</v>
      </c>
      <c r="AQ17" s="610"/>
      <c r="AR17" s="611" t="e">
        <f t="shared" ca="1" si="0"/>
        <v>#DIV/0!</v>
      </c>
      <c r="AS17" s="600"/>
      <c r="AT17" s="600"/>
      <c r="AU17" s="601"/>
      <c r="AV17" s="602"/>
      <c r="AW17" s="600"/>
      <c r="AX17" s="600"/>
      <c r="AY17" s="601"/>
      <c r="AZ17" s="602"/>
      <c r="BA17" s="600"/>
      <c r="BB17" s="563"/>
      <c r="BC17" s="563"/>
      <c r="BD17" s="563"/>
      <c r="BE17" s="563"/>
      <c r="BF17" s="291"/>
      <c r="BG17" s="291"/>
      <c r="BH17" s="291"/>
      <c r="BI17" s="60"/>
      <c r="BJ17" s="60"/>
      <c r="BK17" s="60"/>
      <c r="BL17" s="879"/>
      <c r="BM17" s="879"/>
      <c r="BN17" s="60"/>
    </row>
    <row r="18" spans="1:66" ht="15.7" customHeight="1" thickBot="1" x14ac:dyDescent="0.3">
      <c r="A18" s="166"/>
      <c r="B18" s="381"/>
      <c r="C18" s="93" t="s">
        <v>91</v>
      </c>
      <c r="D18" s="1434">
        <f>'2.CropManagement'!D41</f>
        <v>0</v>
      </c>
      <c r="E18" s="1435">
        <f ca="1">'2.CropManagement'!E41</f>
        <v>0</v>
      </c>
      <c r="F18" s="1435">
        <f>'2.CropManagement'!F41</f>
        <v>0</v>
      </c>
      <c r="G18" s="1434">
        <f t="shared" ca="1" si="2"/>
        <v>0</v>
      </c>
      <c r="H18" s="1437">
        <f ca="1">IF('1.GeneralInfo'!E$12=0,"N/A",$G18/('1.GeneralInfo'!S$12/SUMIF('2.CropManagement'!X$152:X$153,'1.GeneralInfo'!F$12,'2.CropManagement'!Y$152:Y$153)))</f>
        <v>0</v>
      </c>
      <c r="I18" s="1433">
        <f ca="1">IF('1.GeneralInfo'!E14=0,"N/A",G18/('1.GeneralInfo'!S$14/SUMIF('2.CropManagement'!X$157:X$164,'1.GeneralInfo'!F$14,'2.CropManagement'!Y$157:Y$164))*IF(J$5="Yes",AB$8,AB$7))</f>
        <v>0</v>
      </c>
      <c r="J18" s="1433" t="str">
        <f t="shared" si="3"/>
        <v/>
      </c>
      <c r="K18" s="11"/>
      <c r="L18" s="11"/>
      <c r="M18" s="11"/>
      <c r="N18" s="11"/>
      <c r="O18" s="186"/>
      <c r="P18" s="186"/>
      <c r="Q18" s="186"/>
      <c r="R18" s="186"/>
      <c r="S18" s="499"/>
      <c r="T18" s="149"/>
      <c r="U18" s="149"/>
      <c r="V18" s="149"/>
      <c r="W18" s="166"/>
      <c r="X18" s="149"/>
      <c r="Y18" s="615">
        <v>7</v>
      </c>
      <c r="Z18" s="149"/>
      <c r="AA18" s="149"/>
      <c r="AB18" s="149" t="str">
        <f ca="1">" - the " &amp; ROUND(AC16/AB20,2)&amp;" kgs of " &amp;AB17&amp; " equate to " &amp;ROUND(SUMIF(AK$4:AK$7,D$5,AL$4:AL$7)*AC13/AB20,3)&amp; " " &amp; D5&amp; " " &amp; "per " &amp;X5&amp; "."</f>
        <v xml:space="preserve"> - the 185.7 kgs of CO2 equate to 185.691 kg CO2 eq per tonne.</v>
      </c>
      <c r="AC18" s="186"/>
      <c r="AD18" s="186"/>
      <c r="AE18" s="186"/>
      <c r="AF18" s="186"/>
      <c r="AG18" s="186"/>
      <c r="AH18" s="186"/>
      <c r="AI18" s="186"/>
      <c r="AJ18" s="186"/>
      <c r="AK18" s="186"/>
      <c r="AL18" s="562">
        <f>D20+'A1. Submodels &amp; data'!$B$379*E20+'A1. Submodels &amp; data'!$B$378*F20</f>
        <v>0</v>
      </c>
      <c r="AM18" s="565">
        <f t="shared" ca="1" si="1"/>
        <v>0</v>
      </c>
      <c r="AN18" s="563"/>
      <c r="AO18" s="563"/>
      <c r="AP18" s="6" t="s">
        <v>93</v>
      </c>
      <c r="AQ18" s="610"/>
      <c r="AR18" s="611" t="e">
        <f t="shared" ca="1" si="0"/>
        <v>#DIV/0!</v>
      </c>
      <c r="AS18" s="600"/>
      <c r="AT18" s="600"/>
      <c r="AU18" s="601"/>
      <c r="AV18" s="602"/>
      <c r="AW18" s="600"/>
      <c r="AX18" s="600"/>
      <c r="AY18" s="601"/>
      <c r="AZ18" s="602"/>
      <c r="BA18" s="600"/>
      <c r="BB18" s="563"/>
      <c r="BC18" s="563"/>
      <c r="BD18" s="563"/>
      <c r="BE18" s="563" t="s">
        <v>1726</v>
      </c>
      <c r="BF18" s="291"/>
      <c r="BG18" s="291">
        <f ca="1">BG16/SUM(BG12:BG16)</f>
        <v>1</v>
      </c>
      <c r="BH18" s="291"/>
      <c r="BI18" s="60"/>
      <c r="BJ18" s="60"/>
      <c r="BK18" s="60"/>
      <c r="BL18" s="879"/>
      <c r="BM18" s="879"/>
      <c r="BN18" s="60"/>
    </row>
    <row r="19" spans="1:66" ht="16.600000000000001" hidden="1" customHeight="1" thickBot="1" x14ac:dyDescent="0.3">
      <c r="A19" s="166"/>
      <c r="B19" s="381"/>
      <c r="C19" s="93"/>
      <c r="D19" s="1434"/>
      <c r="E19" s="1436"/>
      <c r="F19" s="1436"/>
      <c r="G19" s="1434"/>
      <c r="H19" s="1437"/>
      <c r="I19" s="1433"/>
      <c r="J19" s="1433"/>
      <c r="K19" s="11"/>
      <c r="L19" s="11"/>
      <c r="M19" s="11"/>
      <c r="N19" s="11"/>
      <c r="O19" s="186"/>
      <c r="P19" s="186"/>
      <c r="Q19" s="186"/>
      <c r="R19" s="186"/>
      <c r="S19" s="499"/>
      <c r="T19" s="149"/>
      <c r="U19" s="149"/>
      <c r="V19" s="4"/>
      <c r="W19" s="149"/>
      <c r="X19" s="149"/>
      <c r="Y19" s="614">
        <v>8</v>
      </c>
      <c r="Z19" s="149"/>
      <c r="AA19" s="149"/>
      <c r="AB19" s="149" t="str">
        <f ca="1">"- with a total of " &amp;ROUND(AC13/AB20,2)&amp; "kgs of CO2 per " &amp;X5&amp; "."</f>
        <v>- with a total of 185.69kgs of CO2 per tonne.</v>
      </c>
      <c r="AC19" s="186"/>
      <c r="AD19" s="186"/>
      <c r="AE19" s="186"/>
      <c r="AF19" s="186"/>
      <c r="AG19" s="186"/>
      <c r="AH19" s="186"/>
      <c r="AI19" s="186"/>
      <c r="AJ19" s="186"/>
      <c r="AK19" s="186"/>
      <c r="AL19" s="562"/>
      <c r="AM19" s="565"/>
      <c r="AN19" s="563"/>
      <c r="AO19" s="563"/>
      <c r="AP19" s="6" t="s">
        <v>94</v>
      </c>
      <c r="AQ19" s="610"/>
      <c r="AR19" s="611" t="e">
        <f t="shared" si="0"/>
        <v>#DIV/0!</v>
      </c>
      <c r="AS19" s="600"/>
      <c r="AT19" s="600"/>
      <c r="AU19" s="601"/>
      <c r="AV19" s="602"/>
      <c r="AW19" s="600"/>
      <c r="AX19" s="600"/>
      <c r="AY19" s="601"/>
      <c r="AZ19" s="602"/>
      <c r="BA19" s="600"/>
      <c r="BB19" s="563"/>
      <c r="BC19" s="563"/>
      <c r="BD19" s="563"/>
      <c r="BE19" s="563"/>
      <c r="BF19" s="291"/>
      <c r="BG19" s="291"/>
      <c r="BH19" s="291"/>
      <c r="BI19" s="60"/>
      <c r="BJ19" s="60"/>
      <c r="BK19" s="60"/>
      <c r="BL19" s="879"/>
      <c r="BM19" s="879"/>
      <c r="BN19" s="60"/>
    </row>
    <row r="20" spans="1:66" ht="16.600000000000001" customHeight="1" thickBot="1" x14ac:dyDescent="0.3">
      <c r="A20" s="166"/>
      <c r="B20" s="381"/>
      <c r="C20" s="93" t="s">
        <v>93</v>
      </c>
      <c r="D20" s="1438"/>
      <c r="E20" s="1435"/>
      <c r="F20" s="1435">
        <f>'4.Livestock'!E99</f>
        <v>0</v>
      </c>
      <c r="G20" s="1434">
        <f t="shared" ca="1" si="2"/>
        <v>0</v>
      </c>
      <c r="H20" s="1437">
        <f ca="1">IF('1.GeneralInfo'!E$12=0,"N/A",$G20/('1.GeneralInfo'!S$12/SUMIF('2.CropManagement'!X$152:X$153,'1.GeneralInfo'!F$12,'2.CropManagement'!Y$152:Y$153)))</f>
        <v>0</v>
      </c>
      <c r="I20" s="1433">
        <f ca="1">IF('1.GeneralInfo'!E14=0,"N/A",G20/('1.GeneralInfo'!S$14/SUMIF('2.CropManagement'!X$157:X$164,'1.GeneralInfo'!F$14,'2.CropManagement'!Y$157:Y$164))*IF(J$5="Yes",AB$8,AB$7))</f>
        <v>0</v>
      </c>
      <c r="J20" s="1433" t="str">
        <f t="shared" si="3"/>
        <v/>
      </c>
      <c r="K20" s="11"/>
      <c r="L20" s="11"/>
      <c r="M20" s="11"/>
      <c r="N20" s="11"/>
      <c r="O20" s="186"/>
      <c r="P20" s="186"/>
      <c r="Q20" s="186"/>
      <c r="R20" s="186"/>
      <c r="S20" s="499"/>
      <c r="T20" s="149"/>
      <c r="U20" s="149"/>
      <c r="V20" s="149"/>
      <c r="W20" s="149"/>
      <c r="X20" s="149"/>
      <c r="Y20" s="614">
        <v>9</v>
      </c>
      <c r="Z20" s="149"/>
      <c r="AA20" s="149"/>
      <c r="AB20" s="149">
        <f ca="1">'1.GeneralInfo'!S$14/SUMIF('2.CropManagement'!X$157:X$164,'1.GeneralInfo'!F$14,'2.CropManagement'!Y$157:Y$164)</f>
        <v>61.92</v>
      </c>
      <c r="AC20" s="186"/>
      <c r="AD20" s="186"/>
      <c r="AE20" s="186"/>
      <c r="AF20" s="186"/>
      <c r="AG20" s="186"/>
      <c r="AH20" s="186"/>
      <c r="AI20" s="186"/>
      <c r="AJ20" s="186"/>
      <c r="AK20" s="186"/>
      <c r="AL20" s="562">
        <f>D22</f>
        <v>0</v>
      </c>
      <c r="AM20" s="565">
        <f t="shared" ca="1" si="1"/>
        <v>0</v>
      </c>
      <c r="AN20" s="563"/>
      <c r="AO20" s="563"/>
      <c r="AP20" s="6" t="s">
        <v>83</v>
      </c>
      <c r="AQ20" s="610"/>
      <c r="AR20" s="611" t="e">
        <f t="shared" ca="1" si="0"/>
        <v>#DIV/0!</v>
      </c>
      <c r="AS20" s="600"/>
      <c r="AT20" s="600"/>
      <c r="AU20" s="601"/>
      <c r="AV20" s="602"/>
      <c r="AW20" s="600"/>
      <c r="AX20" s="600"/>
      <c r="AY20" s="601"/>
      <c r="AZ20" s="602"/>
      <c r="BA20" s="600"/>
      <c r="BB20" s="563"/>
      <c r="BC20" s="563"/>
      <c r="BD20" s="563"/>
      <c r="BE20" s="563"/>
      <c r="BF20" s="291"/>
      <c r="BG20" s="291"/>
      <c r="BH20" s="291"/>
      <c r="BI20" s="60"/>
      <c r="BJ20" s="60"/>
      <c r="BK20" s="60"/>
      <c r="BL20" s="879"/>
      <c r="BM20" s="879"/>
      <c r="BN20" s="60"/>
    </row>
    <row r="21" spans="1:66" ht="22.5" customHeight="1" thickBot="1" x14ac:dyDescent="0.3">
      <c r="A21" s="166"/>
      <c r="B21" s="381"/>
      <c r="C21" s="93" t="s">
        <v>94</v>
      </c>
      <c r="D21" s="1438"/>
      <c r="E21" s="1435">
        <f>'4.Livestock'!G99+'4.Livestock'!H99</f>
        <v>0</v>
      </c>
      <c r="F21" s="1435">
        <f>'4.Livestock'!F99</f>
        <v>0</v>
      </c>
      <c r="G21" s="1434">
        <f t="shared" si="2"/>
        <v>0</v>
      </c>
      <c r="H21" s="1437">
        <f>IF('1.GeneralInfo'!E$12=0,"N/A",$G21/('1.GeneralInfo'!S$12/SUMIF('2.CropManagement'!X$152:X$153,'1.GeneralInfo'!F$12,'2.CropManagement'!Y$152:Y$153)))</f>
        <v>0</v>
      </c>
      <c r="I21" s="1433">
        <f ca="1">IF('1.GeneralInfo'!E14=0,"N/A",G21/('1.GeneralInfo'!S$14/SUMIF('2.CropManagement'!X$157:X$164,'1.GeneralInfo'!F$14,'2.CropManagement'!Y$157:Y$164))*IF(J$5="Yes",AB$8,AB$7))</f>
        <v>0</v>
      </c>
      <c r="J21" s="1433" t="str">
        <f t="shared" si="3"/>
        <v/>
      </c>
      <c r="K21" s="11"/>
      <c r="L21" s="11"/>
      <c r="M21" s="11"/>
      <c r="N21" s="11"/>
      <c r="O21" s="186"/>
      <c r="P21" s="186"/>
      <c r="Q21" s="186"/>
      <c r="R21" s="186"/>
      <c r="S21" s="499"/>
      <c r="T21" s="259"/>
      <c r="U21" s="259"/>
      <c r="V21" s="259"/>
      <c r="W21" s="259"/>
      <c r="X21" s="616"/>
      <c r="Y21" s="617">
        <v>10</v>
      </c>
      <c r="Z21" s="259"/>
      <c r="AA21" s="259"/>
      <c r="AB21" s="259"/>
      <c r="AC21" s="569"/>
      <c r="AD21" s="569"/>
      <c r="AE21" s="569"/>
      <c r="AF21" s="569"/>
      <c r="AG21" s="569"/>
      <c r="AH21" s="569"/>
      <c r="AI21" s="569"/>
      <c r="AJ21" s="569"/>
      <c r="AK21" s="569"/>
      <c r="AL21" s="1582">
        <f ca="1">D23+'A1. Submodels &amp; data'!$B$379*E23+'A1. Submodels &amp; data'!$B$378*F23</f>
        <v>299.2816715811403</v>
      </c>
      <c r="AM21" s="565">
        <f t="shared" ca="1" si="1"/>
        <v>299.2816715811403</v>
      </c>
      <c r="AN21" s="563"/>
      <c r="AO21" s="563"/>
      <c r="AP21" s="6" t="s">
        <v>84</v>
      </c>
      <c r="AQ21" s="610"/>
      <c r="AR21" s="611" t="e">
        <f>#REF!/AQ$10</f>
        <v>#REF!</v>
      </c>
      <c r="AS21" s="600"/>
      <c r="AT21" s="600"/>
      <c r="AU21" s="601"/>
      <c r="AV21" s="602"/>
      <c r="AW21" s="600"/>
      <c r="AX21" s="600"/>
      <c r="AY21" s="601"/>
      <c r="AZ21" s="602"/>
      <c r="BA21" s="600"/>
      <c r="BB21" s="563"/>
      <c r="BC21" s="563"/>
      <c r="BD21" s="563"/>
      <c r="BE21" s="563"/>
      <c r="BF21" s="563"/>
      <c r="BG21" s="563"/>
      <c r="BH21" s="563"/>
      <c r="BI21" s="274"/>
      <c r="BJ21" s="274"/>
      <c r="BK21" s="274"/>
      <c r="BL21" s="274"/>
      <c r="BM21" s="274"/>
      <c r="BN21" s="274"/>
    </row>
    <row r="22" spans="1:66" ht="22.5" customHeight="1" thickBot="1" x14ac:dyDescent="0.3">
      <c r="A22" s="166"/>
      <c r="B22" s="381"/>
      <c r="C22" s="93" t="s">
        <v>83</v>
      </c>
      <c r="D22" s="1434">
        <f>'4.Livestock'!D99</f>
        <v>0</v>
      </c>
      <c r="E22" s="1436"/>
      <c r="F22" s="1436"/>
      <c r="G22" s="1434">
        <f t="shared" ca="1" si="2"/>
        <v>0</v>
      </c>
      <c r="H22" s="1437">
        <f ca="1">IF('1.GeneralInfo'!E$12=0,"N/A",$G22/('1.GeneralInfo'!S$12/SUMIF('2.CropManagement'!X$152:X$153,'1.GeneralInfo'!F$12,'2.CropManagement'!Y$152:Y$153)))</f>
        <v>0</v>
      </c>
      <c r="I22" s="1433">
        <f ca="1">IF('1.GeneralInfo'!E14=0,"N/A",G22/('1.GeneralInfo'!S$14/SUMIF('2.CropManagement'!X$157:X$164,'1.GeneralInfo'!F$14,'2.CropManagement'!Y$157:Y$164))*IF(J$5="Yes",AB$8,AB$7))</f>
        <v>0</v>
      </c>
      <c r="J22" s="1433" t="str">
        <f t="shared" si="3"/>
        <v/>
      </c>
      <c r="K22" s="11"/>
      <c r="L22" s="11"/>
      <c r="M22" s="11"/>
      <c r="N22" s="11"/>
      <c r="O22" s="186"/>
      <c r="P22" s="186"/>
      <c r="Q22" s="186"/>
      <c r="R22" s="186"/>
      <c r="S22" s="499"/>
      <c r="T22" s="259"/>
      <c r="U22" s="259"/>
      <c r="V22" s="259"/>
      <c r="W22" s="609"/>
      <c r="X22" s="616"/>
      <c r="Y22" s="617">
        <v>11</v>
      </c>
      <c r="Z22" s="259"/>
      <c r="AA22" s="259"/>
      <c r="AB22" s="259"/>
      <c r="AC22" s="569"/>
      <c r="AD22" s="569"/>
      <c r="AE22" s="569"/>
      <c r="AF22" s="569"/>
      <c r="AG22" s="569"/>
      <c r="AH22" s="569"/>
      <c r="AI22" s="569"/>
      <c r="AJ22" s="569"/>
      <c r="AK22" s="569"/>
      <c r="AL22" s="1582">
        <f ca="1">D24+'A1. Submodels &amp; data'!$B$379*E24+'A1. Submodels &amp; data'!$B$378*F24</f>
        <v>0</v>
      </c>
      <c r="AM22" s="565">
        <f t="shared" ca="1" si="1"/>
        <v>0</v>
      </c>
      <c r="AN22" s="570"/>
      <c r="AO22" s="563"/>
      <c r="AP22" s="6" t="s">
        <v>1236</v>
      </c>
      <c r="AQ22" s="610"/>
      <c r="AR22" s="611" t="e">
        <f ca="1">AM21/AQ$10</f>
        <v>#DIV/0!</v>
      </c>
      <c r="AS22" s="600"/>
      <c r="AT22" s="600"/>
      <c r="AU22" s="601"/>
      <c r="AV22" s="602"/>
      <c r="AW22" s="600"/>
      <c r="AX22" s="600"/>
      <c r="AY22" s="601"/>
      <c r="AZ22" s="602"/>
      <c r="BA22" s="600"/>
      <c r="BB22" s="291"/>
      <c r="BC22" s="291"/>
      <c r="BD22" s="291"/>
      <c r="BE22" s="291"/>
      <c r="BF22" s="563"/>
      <c r="BG22" s="563"/>
      <c r="BH22" s="563"/>
      <c r="BI22" s="274"/>
      <c r="BJ22" s="274"/>
      <c r="BK22" s="274"/>
      <c r="BL22" s="274"/>
      <c r="BM22" s="274"/>
      <c r="BN22" s="274"/>
    </row>
    <row r="23" spans="1:66" ht="22.5" customHeight="1" thickBot="1" x14ac:dyDescent="0.3">
      <c r="A23" s="253"/>
      <c r="B23" s="568"/>
      <c r="C23" s="93" t="s">
        <v>1236</v>
      </c>
      <c r="D23" s="1434">
        <f ca="1">'5.FieldEnergyUse'!M103</f>
        <v>299.2816715811403</v>
      </c>
      <c r="E23" s="1436"/>
      <c r="F23" s="1436"/>
      <c r="G23" s="1434">
        <f t="shared" ca="1" si="2"/>
        <v>299.2816715811403</v>
      </c>
      <c r="H23" s="1437">
        <f ca="1">IF('1.GeneralInfo'!E$12=0,"N/A",$G23/('1.GeneralInfo'!S$12/SUMIF('2.CropManagement'!X$152:X$153,'1.GeneralInfo'!F$12,'2.CropManagement'!Y$152:Y$153)))</f>
        <v>41.566898830713932</v>
      </c>
      <c r="I23" s="1433">
        <f ca="1">IF('1.GeneralInfo'!E14=0,"N/A",G23/('1.GeneralInfo'!S$14/SUMIF('2.CropManagement'!X$157:X$164,'1.GeneralInfo'!F$14,'2.CropManagement'!Y$157:Y$164))*IF(J$5="Yes",AB$8,AB$7))</f>
        <v>4.8333603291527822</v>
      </c>
      <c r="J23" s="1433" t="str">
        <f>IF(AP$10,AR22,"")</f>
        <v/>
      </c>
      <c r="K23" s="11"/>
      <c r="L23" s="11"/>
      <c r="M23" s="11"/>
      <c r="N23" s="11"/>
      <c r="O23" s="569"/>
      <c r="P23" s="569"/>
      <c r="Q23" s="569"/>
      <c r="R23" s="569"/>
      <c r="S23" s="1029"/>
      <c r="T23" s="259"/>
      <c r="U23" s="259"/>
      <c r="V23" s="259"/>
      <c r="W23" s="618"/>
      <c r="X23" s="259"/>
      <c r="Y23" s="617">
        <v>12</v>
      </c>
      <c r="Z23" s="259"/>
      <c r="AA23" s="259"/>
      <c r="AB23" s="259"/>
      <c r="AC23" s="569"/>
      <c r="AD23" s="569"/>
      <c r="AE23" s="569"/>
      <c r="AF23" s="569"/>
      <c r="AG23" s="569"/>
      <c r="AH23" s="569"/>
      <c r="AI23" s="569"/>
      <c r="AJ23" s="569"/>
      <c r="AK23" s="569"/>
      <c r="AL23" s="562">
        <f ca="1">D25+'A1. Submodels &amp; data'!$B$379*E25+'A1. Submodels &amp; data'!$B$378*F25</f>
        <v>0</v>
      </c>
      <c r="AM23" s="565">
        <f t="shared" ca="1" si="1"/>
        <v>0</v>
      </c>
      <c r="AN23" s="570"/>
      <c r="AO23" s="599"/>
      <c r="AP23" s="6" t="s">
        <v>85</v>
      </c>
      <c r="AQ23" s="604"/>
      <c r="AR23" s="611" t="e">
        <f ca="1">AM22/AQ$10</f>
        <v>#DIV/0!</v>
      </c>
      <c r="AS23" s="600"/>
      <c r="AT23" s="600"/>
      <c r="AU23" s="600"/>
      <c r="AV23" s="600"/>
      <c r="AW23" s="600"/>
      <c r="AX23" s="600"/>
      <c r="AY23" s="600"/>
      <c r="AZ23" s="600"/>
      <c r="BA23" s="600"/>
      <c r="BB23" s="291"/>
      <c r="BC23" s="291"/>
      <c r="BD23" s="291"/>
      <c r="BE23" s="291"/>
      <c r="BF23" s="563"/>
      <c r="BG23" s="563"/>
      <c r="BH23" s="563"/>
      <c r="BI23" s="274"/>
      <c r="BJ23" s="274"/>
      <c r="BK23" s="274"/>
      <c r="BL23" s="274"/>
      <c r="BM23" s="274"/>
      <c r="BN23" s="274"/>
    </row>
    <row r="24" spans="1:66" ht="22.5" customHeight="1" thickBot="1" x14ac:dyDescent="0.3">
      <c r="A24" s="253"/>
      <c r="B24" s="568"/>
      <c r="C24" s="93" t="s">
        <v>85</v>
      </c>
      <c r="D24" s="1434">
        <f ca="1">SUM('6.PrimaryProcessing'!L68:L72)</f>
        <v>0</v>
      </c>
      <c r="E24" s="1436"/>
      <c r="F24" s="1436"/>
      <c r="G24" s="1434">
        <f t="shared" ca="1" si="2"/>
        <v>0</v>
      </c>
      <c r="H24" s="1437">
        <f ca="1">IF('1.GeneralInfo'!E$12=0,"N/A",$G24/('1.GeneralInfo'!S$12/SUMIF('2.CropManagement'!X$152:X$153,'1.GeneralInfo'!F$12,'2.CropManagement'!Y$152:Y$153)))</f>
        <v>0</v>
      </c>
      <c r="I24" s="1433">
        <f ca="1">IF('1.GeneralInfo'!E14=0,"N/A",G24/('1.GeneralInfo'!S$14/SUMIF('2.CropManagement'!X$157:X$164,'1.GeneralInfo'!F$14,'2.CropManagement'!Y$157:Y$164))*IF(J$5="Yes",AB$8,AB$7))</f>
        <v>0</v>
      </c>
      <c r="J24" s="1433" t="str">
        <f>IF(AP$10,AR23,"")</f>
        <v/>
      </c>
      <c r="K24" s="11"/>
      <c r="L24" s="11"/>
      <c r="M24" s="11"/>
      <c r="N24" s="11"/>
      <c r="O24" s="569"/>
      <c r="P24" s="569"/>
      <c r="Q24" s="569"/>
      <c r="R24" s="569"/>
      <c r="S24" s="1029"/>
      <c r="T24" s="259"/>
      <c r="U24" s="259"/>
      <c r="V24" s="259"/>
      <c r="W24" s="609"/>
      <c r="X24" s="259"/>
      <c r="Y24" s="617">
        <v>13</v>
      </c>
      <c r="Z24" s="259"/>
      <c r="AA24" s="259"/>
      <c r="AB24" s="259"/>
      <c r="AC24" s="569"/>
      <c r="AD24" s="569"/>
      <c r="AE24" s="569"/>
      <c r="AF24" s="569"/>
      <c r="AG24" s="569"/>
      <c r="AH24" s="569"/>
      <c r="AI24" s="569"/>
      <c r="AJ24" s="569"/>
      <c r="AK24" s="569"/>
      <c r="AL24" s="571">
        <f ca="1">'7.Transport'!Y51</f>
        <v>0</v>
      </c>
      <c r="AM24" s="565">
        <f t="shared" ca="1" si="1"/>
        <v>0</v>
      </c>
      <c r="AN24" s="570"/>
      <c r="AO24" s="291"/>
      <c r="AP24" s="6" t="s">
        <v>86</v>
      </c>
      <c r="AQ24" s="150"/>
      <c r="AR24" s="611" t="e">
        <f ca="1">AM23/AQ$10</f>
        <v>#DIV/0!</v>
      </c>
      <c r="AS24" s="291"/>
      <c r="AT24" s="291"/>
      <c r="AU24" s="291"/>
      <c r="AV24" s="291"/>
      <c r="AW24" s="291"/>
      <c r="AX24" s="291"/>
      <c r="AY24" s="291"/>
      <c r="AZ24" s="291"/>
      <c r="BA24" s="291"/>
      <c r="BB24" s="291"/>
      <c r="BC24" s="291"/>
      <c r="BD24" s="291"/>
      <c r="BE24" s="291"/>
      <c r="BF24" s="563"/>
      <c r="BG24" s="563"/>
      <c r="BH24" s="563"/>
      <c r="BI24" s="274"/>
      <c r="BJ24" s="274"/>
      <c r="BK24" s="274"/>
      <c r="BL24" s="274"/>
      <c r="BM24" s="274"/>
      <c r="BN24" s="274"/>
    </row>
    <row r="25" spans="1:66" ht="22.5" customHeight="1" thickBot="1" x14ac:dyDescent="0.3">
      <c r="A25" s="253"/>
      <c r="B25" s="568"/>
      <c r="C25" s="93" t="s">
        <v>86</v>
      </c>
      <c r="D25" s="1438"/>
      <c r="E25" s="1436"/>
      <c r="F25" s="1435">
        <f ca="1">'6.PrimaryProcessing'!F40</f>
        <v>0</v>
      </c>
      <c r="G25" s="1434">
        <f t="shared" ca="1" si="2"/>
        <v>0</v>
      </c>
      <c r="H25" s="1437">
        <f ca="1">IF('1.GeneralInfo'!E$12=0,"N/A",$G25/('1.GeneralInfo'!S$12/SUMIF('2.CropManagement'!X$152:X$153,'1.GeneralInfo'!F$12,'2.CropManagement'!Y$152:Y$153)))</f>
        <v>0</v>
      </c>
      <c r="I25" s="1433">
        <f ca="1">IF('1.GeneralInfo'!E14=0,"N/A",G25/('1.GeneralInfo'!S$14/SUMIF('2.CropManagement'!X$157:X$164,'1.GeneralInfo'!F$14,'2.CropManagement'!Y$157:Y$164))*IF(J$5="Yes",AB$8,AB$7))</f>
        <v>0</v>
      </c>
      <c r="J25" s="1433" t="str">
        <f>IF(AP$10,AR24,"")</f>
        <v/>
      </c>
      <c r="K25" s="11"/>
      <c r="L25" s="11"/>
      <c r="M25" s="11"/>
      <c r="N25" s="11"/>
      <c r="O25" s="569"/>
      <c r="P25" s="569"/>
      <c r="Q25" s="569"/>
      <c r="R25" s="569"/>
      <c r="S25" s="1029"/>
      <c r="T25" s="259"/>
      <c r="U25" s="259"/>
      <c r="V25" s="259"/>
      <c r="W25" s="609"/>
      <c r="X25" s="609"/>
      <c r="Y25" s="617">
        <v>14</v>
      </c>
      <c r="Z25" s="259"/>
      <c r="AA25" s="259"/>
      <c r="AB25" s="259"/>
      <c r="AC25" s="569"/>
      <c r="AD25" s="569"/>
      <c r="AE25" s="569"/>
      <c r="AF25" s="569"/>
      <c r="AG25" s="569"/>
      <c r="AH25" s="569"/>
      <c r="AI25" s="569"/>
      <c r="AJ25" s="569"/>
      <c r="AK25" s="569"/>
      <c r="AL25" s="103">
        <f ca="1">SUM(AL12:AL24)</f>
        <v>12680.899962780592</v>
      </c>
      <c r="AM25" s="103">
        <f ca="1">SUM(AM12:AM24)</f>
        <v>12680.899962780592</v>
      </c>
      <c r="AN25" s="570"/>
      <c r="AO25" s="570"/>
      <c r="AP25" s="6" t="s">
        <v>87</v>
      </c>
      <c r="AQ25" s="572"/>
      <c r="AR25" s="611" t="e">
        <f ca="1">AM24/AQ$10</f>
        <v>#DIV/0!</v>
      </c>
      <c r="AS25" s="563"/>
      <c r="AT25" s="563"/>
      <c r="AU25" s="563"/>
      <c r="AV25" s="563"/>
      <c r="AW25" s="563"/>
      <c r="AX25" s="563"/>
      <c r="AY25" s="563"/>
      <c r="AZ25" s="563"/>
      <c r="BA25" s="563"/>
      <c r="BB25" s="563"/>
      <c r="BC25" s="563"/>
      <c r="BD25" s="563"/>
      <c r="BE25" s="563"/>
      <c r="BF25" s="563"/>
      <c r="BG25" s="563"/>
      <c r="BH25" s="563"/>
      <c r="BI25" s="274"/>
      <c r="BJ25" s="274"/>
      <c r="BK25" s="274"/>
      <c r="BL25" s="274"/>
      <c r="BM25" s="274"/>
      <c r="BN25" s="274"/>
    </row>
    <row r="26" spans="1:66" ht="38.299999999999997" customHeight="1" thickBot="1" x14ac:dyDescent="0.3">
      <c r="A26" s="253"/>
      <c r="B26" s="568"/>
      <c r="C26" s="94" t="s">
        <v>87</v>
      </c>
      <c r="D26" s="1439"/>
      <c r="E26" s="1440"/>
      <c r="F26" s="1440"/>
      <c r="G26" s="1441">
        <f t="shared" ca="1" si="2"/>
        <v>0</v>
      </c>
      <c r="H26" s="1442">
        <f ca="1">IF('1.GeneralInfo'!E$12=0,"N/A",$G26/('1.GeneralInfo'!S$12/SUMIF('2.CropManagement'!X$152:X$153,'1.GeneralInfo'!F$12,'2.CropManagement'!Y$152:Y$153)))</f>
        <v>0</v>
      </c>
      <c r="I26" s="1443">
        <f ca="1">IF('1.GeneralInfo'!E14=0,"N/A",G26/('1.GeneralInfo'!S$14/SUMIF('2.CropManagement'!X$157:X$164,'1.GeneralInfo'!F$14,'2.CropManagement'!Y$157:Y$164))*IF(J$5="Yes",AB$8,AB$7))</f>
        <v>0</v>
      </c>
      <c r="J26" s="1433" t="str">
        <f>IF(AP$10,AR25,"")</f>
        <v/>
      </c>
      <c r="K26" s="11"/>
      <c r="L26" s="11"/>
      <c r="M26" s="11"/>
      <c r="N26" s="11"/>
      <c r="O26" s="569"/>
      <c r="P26" s="569"/>
      <c r="Q26" s="569"/>
      <c r="R26" s="569"/>
      <c r="S26" s="1029"/>
      <c r="T26" s="259"/>
      <c r="U26" s="259"/>
      <c r="V26" s="259"/>
      <c r="W26" s="253"/>
      <c r="X26" s="253"/>
      <c r="Y26" s="253"/>
      <c r="Z26" s="253"/>
      <c r="AA26" s="253"/>
      <c r="AB26" s="253"/>
      <c r="AC26" s="619"/>
      <c r="AD26" s="619"/>
      <c r="AE26" s="619"/>
      <c r="AF26" s="619"/>
      <c r="AG26" s="569"/>
      <c r="AH26" s="569"/>
      <c r="AI26" s="569"/>
      <c r="AJ26" s="569"/>
      <c r="AK26" s="569"/>
      <c r="AL26" s="569"/>
      <c r="AM26" s="274"/>
      <c r="AN26" s="107"/>
      <c r="AO26" s="107"/>
      <c r="AP26" s="108" t="s">
        <v>1269</v>
      </c>
      <c r="AQ26" s="109"/>
      <c r="AR26" s="620" t="e">
        <f ca="1">AM25/AQ$10</f>
        <v>#DIV/0!</v>
      </c>
      <c r="AS26" s="563"/>
      <c r="AT26" s="563"/>
      <c r="AU26" s="563"/>
      <c r="AV26" s="563"/>
      <c r="AW26" s="563"/>
      <c r="AX26" s="563"/>
      <c r="AY26" s="563"/>
      <c r="AZ26" s="563"/>
      <c r="BA26" s="563"/>
      <c r="BB26" s="563"/>
      <c r="BC26" s="563"/>
      <c r="BD26" s="563"/>
      <c r="BE26" s="563"/>
      <c r="BF26" s="563"/>
      <c r="BG26" s="563"/>
      <c r="BH26" s="563"/>
      <c r="BI26" s="274"/>
      <c r="BJ26" s="274"/>
      <c r="BK26" s="274"/>
      <c r="BL26" s="274"/>
      <c r="BM26" s="274"/>
      <c r="BN26" s="274"/>
    </row>
    <row r="27" spans="1:66" ht="20.3" customHeight="1" thickBot="1" x14ac:dyDescent="0.4">
      <c r="A27" s="253"/>
      <c r="B27" s="568"/>
      <c r="C27" s="1581" t="s">
        <v>1269</v>
      </c>
      <c r="D27" s="1444">
        <f ca="1">SUM(D14:D26)</f>
        <v>11498.391043009711</v>
      </c>
      <c r="E27" s="1445">
        <f ca="1">SUM(E14:E26)</f>
        <v>3.994962566793518</v>
      </c>
      <c r="F27" s="1445">
        <f ca="1">SUM(F14:F26)</f>
        <v>0</v>
      </c>
      <c r="G27" s="1446">
        <f t="shared" ca="1" si="2"/>
        <v>12680.899962780592</v>
      </c>
      <c r="H27" s="1447">
        <f ca="1">SUM(H14:H26)</f>
        <v>1761.236105941749</v>
      </c>
      <c r="I27" s="1448">
        <f ca="1">SUM(I14:I26)</f>
        <v>204.79489603973823</v>
      </c>
      <c r="J27" s="1449" t="str">
        <f>IF(AP$10,AR26,"")</f>
        <v/>
      </c>
      <c r="K27" s="11"/>
      <c r="L27" s="11"/>
      <c r="M27" s="11"/>
      <c r="N27" s="11"/>
      <c r="O27" s="569"/>
      <c r="P27" s="569"/>
      <c r="Q27" s="569"/>
      <c r="R27" s="569"/>
      <c r="S27" s="1029"/>
      <c r="T27" s="259"/>
      <c r="U27" s="259"/>
      <c r="V27" s="259"/>
      <c r="W27" s="253"/>
      <c r="X27" s="253"/>
      <c r="Y27" s="253"/>
      <c r="Z27" s="253"/>
      <c r="AA27" s="253"/>
      <c r="AB27" s="253"/>
      <c r="AC27" s="569"/>
      <c r="AD27" s="569"/>
      <c r="AE27" s="569"/>
      <c r="AF27" s="569"/>
      <c r="AG27" s="569"/>
      <c r="AH27" s="569"/>
      <c r="AI27" s="569"/>
      <c r="AJ27" s="569"/>
      <c r="AK27" s="569"/>
      <c r="AL27" s="569"/>
      <c r="AM27" s="563"/>
      <c r="AN27" s="570"/>
      <c r="AO27" s="570"/>
      <c r="AP27" s="570"/>
      <c r="AQ27" s="570"/>
      <c r="AR27" s="570"/>
      <c r="AS27" s="563"/>
      <c r="AT27" s="563"/>
      <c r="AU27" s="563"/>
      <c r="AV27" s="563"/>
      <c r="AW27" s="563"/>
      <c r="AX27" s="563"/>
      <c r="AY27" s="563"/>
      <c r="AZ27" s="563"/>
      <c r="BA27" s="563"/>
      <c r="BB27" s="563"/>
      <c r="BC27" s="563"/>
      <c r="BD27" s="563"/>
      <c r="BE27" s="563"/>
      <c r="BF27" s="563"/>
      <c r="BG27" s="563"/>
      <c r="BH27" s="563"/>
      <c r="BI27" s="274"/>
      <c r="BJ27" s="274"/>
      <c r="BK27" s="274"/>
      <c r="BL27" s="274"/>
      <c r="BM27" s="274"/>
      <c r="BN27" s="274"/>
    </row>
    <row r="28" spans="1:66" ht="29.95" customHeight="1" thickBot="1" x14ac:dyDescent="0.3">
      <c r="A28" s="253"/>
      <c r="B28" s="568"/>
      <c r="C28" s="1261"/>
      <c r="D28" s="584"/>
      <c r="E28" s="584"/>
      <c r="F28" s="584"/>
      <c r="G28" s="584"/>
      <c r="H28" s="584"/>
      <c r="I28" s="584"/>
      <c r="J28" s="584"/>
      <c r="K28" s="569"/>
      <c r="L28" s="569"/>
      <c r="M28" s="569"/>
      <c r="N28" s="569"/>
      <c r="O28" s="569"/>
      <c r="P28" s="569"/>
      <c r="Q28" s="569"/>
      <c r="R28" s="569"/>
      <c r="S28" s="1029"/>
      <c r="T28" s="259"/>
      <c r="U28" s="259"/>
      <c r="V28" s="253"/>
      <c r="W28" s="253"/>
      <c r="X28" s="253"/>
      <c r="Y28" s="253"/>
      <c r="Z28" s="253"/>
      <c r="AA28" s="253"/>
      <c r="AB28" s="253"/>
      <c r="AC28" s="274"/>
      <c r="AD28" s="274"/>
      <c r="AE28" s="274"/>
      <c r="AF28" s="274"/>
      <c r="AG28" s="274"/>
      <c r="AH28" s="274"/>
      <c r="AI28" s="274"/>
      <c r="AJ28" s="274" t="s">
        <v>319</v>
      </c>
      <c r="AK28" s="274"/>
      <c r="AL28" s="274"/>
      <c r="AM28" s="274"/>
      <c r="AN28" s="274"/>
      <c r="AO28" s="274"/>
      <c r="AP28" s="274"/>
      <c r="AQ28" s="274"/>
      <c r="AR28" s="274"/>
      <c r="AS28" s="274"/>
      <c r="AT28" s="274"/>
      <c r="AU28" s="274"/>
      <c r="AV28" s="274"/>
      <c r="AW28" s="274"/>
      <c r="AX28" s="274"/>
      <c r="AY28" s="274"/>
      <c r="AZ28" s="274"/>
      <c r="BA28" s="274"/>
      <c r="BB28" s="274"/>
      <c r="BC28" s="274"/>
      <c r="BD28" s="274"/>
      <c r="BE28" s="274"/>
      <c r="BF28" s="274"/>
      <c r="BG28" s="274"/>
      <c r="BH28" s="274"/>
      <c r="BI28" s="274"/>
      <c r="BJ28" s="274"/>
      <c r="BK28" s="274"/>
      <c r="BL28" s="274"/>
      <c r="BM28" s="274"/>
      <c r="BN28" s="274"/>
    </row>
    <row r="29" spans="1:66" ht="43.5" customHeight="1" thickBot="1" x14ac:dyDescent="0.3">
      <c r="A29" s="253"/>
      <c r="B29" s="568"/>
      <c r="C29" s="90" t="s">
        <v>2024</v>
      </c>
      <c r="D29" s="1593" t="str">
        <f>AJ30 &amp; " for total area"</f>
        <v xml:space="preserve"> for total area</v>
      </c>
      <c r="E29" s="1591" t="str">
        <f>AK30 &amp; " for total area"</f>
        <v xml:space="preserve"> for total area</v>
      </c>
      <c r="F29" s="1591" t="str">
        <f>AL30 &amp; " for total area"</f>
        <v xml:space="preserve"> for total area</v>
      </c>
      <c r="G29" s="1592" t="str">
        <f>AM30 &amp; " for total area"</f>
        <v xml:space="preserve"> for total area</v>
      </c>
      <c r="H29" s="1596" t="str">
        <f ca="1">AJ30 &amp; " per " &amp; $W$5</f>
        <v xml:space="preserve"> per hectare</v>
      </c>
      <c r="I29" s="1596" t="str">
        <f ca="1">AK30 &amp; " per " &amp; $W$5</f>
        <v xml:space="preserve"> per hectare</v>
      </c>
      <c r="J29" s="1596" t="str">
        <f ca="1">AL30 &amp; " per " &amp; $W$5</f>
        <v xml:space="preserve"> per hectare</v>
      </c>
      <c r="K29" s="1596" t="str">
        <f ca="1">AM30 &amp; " per " &amp; $W$5</f>
        <v xml:space="preserve"> per hectare</v>
      </c>
      <c r="L29" s="1593" t="str">
        <f ca="1">AJ30 &amp; " per " &amp; $X5</f>
        <v xml:space="preserve"> per tonne</v>
      </c>
      <c r="M29" s="1591" t="str">
        <f ca="1">AK30 &amp; " per " &amp; $X5</f>
        <v xml:space="preserve"> per tonne</v>
      </c>
      <c r="N29" s="1591" t="str">
        <f ca="1">AL30 &amp; " per " &amp; $X5</f>
        <v xml:space="preserve"> per tonne</v>
      </c>
      <c r="O29" s="1592" t="str">
        <f ca="1">AM30 &amp; " per " &amp; $X5</f>
        <v xml:space="preserve"> per tonne</v>
      </c>
      <c r="P29" s="569"/>
      <c r="Q29" s="569"/>
      <c r="R29" s="569"/>
      <c r="S29" s="1029"/>
      <c r="T29" s="259"/>
      <c r="U29" s="259"/>
      <c r="V29" s="253"/>
      <c r="W29" s="253"/>
      <c r="X29" s="253"/>
      <c r="Y29" s="253"/>
      <c r="Z29" s="253"/>
      <c r="AA29" s="253"/>
      <c r="AB29" s="253"/>
      <c r="AC29" s="274"/>
      <c r="AD29" s="274"/>
      <c r="AE29" s="274"/>
      <c r="AF29" s="274"/>
      <c r="AG29" s="274"/>
      <c r="AH29" s="274"/>
      <c r="AI29" s="274"/>
      <c r="AJ29" s="1606">
        <f>'1.GeneralInfo'!J12</f>
        <v>0</v>
      </c>
      <c r="AK29" s="1606">
        <f>'1.GeneralInfo'!J13</f>
        <v>0</v>
      </c>
      <c r="AL29" s="1606">
        <f>'1.GeneralInfo'!J14</f>
        <v>0</v>
      </c>
      <c r="AM29" s="1606">
        <f>'1.GeneralInfo'!J15</f>
        <v>0</v>
      </c>
      <c r="AN29" s="274"/>
      <c r="AO29" s="274"/>
      <c r="AP29" s="1593" t="str">
        <f>"Co-product 1 for total area"</f>
        <v>Co-product 1 for total area</v>
      </c>
      <c r="AQ29" s="1591" t="s">
        <v>2025</v>
      </c>
      <c r="AR29" s="1591" t="s">
        <v>2026</v>
      </c>
      <c r="AS29" s="1592" t="s">
        <v>2027</v>
      </c>
      <c r="AT29" s="1591" t="str">
        <f ca="1">"Co-product 1, " &amp; $H13</f>
        <v>Co-product 1, Per hectare*</v>
      </c>
      <c r="AU29" s="1591" t="str">
        <f ca="1">"Co-product 2, " &amp; $H13</f>
        <v>Co-product 2, Per hectare*</v>
      </c>
      <c r="AV29" s="1591" t="str">
        <f ca="1">"Co-product 3, " &amp; $H13</f>
        <v>Co-product 3, Per hectare*</v>
      </c>
      <c r="AW29" s="1591" t="str">
        <f ca="1">"Co-product 4, " &amp; $H13</f>
        <v>Co-product 4, Per hectare*</v>
      </c>
      <c r="AX29" s="1593" t="str">
        <f ca="1">"Co-product 1, per " &amp; $X5</f>
        <v>Co-product 1, per tonne</v>
      </c>
      <c r="AY29" s="1591" t="str">
        <f ca="1">"Co-product 2, per " &amp; $X5</f>
        <v>Co-product 2, per tonne</v>
      </c>
      <c r="AZ29" s="1591" t="str">
        <f ca="1">"Co-product 3, per " &amp; $X5</f>
        <v>Co-product 3, per tonne</v>
      </c>
      <c r="BA29" s="1592" t="str">
        <f ca="1">"Co-product 4, per " &amp; $X5</f>
        <v>Co-product 4, per tonne</v>
      </c>
      <c r="BB29" s="274"/>
      <c r="BC29" s="274"/>
      <c r="BD29" s="274"/>
      <c r="BE29" s="274"/>
      <c r="BF29" s="274"/>
      <c r="BG29" s="274"/>
      <c r="BH29" s="274"/>
      <c r="BI29" s="274"/>
      <c r="BJ29" s="274"/>
      <c r="BK29" s="274"/>
      <c r="BL29" s="274"/>
      <c r="BM29" s="274"/>
      <c r="BN29" s="274"/>
    </row>
    <row r="30" spans="1:66" ht="18.75" customHeight="1" x14ac:dyDescent="0.25">
      <c r="A30" s="253"/>
      <c r="B30" s="568"/>
      <c r="C30" s="85" t="s">
        <v>8</v>
      </c>
      <c r="D30" s="1603">
        <f ca="1">IF(ISERROR(AP30),"NA",ROUND(AP30,1))</f>
        <v>0</v>
      </c>
      <c r="E30" s="1604">
        <f t="shared" ref="E30:O30" ca="1" si="4">IF(ISERROR(AQ30),"NA",ROUND(AQ30,1))</f>
        <v>0</v>
      </c>
      <c r="F30" s="1604">
        <f t="shared" ca="1" si="4"/>
        <v>0</v>
      </c>
      <c r="G30" s="1604">
        <f t="shared" ca="1" si="4"/>
        <v>0</v>
      </c>
      <c r="H30" s="1600">
        <f t="shared" ca="1" si="4"/>
        <v>0</v>
      </c>
      <c r="I30" s="1601">
        <f t="shared" ca="1" si="4"/>
        <v>0</v>
      </c>
      <c r="J30" s="1601">
        <f t="shared" ca="1" si="4"/>
        <v>0</v>
      </c>
      <c r="K30" s="1602">
        <f t="shared" ca="1" si="4"/>
        <v>0</v>
      </c>
      <c r="L30" s="1603" t="str">
        <f t="shared" ca="1" si="4"/>
        <v>NA</v>
      </c>
      <c r="M30" s="1604" t="str">
        <f t="shared" ca="1" si="4"/>
        <v>NA</v>
      </c>
      <c r="N30" s="1604" t="str">
        <f t="shared" ca="1" si="4"/>
        <v>NA</v>
      </c>
      <c r="O30" s="1605" t="str">
        <f t="shared" ca="1" si="4"/>
        <v>NA</v>
      </c>
      <c r="P30" s="569"/>
      <c r="Q30" s="569"/>
      <c r="R30" s="569"/>
      <c r="S30" s="1029"/>
      <c r="T30" s="259"/>
      <c r="U30" s="259"/>
      <c r="V30" s="253"/>
      <c r="W30" s="253"/>
      <c r="X30" s="253"/>
      <c r="Y30" s="253"/>
      <c r="Z30" s="253"/>
      <c r="AA30" s="253"/>
      <c r="AB30" s="253"/>
      <c r="AC30" s="274"/>
      <c r="AD30" s="274"/>
      <c r="AE30" s="274"/>
      <c r="AF30" s="274"/>
      <c r="AG30" s="274"/>
      <c r="AH30" s="274"/>
      <c r="AI30" s="274"/>
      <c r="AJ30" s="1606" t="str">
        <f>IF(AJ29&lt;&gt;0,AJ29,"")</f>
        <v/>
      </c>
      <c r="AK30" s="1606" t="str">
        <f>IF(AK29&lt;&gt;0,AK29,"")</f>
        <v/>
      </c>
      <c r="AL30" s="1606" t="str">
        <f>IF(AL29&lt;&gt;0,AL29,"")</f>
        <v/>
      </c>
      <c r="AM30" s="1606" t="str">
        <f>IF(AM29&lt;&gt;0,AM29,"")</f>
        <v/>
      </c>
      <c r="AN30" s="274"/>
      <c r="AO30" s="274"/>
      <c r="AP30" s="1594">
        <f t="shared" ref="AP30:AS34" ca="1" si="5">SUMIF($AK$4:$AK$7,$D$5,$AL$4:$AL$7)*$AL12*BH$12</f>
        <v>0</v>
      </c>
      <c r="AQ30" s="1589">
        <f ca="1">SUMIF($AK$4:$AK$7,$D$5,$AL$4:$AL$7)*$AL12*BI$12</f>
        <v>0</v>
      </c>
      <c r="AR30" s="1589">
        <f t="shared" ca="1" si="5"/>
        <v>0</v>
      </c>
      <c r="AS30" s="1595">
        <f t="shared" ca="1" si="5"/>
        <v>0</v>
      </c>
      <c r="AT30" s="1589">
        <f ca="1">IF('1.GeneralInfo'!$E$12=0,"N/A",AP30/('1.GeneralInfo'!$S$12/SUMIF('2.CropManagement'!$X$152:$X$153,'1.GeneralInfo'!$F$12,'2.CropManagement'!$Y$152:$Y$153)))</f>
        <v>0</v>
      </c>
      <c r="AU30" s="1589">
        <f ca="1">IF('1.GeneralInfo'!$E$12=0,"N/A",AQ30/('1.GeneralInfo'!$S$12/SUMIF('2.CropManagement'!$X$152:$X$153,'1.GeneralInfo'!$F$12,'2.CropManagement'!$Y$152:$Y$153)))</f>
        <v>0</v>
      </c>
      <c r="AV30" s="1589">
        <f ca="1">IF('1.GeneralInfo'!$E$12=0,"N/A",AR30/('1.GeneralInfo'!$S$12/SUMIF('2.CropManagement'!$X$152:$X$153,'1.GeneralInfo'!$F$12,'2.CropManagement'!$Y$152:$Y$153)))</f>
        <v>0</v>
      </c>
      <c r="AW30" s="1589">
        <f ca="1">IF('1.GeneralInfo'!$E$12=0,"N/A",AS30/('1.GeneralInfo'!$S$12/SUMIF('2.CropManagement'!$X$152:$X$153,'1.GeneralInfo'!$F$12,'2.CropManagement'!$Y$152:$Y$153)))</f>
        <v>0</v>
      </c>
      <c r="AX30" s="568" t="e">
        <f ca="1">IF('1.GeneralInfo'!$E$14=0,"N/A",AP30/$BF$12)*IF(J$5="Yes",$AB$8,$AB$7)</f>
        <v>#DIV/0!</v>
      </c>
      <c r="AY30" s="568" t="e">
        <f ca="1">IF('1.GeneralInfo'!$E$14=0,"N/A",AQ30/$BF$13)*IF(K$5="Yes",$AB$8,$AB$7)</f>
        <v>#DIV/0!</v>
      </c>
      <c r="AZ30" s="568" t="e">
        <f ca="1">IF('1.GeneralInfo'!$E$14=0,"N/A",AR30/$BF$14)*IF(L$5="Yes",$AB$8,$AB$7)</f>
        <v>#DIV/0!</v>
      </c>
      <c r="BA30" s="568" t="e">
        <f ca="1">IF('1.GeneralInfo'!$E$14=0,"N/A",AS30/$BF$15)*IF(M$5="Yes",$AB$8,$AB$7)</f>
        <v>#DIV/0!</v>
      </c>
      <c r="BB30" s="274"/>
      <c r="BC30" s="274"/>
      <c r="BD30" s="274"/>
      <c r="BE30" s="274"/>
      <c r="BF30" s="274"/>
      <c r="BG30" s="274"/>
      <c r="BH30" s="274"/>
      <c r="BI30" s="274"/>
      <c r="BJ30" s="274"/>
      <c r="BK30" s="274"/>
      <c r="BL30" s="274"/>
      <c r="BM30" s="274"/>
      <c r="BN30" s="274"/>
    </row>
    <row r="31" spans="1:66" ht="18.75" customHeight="1" x14ac:dyDescent="0.25">
      <c r="A31" s="253"/>
      <c r="B31" s="568"/>
      <c r="C31" s="85" t="s">
        <v>1393</v>
      </c>
      <c r="D31" s="1603">
        <f t="shared" ref="D31:D42" ca="1" si="6">IF(ISERROR(AP31),"NA",ROUND(AP31,1))</f>
        <v>0</v>
      </c>
      <c r="E31" s="1604">
        <f t="shared" ref="E31:E42" ca="1" si="7">IF(ISERROR(AQ31),"NA",ROUND(AQ31,1))</f>
        <v>0</v>
      </c>
      <c r="F31" s="1604">
        <f t="shared" ref="F31:F42" ca="1" si="8">IF(ISERROR(AR31),"NA",ROUND(AR31,1))</f>
        <v>0</v>
      </c>
      <c r="G31" s="1604">
        <f t="shared" ref="G31:G42" ca="1" si="9">IF(ISERROR(AS31),"NA",ROUND(AS31,1))</f>
        <v>0</v>
      </c>
      <c r="H31" s="1603">
        <f t="shared" ref="H31:H42" ca="1" si="10">IF(ISERROR(AT31),"NA",ROUND(AT31,1))</f>
        <v>0</v>
      </c>
      <c r="I31" s="1604">
        <f t="shared" ref="I31:I42" ca="1" si="11">IF(ISERROR(AU31),"NA",ROUND(AU31,1))</f>
        <v>0</v>
      </c>
      <c r="J31" s="1604">
        <f t="shared" ref="J31:J42" ca="1" si="12">IF(ISERROR(AV31),"NA",ROUND(AV31,1))</f>
        <v>0</v>
      </c>
      <c r="K31" s="1605">
        <f t="shared" ref="K31:K42" ca="1" si="13">IF(ISERROR(AW31),"NA",ROUND(AW31,1))</f>
        <v>0</v>
      </c>
      <c r="L31" s="1603" t="str">
        <f t="shared" ref="L31:L42" ca="1" si="14">IF(ISERROR(AX31),"NA",ROUND(AX31,1))</f>
        <v>NA</v>
      </c>
      <c r="M31" s="1604" t="str">
        <f t="shared" ref="M31:M42" ca="1" si="15">IF(ISERROR(AY31),"NA",ROUND(AY31,1))</f>
        <v>NA</v>
      </c>
      <c r="N31" s="1604" t="str">
        <f t="shared" ref="N31:N42" ca="1" si="16">IF(ISERROR(AZ31),"NA",ROUND(AZ31,1))</f>
        <v>NA</v>
      </c>
      <c r="O31" s="1605" t="str">
        <f t="shared" ref="O31:O42" ca="1" si="17">IF(ISERROR(BA31),"NA",ROUND(BA31,1))</f>
        <v>NA</v>
      </c>
      <c r="P31" s="569"/>
      <c r="Q31" s="569"/>
      <c r="R31" s="569"/>
      <c r="S31" s="1029"/>
      <c r="T31" s="259"/>
      <c r="U31" s="259"/>
      <c r="V31" s="253"/>
      <c r="W31" s="253"/>
      <c r="X31" s="253"/>
      <c r="Y31" s="253"/>
      <c r="Z31" s="253"/>
      <c r="AA31" s="253"/>
      <c r="AB31" s="253"/>
      <c r="AC31" s="274"/>
      <c r="AD31" s="274"/>
      <c r="AE31" s="274"/>
      <c r="AF31" s="274"/>
      <c r="AG31" s="274"/>
      <c r="AH31" s="274"/>
      <c r="AI31" s="274"/>
      <c r="AJ31" s="274"/>
      <c r="AK31" s="274"/>
      <c r="AL31" s="274"/>
      <c r="AM31" s="274"/>
      <c r="AN31" s="274"/>
      <c r="AO31" s="274"/>
      <c r="AP31" s="1594">
        <f t="shared" ca="1" si="5"/>
        <v>0</v>
      </c>
      <c r="AQ31" s="1589">
        <f t="shared" ca="1" si="5"/>
        <v>0</v>
      </c>
      <c r="AR31" s="1589">
        <f t="shared" ca="1" si="5"/>
        <v>0</v>
      </c>
      <c r="AS31" s="1595">
        <f t="shared" ca="1" si="5"/>
        <v>0</v>
      </c>
      <c r="AT31" s="1589">
        <f ca="1">IF('1.GeneralInfo'!$E$12=0,"N/A",AP31/('1.GeneralInfo'!$S$12/SUMIF('2.CropManagement'!$X$152:$X$153,'1.GeneralInfo'!$F$12,'2.CropManagement'!$Y$152:$Y$153)))</f>
        <v>0</v>
      </c>
      <c r="AU31" s="1589">
        <f ca="1">IF('1.GeneralInfo'!$E$12=0,"N/A",AQ31/('1.GeneralInfo'!$S$12/SUMIF('2.CropManagement'!$X$152:$X$153,'1.GeneralInfo'!$F$12,'2.CropManagement'!$Y$152:$Y$153)))</f>
        <v>0</v>
      </c>
      <c r="AV31" s="1589">
        <f ca="1">IF('1.GeneralInfo'!$E$12=0,"N/A",AR31/('1.GeneralInfo'!$S$12/SUMIF('2.CropManagement'!$X$152:$X$153,'1.GeneralInfo'!$F$12,'2.CropManagement'!$Y$152:$Y$153)))</f>
        <v>0</v>
      </c>
      <c r="AW31" s="1589">
        <f ca="1">IF('1.GeneralInfo'!$E$12=0,"N/A",AS31/('1.GeneralInfo'!$S$12/SUMIF('2.CropManagement'!$X$152:$X$153,'1.GeneralInfo'!$F$12,'2.CropManagement'!$Y$152:$Y$153)))</f>
        <v>0</v>
      </c>
      <c r="AX31" s="568" t="e">
        <f ca="1">IF('1.GeneralInfo'!$E$14=0,"N/A",AP31/$BF$12)*IF(J$5="Yes",$AB$8,$AB$7)</f>
        <v>#DIV/0!</v>
      </c>
      <c r="AY31" s="568" t="e">
        <f ca="1">IF('1.GeneralInfo'!$E$14=0,"N/A",AQ31/$BF$13)*IF(K$5="Yes",$AB$8,$AB$7)</f>
        <v>#DIV/0!</v>
      </c>
      <c r="AZ31" s="568" t="e">
        <f ca="1">IF('1.GeneralInfo'!$E$14=0,"N/A",AR31/$BF$14)*IF(L$5="Yes",$AB$8,$AB$7)</f>
        <v>#DIV/0!</v>
      </c>
      <c r="BA31" s="568" t="e">
        <f ca="1">IF('1.GeneralInfo'!$E$14=0,"N/A",AS31/$BF$15)*IF(M$5="Yes",$AB$8,$AB$7)</f>
        <v>#DIV/0!</v>
      </c>
      <c r="BB31" s="274"/>
      <c r="BC31" s="274"/>
      <c r="BD31" s="274"/>
      <c r="BE31" s="274"/>
      <c r="BF31" s="274"/>
      <c r="BG31" s="274"/>
      <c r="BH31" s="274"/>
      <c r="BI31" s="274"/>
      <c r="BJ31" s="274"/>
      <c r="BK31" s="274"/>
      <c r="BL31" s="274"/>
      <c r="BM31" s="274"/>
      <c r="BN31" s="274"/>
    </row>
    <row r="32" spans="1:66" ht="18.75" customHeight="1" x14ac:dyDescent="0.25">
      <c r="A32" s="253"/>
      <c r="B32" s="568"/>
      <c r="C32" s="85" t="s">
        <v>89</v>
      </c>
      <c r="D32" s="1603">
        <f t="shared" ca="1" si="6"/>
        <v>0</v>
      </c>
      <c r="E32" s="1604">
        <f t="shared" ca="1" si="7"/>
        <v>0</v>
      </c>
      <c r="F32" s="1604">
        <f t="shared" ca="1" si="8"/>
        <v>0</v>
      </c>
      <c r="G32" s="1604">
        <f t="shared" ca="1" si="9"/>
        <v>0</v>
      </c>
      <c r="H32" s="1603">
        <f t="shared" ca="1" si="10"/>
        <v>0</v>
      </c>
      <c r="I32" s="1604">
        <f t="shared" ca="1" si="11"/>
        <v>0</v>
      </c>
      <c r="J32" s="1604">
        <f t="shared" ca="1" si="12"/>
        <v>0</v>
      </c>
      <c r="K32" s="1605">
        <f t="shared" ca="1" si="13"/>
        <v>0</v>
      </c>
      <c r="L32" s="1603" t="str">
        <f t="shared" ca="1" si="14"/>
        <v>NA</v>
      </c>
      <c r="M32" s="1604" t="str">
        <f t="shared" ca="1" si="15"/>
        <v>NA</v>
      </c>
      <c r="N32" s="1604" t="str">
        <f t="shared" ca="1" si="16"/>
        <v>NA</v>
      </c>
      <c r="O32" s="1605" t="str">
        <f t="shared" ca="1" si="17"/>
        <v>NA</v>
      </c>
      <c r="P32" s="569"/>
      <c r="Q32" s="569"/>
      <c r="R32" s="569"/>
      <c r="S32" s="1029"/>
      <c r="T32" s="259"/>
      <c r="U32" s="259"/>
      <c r="V32" s="253"/>
      <c r="W32" s="253"/>
      <c r="X32" s="253"/>
      <c r="Y32" s="253"/>
      <c r="Z32" s="253"/>
      <c r="AA32" s="253"/>
      <c r="AB32" s="253"/>
      <c r="AC32" s="274"/>
      <c r="AD32" s="274"/>
      <c r="AE32" s="274"/>
      <c r="AF32" s="274"/>
      <c r="AG32" s="274"/>
      <c r="AH32" s="274"/>
      <c r="AI32" s="274"/>
      <c r="AJ32" s="274"/>
      <c r="AK32" s="274"/>
      <c r="AL32" s="274"/>
      <c r="AM32" s="274"/>
      <c r="AN32" s="274"/>
      <c r="AO32" s="274"/>
      <c r="AP32" s="1594">
        <f t="shared" ca="1" si="5"/>
        <v>0</v>
      </c>
      <c r="AQ32" s="1589">
        <f t="shared" ca="1" si="5"/>
        <v>0</v>
      </c>
      <c r="AR32" s="1589">
        <f t="shared" ca="1" si="5"/>
        <v>0</v>
      </c>
      <c r="AS32" s="1595">
        <f t="shared" ca="1" si="5"/>
        <v>0</v>
      </c>
      <c r="AT32" s="1589">
        <f ca="1">IF('1.GeneralInfo'!$E$12=0,"N/A",AP32/('1.GeneralInfo'!$S$12/SUMIF('2.CropManagement'!$X$152:$X$153,'1.GeneralInfo'!$F$12,'2.CropManagement'!$Y$152:$Y$153)))</f>
        <v>0</v>
      </c>
      <c r="AU32" s="1589">
        <f ca="1">IF('1.GeneralInfo'!$E$12=0,"N/A",AQ32/('1.GeneralInfo'!$S$12/SUMIF('2.CropManagement'!$X$152:$X$153,'1.GeneralInfo'!$F$12,'2.CropManagement'!$Y$152:$Y$153)))</f>
        <v>0</v>
      </c>
      <c r="AV32" s="1589">
        <f ca="1">IF('1.GeneralInfo'!$E$12=0,"N/A",AR32/('1.GeneralInfo'!$S$12/SUMIF('2.CropManagement'!$X$152:$X$153,'1.GeneralInfo'!$F$12,'2.CropManagement'!$Y$152:$Y$153)))</f>
        <v>0</v>
      </c>
      <c r="AW32" s="1589">
        <f ca="1">IF('1.GeneralInfo'!$E$12=0,"N/A",AS32/('1.GeneralInfo'!$S$12/SUMIF('2.CropManagement'!$X$152:$X$153,'1.GeneralInfo'!$F$12,'2.CropManagement'!$Y$152:$Y$153)))</f>
        <v>0</v>
      </c>
      <c r="AX32" s="568" t="e">
        <f ca="1">IF('1.GeneralInfo'!$E$14=0,"N/A",AP32/$BF$12)*IF(J$5="Yes",$AB$8,$AB$7)</f>
        <v>#DIV/0!</v>
      </c>
      <c r="AY32" s="568" t="e">
        <f ca="1">IF('1.GeneralInfo'!$E$14=0,"N/A",AQ32/$BF$13)*IF(K$5="Yes",$AB$8,$AB$7)</f>
        <v>#DIV/0!</v>
      </c>
      <c r="AZ32" s="568" t="e">
        <f ca="1">IF('1.GeneralInfo'!$E$14=0,"N/A",AR32/$BF$14)*IF(L$5="Yes",$AB$8,$AB$7)</f>
        <v>#DIV/0!</v>
      </c>
      <c r="BA32" s="568" t="e">
        <f ca="1">IF('1.GeneralInfo'!$E$14=0,"N/A",AS32/$BF$15)*IF(M$5="Yes",$AB$8,$AB$7)</f>
        <v>#DIV/0!</v>
      </c>
      <c r="BB32" s="274"/>
      <c r="BC32" s="274"/>
      <c r="BD32" s="274"/>
      <c r="BE32" s="274"/>
      <c r="BF32" s="274"/>
      <c r="BG32" s="274"/>
      <c r="BH32" s="274"/>
      <c r="BI32" s="274"/>
      <c r="BJ32" s="274"/>
      <c r="BK32" s="274"/>
      <c r="BL32" s="274"/>
      <c r="BM32" s="274"/>
      <c r="BN32" s="274"/>
    </row>
    <row r="33" spans="1:66" ht="18.75" customHeight="1" x14ac:dyDescent="0.25">
      <c r="A33" s="253"/>
      <c r="B33" s="568"/>
      <c r="C33" s="85" t="s">
        <v>90</v>
      </c>
      <c r="D33" s="1603">
        <f t="shared" ca="1" si="6"/>
        <v>0</v>
      </c>
      <c r="E33" s="1604">
        <f t="shared" ca="1" si="7"/>
        <v>0</v>
      </c>
      <c r="F33" s="1604">
        <f t="shared" ca="1" si="8"/>
        <v>0</v>
      </c>
      <c r="G33" s="1604">
        <f t="shared" ca="1" si="9"/>
        <v>0</v>
      </c>
      <c r="H33" s="1603">
        <f t="shared" ca="1" si="10"/>
        <v>0</v>
      </c>
      <c r="I33" s="1604">
        <f t="shared" ca="1" si="11"/>
        <v>0</v>
      </c>
      <c r="J33" s="1604">
        <f t="shared" ca="1" si="12"/>
        <v>0</v>
      </c>
      <c r="K33" s="1605">
        <f t="shared" ca="1" si="13"/>
        <v>0</v>
      </c>
      <c r="L33" s="1603" t="str">
        <f t="shared" ca="1" si="14"/>
        <v>NA</v>
      </c>
      <c r="M33" s="1604" t="str">
        <f t="shared" ca="1" si="15"/>
        <v>NA</v>
      </c>
      <c r="N33" s="1604" t="str">
        <f t="shared" ca="1" si="16"/>
        <v>NA</v>
      </c>
      <c r="O33" s="1605" t="str">
        <f t="shared" ca="1" si="17"/>
        <v>NA</v>
      </c>
      <c r="P33" s="569"/>
      <c r="Q33" s="569"/>
      <c r="R33" s="569"/>
      <c r="S33" s="1029"/>
      <c r="T33" s="259"/>
      <c r="U33" s="259"/>
      <c r="V33" s="253"/>
      <c r="W33" s="253"/>
      <c r="X33" s="253"/>
      <c r="Y33" s="253"/>
      <c r="Z33" s="253"/>
      <c r="AA33" s="253"/>
      <c r="AB33" s="253"/>
      <c r="AC33" s="274"/>
      <c r="AD33" s="274"/>
      <c r="AE33" s="274"/>
      <c r="AF33" s="274"/>
      <c r="AG33" s="274"/>
      <c r="AH33" s="274"/>
      <c r="AI33" s="274"/>
      <c r="AJ33" s="274"/>
      <c r="AK33" s="274"/>
      <c r="AL33" s="274"/>
      <c r="AM33" s="274"/>
      <c r="AN33" s="274"/>
      <c r="AO33" s="274"/>
      <c r="AP33" s="1594">
        <f t="shared" ca="1" si="5"/>
        <v>0</v>
      </c>
      <c r="AQ33" s="1589">
        <f t="shared" ca="1" si="5"/>
        <v>0</v>
      </c>
      <c r="AR33" s="1589">
        <f t="shared" ca="1" si="5"/>
        <v>0</v>
      </c>
      <c r="AS33" s="1595">
        <f t="shared" ca="1" si="5"/>
        <v>0</v>
      </c>
      <c r="AT33" s="1589">
        <f ca="1">IF('1.GeneralInfo'!$E$12=0,"N/A",AP33/('1.GeneralInfo'!$S$12/SUMIF('2.CropManagement'!$X$152:$X$153,'1.GeneralInfo'!$F$12,'2.CropManagement'!$Y$152:$Y$153)))</f>
        <v>0</v>
      </c>
      <c r="AU33" s="1589">
        <f ca="1">IF('1.GeneralInfo'!$E$12=0,"N/A",AQ33/('1.GeneralInfo'!$S$12/SUMIF('2.CropManagement'!$X$152:$X$153,'1.GeneralInfo'!$F$12,'2.CropManagement'!$Y$152:$Y$153)))</f>
        <v>0</v>
      </c>
      <c r="AV33" s="1589">
        <f ca="1">IF('1.GeneralInfo'!$E$12=0,"N/A",AR33/('1.GeneralInfo'!$S$12/SUMIF('2.CropManagement'!$X$152:$X$153,'1.GeneralInfo'!$F$12,'2.CropManagement'!$Y$152:$Y$153)))</f>
        <v>0</v>
      </c>
      <c r="AW33" s="1589">
        <f ca="1">IF('1.GeneralInfo'!$E$12=0,"N/A",AS33/('1.GeneralInfo'!$S$12/SUMIF('2.CropManagement'!$X$152:$X$153,'1.GeneralInfo'!$F$12,'2.CropManagement'!$Y$152:$Y$153)))</f>
        <v>0</v>
      </c>
      <c r="AX33" s="568" t="e">
        <f ca="1">IF('1.GeneralInfo'!$E$14=0,"N/A",AP33/$BF$12)*IF(J$5="Yes",$AB$8,$AB$7)</f>
        <v>#DIV/0!</v>
      </c>
      <c r="AY33" s="568" t="e">
        <f ca="1">IF('1.GeneralInfo'!$E$14=0,"N/A",AQ33/$BF$13)*IF(K$5="Yes",$AB$8,$AB$7)</f>
        <v>#DIV/0!</v>
      </c>
      <c r="AZ33" s="568" t="e">
        <f ca="1">IF('1.GeneralInfo'!$E$14=0,"N/A",AR33/$BF$14)*IF(L$5="Yes",$AB$8,$AB$7)</f>
        <v>#DIV/0!</v>
      </c>
      <c r="BA33" s="568" t="e">
        <f ca="1">IF('1.GeneralInfo'!$E$14=0,"N/A",AS33/$BF$15)*IF(M$5="Yes",$AB$8,$AB$7)</f>
        <v>#DIV/0!</v>
      </c>
      <c r="BB33" s="274"/>
      <c r="BC33" s="274"/>
      <c r="BD33" s="274"/>
      <c r="BE33" s="274"/>
      <c r="BF33" s="274"/>
      <c r="BG33" s="274"/>
      <c r="BH33" s="274"/>
      <c r="BI33" s="274"/>
      <c r="BJ33" s="274"/>
      <c r="BK33" s="274"/>
      <c r="BL33" s="274"/>
      <c r="BM33" s="274"/>
      <c r="BN33" s="274"/>
    </row>
    <row r="34" spans="1:66" ht="18.75" customHeight="1" x14ac:dyDescent="0.25">
      <c r="A34" s="253"/>
      <c r="B34" s="568"/>
      <c r="C34" s="85" t="s">
        <v>91</v>
      </c>
      <c r="D34" s="1603">
        <f t="shared" ca="1" si="6"/>
        <v>0</v>
      </c>
      <c r="E34" s="1604">
        <f t="shared" ca="1" si="7"/>
        <v>0</v>
      </c>
      <c r="F34" s="1604">
        <f t="shared" ca="1" si="8"/>
        <v>0</v>
      </c>
      <c r="G34" s="1604">
        <f t="shared" ca="1" si="9"/>
        <v>0</v>
      </c>
      <c r="H34" s="1603">
        <f t="shared" ca="1" si="10"/>
        <v>0</v>
      </c>
      <c r="I34" s="1604">
        <f t="shared" ca="1" si="11"/>
        <v>0</v>
      </c>
      <c r="J34" s="1604">
        <f t="shared" ca="1" si="12"/>
        <v>0</v>
      </c>
      <c r="K34" s="1605">
        <f t="shared" ca="1" si="13"/>
        <v>0</v>
      </c>
      <c r="L34" s="1603" t="str">
        <f t="shared" ca="1" si="14"/>
        <v>NA</v>
      </c>
      <c r="M34" s="1604" t="str">
        <f t="shared" ca="1" si="15"/>
        <v>NA</v>
      </c>
      <c r="N34" s="1604" t="str">
        <f t="shared" ca="1" si="16"/>
        <v>NA</v>
      </c>
      <c r="O34" s="1605" t="str">
        <f t="shared" ca="1" si="17"/>
        <v>NA</v>
      </c>
      <c r="P34" s="569"/>
      <c r="Q34" s="569"/>
      <c r="R34" s="569"/>
      <c r="S34" s="1029"/>
      <c r="T34" s="259"/>
      <c r="U34" s="259"/>
      <c r="V34" s="253"/>
      <c r="W34" s="253"/>
      <c r="X34" s="253"/>
      <c r="Y34" s="253"/>
      <c r="Z34" s="253"/>
      <c r="AA34" s="253"/>
      <c r="AB34" s="253"/>
      <c r="AC34" s="274"/>
      <c r="AD34" s="274"/>
      <c r="AE34" s="274"/>
      <c r="AF34" s="274"/>
      <c r="AG34" s="274"/>
      <c r="AH34" s="274"/>
      <c r="AI34" s="274"/>
      <c r="AJ34" s="274"/>
      <c r="AK34" s="274"/>
      <c r="AL34" s="274"/>
      <c r="AM34" s="274"/>
      <c r="AN34" s="274"/>
      <c r="AO34" s="274"/>
      <c r="AP34" s="1594">
        <f t="shared" ca="1" si="5"/>
        <v>0</v>
      </c>
      <c r="AQ34" s="1589">
        <f t="shared" ca="1" si="5"/>
        <v>0</v>
      </c>
      <c r="AR34" s="1589">
        <f t="shared" ca="1" si="5"/>
        <v>0</v>
      </c>
      <c r="AS34" s="1595">
        <f t="shared" ca="1" si="5"/>
        <v>0</v>
      </c>
      <c r="AT34" s="1589">
        <f ca="1">IF('1.GeneralInfo'!$E$12=0,"N/A",AP34/('1.GeneralInfo'!$S$12/SUMIF('2.CropManagement'!$X$152:$X$153,'1.GeneralInfo'!$F$12,'2.CropManagement'!$Y$152:$Y$153)))</f>
        <v>0</v>
      </c>
      <c r="AU34" s="1589">
        <f ca="1">IF('1.GeneralInfo'!$E$12=0,"N/A",AQ34/('1.GeneralInfo'!$S$12/SUMIF('2.CropManagement'!$X$152:$X$153,'1.GeneralInfo'!$F$12,'2.CropManagement'!$Y$152:$Y$153)))</f>
        <v>0</v>
      </c>
      <c r="AV34" s="1589">
        <f ca="1">IF('1.GeneralInfo'!$E$12=0,"N/A",AR34/('1.GeneralInfo'!$S$12/SUMIF('2.CropManagement'!$X$152:$X$153,'1.GeneralInfo'!$F$12,'2.CropManagement'!$Y$152:$Y$153)))</f>
        <v>0</v>
      </c>
      <c r="AW34" s="1589">
        <f ca="1">IF('1.GeneralInfo'!$E$12=0,"N/A",AS34/('1.GeneralInfo'!$S$12/SUMIF('2.CropManagement'!$X$152:$X$153,'1.GeneralInfo'!$F$12,'2.CropManagement'!$Y$152:$Y$153)))</f>
        <v>0</v>
      </c>
      <c r="AX34" s="568" t="e">
        <f ca="1">IF('1.GeneralInfo'!$E$14=0,"N/A",AP34/$BF$12)*IF(J$5="Yes",$AB$8,$AB$7)</f>
        <v>#DIV/0!</v>
      </c>
      <c r="AY34" s="568" t="e">
        <f ca="1">IF('1.GeneralInfo'!$E$14=0,"N/A",AQ34/$BF$13)*IF(K$5="Yes",$AB$8,$AB$7)</f>
        <v>#DIV/0!</v>
      </c>
      <c r="AZ34" s="568" t="e">
        <f ca="1">IF('1.GeneralInfo'!$E$14=0,"N/A",AR34/$BF$14)*IF(L$5="Yes",$AB$8,$AB$7)</f>
        <v>#DIV/0!</v>
      </c>
      <c r="BA34" s="568" t="e">
        <f ca="1">IF('1.GeneralInfo'!$E$14=0,"N/A",AS34/$BF$15)*IF(M$5="Yes",$AB$8,$AB$7)</f>
        <v>#DIV/0!</v>
      </c>
      <c r="BB34" s="274"/>
      <c r="BC34" s="274"/>
      <c r="BD34" s="274"/>
      <c r="BE34" s="274"/>
      <c r="BF34" s="274"/>
      <c r="BG34" s="274"/>
      <c r="BH34" s="274"/>
      <c r="BI34" s="274"/>
      <c r="BJ34" s="274"/>
      <c r="BK34" s="274"/>
      <c r="BL34" s="274"/>
      <c r="BM34" s="274"/>
      <c r="BN34" s="274"/>
    </row>
    <row r="35" spans="1:66" ht="3.05" customHeight="1" x14ac:dyDescent="0.25">
      <c r="A35" s="253"/>
      <c r="B35" s="568"/>
      <c r="C35" s="85"/>
      <c r="D35" s="1603">
        <f t="shared" si="6"/>
        <v>0</v>
      </c>
      <c r="E35" s="1604">
        <f t="shared" si="7"/>
        <v>0</v>
      </c>
      <c r="F35" s="1604">
        <f t="shared" si="8"/>
        <v>0</v>
      </c>
      <c r="G35" s="1604">
        <f t="shared" si="9"/>
        <v>0</v>
      </c>
      <c r="H35" s="1603">
        <f t="shared" si="10"/>
        <v>0</v>
      </c>
      <c r="I35" s="1604">
        <f t="shared" si="11"/>
        <v>0</v>
      </c>
      <c r="J35" s="1604">
        <f t="shared" si="12"/>
        <v>0</v>
      </c>
      <c r="K35" s="1605">
        <f t="shared" si="13"/>
        <v>0</v>
      </c>
      <c r="L35" s="1603" t="str">
        <f t="shared" ca="1" si="14"/>
        <v>NA</v>
      </c>
      <c r="M35" s="1604" t="str">
        <f t="shared" ca="1" si="15"/>
        <v>NA</v>
      </c>
      <c r="N35" s="1604" t="str">
        <f t="shared" ca="1" si="16"/>
        <v>NA</v>
      </c>
      <c r="O35" s="1605" t="str">
        <f t="shared" ca="1" si="17"/>
        <v>NA</v>
      </c>
      <c r="P35" s="569"/>
      <c r="Q35" s="569"/>
      <c r="R35" s="569"/>
      <c r="S35" s="1029"/>
      <c r="T35" s="259"/>
      <c r="U35" s="259"/>
      <c r="V35" s="253"/>
      <c r="W35" s="253"/>
      <c r="X35" s="253"/>
      <c r="Y35" s="253"/>
      <c r="Z35" s="253"/>
      <c r="AA35" s="253"/>
      <c r="AB35" s="253"/>
      <c r="AC35" s="274"/>
      <c r="AD35" s="274"/>
      <c r="AE35" s="274"/>
      <c r="AF35" s="274"/>
      <c r="AG35" s="274"/>
      <c r="AH35" s="274"/>
      <c r="AI35" s="274"/>
      <c r="AJ35" s="274"/>
      <c r="AK35" s="274"/>
      <c r="AL35" s="274"/>
      <c r="AM35" s="274"/>
      <c r="AN35" s="274"/>
      <c r="AO35" s="274"/>
      <c r="AP35" s="1594"/>
      <c r="AQ35" s="1589"/>
      <c r="AR35" s="1589"/>
      <c r="AS35" s="1595"/>
      <c r="AT35" s="1589">
        <f>IF('1.GeneralInfo'!$E$12=0,"N/A",AP35/('1.GeneralInfo'!$S$12/SUMIF('2.CropManagement'!$X$152:$X$153,'1.GeneralInfo'!$F$12,'2.CropManagement'!$Y$152:$Y$153)))</f>
        <v>0</v>
      </c>
      <c r="AU35" s="1589">
        <f>IF('1.GeneralInfo'!$E$12=0,"N/A",AQ35/('1.GeneralInfo'!$S$12/SUMIF('2.CropManagement'!$X$152:$X$153,'1.GeneralInfo'!$F$12,'2.CropManagement'!$Y$152:$Y$153)))</f>
        <v>0</v>
      </c>
      <c r="AV35" s="1589">
        <f>IF('1.GeneralInfo'!$E$12=0,"N/A",AR35/('1.GeneralInfo'!$S$12/SUMIF('2.CropManagement'!$X$152:$X$153,'1.GeneralInfo'!$F$12,'2.CropManagement'!$Y$152:$Y$153)))</f>
        <v>0</v>
      </c>
      <c r="AW35" s="1589">
        <f>IF('1.GeneralInfo'!$E$12=0,"N/A",AS35/('1.GeneralInfo'!$S$12/SUMIF('2.CropManagement'!$X$152:$X$153,'1.GeneralInfo'!$F$12,'2.CropManagement'!$Y$152:$Y$153)))</f>
        <v>0</v>
      </c>
      <c r="AX35" s="568" t="e">
        <f ca="1">IF('1.GeneralInfo'!$E$14=0,"N/A",AP35/$BF$12)*IF(J$5="Yes",$AB$8,$AB$7)</f>
        <v>#DIV/0!</v>
      </c>
      <c r="AY35" s="568" t="e">
        <f ca="1">IF('1.GeneralInfo'!$E$14=0,"N/A",AQ35/$BF$13)*IF(K$5="Yes",$AB$8,$AB$7)</f>
        <v>#DIV/0!</v>
      </c>
      <c r="AZ35" s="568" t="e">
        <f ca="1">IF('1.GeneralInfo'!$E$14=0,"N/A",AR35/$BF$14)*IF(L$5="Yes",$AB$8,$AB$7)</f>
        <v>#DIV/0!</v>
      </c>
      <c r="BA35" s="568" t="e">
        <f ca="1">IF('1.GeneralInfo'!$E$14=0,"N/A",AS35/$BF$15)*IF(M$5="Yes",$AB$8,$AB$7)</f>
        <v>#DIV/0!</v>
      </c>
      <c r="BB35" s="274"/>
      <c r="BC35" s="274"/>
      <c r="BD35" s="274"/>
      <c r="BE35" s="274"/>
      <c r="BF35" s="274"/>
      <c r="BG35" s="274"/>
      <c r="BH35" s="274"/>
      <c r="BI35" s="274"/>
      <c r="BJ35" s="274"/>
      <c r="BK35" s="274"/>
      <c r="BL35" s="274"/>
      <c r="BM35" s="274"/>
      <c r="BN35" s="274"/>
    </row>
    <row r="36" spans="1:66" ht="18.75" customHeight="1" x14ac:dyDescent="0.25">
      <c r="A36" s="253"/>
      <c r="B36" s="568"/>
      <c r="C36" s="85" t="s">
        <v>93</v>
      </c>
      <c r="D36" s="1603">
        <f t="shared" ca="1" si="6"/>
        <v>0</v>
      </c>
      <c r="E36" s="1604">
        <f t="shared" ca="1" si="7"/>
        <v>0</v>
      </c>
      <c r="F36" s="1604">
        <f t="shared" ca="1" si="8"/>
        <v>0</v>
      </c>
      <c r="G36" s="1604">
        <f t="shared" ca="1" si="9"/>
        <v>0</v>
      </c>
      <c r="H36" s="1603">
        <f t="shared" ca="1" si="10"/>
        <v>0</v>
      </c>
      <c r="I36" s="1604">
        <f t="shared" ca="1" si="11"/>
        <v>0</v>
      </c>
      <c r="J36" s="1604">
        <f t="shared" ca="1" si="12"/>
        <v>0</v>
      </c>
      <c r="K36" s="1605">
        <f t="shared" ca="1" si="13"/>
        <v>0</v>
      </c>
      <c r="L36" s="1603" t="str">
        <f t="shared" ca="1" si="14"/>
        <v>NA</v>
      </c>
      <c r="M36" s="1604" t="str">
        <f t="shared" ca="1" si="15"/>
        <v>NA</v>
      </c>
      <c r="N36" s="1604" t="str">
        <f t="shared" ca="1" si="16"/>
        <v>NA</v>
      </c>
      <c r="O36" s="1605" t="str">
        <f t="shared" ca="1" si="17"/>
        <v>NA</v>
      </c>
      <c r="P36" s="569"/>
      <c r="Q36" s="569"/>
      <c r="R36" s="569"/>
      <c r="S36" s="1029"/>
      <c r="T36" s="259"/>
      <c r="U36" s="259"/>
      <c r="V36" s="253"/>
      <c r="W36" s="253"/>
      <c r="X36" s="253"/>
      <c r="Y36" s="253"/>
      <c r="Z36" s="253"/>
      <c r="AA36" s="253"/>
      <c r="AB36" s="253"/>
      <c r="AC36" s="274"/>
      <c r="AD36" s="274"/>
      <c r="AE36" s="274"/>
      <c r="AF36" s="274"/>
      <c r="AG36" s="274"/>
      <c r="AH36" s="274"/>
      <c r="AI36" s="274"/>
      <c r="AJ36" s="274"/>
      <c r="AK36" s="274"/>
      <c r="AL36" s="274"/>
      <c r="AM36" s="274"/>
      <c r="AN36" s="274"/>
      <c r="AO36" s="274"/>
      <c r="AP36" s="1594">
        <f t="shared" ref="AP36:AS42" ca="1" si="18">SUMIF($AK$4:$AK$7,$D$5,$AL$4:$AL$7)*$AL18*BH$12</f>
        <v>0</v>
      </c>
      <c r="AQ36" s="1589">
        <f t="shared" ca="1" si="18"/>
        <v>0</v>
      </c>
      <c r="AR36" s="1589">
        <f t="shared" ca="1" si="18"/>
        <v>0</v>
      </c>
      <c r="AS36" s="1595">
        <f t="shared" ca="1" si="18"/>
        <v>0</v>
      </c>
      <c r="AT36" s="1589">
        <f ca="1">IF('1.GeneralInfo'!$E$12=0,"N/A",AP36/('1.GeneralInfo'!$S$12/SUMIF('2.CropManagement'!$X$152:$X$153,'1.GeneralInfo'!$F$12,'2.CropManagement'!$Y$152:$Y$153)))</f>
        <v>0</v>
      </c>
      <c r="AU36" s="1589">
        <f ca="1">IF('1.GeneralInfo'!$E$12=0,"N/A",AQ36/('1.GeneralInfo'!$S$12/SUMIF('2.CropManagement'!$X$152:$X$153,'1.GeneralInfo'!$F$12,'2.CropManagement'!$Y$152:$Y$153)))</f>
        <v>0</v>
      </c>
      <c r="AV36" s="1589">
        <f ca="1">IF('1.GeneralInfo'!$E$12=0,"N/A",AR36/('1.GeneralInfo'!$S$12/SUMIF('2.CropManagement'!$X$152:$X$153,'1.GeneralInfo'!$F$12,'2.CropManagement'!$Y$152:$Y$153)))</f>
        <v>0</v>
      </c>
      <c r="AW36" s="1589">
        <f ca="1">IF('1.GeneralInfo'!$E$12=0,"N/A",AS36/('1.GeneralInfo'!$S$12/SUMIF('2.CropManagement'!$X$152:$X$153,'1.GeneralInfo'!$F$12,'2.CropManagement'!$Y$152:$Y$153)))</f>
        <v>0</v>
      </c>
      <c r="AX36" s="568" t="e">
        <f ca="1">IF('1.GeneralInfo'!$E$14=0,"N/A",AP36/$BF$12)*IF(J$5="Yes",$AB$8,$AB$7)</f>
        <v>#DIV/0!</v>
      </c>
      <c r="AY36" s="568" t="e">
        <f ca="1">IF('1.GeneralInfo'!$E$14=0,"N/A",AQ36/$BF$13)*IF(K$5="Yes",$AB$8,$AB$7)</f>
        <v>#DIV/0!</v>
      </c>
      <c r="AZ36" s="568" t="e">
        <f ca="1">IF('1.GeneralInfo'!$E$14=0,"N/A",AR36/$BF$14)*IF(L$5="Yes",$AB$8,$AB$7)</f>
        <v>#DIV/0!</v>
      </c>
      <c r="BA36" s="568" t="e">
        <f ca="1">IF('1.GeneralInfo'!$E$14=0,"N/A",AS36/$BF$15)*IF(M$5="Yes",$AB$8,$AB$7)</f>
        <v>#DIV/0!</v>
      </c>
      <c r="BB36" s="274"/>
      <c r="BC36" s="274"/>
      <c r="BD36" s="274"/>
      <c r="BE36" s="274"/>
      <c r="BF36" s="274"/>
      <c r="BG36" s="274"/>
      <c r="BH36" s="274"/>
      <c r="BI36" s="274"/>
      <c r="BJ36" s="274"/>
      <c r="BK36" s="274"/>
      <c r="BL36" s="274"/>
      <c r="BM36" s="274"/>
      <c r="BN36" s="274"/>
    </row>
    <row r="37" spans="1:66" ht="18.75" customHeight="1" x14ac:dyDescent="0.25">
      <c r="A37" s="253"/>
      <c r="B37" s="568"/>
      <c r="C37" s="85" t="s">
        <v>94</v>
      </c>
      <c r="D37" s="1603">
        <f t="shared" ca="1" si="6"/>
        <v>0</v>
      </c>
      <c r="E37" s="1604">
        <f t="shared" ca="1" si="7"/>
        <v>0</v>
      </c>
      <c r="F37" s="1604">
        <f t="shared" ca="1" si="8"/>
        <v>0</v>
      </c>
      <c r="G37" s="1604">
        <f t="shared" ca="1" si="9"/>
        <v>0</v>
      </c>
      <c r="H37" s="1603">
        <f t="shared" ca="1" si="10"/>
        <v>0</v>
      </c>
      <c r="I37" s="1604">
        <f t="shared" ca="1" si="11"/>
        <v>0</v>
      </c>
      <c r="J37" s="1604">
        <f t="shared" ca="1" si="12"/>
        <v>0</v>
      </c>
      <c r="K37" s="1605">
        <f t="shared" ca="1" si="13"/>
        <v>0</v>
      </c>
      <c r="L37" s="1603" t="str">
        <f t="shared" ca="1" si="14"/>
        <v>NA</v>
      </c>
      <c r="M37" s="1604" t="str">
        <f t="shared" ca="1" si="15"/>
        <v>NA</v>
      </c>
      <c r="N37" s="1604" t="str">
        <f t="shared" ca="1" si="16"/>
        <v>NA</v>
      </c>
      <c r="O37" s="1605" t="str">
        <f t="shared" ca="1" si="17"/>
        <v>NA</v>
      </c>
      <c r="P37" s="569"/>
      <c r="Q37" s="569"/>
      <c r="R37" s="569"/>
      <c r="S37" s="1029"/>
      <c r="T37" s="259"/>
      <c r="U37" s="259"/>
      <c r="V37" s="253"/>
      <c r="W37" s="253"/>
      <c r="X37" s="253"/>
      <c r="Y37" s="253"/>
      <c r="Z37" s="253"/>
      <c r="AA37" s="253"/>
      <c r="AB37" s="253"/>
      <c r="AC37" s="274"/>
      <c r="AD37" s="274"/>
      <c r="AE37" s="274"/>
      <c r="AF37" s="274"/>
      <c r="AG37" s="274"/>
      <c r="AH37" s="274"/>
      <c r="AI37" s="274"/>
      <c r="AJ37" s="274"/>
      <c r="AK37" s="274"/>
      <c r="AL37" s="274"/>
      <c r="AM37" s="274"/>
      <c r="AN37" s="274"/>
      <c r="AO37" s="274"/>
      <c r="AP37" s="1594">
        <f t="shared" ca="1" si="18"/>
        <v>0</v>
      </c>
      <c r="AQ37" s="1589">
        <f t="shared" ca="1" si="18"/>
        <v>0</v>
      </c>
      <c r="AR37" s="1589">
        <f t="shared" ca="1" si="18"/>
        <v>0</v>
      </c>
      <c r="AS37" s="1595">
        <f t="shared" ca="1" si="18"/>
        <v>0</v>
      </c>
      <c r="AT37" s="1589">
        <f ca="1">IF('1.GeneralInfo'!$E$12=0,"N/A",AP37/('1.GeneralInfo'!$S$12/SUMIF('2.CropManagement'!$X$152:$X$153,'1.GeneralInfo'!$F$12,'2.CropManagement'!$Y$152:$Y$153)))</f>
        <v>0</v>
      </c>
      <c r="AU37" s="1589">
        <f ca="1">IF('1.GeneralInfo'!$E$12=0,"N/A",AQ37/('1.GeneralInfo'!$S$12/SUMIF('2.CropManagement'!$X$152:$X$153,'1.GeneralInfo'!$F$12,'2.CropManagement'!$Y$152:$Y$153)))</f>
        <v>0</v>
      </c>
      <c r="AV37" s="1589">
        <f ca="1">IF('1.GeneralInfo'!$E$12=0,"N/A",AR37/('1.GeneralInfo'!$S$12/SUMIF('2.CropManagement'!$X$152:$X$153,'1.GeneralInfo'!$F$12,'2.CropManagement'!$Y$152:$Y$153)))</f>
        <v>0</v>
      </c>
      <c r="AW37" s="1589">
        <f ca="1">IF('1.GeneralInfo'!$E$12=0,"N/A",AS37/('1.GeneralInfo'!$S$12/SUMIF('2.CropManagement'!$X$152:$X$153,'1.GeneralInfo'!$F$12,'2.CropManagement'!$Y$152:$Y$153)))</f>
        <v>0</v>
      </c>
      <c r="AX37" s="568" t="e">
        <f ca="1">IF('1.GeneralInfo'!$E$14=0,"N/A",AP37/$BF$12)*IF(J$5="Yes",$AB$8,$AB$7)</f>
        <v>#DIV/0!</v>
      </c>
      <c r="AY37" s="568" t="e">
        <f ca="1">IF('1.GeneralInfo'!$E$14=0,"N/A",AQ37/$BF$13)*IF(K$5="Yes",$AB$8,$AB$7)</f>
        <v>#DIV/0!</v>
      </c>
      <c r="AZ37" s="568" t="e">
        <f ca="1">IF('1.GeneralInfo'!$E$14=0,"N/A",AR37/$BF$14)*IF(L$5="Yes",$AB$8,$AB$7)</f>
        <v>#DIV/0!</v>
      </c>
      <c r="BA37" s="568" t="e">
        <f ca="1">IF('1.GeneralInfo'!$E$14=0,"N/A",AS37/$BF$15)*IF(M$5="Yes",$AB$8,$AB$7)</f>
        <v>#DIV/0!</v>
      </c>
      <c r="BB37" s="274"/>
      <c r="BC37" s="274"/>
      <c r="BD37" s="274"/>
      <c r="BE37" s="274"/>
      <c r="BF37" s="274"/>
      <c r="BG37" s="274"/>
      <c r="BH37" s="274"/>
      <c r="BI37" s="274"/>
      <c r="BJ37" s="274"/>
      <c r="BK37" s="274"/>
      <c r="BL37" s="274"/>
      <c r="BM37" s="274"/>
      <c r="BN37" s="274"/>
    </row>
    <row r="38" spans="1:66" ht="18.75" customHeight="1" x14ac:dyDescent="0.25">
      <c r="A38" s="253"/>
      <c r="B38" s="568"/>
      <c r="C38" s="85" t="s">
        <v>83</v>
      </c>
      <c r="D38" s="1603">
        <f t="shared" ca="1" si="6"/>
        <v>0</v>
      </c>
      <c r="E38" s="1604">
        <f t="shared" ca="1" si="7"/>
        <v>0</v>
      </c>
      <c r="F38" s="1604">
        <f t="shared" ca="1" si="8"/>
        <v>0</v>
      </c>
      <c r="G38" s="1604">
        <f t="shared" ca="1" si="9"/>
        <v>0</v>
      </c>
      <c r="H38" s="1603">
        <f t="shared" ca="1" si="10"/>
        <v>0</v>
      </c>
      <c r="I38" s="1604">
        <f t="shared" ca="1" si="11"/>
        <v>0</v>
      </c>
      <c r="J38" s="1604">
        <f t="shared" ca="1" si="12"/>
        <v>0</v>
      </c>
      <c r="K38" s="1605">
        <f t="shared" ca="1" si="13"/>
        <v>0</v>
      </c>
      <c r="L38" s="1603" t="str">
        <f t="shared" ca="1" si="14"/>
        <v>NA</v>
      </c>
      <c r="M38" s="1604" t="str">
        <f t="shared" ca="1" si="15"/>
        <v>NA</v>
      </c>
      <c r="N38" s="1604" t="str">
        <f t="shared" ca="1" si="16"/>
        <v>NA</v>
      </c>
      <c r="O38" s="1605" t="str">
        <f t="shared" ca="1" si="17"/>
        <v>NA</v>
      </c>
      <c r="P38" s="569"/>
      <c r="Q38" s="569"/>
      <c r="R38" s="569"/>
      <c r="S38" s="1029"/>
      <c r="T38" s="259"/>
      <c r="U38" s="259"/>
      <c r="V38" s="253"/>
      <c r="W38" s="253"/>
      <c r="X38" s="253"/>
      <c r="Y38" s="253"/>
      <c r="Z38" s="253"/>
      <c r="AA38" s="253"/>
      <c r="AB38" s="253"/>
      <c r="AC38" s="274"/>
      <c r="AD38" s="274"/>
      <c r="AE38" s="274"/>
      <c r="AF38" s="274"/>
      <c r="AG38" s="274"/>
      <c r="AH38" s="274"/>
      <c r="AI38" s="274"/>
      <c r="AJ38" s="274"/>
      <c r="AK38" s="274"/>
      <c r="AL38" s="274"/>
      <c r="AM38" s="274"/>
      <c r="AN38" s="274"/>
      <c r="AO38" s="274"/>
      <c r="AP38" s="1594">
        <f t="shared" ca="1" si="18"/>
        <v>0</v>
      </c>
      <c r="AQ38" s="1589">
        <f t="shared" ca="1" si="18"/>
        <v>0</v>
      </c>
      <c r="AR38" s="1589">
        <f t="shared" ca="1" si="18"/>
        <v>0</v>
      </c>
      <c r="AS38" s="1595">
        <f t="shared" ca="1" si="18"/>
        <v>0</v>
      </c>
      <c r="AT38" s="1589">
        <f ca="1">IF('1.GeneralInfo'!$E$12=0,"N/A",AP38/('1.GeneralInfo'!$S$12/SUMIF('2.CropManagement'!$X$152:$X$153,'1.GeneralInfo'!$F$12,'2.CropManagement'!$Y$152:$Y$153)))</f>
        <v>0</v>
      </c>
      <c r="AU38" s="1589">
        <f ca="1">IF('1.GeneralInfo'!$E$12=0,"N/A",AQ38/('1.GeneralInfo'!$S$12/SUMIF('2.CropManagement'!$X$152:$X$153,'1.GeneralInfo'!$F$12,'2.CropManagement'!$Y$152:$Y$153)))</f>
        <v>0</v>
      </c>
      <c r="AV38" s="1589">
        <f ca="1">IF('1.GeneralInfo'!$E$12=0,"N/A",AR38/('1.GeneralInfo'!$S$12/SUMIF('2.CropManagement'!$X$152:$X$153,'1.GeneralInfo'!$F$12,'2.CropManagement'!$Y$152:$Y$153)))</f>
        <v>0</v>
      </c>
      <c r="AW38" s="1589">
        <f ca="1">IF('1.GeneralInfo'!$E$12=0,"N/A",AS38/('1.GeneralInfo'!$S$12/SUMIF('2.CropManagement'!$X$152:$X$153,'1.GeneralInfo'!$F$12,'2.CropManagement'!$Y$152:$Y$153)))</f>
        <v>0</v>
      </c>
      <c r="AX38" s="568" t="e">
        <f ca="1">IF('1.GeneralInfo'!$E$14=0,"N/A",AP38/$BF$12)*IF(J$5="Yes",$AB$8,$AB$7)</f>
        <v>#DIV/0!</v>
      </c>
      <c r="AY38" s="568" t="e">
        <f ca="1">IF('1.GeneralInfo'!$E$14=0,"N/A",AQ38/$BF$13)*IF(K$5="Yes",$AB$8,$AB$7)</f>
        <v>#DIV/0!</v>
      </c>
      <c r="AZ38" s="568" t="e">
        <f ca="1">IF('1.GeneralInfo'!$E$14=0,"N/A",AR38/$BF$14)*IF(L$5="Yes",$AB$8,$AB$7)</f>
        <v>#DIV/0!</v>
      </c>
      <c r="BA38" s="568" t="e">
        <f ca="1">IF('1.GeneralInfo'!$E$14=0,"N/A",AS38/$BF$15)*IF(M$5="Yes",$AB$8,$AB$7)</f>
        <v>#DIV/0!</v>
      </c>
      <c r="BB38" s="274"/>
      <c r="BC38" s="274"/>
      <c r="BD38" s="274"/>
      <c r="BE38" s="274"/>
      <c r="BF38" s="274"/>
      <c r="BG38" s="274"/>
      <c r="BH38" s="274"/>
      <c r="BI38" s="274"/>
      <c r="BJ38" s="274"/>
      <c r="BK38" s="274"/>
      <c r="BL38" s="274"/>
      <c r="BM38" s="274"/>
      <c r="BN38" s="274"/>
    </row>
    <row r="39" spans="1:66" ht="18.75" customHeight="1" x14ac:dyDescent="0.25">
      <c r="A39" s="253"/>
      <c r="B39" s="568"/>
      <c r="C39" s="85" t="s">
        <v>1236</v>
      </c>
      <c r="D39" s="1603">
        <f t="shared" ca="1" si="6"/>
        <v>0</v>
      </c>
      <c r="E39" s="1604">
        <f t="shared" ca="1" si="7"/>
        <v>0</v>
      </c>
      <c r="F39" s="1604">
        <f t="shared" ca="1" si="8"/>
        <v>0</v>
      </c>
      <c r="G39" s="1604">
        <f t="shared" ca="1" si="9"/>
        <v>0</v>
      </c>
      <c r="H39" s="1603">
        <f t="shared" ca="1" si="10"/>
        <v>0</v>
      </c>
      <c r="I39" s="1604">
        <f t="shared" ca="1" si="11"/>
        <v>0</v>
      </c>
      <c r="J39" s="1604">
        <f t="shared" ca="1" si="12"/>
        <v>0</v>
      </c>
      <c r="K39" s="1605">
        <f t="shared" ca="1" si="13"/>
        <v>0</v>
      </c>
      <c r="L39" s="1603" t="str">
        <f t="shared" ca="1" si="14"/>
        <v>NA</v>
      </c>
      <c r="M39" s="1604" t="str">
        <f t="shared" ca="1" si="15"/>
        <v>NA</v>
      </c>
      <c r="N39" s="1604" t="str">
        <f t="shared" ca="1" si="16"/>
        <v>NA</v>
      </c>
      <c r="O39" s="1605" t="str">
        <f t="shared" ca="1" si="17"/>
        <v>NA</v>
      </c>
      <c r="P39" s="569"/>
      <c r="Q39" s="569"/>
      <c r="R39" s="569"/>
      <c r="S39" s="1029"/>
      <c r="T39" s="259"/>
      <c r="U39" s="259"/>
      <c r="V39" s="253"/>
      <c r="W39" s="253"/>
      <c r="X39" s="253"/>
      <c r="Y39" s="253"/>
      <c r="Z39" s="253"/>
      <c r="AA39" s="253"/>
      <c r="AB39" s="253"/>
      <c r="AC39" s="274"/>
      <c r="AD39" s="274"/>
      <c r="AE39" s="274"/>
      <c r="AF39" s="274"/>
      <c r="AG39" s="274"/>
      <c r="AH39" s="274"/>
      <c r="AI39" s="274"/>
      <c r="AJ39" s="274"/>
      <c r="AK39" s="274"/>
      <c r="AL39" s="274"/>
      <c r="AM39" s="274"/>
      <c r="AN39" s="274"/>
      <c r="AO39" s="274"/>
      <c r="AP39" s="1594">
        <f t="shared" ca="1" si="18"/>
        <v>0</v>
      </c>
      <c r="AQ39" s="1589">
        <f t="shared" ca="1" si="18"/>
        <v>0</v>
      </c>
      <c r="AR39" s="1589">
        <f t="shared" ca="1" si="18"/>
        <v>0</v>
      </c>
      <c r="AS39" s="1595">
        <f t="shared" ca="1" si="18"/>
        <v>0</v>
      </c>
      <c r="AT39" s="1589">
        <f ca="1">IF('1.GeneralInfo'!$E$12=0,"N/A",AP39/('1.GeneralInfo'!$S$12/SUMIF('2.CropManagement'!$X$152:$X$153,'1.GeneralInfo'!$F$12,'2.CropManagement'!$Y$152:$Y$153)))</f>
        <v>0</v>
      </c>
      <c r="AU39" s="1589">
        <f ca="1">IF('1.GeneralInfo'!$E$12=0,"N/A",AQ39/('1.GeneralInfo'!$S$12/SUMIF('2.CropManagement'!$X$152:$X$153,'1.GeneralInfo'!$F$12,'2.CropManagement'!$Y$152:$Y$153)))</f>
        <v>0</v>
      </c>
      <c r="AV39" s="1589">
        <f ca="1">IF('1.GeneralInfo'!$E$12=0,"N/A",AR39/('1.GeneralInfo'!$S$12/SUMIF('2.CropManagement'!$X$152:$X$153,'1.GeneralInfo'!$F$12,'2.CropManagement'!$Y$152:$Y$153)))</f>
        <v>0</v>
      </c>
      <c r="AW39" s="1589">
        <f ca="1">IF('1.GeneralInfo'!$E$12=0,"N/A",AS39/('1.GeneralInfo'!$S$12/SUMIF('2.CropManagement'!$X$152:$X$153,'1.GeneralInfo'!$F$12,'2.CropManagement'!$Y$152:$Y$153)))</f>
        <v>0</v>
      </c>
      <c r="AX39" s="568" t="e">
        <f ca="1">IF('1.GeneralInfo'!$E$14=0,"N/A",AP39/$BF$12)*IF(J$5="Yes",$AB$8,$AB$7)</f>
        <v>#DIV/0!</v>
      </c>
      <c r="AY39" s="568" t="e">
        <f ca="1">IF('1.GeneralInfo'!$E$14=0,"N/A",AQ39/$BF$13)*IF(K$5="Yes",$AB$8,$AB$7)</f>
        <v>#DIV/0!</v>
      </c>
      <c r="AZ39" s="568" t="e">
        <f ca="1">IF('1.GeneralInfo'!$E$14=0,"N/A",AR39/$BF$14)*IF(L$5="Yes",$AB$8,$AB$7)</f>
        <v>#DIV/0!</v>
      </c>
      <c r="BA39" s="568" t="e">
        <f ca="1">IF('1.GeneralInfo'!$E$14=0,"N/A",AS39/$BF$15)*IF(M$5="Yes",$AB$8,$AB$7)</f>
        <v>#DIV/0!</v>
      </c>
      <c r="BB39" s="274"/>
      <c r="BC39" s="274"/>
      <c r="BD39" s="274"/>
      <c r="BE39" s="274"/>
      <c r="BF39" s="274"/>
      <c r="BG39" s="274"/>
      <c r="BH39" s="274"/>
      <c r="BI39" s="274"/>
      <c r="BJ39" s="274"/>
      <c r="BK39" s="274"/>
      <c r="BL39" s="274"/>
      <c r="BM39" s="274"/>
      <c r="BN39" s="274"/>
    </row>
    <row r="40" spans="1:66" ht="18.75" customHeight="1" x14ac:dyDescent="0.25">
      <c r="A40" s="253"/>
      <c r="B40" s="568"/>
      <c r="C40" s="85" t="s">
        <v>85</v>
      </c>
      <c r="D40" s="1603">
        <f t="shared" ca="1" si="6"/>
        <v>0</v>
      </c>
      <c r="E40" s="1604">
        <f t="shared" ca="1" si="7"/>
        <v>0</v>
      </c>
      <c r="F40" s="1604">
        <f t="shared" ca="1" si="8"/>
        <v>0</v>
      </c>
      <c r="G40" s="1604">
        <f t="shared" ca="1" si="9"/>
        <v>0</v>
      </c>
      <c r="H40" s="1603">
        <f t="shared" ca="1" si="10"/>
        <v>0</v>
      </c>
      <c r="I40" s="1604">
        <f t="shared" ca="1" si="11"/>
        <v>0</v>
      </c>
      <c r="J40" s="1604">
        <f t="shared" ca="1" si="12"/>
        <v>0</v>
      </c>
      <c r="K40" s="1605">
        <f t="shared" ca="1" si="13"/>
        <v>0</v>
      </c>
      <c r="L40" s="1603" t="str">
        <f t="shared" ca="1" si="14"/>
        <v>NA</v>
      </c>
      <c r="M40" s="1604" t="str">
        <f t="shared" ca="1" si="15"/>
        <v>NA</v>
      </c>
      <c r="N40" s="1604" t="str">
        <f t="shared" ca="1" si="16"/>
        <v>NA</v>
      </c>
      <c r="O40" s="1605" t="str">
        <f t="shared" ca="1" si="17"/>
        <v>NA</v>
      </c>
      <c r="P40" s="569"/>
      <c r="Q40" s="569"/>
      <c r="R40" s="569"/>
      <c r="S40" s="1029"/>
      <c r="T40" s="259"/>
      <c r="U40" s="259"/>
      <c r="V40" s="253"/>
      <c r="W40" s="253"/>
      <c r="X40" s="253"/>
      <c r="Y40" s="253"/>
      <c r="Z40" s="253"/>
      <c r="AA40" s="253"/>
      <c r="AB40" s="253"/>
      <c r="AC40" s="274"/>
      <c r="AD40" s="274"/>
      <c r="AE40" s="274"/>
      <c r="AF40" s="274"/>
      <c r="AG40" s="274"/>
      <c r="AH40" s="274"/>
      <c r="AI40" s="274"/>
      <c r="AJ40" s="274"/>
      <c r="AK40" s="274"/>
      <c r="AL40" s="274"/>
      <c r="AM40" s="274"/>
      <c r="AN40" s="274"/>
      <c r="AO40" s="274"/>
      <c r="AP40" s="1594">
        <f t="shared" ca="1" si="18"/>
        <v>0</v>
      </c>
      <c r="AQ40" s="1589">
        <f t="shared" ca="1" si="18"/>
        <v>0</v>
      </c>
      <c r="AR40" s="1589">
        <f t="shared" ca="1" si="18"/>
        <v>0</v>
      </c>
      <c r="AS40" s="1595">
        <f t="shared" ca="1" si="18"/>
        <v>0</v>
      </c>
      <c r="AT40" s="1589">
        <f ca="1">IF('1.GeneralInfo'!$E$12=0,"N/A",AP40/('1.GeneralInfo'!$S$12/SUMIF('2.CropManagement'!$X$152:$X$153,'1.GeneralInfo'!$F$12,'2.CropManagement'!$Y$152:$Y$153)))</f>
        <v>0</v>
      </c>
      <c r="AU40" s="1589">
        <f ca="1">IF('1.GeneralInfo'!$E$12=0,"N/A",AQ40/('1.GeneralInfo'!$S$12/SUMIF('2.CropManagement'!$X$152:$X$153,'1.GeneralInfo'!$F$12,'2.CropManagement'!$Y$152:$Y$153)))</f>
        <v>0</v>
      </c>
      <c r="AV40" s="1589">
        <f ca="1">IF('1.GeneralInfo'!$E$12=0,"N/A",AR40/('1.GeneralInfo'!$S$12/SUMIF('2.CropManagement'!$X$152:$X$153,'1.GeneralInfo'!$F$12,'2.CropManagement'!$Y$152:$Y$153)))</f>
        <v>0</v>
      </c>
      <c r="AW40" s="1589">
        <f ca="1">IF('1.GeneralInfo'!$E$12=0,"N/A",AS40/('1.GeneralInfo'!$S$12/SUMIF('2.CropManagement'!$X$152:$X$153,'1.GeneralInfo'!$F$12,'2.CropManagement'!$Y$152:$Y$153)))</f>
        <v>0</v>
      </c>
      <c r="AX40" s="568" t="e">
        <f ca="1">IF('1.GeneralInfo'!$E$14=0,"N/A",AP40/$BF$12)*IF(J$5="Yes",$AB$8,$AB$7)</f>
        <v>#DIV/0!</v>
      </c>
      <c r="AY40" s="568" t="e">
        <f ca="1">IF('1.GeneralInfo'!$E$14=0,"N/A",AQ40/$BF$13)*IF(K$5="Yes",$AB$8,$AB$7)</f>
        <v>#DIV/0!</v>
      </c>
      <c r="AZ40" s="568" t="e">
        <f ca="1">IF('1.GeneralInfo'!$E$14=0,"N/A",AR40/$BF$14)*IF(L$5="Yes",$AB$8,$AB$7)</f>
        <v>#DIV/0!</v>
      </c>
      <c r="BA40" s="568" t="e">
        <f ca="1">IF('1.GeneralInfo'!$E$14=0,"N/A",AS40/$BF$15)*IF(M$5="Yes",$AB$8,$AB$7)</f>
        <v>#DIV/0!</v>
      </c>
      <c r="BB40" s="274"/>
      <c r="BC40" s="274"/>
      <c r="BD40" s="274"/>
      <c r="BE40" s="274"/>
      <c r="BF40" s="274"/>
      <c r="BG40" s="274"/>
      <c r="BH40" s="274"/>
      <c r="BI40" s="274"/>
      <c r="BJ40" s="274"/>
      <c r="BK40" s="274"/>
      <c r="BL40" s="274"/>
      <c r="BM40" s="274"/>
      <c r="BN40" s="274"/>
    </row>
    <row r="41" spans="1:66" ht="18.75" customHeight="1" x14ac:dyDescent="0.25">
      <c r="A41" s="253"/>
      <c r="B41" s="568"/>
      <c r="C41" s="85" t="s">
        <v>86</v>
      </c>
      <c r="D41" s="1603">
        <f t="shared" ca="1" si="6"/>
        <v>0</v>
      </c>
      <c r="E41" s="1604">
        <f t="shared" ca="1" si="7"/>
        <v>0</v>
      </c>
      <c r="F41" s="1604">
        <f t="shared" ca="1" si="8"/>
        <v>0</v>
      </c>
      <c r="G41" s="1604">
        <f t="shared" ca="1" si="9"/>
        <v>0</v>
      </c>
      <c r="H41" s="1603">
        <f t="shared" ca="1" si="10"/>
        <v>0</v>
      </c>
      <c r="I41" s="1604">
        <f t="shared" ca="1" si="11"/>
        <v>0</v>
      </c>
      <c r="J41" s="1604">
        <f t="shared" ca="1" si="12"/>
        <v>0</v>
      </c>
      <c r="K41" s="1605">
        <f t="shared" ca="1" si="13"/>
        <v>0</v>
      </c>
      <c r="L41" s="1603" t="str">
        <f t="shared" ca="1" si="14"/>
        <v>NA</v>
      </c>
      <c r="M41" s="1604" t="str">
        <f t="shared" ca="1" si="15"/>
        <v>NA</v>
      </c>
      <c r="N41" s="1604" t="str">
        <f t="shared" ca="1" si="16"/>
        <v>NA</v>
      </c>
      <c r="O41" s="1605" t="str">
        <f t="shared" ca="1" si="17"/>
        <v>NA</v>
      </c>
      <c r="P41" s="569"/>
      <c r="Q41" s="569"/>
      <c r="R41" s="569"/>
      <c r="S41" s="1029"/>
      <c r="T41" s="259"/>
      <c r="U41" s="259"/>
      <c r="V41" s="253"/>
      <c r="W41" s="253"/>
      <c r="X41" s="253"/>
      <c r="Y41" s="253"/>
      <c r="Z41" s="253"/>
      <c r="AA41" s="253"/>
      <c r="AB41" s="253"/>
      <c r="AC41" s="274"/>
      <c r="AD41" s="274"/>
      <c r="AE41" s="274"/>
      <c r="AF41" s="274"/>
      <c r="AG41" s="274"/>
      <c r="AH41" s="274"/>
      <c r="AI41" s="274"/>
      <c r="AJ41" s="274"/>
      <c r="AK41" s="274"/>
      <c r="AL41" s="274"/>
      <c r="AM41" s="274"/>
      <c r="AN41" s="274"/>
      <c r="AO41" s="274"/>
      <c r="AP41" s="1594">
        <f t="shared" ca="1" si="18"/>
        <v>0</v>
      </c>
      <c r="AQ41" s="1589">
        <f t="shared" ca="1" si="18"/>
        <v>0</v>
      </c>
      <c r="AR41" s="1589">
        <f t="shared" ca="1" si="18"/>
        <v>0</v>
      </c>
      <c r="AS41" s="1595">
        <f t="shared" ca="1" si="18"/>
        <v>0</v>
      </c>
      <c r="AT41" s="1589">
        <f ca="1">IF('1.GeneralInfo'!$E$12=0,"N/A",AP41/('1.GeneralInfo'!$S$12/SUMIF('2.CropManagement'!$X$152:$X$153,'1.GeneralInfo'!$F$12,'2.CropManagement'!$Y$152:$Y$153)))</f>
        <v>0</v>
      </c>
      <c r="AU41" s="1589">
        <f ca="1">IF('1.GeneralInfo'!$E$12=0,"N/A",AQ41/('1.GeneralInfo'!$S$12/SUMIF('2.CropManagement'!$X$152:$X$153,'1.GeneralInfo'!$F$12,'2.CropManagement'!$Y$152:$Y$153)))</f>
        <v>0</v>
      </c>
      <c r="AV41" s="1589">
        <f ca="1">IF('1.GeneralInfo'!$E$12=0,"N/A",AR41/('1.GeneralInfo'!$S$12/SUMIF('2.CropManagement'!$X$152:$X$153,'1.GeneralInfo'!$F$12,'2.CropManagement'!$Y$152:$Y$153)))</f>
        <v>0</v>
      </c>
      <c r="AW41" s="1589">
        <f ca="1">IF('1.GeneralInfo'!$E$12=0,"N/A",AS41/('1.GeneralInfo'!$S$12/SUMIF('2.CropManagement'!$X$152:$X$153,'1.GeneralInfo'!$F$12,'2.CropManagement'!$Y$152:$Y$153)))</f>
        <v>0</v>
      </c>
      <c r="AX41" s="568" t="e">
        <f ca="1">IF('1.GeneralInfo'!$E$14=0,"N/A",AP41/$BF$12)*IF(J$5="Yes",$AB$8,$AB$7)</f>
        <v>#DIV/0!</v>
      </c>
      <c r="AY41" s="568" t="e">
        <f ca="1">IF('1.GeneralInfo'!$E$14=0,"N/A",AQ41/$BF$13)*IF(K$5="Yes",$AB$8,$AB$7)</f>
        <v>#DIV/0!</v>
      </c>
      <c r="AZ41" s="568" t="e">
        <f ca="1">IF('1.GeneralInfo'!$E$14=0,"N/A",AR41/$BF$14)*IF(L$5="Yes",$AB$8,$AB$7)</f>
        <v>#DIV/0!</v>
      </c>
      <c r="BA41" s="568" t="e">
        <f ca="1">IF('1.GeneralInfo'!$E$14=0,"N/A",AS41/$BF$15)*IF(M$5="Yes",$AB$8,$AB$7)</f>
        <v>#DIV/0!</v>
      </c>
      <c r="BB41" s="274"/>
      <c r="BC41" s="274"/>
      <c r="BD41" s="274"/>
      <c r="BE41" s="274"/>
      <c r="BF41" s="274"/>
      <c r="BG41" s="274"/>
      <c r="BH41" s="274"/>
      <c r="BI41" s="274"/>
      <c r="BJ41" s="274"/>
      <c r="BK41" s="274"/>
      <c r="BL41" s="274"/>
      <c r="BM41" s="274"/>
      <c r="BN41" s="274"/>
    </row>
    <row r="42" spans="1:66" ht="18.75" customHeight="1" thickBot="1" x14ac:dyDescent="0.3">
      <c r="A42" s="253"/>
      <c r="B42" s="568"/>
      <c r="C42" s="97" t="s">
        <v>87</v>
      </c>
      <c r="D42" s="1603">
        <f t="shared" ca="1" si="6"/>
        <v>0</v>
      </c>
      <c r="E42" s="1604">
        <f t="shared" ca="1" si="7"/>
        <v>0</v>
      </c>
      <c r="F42" s="1604">
        <f t="shared" ca="1" si="8"/>
        <v>0</v>
      </c>
      <c r="G42" s="1604">
        <f t="shared" ca="1" si="9"/>
        <v>0</v>
      </c>
      <c r="H42" s="1603">
        <f t="shared" ca="1" si="10"/>
        <v>0</v>
      </c>
      <c r="I42" s="1604">
        <f t="shared" ca="1" si="11"/>
        <v>0</v>
      </c>
      <c r="J42" s="1604">
        <f t="shared" ca="1" si="12"/>
        <v>0</v>
      </c>
      <c r="K42" s="1605">
        <f t="shared" ca="1" si="13"/>
        <v>0</v>
      </c>
      <c r="L42" s="1603" t="str">
        <f t="shared" ca="1" si="14"/>
        <v>NA</v>
      </c>
      <c r="M42" s="1604" t="str">
        <f t="shared" ca="1" si="15"/>
        <v>NA</v>
      </c>
      <c r="N42" s="1604" t="str">
        <f t="shared" ca="1" si="16"/>
        <v>NA</v>
      </c>
      <c r="O42" s="1605" t="str">
        <f t="shared" ca="1" si="17"/>
        <v>NA</v>
      </c>
      <c r="P42" s="569"/>
      <c r="Q42" s="569"/>
      <c r="R42" s="569"/>
      <c r="S42" s="1029"/>
      <c r="T42" s="259"/>
      <c r="U42" s="259"/>
      <c r="V42" s="253"/>
      <c r="W42" s="253"/>
      <c r="X42" s="253"/>
      <c r="Y42" s="253"/>
      <c r="Z42" s="253"/>
      <c r="AA42" s="253"/>
      <c r="AB42" s="253"/>
      <c r="AC42" s="274"/>
      <c r="AD42" s="274"/>
      <c r="AE42" s="274"/>
      <c r="AF42" s="274"/>
      <c r="AG42" s="274"/>
      <c r="AH42" s="274"/>
      <c r="AI42" s="274"/>
      <c r="AJ42" s="274"/>
      <c r="AK42" s="274"/>
      <c r="AL42" s="274"/>
      <c r="AM42" s="274"/>
      <c r="AN42" s="274"/>
      <c r="AO42" s="274"/>
      <c r="AP42" s="1594">
        <f t="shared" ca="1" si="18"/>
        <v>0</v>
      </c>
      <c r="AQ42" s="1589">
        <f t="shared" ca="1" si="18"/>
        <v>0</v>
      </c>
      <c r="AR42" s="1589">
        <f t="shared" ca="1" si="18"/>
        <v>0</v>
      </c>
      <c r="AS42" s="1595">
        <f t="shared" ca="1" si="18"/>
        <v>0</v>
      </c>
      <c r="AT42" s="1589">
        <f ca="1">IF('1.GeneralInfo'!$E$12=0,"N/A",AP42/('1.GeneralInfo'!$S$12/SUMIF('2.CropManagement'!$X$152:$X$153,'1.GeneralInfo'!$F$12,'2.CropManagement'!$Y$152:$Y$153)))</f>
        <v>0</v>
      </c>
      <c r="AU42" s="1589">
        <f ca="1">IF('1.GeneralInfo'!$E$12=0,"N/A",AQ42/('1.GeneralInfo'!$S$12/SUMIF('2.CropManagement'!$X$152:$X$153,'1.GeneralInfo'!$F$12,'2.CropManagement'!$Y$152:$Y$153)))</f>
        <v>0</v>
      </c>
      <c r="AV42" s="1589">
        <f ca="1">IF('1.GeneralInfo'!$E$12=0,"N/A",AR42/('1.GeneralInfo'!$S$12/SUMIF('2.CropManagement'!$X$152:$X$153,'1.GeneralInfo'!$F$12,'2.CropManagement'!$Y$152:$Y$153)))</f>
        <v>0</v>
      </c>
      <c r="AW42" s="1589">
        <f ca="1">IF('1.GeneralInfo'!$E$12=0,"N/A",AS42/('1.GeneralInfo'!$S$12/SUMIF('2.CropManagement'!$X$152:$X$153,'1.GeneralInfo'!$F$12,'2.CropManagement'!$Y$152:$Y$153)))</f>
        <v>0</v>
      </c>
      <c r="AX42" s="568" t="e">
        <f ca="1">IF('1.GeneralInfo'!$E$14=0,"N/A",AP42/$BF$12)*IF(J$5="Yes",$AB$8,$AB$7)</f>
        <v>#DIV/0!</v>
      </c>
      <c r="AY42" s="568" t="e">
        <f ca="1">IF('1.GeneralInfo'!$E$14=0,"N/A",AQ42/$BF$13)*IF(K$5="Yes",$AB$8,$AB$7)</f>
        <v>#DIV/0!</v>
      </c>
      <c r="AZ42" s="568" t="e">
        <f ca="1">IF('1.GeneralInfo'!$E$14=0,"N/A",AR42/$BF$14)*IF(L$5="Yes",$AB$8,$AB$7)</f>
        <v>#DIV/0!</v>
      </c>
      <c r="BA42" s="568" t="e">
        <f ca="1">IF('1.GeneralInfo'!$E$14=0,"N/A",AS42/$BF$15)*IF(M$5="Yes",$AB$8,$AB$7)</f>
        <v>#DIV/0!</v>
      </c>
      <c r="BB42" s="274"/>
      <c r="BC42" s="274"/>
      <c r="BD42" s="274"/>
      <c r="BE42" s="274"/>
      <c r="BF42" s="274"/>
      <c r="BG42" s="274"/>
      <c r="BH42" s="274"/>
      <c r="BI42" s="274"/>
      <c r="BJ42" s="274"/>
      <c r="BK42" s="274"/>
      <c r="BL42" s="274"/>
      <c r="BM42" s="274"/>
      <c r="BN42" s="274"/>
    </row>
    <row r="43" spans="1:66" ht="18.75" customHeight="1" thickBot="1" x14ac:dyDescent="0.4">
      <c r="A43" s="253"/>
      <c r="B43" s="568"/>
      <c r="C43" s="1590" t="s">
        <v>1269</v>
      </c>
      <c r="D43" s="1597">
        <f ca="1">SUM(D30:D42)</f>
        <v>0</v>
      </c>
      <c r="E43" s="1598">
        <f t="shared" ref="E43:O43" ca="1" si="19">SUM(E30:E42)</f>
        <v>0</v>
      </c>
      <c r="F43" s="1598">
        <f t="shared" ca="1" si="19"/>
        <v>0</v>
      </c>
      <c r="G43" s="1599">
        <f t="shared" ca="1" si="19"/>
        <v>0</v>
      </c>
      <c r="H43" s="1597">
        <f t="shared" ca="1" si="19"/>
        <v>0</v>
      </c>
      <c r="I43" s="1598">
        <f t="shared" ca="1" si="19"/>
        <v>0</v>
      </c>
      <c r="J43" s="1598">
        <f t="shared" ca="1" si="19"/>
        <v>0</v>
      </c>
      <c r="K43" s="1599">
        <f t="shared" ca="1" si="19"/>
        <v>0</v>
      </c>
      <c r="L43" s="1597">
        <f t="shared" ca="1" si="19"/>
        <v>0</v>
      </c>
      <c r="M43" s="1598">
        <f t="shared" ca="1" si="19"/>
        <v>0</v>
      </c>
      <c r="N43" s="1598">
        <f t="shared" ca="1" si="19"/>
        <v>0</v>
      </c>
      <c r="O43" s="1599">
        <f t="shared" ca="1" si="19"/>
        <v>0</v>
      </c>
      <c r="P43" s="569"/>
      <c r="Q43" s="569"/>
      <c r="R43" s="569"/>
      <c r="S43" s="1029"/>
      <c r="T43" s="259"/>
      <c r="U43" s="259"/>
      <c r="V43" s="253"/>
      <c r="W43" s="253"/>
      <c r="X43" s="253"/>
      <c r="Y43" s="253"/>
      <c r="Z43" s="253"/>
      <c r="AA43" s="253"/>
      <c r="AB43" s="253"/>
      <c r="AC43" s="274"/>
      <c r="AD43" s="274"/>
      <c r="AE43" s="274"/>
      <c r="AF43" s="274"/>
      <c r="AG43" s="274"/>
      <c r="AH43" s="274"/>
      <c r="AI43" s="274"/>
      <c r="AJ43" s="274"/>
      <c r="AK43" s="274"/>
      <c r="AL43" s="274"/>
      <c r="AM43" s="274"/>
      <c r="AN43" s="274"/>
      <c r="AO43" s="274"/>
      <c r="AP43" s="274"/>
      <c r="AQ43" s="274"/>
      <c r="AR43" s="274"/>
      <c r="AS43" s="274"/>
      <c r="AT43" s="274"/>
      <c r="AU43" s="274"/>
      <c r="AV43" s="274"/>
      <c r="AW43" s="274"/>
      <c r="AX43" s="274"/>
      <c r="AY43" s="274"/>
      <c r="AZ43" s="274"/>
      <c r="BA43" s="274"/>
      <c r="BB43" s="274"/>
      <c r="BC43" s="274"/>
      <c r="BD43" s="274"/>
      <c r="BE43" s="274"/>
      <c r="BF43" s="274"/>
      <c r="BG43" s="274"/>
      <c r="BH43" s="274"/>
      <c r="BI43" s="274"/>
      <c r="BJ43" s="274"/>
      <c r="BK43" s="274"/>
      <c r="BL43" s="274"/>
      <c r="BM43" s="274"/>
      <c r="BN43" s="274"/>
    </row>
    <row r="44" spans="1:66" ht="18.75" customHeight="1" x14ac:dyDescent="0.25">
      <c r="A44" s="253"/>
      <c r="B44" s="568"/>
      <c r="C44" s="1261"/>
      <c r="D44" s="584"/>
      <c r="E44" s="584"/>
      <c r="F44" s="584"/>
      <c r="G44" s="584"/>
      <c r="H44" s="584"/>
      <c r="I44" s="584"/>
      <c r="J44" s="584"/>
      <c r="K44" s="569"/>
      <c r="L44" s="569"/>
      <c r="M44" s="569"/>
      <c r="N44" s="569"/>
      <c r="O44" s="569"/>
      <c r="P44" s="569"/>
      <c r="Q44" s="569"/>
      <c r="R44" s="569"/>
      <c r="S44" s="1029"/>
      <c r="T44" s="259"/>
      <c r="U44" s="259"/>
      <c r="V44" s="253"/>
      <c r="W44" s="253"/>
      <c r="X44" s="253"/>
      <c r="Y44" s="253"/>
      <c r="Z44" s="253"/>
      <c r="AA44" s="253"/>
      <c r="AB44" s="253"/>
      <c r="AC44" s="274"/>
      <c r="AD44" s="274"/>
      <c r="AE44" s="274"/>
      <c r="AF44" s="274"/>
      <c r="AG44" s="274"/>
      <c r="AH44" s="274"/>
      <c r="AI44" s="274"/>
      <c r="AJ44" s="274"/>
      <c r="AK44" s="274"/>
      <c r="AL44" s="274"/>
      <c r="AM44" s="274"/>
      <c r="AN44" s="274"/>
      <c r="AO44" s="274"/>
      <c r="AP44" s="274"/>
      <c r="AQ44" s="274"/>
      <c r="AR44" s="274"/>
      <c r="AS44" s="274"/>
      <c r="AT44" s="274"/>
      <c r="AU44" s="274"/>
      <c r="AV44" s="274"/>
      <c r="AW44" s="274"/>
      <c r="AX44" s="274"/>
      <c r="AY44" s="274"/>
      <c r="AZ44" s="274"/>
      <c r="BA44" s="274"/>
      <c r="BB44" s="274"/>
      <c r="BC44" s="274"/>
      <c r="BD44" s="274"/>
      <c r="BE44" s="274"/>
      <c r="BF44" s="274"/>
      <c r="BG44" s="274"/>
      <c r="BH44" s="274"/>
      <c r="BI44" s="274"/>
      <c r="BJ44" s="274"/>
      <c r="BK44" s="274"/>
      <c r="BL44" s="274"/>
      <c r="BM44" s="274"/>
      <c r="BN44" s="274"/>
    </row>
    <row r="45" spans="1:66" ht="29.95" customHeight="1" x14ac:dyDescent="0.25">
      <c r="A45" s="253"/>
      <c r="B45" s="568"/>
      <c r="C45" s="1261" t="s">
        <v>1723</v>
      </c>
      <c r="D45" s="584"/>
      <c r="E45" s="584"/>
      <c r="F45" s="584"/>
      <c r="G45" s="584"/>
      <c r="H45" s="584"/>
      <c r="I45" s="584"/>
      <c r="J45" s="584"/>
      <c r="K45" s="569"/>
      <c r="L45" s="569"/>
      <c r="M45" s="569"/>
      <c r="N45" s="569"/>
      <c r="O45" s="569"/>
      <c r="P45" s="569"/>
      <c r="Q45" s="569"/>
      <c r="R45" s="569"/>
      <c r="S45" s="1029"/>
      <c r="T45" s="259"/>
      <c r="U45" s="259"/>
      <c r="V45" s="253"/>
      <c r="W45" s="253"/>
      <c r="X45" s="253"/>
      <c r="Y45" s="253"/>
      <c r="Z45" s="253"/>
      <c r="AA45" s="253"/>
      <c r="AB45" s="253"/>
      <c r="AC45" s="274"/>
      <c r="AD45" s="274"/>
      <c r="AE45" s="274"/>
      <c r="AF45" s="274"/>
      <c r="AG45" s="274"/>
      <c r="AH45" s="274"/>
      <c r="AI45" s="274"/>
      <c r="AJ45" s="274"/>
      <c r="AK45" s="274"/>
      <c r="AL45" s="274"/>
      <c r="AM45" s="274"/>
      <c r="AN45" s="274"/>
      <c r="AO45" s="274"/>
      <c r="AP45" s="274"/>
      <c r="AQ45" s="274"/>
      <c r="AR45" s="274"/>
      <c r="AS45" s="274"/>
      <c r="AT45" s="274"/>
      <c r="AU45" s="274"/>
      <c r="AV45" s="274"/>
      <c r="AW45" s="274"/>
      <c r="AX45" s="274"/>
      <c r="AY45" s="274"/>
      <c r="AZ45" s="274"/>
      <c r="BA45" s="274"/>
      <c r="BB45" s="274"/>
      <c r="BC45" s="274"/>
      <c r="BD45" s="274"/>
      <c r="BE45" s="274"/>
      <c r="BF45" s="274"/>
      <c r="BG45" s="274"/>
      <c r="BH45" s="274"/>
      <c r="BI45" s="274"/>
      <c r="BJ45" s="274"/>
      <c r="BK45" s="274"/>
      <c r="BL45" s="274"/>
      <c r="BM45" s="274"/>
      <c r="BN45" s="274"/>
    </row>
    <row r="46" spans="1:66" ht="236.3" customHeight="1" thickBot="1" x14ac:dyDescent="0.3">
      <c r="A46" s="253"/>
      <c r="B46" s="573"/>
      <c r="C46" s="2544" t="str">
        <f>IF(ISBLANK(Import!B401),"(Type over this message to enter which materials you have included in this section.)",Import!B401)</f>
        <v>(Type over this message to enter which materials you have included in this section.)</v>
      </c>
      <c r="D46" s="2529"/>
      <c r="E46" s="2529"/>
      <c r="F46" s="2529"/>
      <c r="G46" s="2530"/>
      <c r="H46" s="574"/>
      <c r="I46" s="574"/>
      <c r="J46" s="574"/>
      <c r="K46" s="574"/>
      <c r="L46" s="574"/>
      <c r="M46" s="574"/>
      <c r="N46" s="574"/>
      <c r="O46" s="574"/>
      <c r="P46" s="574"/>
      <c r="Q46" s="574"/>
      <c r="R46" s="574"/>
      <c r="S46" s="1030"/>
      <c r="T46" s="259"/>
      <c r="U46" s="259"/>
      <c r="V46" s="253"/>
      <c r="W46" s="253"/>
      <c r="X46" s="253"/>
      <c r="Y46" s="253"/>
      <c r="Z46" s="253"/>
      <c r="AA46" s="253"/>
      <c r="AB46" s="253"/>
      <c r="AC46" s="274"/>
      <c r="AD46" s="274"/>
      <c r="AE46" s="274"/>
      <c r="AF46" s="274"/>
      <c r="AG46" s="274"/>
      <c r="AH46" s="274"/>
      <c r="AI46" s="274"/>
      <c r="AJ46" s="274"/>
      <c r="AK46" s="274"/>
      <c r="AL46" s="274"/>
      <c r="AM46" s="274"/>
      <c r="AN46" s="274"/>
      <c r="AO46" s="274"/>
      <c r="AP46" s="274"/>
      <c r="AQ46" s="274"/>
      <c r="AR46" s="274"/>
      <c r="AS46" s="274"/>
      <c r="AT46" s="274"/>
      <c r="AU46" s="274"/>
      <c r="AV46" s="274"/>
      <c r="AW46" s="274"/>
      <c r="AX46" s="274"/>
      <c r="AY46" s="274"/>
      <c r="AZ46" s="274"/>
      <c r="BA46" s="274"/>
      <c r="BB46" s="274"/>
      <c r="BC46" s="274"/>
      <c r="BD46" s="274"/>
      <c r="BE46" s="274"/>
      <c r="BF46" s="274"/>
      <c r="BG46" s="274"/>
      <c r="BH46" s="274"/>
      <c r="BI46" s="274"/>
      <c r="BJ46" s="274"/>
      <c r="BK46" s="274"/>
      <c r="BL46" s="274"/>
      <c r="BM46" s="274"/>
      <c r="BN46" s="274"/>
    </row>
    <row r="47" spans="1:66" ht="23.2" customHeight="1" thickBot="1" x14ac:dyDescent="0.3">
      <c r="A47" s="253"/>
      <c r="B47" s="953"/>
      <c r="C47" s="2538" t="s">
        <v>1246</v>
      </c>
      <c r="D47" s="2538"/>
      <c r="E47" s="2538"/>
      <c r="F47" s="953"/>
      <c r="G47" s="953"/>
      <c r="H47" s="953"/>
      <c r="I47" s="953"/>
      <c r="J47" s="953"/>
      <c r="K47" s="953"/>
      <c r="L47" s="953"/>
      <c r="M47" s="953"/>
      <c r="N47" s="953"/>
      <c r="O47" s="953"/>
      <c r="P47" s="953"/>
      <c r="Q47" s="953"/>
      <c r="R47" s="953"/>
      <c r="S47" s="953"/>
      <c r="T47" s="259"/>
      <c r="U47" s="259"/>
      <c r="V47" s="253"/>
      <c r="W47" s="253"/>
      <c r="X47" s="253"/>
      <c r="Y47" s="253"/>
      <c r="Z47" s="253"/>
      <c r="AA47" s="253"/>
      <c r="AB47" s="253"/>
      <c r="AC47" s="274"/>
      <c r="AD47" s="274"/>
      <c r="AE47" s="274"/>
      <c r="AF47" s="274"/>
      <c r="AG47" s="274"/>
      <c r="AH47" s="274"/>
      <c r="AI47" s="274"/>
      <c r="AJ47" s="274"/>
      <c r="AK47" s="274"/>
      <c r="AL47" s="274"/>
      <c r="AM47" s="274"/>
      <c r="AN47" s="274"/>
      <c r="AO47" s="274"/>
      <c r="AP47" s="274"/>
      <c r="AQ47" s="274"/>
      <c r="AR47" s="274"/>
      <c r="AS47" s="274"/>
      <c r="AT47" s="274"/>
      <c r="AU47" s="274"/>
      <c r="AV47" s="274"/>
      <c r="AW47" s="274"/>
      <c r="AX47" s="274"/>
      <c r="AY47" s="274"/>
      <c r="AZ47" s="274"/>
      <c r="BA47" s="274"/>
      <c r="BB47" s="274"/>
      <c r="BC47" s="274"/>
      <c r="BD47" s="274"/>
      <c r="BE47" s="274"/>
      <c r="BF47" s="274"/>
      <c r="BG47" s="274"/>
      <c r="BH47" s="274"/>
      <c r="BI47" s="274"/>
      <c r="BJ47" s="274"/>
      <c r="BK47" s="274"/>
      <c r="BL47" s="274"/>
      <c r="BM47" s="274"/>
      <c r="BN47" s="274"/>
    </row>
    <row r="48" spans="1:66" ht="14.25" customHeight="1" thickBot="1" x14ac:dyDescent="0.3">
      <c r="A48" s="253"/>
      <c r="B48" s="1025"/>
      <c r="C48" s="1026"/>
      <c r="D48" s="984"/>
      <c r="E48" s="984"/>
      <c r="F48" s="984"/>
      <c r="G48" s="984"/>
      <c r="H48" s="984"/>
      <c r="I48" s="984"/>
      <c r="J48" s="984"/>
      <c r="K48" s="984"/>
      <c r="L48" s="984"/>
      <c r="M48" s="984"/>
      <c r="N48" s="984"/>
      <c r="O48" s="984"/>
      <c r="P48" s="984"/>
      <c r="Q48" s="984"/>
      <c r="R48" s="984"/>
      <c r="S48" s="1027"/>
      <c r="T48" s="259"/>
      <c r="U48" s="259"/>
      <c r="V48" s="253"/>
      <c r="W48" s="253"/>
      <c r="X48" s="253"/>
      <c r="Y48" s="253"/>
      <c r="Z48" s="253"/>
      <c r="AA48" s="253"/>
      <c r="AB48" s="253"/>
      <c r="AC48" s="274"/>
      <c r="AD48" s="274"/>
      <c r="AE48" s="274"/>
      <c r="AF48" s="274"/>
      <c r="AG48" s="274"/>
      <c r="AH48" s="274"/>
      <c r="AI48" s="274"/>
      <c r="AJ48" s="274"/>
      <c r="AK48" s="274"/>
      <c r="AL48" s="274"/>
      <c r="AM48" s="274"/>
      <c r="AN48" s="274"/>
      <c r="AO48" s="274"/>
      <c r="AP48" s="274"/>
      <c r="AQ48" s="274"/>
      <c r="AR48" s="274"/>
      <c r="AS48" s="274"/>
      <c r="AT48" s="274"/>
      <c r="AU48" s="274"/>
      <c r="AV48" s="274"/>
      <c r="AW48" s="274"/>
      <c r="AX48" s="274"/>
      <c r="AY48" s="274"/>
      <c r="AZ48" s="274"/>
      <c r="BA48" s="274"/>
      <c r="BB48" s="274"/>
      <c r="BC48" s="274"/>
      <c r="BD48" s="274"/>
      <c r="BE48" s="274"/>
      <c r="BF48" s="274"/>
      <c r="BG48" s="274"/>
      <c r="BH48" s="274"/>
      <c r="BI48" s="274"/>
      <c r="BJ48" s="274"/>
      <c r="BK48" s="274"/>
      <c r="BL48" s="274"/>
      <c r="BM48" s="274"/>
      <c r="BN48" s="274"/>
    </row>
    <row r="49" spans="1:66" ht="53.3" customHeight="1" x14ac:dyDescent="0.25">
      <c r="A49" s="253"/>
      <c r="B49" s="568"/>
      <c r="C49" s="1031"/>
      <c r="D49" s="984"/>
      <c r="E49" s="984"/>
      <c r="F49" s="984"/>
      <c r="G49" s="1027"/>
      <c r="H49" s="569"/>
      <c r="I49" s="569"/>
      <c r="J49" s="569"/>
      <c r="K49" s="569"/>
      <c r="L49" s="569"/>
      <c r="M49" s="569"/>
      <c r="N49" s="569"/>
      <c r="O49" s="569"/>
      <c r="P49" s="569"/>
      <c r="Q49" s="569"/>
      <c r="R49" s="569"/>
      <c r="S49" s="1029"/>
      <c r="T49" s="149"/>
      <c r="U49" s="149"/>
      <c r="V49" s="166"/>
      <c r="W49" s="166"/>
      <c r="X49" s="166"/>
      <c r="Y49" s="166"/>
      <c r="Z49" s="166"/>
      <c r="AA49" s="166"/>
      <c r="AB49" s="166"/>
      <c r="AC49" s="146"/>
      <c r="AD49" s="146"/>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c r="BN49" s="60"/>
    </row>
    <row r="50" spans="1:66" ht="16.600000000000001" customHeight="1" x14ac:dyDescent="0.35">
      <c r="A50" s="253"/>
      <c r="B50" s="568"/>
      <c r="C50" s="1032" t="s">
        <v>1199</v>
      </c>
      <c r="D50" s="569"/>
      <c r="E50" s="569"/>
      <c r="F50" s="569"/>
      <c r="G50" s="1029"/>
      <c r="H50" s="569"/>
      <c r="I50" s="569"/>
      <c r="J50" s="569"/>
      <c r="K50" s="569"/>
      <c r="L50" s="569"/>
      <c r="M50" s="569"/>
      <c r="N50" s="569"/>
      <c r="O50" s="569"/>
      <c r="P50" s="569"/>
      <c r="Q50" s="569"/>
      <c r="R50" s="569"/>
      <c r="S50" s="1029"/>
      <c r="T50" s="166"/>
      <c r="U50" s="166"/>
      <c r="V50" s="282">
        <f ca="1">MAX(G56:G58)</f>
        <v>0</v>
      </c>
      <c r="W50" s="166">
        <f ca="1">OFFSET(C55,SUMIF(G56:G58,V50,AA50:AA52),0)</f>
        <v>0</v>
      </c>
      <c r="X50" s="166"/>
      <c r="Y50" s="166"/>
      <c r="Z50" s="166">
        <f ca="1">IF(ISERROR(ROUND(100*V50/SUM(G56:G59),1)),0,ROUND(100*V50/SUM(G56:G59),1))</f>
        <v>0</v>
      </c>
      <c r="AA50" s="166">
        <v>1</v>
      </c>
      <c r="AB50" s="166" t="s">
        <v>25</v>
      </c>
      <c r="AC50" s="146"/>
      <c r="AD50" s="146"/>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c r="BN50" s="60"/>
    </row>
    <row r="51" spans="1:66" ht="16.600000000000001" customHeight="1" x14ac:dyDescent="0.25">
      <c r="A51" s="166"/>
      <c r="B51" s="381"/>
      <c r="C51" s="195"/>
      <c r="D51" s="186"/>
      <c r="E51" s="186"/>
      <c r="F51" s="186"/>
      <c r="G51" s="499"/>
      <c r="H51" s="186"/>
      <c r="I51" s="186"/>
      <c r="J51" s="186"/>
      <c r="K51" s="186"/>
      <c r="L51" s="186"/>
      <c r="M51" s="186"/>
      <c r="N51" s="186"/>
      <c r="O51" s="186"/>
      <c r="P51" s="186"/>
      <c r="Q51" s="186"/>
      <c r="R51" s="186"/>
      <c r="S51" s="499"/>
      <c r="T51" s="166"/>
      <c r="U51" s="166"/>
      <c r="V51" s="166"/>
      <c r="W51" s="166"/>
      <c r="X51" s="166"/>
      <c r="Y51" s="166"/>
      <c r="Z51" s="166"/>
      <c r="AA51" s="166">
        <v>2</v>
      </c>
      <c r="AB51" s="166" t="s">
        <v>1889</v>
      </c>
      <c r="AC51" s="146"/>
      <c r="AD51" s="146"/>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c r="BN51" s="60"/>
    </row>
    <row r="52" spans="1:66" ht="16.600000000000001" customHeight="1" x14ac:dyDescent="0.25">
      <c r="A52" s="166"/>
      <c r="B52" s="381"/>
      <c r="C52" s="381" t="str">
        <f ca="1">"1.     " &amp; Z50 &amp;"% of your emissions for livestock come from "&amp; W50</f>
        <v>1.     0% of your emissions for livestock come from 0</v>
      </c>
      <c r="D52" s="186"/>
      <c r="E52" s="186"/>
      <c r="F52" s="186"/>
      <c r="G52" s="499"/>
      <c r="H52" s="186"/>
      <c r="I52" s="186"/>
      <c r="J52" s="186"/>
      <c r="K52" s="186"/>
      <c r="L52" s="186"/>
      <c r="M52" s="186"/>
      <c r="N52" s="186"/>
      <c r="O52" s="186"/>
      <c r="P52" s="186"/>
      <c r="Q52" s="186"/>
      <c r="R52" s="186"/>
      <c r="S52" s="499"/>
      <c r="T52" s="166"/>
      <c r="U52" s="166"/>
      <c r="V52" s="166"/>
      <c r="W52" s="166"/>
      <c r="X52" s="166"/>
      <c r="Y52" s="166"/>
      <c r="Z52" s="166"/>
      <c r="AA52" s="166">
        <v>3</v>
      </c>
      <c r="AB52" s="166" t="s">
        <v>1772</v>
      </c>
      <c r="AC52" s="146"/>
      <c r="AD52" s="146"/>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row>
    <row r="53" spans="1:66" ht="16.600000000000001" customHeight="1" thickBot="1" x14ac:dyDescent="0.3">
      <c r="A53" s="166"/>
      <c r="B53" s="381"/>
      <c r="C53" s="264"/>
      <c r="D53" s="493"/>
      <c r="E53" s="493"/>
      <c r="F53" s="493"/>
      <c r="G53" s="561"/>
      <c r="H53" s="186"/>
      <c r="I53" s="186"/>
      <c r="J53" s="186"/>
      <c r="K53" s="186"/>
      <c r="L53" s="186"/>
      <c r="M53" s="186"/>
      <c r="N53" s="186"/>
      <c r="O53" s="186"/>
      <c r="P53" s="186"/>
      <c r="Q53" s="186"/>
      <c r="R53" s="186"/>
      <c r="S53" s="499"/>
      <c r="T53" s="166"/>
      <c r="U53" s="166"/>
      <c r="V53" s="166"/>
      <c r="W53" s="166"/>
      <c r="X53" s="166"/>
      <c r="Y53" s="166"/>
      <c r="Z53" s="166"/>
      <c r="AA53" s="166">
        <v>4</v>
      </c>
      <c r="AB53" s="166"/>
      <c r="AC53" s="146"/>
      <c r="AD53" s="146"/>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c r="BN53" s="60"/>
    </row>
    <row r="54" spans="1:66" ht="16.600000000000001" customHeight="1" thickBot="1" x14ac:dyDescent="0.3">
      <c r="A54" s="166"/>
      <c r="B54" s="381"/>
      <c r="C54" s="181"/>
      <c r="D54" s="186"/>
      <c r="E54" s="186"/>
      <c r="F54" s="186"/>
      <c r="G54" s="186"/>
      <c r="H54" s="186"/>
      <c r="I54" s="186"/>
      <c r="J54" s="186"/>
      <c r="K54" s="186"/>
      <c r="L54" s="186"/>
      <c r="M54" s="186"/>
      <c r="N54" s="186"/>
      <c r="O54" s="186"/>
      <c r="P54" s="186"/>
      <c r="Q54" s="186"/>
      <c r="R54" s="186"/>
      <c r="S54" s="499"/>
      <c r="T54" s="166"/>
      <c r="U54" s="166"/>
      <c r="V54" s="166"/>
      <c r="W54" s="166"/>
      <c r="X54" s="166"/>
      <c r="Y54" s="166"/>
      <c r="Z54" s="166"/>
      <c r="AA54" s="166"/>
      <c r="AB54" s="16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46"/>
      <c r="BL54" s="146"/>
      <c r="BM54" s="146"/>
      <c r="BN54" s="146"/>
    </row>
    <row r="55" spans="1:66" ht="54.75" customHeight="1" thickBot="1" x14ac:dyDescent="0.3">
      <c r="A55" s="166"/>
      <c r="B55" s="381"/>
      <c r="C55" s="186"/>
      <c r="D55" s="102" t="s">
        <v>2071</v>
      </c>
      <c r="E55" s="95" t="s">
        <v>1793</v>
      </c>
      <c r="F55" s="95" t="s">
        <v>2073</v>
      </c>
      <c r="G55" s="101" t="str">
        <f ca="1">I13</f>
        <v>Per tonne*</v>
      </c>
      <c r="H55" s="186"/>
      <c r="I55" s="186"/>
      <c r="J55" s="186"/>
      <c r="K55" s="186"/>
      <c r="L55" s="186"/>
      <c r="M55" s="186"/>
      <c r="N55" s="186"/>
      <c r="O55" s="186"/>
      <c r="P55" s="186"/>
      <c r="Q55" s="186"/>
      <c r="R55" s="186"/>
      <c r="S55" s="499"/>
      <c r="T55" s="166"/>
      <c r="U55" s="166"/>
      <c r="V55" s="166"/>
      <c r="W55" s="166"/>
      <c r="X55" s="166"/>
      <c r="Y55" s="166"/>
      <c r="Z55" s="166"/>
      <c r="AA55" s="166"/>
      <c r="AB55" s="16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46"/>
      <c r="BL55" s="146"/>
      <c r="BM55" s="146"/>
      <c r="BN55" s="146"/>
    </row>
    <row r="56" spans="1:66" ht="21.05" customHeight="1" x14ac:dyDescent="0.25">
      <c r="A56" s="166"/>
      <c r="B56" s="381"/>
      <c r="C56" s="92" t="s">
        <v>1736</v>
      </c>
      <c r="D56" s="575">
        <f t="shared" ref="D56:F58" si="20">D20</f>
        <v>0</v>
      </c>
      <c r="E56" s="275">
        <f t="shared" si="20"/>
        <v>0</v>
      </c>
      <c r="F56" s="276">
        <f t="shared" si="20"/>
        <v>0</v>
      </c>
      <c r="G56" s="576">
        <f ca="1">I20</f>
        <v>0</v>
      </c>
      <c r="H56" s="186"/>
      <c r="I56" s="186"/>
      <c r="J56" s="186"/>
      <c r="K56" s="186"/>
      <c r="L56" s="186"/>
      <c r="M56" s="186"/>
      <c r="N56" s="186"/>
      <c r="O56" s="186"/>
      <c r="P56" s="186"/>
      <c r="Q56" s="186"/>
      <c r="R56" s="186"/>
      <c r="S56" s="499"/>
      <c r="T56" s="166"/>
      <c r="U56" s="166"/>
      <c r="V56" s="166"/>
      <c r="W56" s="166"/>
      <c r="X56" s="166"/>
      <c r="Y56" s="166"/>
      <c r="Z56" s="166"/>
      <c r="AA56" s="166"/>
      <c r="AB56" s="16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46"/>
      <c r="BL56" s="146"/>
      <c r="BM56" s="146"/>
      <c r="BN56" s="146"/>
    </row>
    <row r="57" spans="1:66" ht="21.05" customHeight="1" x14ac:dyDescent="0.25">
      <c r="A57" s="166"/>
      <c r="B57" s="381"/>
      <c r="C57" s="93" t="s">
        <v>1735</v>
      </c>
      <c r="D57" s="577">
        <f t="shared" si="20"/>
        <v>0</v>
      </c>
      <c r="E57" s="578">
        <f t="shared" si="20"/>
        <v>0</v>
      </c>
      <c r="F57" s="579">
        <f t="shared" si="20"/>
        <v>0</v>
      </c>
      <c r="G57" s="580">
        <f ca="1">I21</f>
        <v>0</v>
      </c>
      <c r="H57" s="186"/>
      <c r="I57" s="186"/>
      <c r="J57" s="186"/>
      <c r="K57" s="186"/>
      <c r="L57" s="186"/>
      <c r="M57" s="186"/>
      <c r="N57" s="186"/>
      <c r="O57" s="186"/>
      <c r="P57" s="186"/>
      <c r="Q57" s="186"/>
      <c r="R57" s="186"/>
      <c r="S57" s="499"/>
      <c r="T57" s="166"/>
      <c r="U57" s="166"/>
      <c r="V57" s="166"/>
      <c r="W57" s="166"/>
      <c r="X57" s="166"/>
      <c r="Y57" s="166"/>
      <c r="Z57" s="166"/>
      <c r="AA57" s="166"/>
      <c r="AB57" s="16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46"/>
      <c r="BL57" s="146"/>
      <c r="BM57" s="146"/>
      <c r="BN57" s="146"/>
    </row>
    <row r="58" spans="1:66" ht="19.45" customHeight="1" x14ac:dyDescent="0.25">
      <c r="A58" s="166"/>
      <c r="B58" s="381"/>
      <c r="C58" s="93" t="s">
        <v>1734</v>
      </c>
      <c r="D58" s="577">
        <f t="shared" si="20"/>
        <v>0</v>
      </c>
      <c r="E58" s="578">
        <f t="shared" si="20"/>
        <v>0</v>
      </c>
      <c r="F58" s="579">
        <f t="shared" si="20"/>
        <v>0</v>
      </c>
      <c r="G58" s="580">
        <f ca="1">I22</f>
        <v>0</v>
      </c>
      <c r="H58" s="186"/>
      <c r="I58" s="186"/>
      <c r="J58" s="186"/>
      <c r="K58" s="186"/>
      <c r="L58" s="186"/>
      <c r="M58" s="186"/>
      <c r="N58" s="186"/>
      <c r="O58" s="186"/>
      <c r="P58" s="186"/>
      <c r="Q58" s="186"/>
      <c r="R58" s="186"/>
      <c r="S58" s="499"/>
      <c r="T58" s="166"/>
      <c r="U58" s="166"/>
      <c r="V58" s="166"/>
      <c r="W58" s="166"/>
      <c r="X58" s="166"/>
      <c r="Y58" s="166"/>
      <c r="Z58" s="166"/>
      <c r="AA58" s="166"/>
      <c r="AB58" s="16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46"/>
      <c r="BL58" s="146"/>
      <c r="BM58" s="146"/>
      <c r="BN58" s="146"/>
    </row>
    <row r="59" spans="1:66" ht="18" customHeight="1" thickBot="1" x14ac:dyDescent="0.3">
      <c r="A59" s="166"/>
      <c r="B59" s="381"/>
      <c r="C59" s="94"/>
      <c r="D59" s="581"/>
      <c r="E59" s="266"/>
      <c r="F59" s="267"/>
      <c r="G59" s="582"/>
      <c r="H59" s="186"/>
      <c r="I59" s="186"/>
      <c r="J59" s="186"/>
      <c r="K59" s="186"/>
      <c r="L59" s="186"/>
      <c r="M59" s="186"/>
      <c r="N59" s="186"/>
      <c r="O59" s="186"/>
      <c r="P59" s="186"/>
      <c r="Q59" s="186"/>
      <c r="R59" s="186"/>
      <c r="S59" s="499"/>
      <c r="T59" s="166"/>
      <c r="U59" s="166"/>
      <c r="V59" s="166"/>
      <c r="W59" s="166"/>
      <c r="X59" s="166"/>
      <c r="Y59" s="166"/>
      <c r="Z59" s="166"/>
      <c r="AA59" s="166"/>
      <c r="AB59" s="16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46"/>
      <c r="BL59" s="146"/>
      <c r="BM59" s="146"/>
      <c r="BN59" s="146"/>
    </row>
    <row r="60" spans="1:66" ht="11.25" customHeight="1" x14ac:dyDescent="0.25">
      <c r="A60" s="166"/>
      <c r="B60" s="381"/>
      <c r="C60" s="186"/>
      <c r="D60" s="186"/>
      <c r="E60" s="186"/>
      <c r="F60" s="186"/>
      <c r="G60" s="186"/>
      <c r="H60" s="186"/>
      <c r="I60" s="186"/>
      <c r="J60" s="186"/>
      <c r="K60" s="186"/>
      <c r="L60" s="186"/>
      <c r="M60" s="186"/>
      <c r="N60" s="186"/>
      <c r="O60" s="186"/>
      <c r="P60" s="186"/>
      <c r="Q60" s="186"/>
      <c r="R60" s="186"/>
      <c r="S60" s="499"/>
      <c r="T60" s="166"/>
      <c r="U60" s="166"/>
      <c r="V60" s="166"/>
      <c r="W60" s="166"/>
      <c r="X60" s="166"/>
      <c r="Y60" s="166"/>
      <c r="Z60" s="166"/>
      <c r="AA60" s="166"/>
      <c r="AB60" s="16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46"/>
      <c r="BL60" s="146"/>
      <c r="BM60" s="146"/>
      <c r="BN60" s="146"/>
    </row>
    <row r="61" spans="1:66" ht="18" customHeight="1" x14ac:dyDescent="0.25">
      <c r="A61" s="166"/>
      <c r="B61" s="381"/>
      <c r="C61" s="186">
        <f ca="1">OFFSET(AB49,SUMIF(G56:G59,V50,AA50:AA52),0)</f>
        <v>0</v>
      </c>
      <c r="D61" s="186"/>
      <c r="E61" s="186"/>
      <c r="F61" s="186"/>
      <c r="G61" s="186"/>
      <c r="H61" s="186"/>
      <c r="I61" s="186"/>
      <c r="J61" s="186"/>
      <c r="K61" s="186"/>
      <c r="L61" s="186"/>
      <c r="M61" s="186"/>
      <c r="N61" s="186"/>
      <c r="O61" s="186"/>
      <c r="P61" s="186"/>
      <c r="Q61" s="186"/>
      <c r="R61" s="186"/>
      <c r="S61" s="499"/>
      <c r="T61" s="166"/>
      <c r="U61" s="166"/>
      <c r="V61" s="166"/>
      <c r="W61" s="166"/>
      <c r="X61" s="166"/>
      <c r="Y61" s="166"/>
      <c r="Z61" s="166"/>
      <c r="AA61" s="166"/>
      <c r="AB61" s="16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46"/>
      <c r="BL61" s="146"/>
      <c r="BM61" s="146"/>
      <c r="BN61" s="146"/>
    </row>
    <row r="62" spans="1:66" ht="18" customHeight="1" x14ac:dyDescent="0.25">
      <c r="A62" s="166"/>
      <c r="B62" s="381"/>
      <c r="C62" s="186"/>
      <c r="D62" s="186"/>
      <c r="E62" s="186"/>
      <c r="F62" s="186"/>
      <c r="G62" s="186"/>
      <c r="H62" s="186"/>
      <c r="I62" s="186"/>
      <c r="J62" s="186"/>
      <c r="K62" s="186"/>
      <c r="L62" s="186"/>
      <c r="M62" s="186"/>
      <c r="N62" s="186"/>
      <c r="O62" s="186"/>
      <c r="P62" s="186"/>
      <c r="Q62" s="186"/>
      <c r="R62" s="186"/>
      <c r="S62" s="499"/>
      <c r="T62" s="166"/>
      <c r="U62" s="166"/>
      <c r="V62" s="166"/>
      <c r="W62" s="166"/>
      <c r="X62" s="166"/>
      <c r="Y62" s="166"/>
      <c r="Z62" s="166"/>
      <c r="AA62" s="166"/>
      <c r="AB62" s="16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46"/>
      <c r="BL62" s="146"/>
      <c r="BM62" s="146"/>
      <c r="BN62" s="146"/>
    </row>
    <row r="63" spans="1:66" ht="18" customHeight="1" x14ac:dyDescent="0.25">
      <c r="A63" s="166"/>
      <c r="B63" s="381"/>
      <c r="C63" s="186"/>
      <c r="D63" s="186"/>
      <c r="E63" s="186"/>
      <c r="F63" s="186"/>
      <c r="G63" s="186"/>
      <c r="H63" s="186"/>
      <c r="I63" s="186"/>
      <c r="J63" s="186"/>
      <c r="K63" s="186"/>
      <c r="L63" s="186"/>
      <c r="M63" s="186"/>
      <c r="N63" s="186"/>
      <c r="O63" s="186"/>
      <c r="P63" s="186"/>
      <c r="Q63" s="186"/>
      <c r="R63" s="186"/>
      <c r="S63" s="499"/>
      <c r="T63" s="166"/>
      <c r="U63" s="166"/>
      <c r="V63" s="166"/>
      <c r="W63" s="166"/>
      <c r="X63" s="166"/>
      <c r="Y63" s="166"/>
      <c r="Z63" s="166"/>
      <c r="AA63" s="166"/>
      <c r="AB63" s="16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46"/>
      <c r="BL63" s="146"/>
      <c r="BM63" s="146"/>
      <c r="BN63" s="146"/>
    </row>
    <row r="64" spans="1:66" ht="5.2" customHeight="1" x14ac:dyDescent="0.25">
      <c r="A64" s="166"/>
      <c r="B64" s="381"/>
      <c r="C64" s="186"/>
      <c r="D64" s="186"/>
      <c r="E64" s="186"/>
      <c r="F64" s="186"/>
      <c r="G64" s="186"/>
      <c r="H64" s="186"/>
      <c r="I64" s="186"/>
      <c r="J64" s="186"/>
      <c r="K64" s="186"/>
      <c r="L64" s="186"/>
      <c r="M64" s="186"/>
      <c r="N64" s="186"/>
      <c r="O64" s="186"/>
      <c r="P64" s="186"/>
      <c r="Q64" s="186"/>
      <c r="R64" s="186"/>
      <c r="S64" s="499"/>
      <c r="T64" s="166"/>
      <c r="U64" s="166"/>
      <c r="V64" s="166"/>
      <c r="W64" s="166"/>
      <c r="X64" s="166"/>
      <c r="Y64" s="166"/>
      <c r="Z64" s="166"/>
      <c r="AA64" s="166"/>
      <c r="AB64" s="16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46"/>
      <c r="BL64" s="146"/>
      <c r="BM64" s="146"/>
      <c r="BN64" s="146"/>
    </row>
    <row r="65" spans="1:66" ht="28.55" customHeight="1" x14ac:dyDescent="0.25">
      <c r="A65" s="166"/>
      <c r="B65" s="381"/>
      <c r="C65" s="186"/>
      <c r="D65" s="186"/>
      <c r="E65" s="186"/>
      <c r="F65" s="186"/>
      <c r="G65" s="186"/>
      <c r="H65" s="186"/>
      <c r="I65" s="186"/>
      <c r="J65" s="186"/>
      <c r="K65" s="186"/>
      <c r="L65" s="186"/>
      <c r="M65" s="186"/>
      <c r="N65" s="186"/>
      <c r="O65" s="186"/>
      <c r="P65" s="186"/>
      <c r="Q65" s="186"/>
      <c r="R65" s="186"/>
      <c r="S65" s="499"/>
      <c r="T65" s="253"/>
      <c r="U65" s="253"/>
      <c r="V65" s="259"/>
      <c r="W65" s="259"/>
      <c r="X65" s="259"/>
      <c r="Y65" s="609"/>
      <c r="Z65" s="259"/>
      <c r="AA65" s="259"/>
      <c r="AB65" s="259"/>
      <c r="AC65" s="569"/>
      <c r="AD65" s="569"/>
      <c r="AE65" s="569"/>
      <c r="AF65" s="569"/>
      <c r="AG65" s="569"/>
      <c r="AH65" s="569"/>
      <c r="AI65" s="569"/>
      <c r="AJ65" s="569"/>
      <c r="AK65" s="569"/>
      <c r="AL65" s="569"/>
      <c r="AM65" s="569"/>
      <c r="AN65" s="583"/>
      <c r="AO65" s="583"/>
      <c r="AP65" s="583"/>
      <c r="AQ65" s="583"/>
      <c r="AR65" s="583"/>
      <c r="AS65" s="584"/>
      <c r="AT65" s="584"/>
      <c r="AU65" s="584"/>
      <c r="AV65" s="584"/>
      <c r="AW65" s="584"/>
      <c r="AX65" s="584"/>
      <c r="AY65" s="274"/>
      <c r="AZ65" s="274"/>
      <c r="BA65" s="274"/>
      <c r="BB65" s="274"/>
      <c r="BC65" s="274"/>
      <c r="BD65" s="274"/>
      <c r="BE65" s="274"/>
      <c r="BF65" s="274"/>
      <c r="BG65" s="274"/>
      <c r="BH65" s="274"/>
      <c r="BI65" s="274"/>
      <c r="BJ65" s="274"/>
      <c r="BK65" s="274"/>
      <c r="BL65" s="274"/>
      <c r="BM65" s="146"/>
      <c r="BN65" s="146"/>
    </row>
    <row r="66" spans="1:66" ht="36.75" customHeight="1" thickBot="1" x14ac:dyDescent="0.3">
      <c r="A66" s="166"/>
      <c r="B66" s="596"/>
      <c r="C66" s="493"/>
      <c r="D66" s="493"/>
      <c r="E66" s="493"/>
      <c r="F66" s="493"/>
      <c r="G66" s="493"/>
      <c r="H66" s="493"/>
      <c r="I66" s="493"/>
      <c r="J66" s="493"/>
      <c r="K66" s="493"/>
      <c r="L66" s="493"/>
      <c r="M66" s="493"/>
      <c r="N66" s="493"/>
      <c r="O66" s="493"/>
      <c r="P66" s="493"/>
      <c r="Q66" s="493"/>
      <c r="R66" s="493"/>
      <c r="S66" s="561"/>
      <c r="T66" s="166"/>
      <c r="U66" s="166"/>
      <c r="V66" s="149"/>
      <c r="W66" s="149"/>
      <c r="X66" s="149"/>
      <c r="Y66" s="621"/>
      <c r="Z66" s="149"/>
      <c r="AA66" s="149"/>
      <c r="AB66" s="149"/>
      <c r="AC66" s="186"/>
      <c r="AD66" s="186"/>
      <c r="AE66" s="186"/>
      <c r="AF66" s="186"/>
      <c r="AG66" s="186"/>
      <c r="AH66" s="186"/>
      <c r="AI66" s="186"/>
      <c r="AJ66" s="186"/>
      <c r="AK66" s="186"/>
      <c r="AL66" s="186"/>
      <c r="AM66" s="186"/>
      <c r="AN66" s="585"/>
      <c r="AO66" s="585"/>
      <c r="AP66" s="585"/>
      <c r="AQ66" s="585"/>
      <c r="AR66" s="585"/>
      <c r="AS66" s="146"/>
      <c r="AT66" s="146"/>
      <c r="AU66" s="146"/>
      <c r="AV66" s="146"/>
      <c r="AW66" s="146"/>
      <c r="AX66" s="146"/>
      <c r="AY66" s="60"/>
      <c r="AZ66" s="60"/>
      <c r="BA66" s="60"/>
      <c r="BB66" s="60"/>
      <c r="BC66" s="60"/>
      <c r="BD66" s="60"/>
      <c r="BE66" s="60"/>
      <c r="BF66" s="60"/>
      <c r="BG66" s="60"/>
      <c r="BH66" s="60"/>
      <c r="BI66" s="60"/>
      <c r="BJ66" s="60"/>
      <c r="BK66" s="60"/>
      <c r="BL66" s="60"/>
      <c r="BM66" s="146"/>
      <c r="BN66" s="146"/>
    </row>
    <row r="67" spans="1:66" ht="23.2" customHeight="1" x14ac:dyDescent="0.25">
      <c r="A67" s="166"/>
      <c r="B67" s="952"/>
      <c r="C67" s="2537" t="s">
        <v>195</v>
      </c>
      <c r="D67" s="2537"/>
      <c r="E67" s="2537"/>
      <c r="F67" s="953"/>
      <c r="G67" s="953"/>
      <c r="H67" s="953"/>
      <c r="I67" s="953"/>
      <c r="J67" s="953"/>
      <c r="K67" s="953"/>
      <c r="L67" s="953"/>
      <c r="M67" s="953"/>
      <c r="N67" s="953"/>
      <c r="O67" s="953"/>
      <c r="P67" s="953"/>
      <c r="Q67" s="953"/>
      <c r="R67" s="953"/>
      <c r="S67" s="954"/>
      <c r="T67" s="166"/>
      <c r="U67" s="166"/>
      <c r="V67" s="149"/>
      <c r="W67" s="149"/>
      <c r="X67" s="149"/>
      <c r="Y67" s="621"/>
      <c r="Z67" s="149"/>
      <c r="AA67" s="149"/>
      <c r="AB67" s="149"/>
      <c r="AC67" s="186"/>
      <c r="AD67" s="186"/>
      <c r="AE67" s="186"/>
      <c r="AF67" s="186"/>
      <c r="AG67" s="186"/>
      <c r="AH67" s="186"/>
      <c r="AI67" s="186"/>
      <c r="AJ67" s="186"/>
      <c r="AK67" s="186"/>
      <c r="AL67" s="186"/>
      <c r="AM67" s="186"/>
      <c r="AN67" s="585"/>
      <c r="AO67" s="585"/>
      <c r="AP67" s="585"/>
      <c r="AQ67" s="585"/>
      <c r="AR67" s="585"/>
      <c r="AS67" s="146"/>
      <c r="AT67" s="146"/>
      <c r="AU67" s="146"/>
      <c r="AV67" s="146"/>
      <c r="AW67" s="146"/>
      <c r="AX67" s="146"/>
      <c r="AY67" s="60"/>
      <c r="AZ67" s="60"/>
      <c r="BA67" s="60"/>
      <c r="BB67" s="60"/>
      <c r="BC67" s="60"/>
      <c r="BD67" s="60"/>
      <c r="BE67" s="60"/>
      <c r="BF67" s="60"/>
      <c r="BG67" s="60"/>
      <c r="BH67" s="60"/>
      <c r="BI67" s="60"/>
      <c r="BJ67" s="60"/>
      <c r="BK67" s="60"/>
      <c r="BL67" s="60"/>
      <c r="BM67" s="146"/>
      <c r="BN67" s="146"/>
    </row>
    <row r="68" spans="1:66" ht="36.75" customHeight="1" thickBot="1" x14ac:dyDescent="0.3">
      <c r="A68" s="166"/>
      <c r="B68" s="381"/>
      <c r="C68" s="186"/>
      <c r="D68" s="186"/>
      <c r="E68" s="186"/>
      <c r="F68" s="186"/>
      <c r="G68" s="186"/>
      <c r="H68" s="186"/>
      <c r="I68" s="186"/>
      <c r="J68" s="186"/>
      <c r="K68" s="186"/>
      <c r="L68" s="186"/>
      <c r="M68" s="186"/>
      <c r="N68" s="186"/>
      <c r="O68" s="186"/>
      <c r="P68" s="186"/>
      <c r="Q68" s="186"/>
      <c r="R68" s="186"/>
      <c r="S68" s="499"/>
      <c r="T68" s="166"/>
      <c r="U68" s="166"/>
      <c r="V68" s="149"/>
      <c r="W68" s="149"/>
      <c r="X68" s="149"/>
      <c r="Y68" s="621"/>
      <c r="Z68" s="149"/>
      <c r="AA68" s="149"/>
      <c r="AB68" s="149"/>
      <c r="AC68" s="186"/>
      <c r="AD68" s="186"/>
      <c r="AE68" s="186"/>
      <c r="AF68" s="186"/>
      <c r="AG68" s="186"/>
      <c r="AH68" s="186"/>
      <c r="AI68" s="186"/>
      <c r="AJ68" s="186"/>
      <c r="AK68" s="186"/>
      <c r="AL68" s="186"/>
      <c r="AM68" s="186"/>
      <c r="AN68" s="585"/>
      <c r="AO68" s="585"/>
      <c r="AP68" s="585"/>
      <c r="AQ68" s="585"/>
      <c r="AR68" s="585"/>
      <c r="AS68" s="146"/>
      <c r="AT68" s="146"/>
      <c r="AU68" s="146"/>
      <c r="AV68" s="146"/>
      <c r="AW68" s="146"/>
      <c r="AX68" s="146"/>
      <c r="AY68" s="60"/>
      <c r="AZ68" s="60"/>
      <c r="BA68" s="60"/>
      <c r="BB68" s="60"/>
      <c r="BC68" s="60"/>
      <c r="BD68" s="60"/>
      <c r="BE68" s="60"/>
      <c r="BF68" s="60"/>
      <c r="BG68" s="60"/>
      <c r="BH68" s="60"/>
      <c r="BI68" s="60"/>
      <c r="BJ68" s="60"/>
      <c r="BK68" s="60"/>
      <c r="BL68" s="60"/>
      <c r="BM68" s="146"/>
      <c r="BN68" s="146"/>
    </row>
    <row r="69" spans="1:66" ht="26.25" customHeight="1" x14ac:dyDescent="0.35">
      <c r="A69" s="166"/>
      <c r="B69" s="381"/>
      <c r="C69" s="1020" t="s">
        <v>1200</v>
      </c>
      <c r="D69" s="346"/>
      <c r="E69" s="346"/>
      <c r="F69" s="346"/>
      <c r="G69" s="346"/>
      <c r="H69" s="346"/>
      <c r="I69" s="347"/>
      <c r="J69" s="186"/>
      <c r="K69" s="186"/>
      <c r="L69" s="186"/>
      <c r="M69" s="186"/>
      <c r="N69" s="186"/>
      <c r="O69" s="186"/>
      <c r="P69" s="186"/>
      <c r="Q69" s="186"/>
      <c r="R69" s="186"/>
      <c r="S69" s="499"/>
      <c r="T69" s="166"/>
      <c r="U69" s="166"/>
      <c r="V69" s="149"/>
      <c r="W69" s="149"/>
      <c r="X69" s="149"/>
      <c r="Y69" s="621"/>
      <c r="Z69" s="149"/>
      <c r="AA69" s="149">
        <v>1</v>
      </c>
      <c r="AB69" s="149">
        <v>2</v>
      </c>
      <c r="AC69" s="186">
        <v>3</v>
      </c>
      <c r="AD69" s="186"/>
      <c r="AE69" s="186"/>
      <c r="AF69" s="186"/>
      <c r="AG69" s="186"/>
      <c r="AH69" s="186"/>
      <c r="AI69" s="186"/>
      <c r="AJ69" s="186"/>
      <c r="AK69" s="186"/>
      <c r="AL69" s="186"/>
      <c r="AM69" s="186"/>
      <c r="AN69" s="585"/>
      <c r="AO69" s="585"/>
      <c r="AP69" s="585"/>
      <c r="AQ69" s="585"/>
      <c r="AR69" s="585"/>
      <c r="AS69" s="146"/>
      <c r="AT69" s="146"/>
      <c r="AU69" s="146"/>
      <c r="AV69" s="146"/>
      <c r="AW69" s="146"/>
      <c r="AX69" s="146"/>
      <c r="AY69" s="60"/>
      <c r="AZ69" s="60"/>
      <c r="BA69" s="60"/>
      <c r="BB69" s="60"/>
      <c r="BC69" s="60"/>
      <c r="BD69" s="60"/>
      <c r="BE69" s="60"/>
      <c r="BF69" s="60"/>
      <c r="BG69" s="60"/>
      <c r="BH69" s="60"/>
      <c r="BI69" s="60"/>
      <c r="BJ69" s="60"/>
      <c r="BK69" s="60"/>
      <c r="BL69" s="60"/>
      <c r="BM69" s="146"/>
      <c r="BN69" s="146"/>
    </row>
    <row r="70" spans="1:66" ht="26.25" customHeight="1" x14ac:dyDescent="0.35">
      <c r="A70" s="166"/>
      <c r="B70" s="381"/>
      <c r="C70" s="1032"/>
      <c r="D70" s="186"/>
      <c r="E70" s="186"/>
      <c r="F70" s="186"/>
      <c r="G70" s="186"/>
      <c r="H70" s="186"/>
      <c r="I70" s="499"/>
      <c r="J70" s="186"/>
      <c r="K70" s="186"/>
      <c r="L70" s="186"/>
      <c r="M70" s="186"/>
      <c r="N70" s="186"/>
      <c r="O70" s="186"/>
      <c r="P70" s="186"/>
      <c r="Q70" s="186"/>
      <c r="R70" s="186"/>
      <c r="S70" s="499"/>
      <c r="T70" s="166"/>
      <c r="U70" s="166"/>
      <c r="V70" s="149"/>
      <c r="W70" s="166"/>
      <c r="X70" s="149"/>
      <c r="Y70" s="149"/>
      <c r="Z70" s="149"/>
      <c r="AA70" s="278">
        <f ca="1">MAX(J77:J81)</f>
        <v>78.22102364690447</v>
      </c>
      <c r="AB70" s="622">
        <f ca="1">ROUND(AA70,1)</f>
        <v>78.2</v>
      </c>
      <c r="AC70" s="186"/>
      <c r="AD70" s="186"/>
      <c r="AE70" s="186"/>
      <c r="AF70" s="186"/>
      <c r="AG70" s="186"/>
      <c r="AH70" s="186"/>
      <c r="AI70" s="186"/>
      <c r="AJ70" s="186"/>
      <c r="AK70" s="186"/>
      <c r="AL70" s="186"/>
      <c r="AM70" s="186"/>
      <c r="AN70" s="186"/>
      <c r="AO70" s="186"/>
      <c r="AP70" s="186"/>
      <c r="AQ70" s="585"/>
      <c r="AR70" s="585"/>
      <c r="AS70" s="585"/>
      <c r="AT70" s="585"/>
      <c r="AU70" s="585"/>
      <c r="AV70" s="146"/>
      <c r="AW70" s="146"/>
      <c r="AX70" s="146"/>
      <c r="AY70" s="146"/>
      <c r="AZ70" s="146"/>
      <c r="BA70" s="146"/>
      <c r="BB70" s="60"/>
      <c r="BC70" s="60"/>
      <c r="BD70" s="60"/>
      <c r="BE70" s="60"/>
      <c r="BF70" s="60"/>
      <c r="BG70" s="60"/>
      <c r="BH70" s="60"/>
      <c r="BI70" s="60"/>
      <c r="BJ70" s="60"/>
      <c r="BK70" s="60"/>
      <c r="BL70" s="60"/>
      <c r="BM70" s="146"/>
      <c r="BN70" s="146"/>
    </row>
    <row r="71" spans="1:66" ht="26.25" customHeight="1" x14ac:dyDescent="0.25">
      <c r="A71" s="166"/>
      <c r="B71" s="381"/>
      <c r="C71" s="2542" t="str">
        <f ca="1" xml:space="preserve"> "1.  For the field management side the greater part of your emissions come from " &amp;Z72&amp; "; making " &amp;AB70&amp; "% of the total"</f>
        <v>1.  For the field management side the greater part of your emissions come from fertiliser production; making 78.2% of the total</v>
      </c>
      <c r="D71" s="2495"/>
      <c r="E71" s="2495"/>
      <c r="F71" s="2495"/>
      <c r="G71" s="2495"/>
      <c r="H71" s="2495"/>
      <c r="I71" s="2543"/>
      <c r="J71" s="186"/>
      <c r="K71" s="186"/>
      <c r="L71" s="186"/>
      <c r="M71" s="186"/>
      <c r="N71" s="186"/>
      <c r="O71" s="186"/>
      <c r="P71" s="186"/>
      <c r="Q71" s="186"/>
      <c r="R71" s="186"/>
      <c r="S71" s="499"/>
      <c r="T71" s="166"/>
      <c r="U71" s="166"/>
      <c r="V71" s="149"/>
      <c r="W71" s="166"/>
      <c r="X71" s="149"/>
      <c r="Y71" s="149"/>
      <c r="Z71" s="149"/>
      <c r="AA71" s="278"/>
      <c r="AB71" s="622"/>
      <c r="AC71" s="186"/>
      <c r="AD71" s="186"/>
      <c r="AE71" s="186"/>
      <c r="AF71" s="186"/>
      <c r="AG71" s="186"/>
      <c r="AH71" s="186"/>
      <c r="AI71" s="186"/>
      <c r="AJ71" s="186"/>
      <c r="AK71" s="186"/>
      <c r="AL71" s="186"/>
      <c r="AM71" s="186"/>
      <c r="AN71" s="186"/>
      <c r="AO71" s="186"/>
      <c r="AP71" s="186"/>
      <c r="AQ71" s="585"/>
      <c r="AR71" s="585"/>
      <c r="AS71" s="585"/>
      <c r="AT71" s="585"/>
      <c r="AU71" s="585"/>
      <c r="AV71" s="146"/>
      <c r="AW71" s="146"/>
      <c r="AX71" s="146"/>
      <c r="AY71" s="146"/>
      <c r="AZ71" s="146"/>
      <c r="BA71" s="146"/>
      <c r="BB71" s="60"/>
      <c r="BC71" s="60"/>
      <c r="BD71" s="60"/>
      <c r="BE71" s="60"/>
      <c r="BF71" s="60"/>
      <c r="BG71" s="60"/>
      <c r="BH71" s="60"/>
      <c r="BI71" s="60"/>
      <c r="BJ71" s="60"/>
      <c r="BK71" s="60"/>
      <c r="BL71" s="60"/>
      <c r="BM71" s="146"/>
      <c r="BN71" s="146"/>
    </row>
    <row r="72" spans="1:66" ht="26.25" customHeight="1" x14ac:dyDescent="0.25">
      <c r="A72" s="166"/>
      <c r="B72" s="381"/>
      <c r="C72" s="2542" t="str">
        <f ca="1">"2.  " &amp; OFFSET(AA72,SUMIF(C77:C81,Z72,Y73:Y77),0)</f>
        <v>2.   Changing fertiliser type may help - emissions do differ between fertiliser types.</v>
      </c>
      <c r="D72" s="2495"/>
      <c r="E72" s="2495"/>
      <c r="F72" s="2495"/>
      <c r="G72" s="2495"/>
      <c r="H72" s="2495"/>
      <c r="I72" s="2543"/>
      <c r="J72" s="186"/>
      <c r="K72" s="186"/>
      <c r="L72" s="186"/>
      <c r="M72" s="186"/>
      <c r="N72" s="186"/>
      <c r="O72" s="186"/>
      <c r="P72" s="186"/>
      <c r="Q72" s="186"/>
      <c r="R72" s="186"/>
      <c r="S72" s="499"/>
      <c r="T72" s="166"/>
      <c r="U72" s="166"/>
      <c r="V72" s="149"/>
      <c r="W72" s="166"/>
      <c r="X72" s="149"/>
      <c r="Y72" s="149"/>
      <c r="Z72" s="149" t="str">
        <f ca="1">OFFSET(C76,SUMIF(J77:J81,AA70,Y73:Y77),0)</f>
        <v>fertiliser production</v>
      </c>
      <c r="AA72" s="149"/>
      <c r="AB72" s="621"/>
      <c r="AC72" s="186"/>
      <c r="AD72" s="186"/>
      <c r="AE72" s="186"/>
      <c r="AF72" s="186"/>
      <c r="AG72" s="186"/>
      <c r="AH72" s="186"/>
      <c r="AI72" s="186"/>
      <c r="AJ72" s="186"/>
      <c r="AK72" s="186"/>
      <c r="AL72" s="186"/>
      <c r="AM72" s="186"/>
      <c r="AN72" s="186"/>
      <c r="AO72" s="186"/>
      <c r="AP72" s="186"/>
      <c r="AQ72" s="585"/>
      <c r="AR72" s="585"/>
      <c r="AS72" s="585"/>
      <c r="AT72" s="585"/>
      <c r="AU72" s="585"/>
      <c r="AV72" s="146"/>
      <c r="AW72" s="146"/>
      <c r="AX72" s="146"/>
      <c r="AY72" s="146"/>
      <c r="AZ72" s="146"/>
      <c r="BA72" s="146"/>
      <c r="BB72" s="60"/>
      <c r="BC72" s="60"/>
      <c r="BD72" s="60"/>
      <c r="BE72" s="60"/>
      <c r="BF72" s="60"/>
      <c r="BG72" s="60"/>
      <c r="BH72" s="60"/>
      <c r="BI72" s="60"/>
      <c r="BJ72" s="60"/>
      <c r="BK72" s="60"/>
      <c r="BL72" s="60"/>
      <c r="BM72" s="146"/>
      <c r="BN72" s="146"/>
    </row>
    <row r="73" spans="1:66" ht="20.3" customHeight="1" x14ac:dyDescent="0.25">
      <c r="A73" s="166"/>
      <c r="B73" s="381"/>
      <c r="C73" s="2542" t="str">
        <f ca="1">"3.  " &amp; OFFSET(AB72,SUMIF(C77:C81,Z72,Y73:Y77),0)</f>
        <v>3.  Also, be aware that recent technologies such as N2O recapture have allowed for lower emissions from synthetic fertiliser production.</v>
      </c>
      <c r="D73" s="2495"/>
      <c r="E73" s="2495"/>
      <c r="F73" s="2495"/>
      <c r="G73" s="2495"/>
      <c r="H73" s="2495"/>
      <c r="I73" s="2543"/>
      <c r="J73" s="186"/>
      <c r="K73" s="186"/>
      <c r="L73" s="186"/>
      <c r="M73" s="186"/>
      <c r="N73" s="186"/>
      <c r="O73" s="186"/>
      <c r="P73" s="186"/>
      <c r="Q73" s="186"/>
      <c r="R73" s="186"/>
      <c r="S73" s="499"/>
      <c r="T73" s="166"/>
      <c r="U73" s="166"/>
      <c r="V73" s="149"/>
      <c r="W73" s="166"/>
      <c r="X73" s="149"/>
      <c r="Y73" s="149">
        <v>1</v>
      </c>
      <c r="Z73" s="149" t="s">
        <v>922</v>
      </c>
      <c r="AA73" s="149" t="s">
        <v>1369</v>
      </c>
      <c r="AB73" s="621"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73" s="186"/>
      <c r="AD73" s="186"/>
      <c r="AE73" s="186"/>
      <c r="AF73" s="186"/>
      <c r="AG73" s="186"/>
      <c r="AH73" s="186"/>
      <c r="AI73" s="186"/>
      <c r="AJ73" s="186"/>
      <c r="AK73" s="186"/>
      <c r="AL73" s="186"/>
      <c r="AM73" s="186"/>
      <c r="AN73" s="186"/>
      <c r="AO73" s="186"/>
      <c r="AP73" s="186"/>
      <c r="AQ73" s="585"/>
      <c r="AR73" s="585"/>
      <c r="AS73" s="585"/>
      <c r="AT73" s="585"/>
      <c r="AU73" s="585"/>
      <c r="AV73" s="146"/>
      <c r="AW73" s="146"/>
      <c r="AX73" s="146"/>
      <c r="AY73" s="146"/>
      <c r="AZ73" s="146"/>
      <c r="BA73" s="146"/>
      <c r="BB73" s="60"/>
      <c r="BC73" s="60"/>
      <c r="BD73" s="60"/>
      <c r="BE73" s="60"/>
      <c r="BF73" s="60"/>
      <c r="BG73" s="60"/>
      <c r="BH73" s="60"/>
      <c r="BI73" s="60"/>
      <c r="BJ73" s="60"/>
      <c r="BK73" s="60"/>
      <c r="BL73" s="60"/>
      <c r="BM73" s="146"/>
      <c r="BN73" s="146"/>
    </row>
    <row r="74" spans="1:66" ht="44.25" customHeight="1" thickBot="1" x14ac:dyDescent="0.3">
      <c r="A74" s="166"/>
      <c r="B74" s="381"/>
      <c r="C74" s="596"/>
      <c r="D74" s="493"/>
      <c r="E74" s="493"/>
      <c r="F74" s="493"/>
      <c r="G74" s="493"/>
      <c r="H74" s="493"/>
      <c r="I74" s="561"/>
      <c r="J74" s="186"/>
      <c r="K74" s="186"/>
      <c r="L74" s="186"/>
      <c r="M74" s="186"/>
      <c r="N74" s="186"/>
      <c r="O74" s="186"/>
      <c r="P74" s="186"/>
      <c r="Q74" s="186"/>
      <c r="R74" s="186"/>
      <c r="S74" s="499"/>
      <c r="T74" s="166"/>
      <c r="U74" s="166"/>
      <c r="V74" s="166"/>
      <c r="W74" s="166"/>
      <c r="X74" s="166"/>
      <c r="Y74" s="4">
        <v>2</v>
      </c>
      <c r="Z74" s="149" t="s">
        <v>1270</v>
      </c>
      <c r="AA74" s="149" t="s">
        <v>1367</v>
      </c>
      <c r="AB74" s="149" t="str">
        <f ca="1">IF(AG74=1,"Or fertilisers with for example nitrification inhibitors may be an option? ","")</f>
        <v xml:space="preserve">Or fertilisers with for example nitrification inhibitors may be an option? </v>
      </c>
      <c r="AC74" s="186"/>
      <c r="AD74" s="186"/>
      <c r="AE74" s="186"/>
      <c r="AF74" s="186" t="s">
        <v>1368</v>
      </c>
      <c r="AG74" s="186">
        <f ca="1">PRODUCT('2.CropManagement'!Q19:Q24)</f>
        <v>1</v>
      </c>
      <c r="AH74" s="186"/>
      <c r="AI74" s="186"/>
      <c r="AJ74" s="186"/>
      <c r="AK74" s="186"/>
      <c r="AL74" s="186"/>
      <c r="AM74" s="186"/>
      <c r="AN74" s="18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46"/>
      <c r="BL74" s="146"/>
      <c r="BM74" s="146"/>
      <c r="BN74" s="146"/>
    </row>
    <row r="75" spans="1:66" ht="20.3" customHeight="1" thickBot="1" x14ac:dyDescent="0.3">
      <c r="A75" s="166"/>
      <c r="B75" s="381"/>
      <c r="C75" s="186"/>
      <c r="D75" s="186"/>
      <c r="E75" s="186"/>
      <c r="F75" s="186"/>
      <c r="G75" s="186"/>
      <c r="H75" s="186"/>
      <c r="I75" s="186"/>
      <c r="J75" s="186"/>
      <c r="K75" s="186"/>
      <c r="L75" s="186"/>
      <c r="M75" s="186"/>
      <c r="N75" s="186"/>
      <c r="O75" s="186"/>
      <c r="P75" s="186"/>
      <c r="Q75" s="186"/>
      <c r="R75" s="186"/>
      <c r="S75" s="499"/>
      <c r="T75" s="166"/>
      <c r="U75" s="166"/>
      <c r="V75" s="166"/>
      <c r="W75" s="166"/>
      <c r="X75" s="166"/>
      <c r="Y75" s="149">
        <v>3</v>
      </c>
      <c r="Z75" s="149" t="s">
        <v>1271</v>
      </c>
      <c r="AA75" s="149" t="s">
        <v>1508</v>
      </c>
      <c r="AB75" s="149"/>
      <c r="AC75" s="186"/>
      <c r="AD75" s="186"/>
      <c r="AE75" s="186"/>
      <c r="AF75" s="186"/>
      <c r="AG75" s="186"/>
      <c r="AH75" s="186"/>
      <c r="AI75" s="186"/>
      <c r="AJ75" s="186"/>
      <c r="AK75" s="186"/>
      <c r="AL75" s="186"/>
      <c r="AM75" s="186"/>
      <c r="AN75" s="18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46"/>
      <c r="BL75" s="146"/>
      <c r="BM75" s="146"/>
      <c r="BN75" s="146"/>
    </row>
    <row r="76" spans="1:66" ht="37.450000000000003" customHeight="1" thickBot="1" x14ac:dyDescent="0.3">
      <c r="A76" s="166"/>
      <c r="B76" s="381"/>
      <c r="C76" s="90" t="s">
        <v>194</v>
      </c>
      <c r="D76" s="98" t="s">
        <v>2071</v>
      </c>
      <c r="E76" s="98" t="s">
        <v>1793</v>
      </c>
      <c r="F76" s="98" t="s">
        <v>2073</v>
      </c>
      <c r="G76" s="98" t="str">
        <f t="shared" ref="G76:G81" si="21">G13</f>
        <v>Emissions for total area, kg CO2 eq*</v>
      </c>
      <c r="H76" s="98" t="str">
        <f ca="1" xml:space="preserve"> "per " &amp; W5</f>
        <v>per hectare</v>
      </c>
      <c r="I76" s="99" t="str">
        <f ca="1" xml:space="preserve"> "per " &amp;X5</f>
        <v>per tonne</v>
      </c>
      <c r="J76" s="91" t="s">
        <v>95</v>
      </c>
      <c r="K76" s="100"/>
      <c r="L76" s="186"/>
      <c r="M76" s="186"/>
      <c r="N76" s="186"/>
      <c r="O76" s="186"/>
      <c r="P76" s="186"/>
      <c r="Q76" s="186"/>
      <c r="R76" s="186"/>
      <c r="S76" s="499"/>
      <c r="T76" s="166"/>
      <c r="U76" s="166"/>
      <c r="V76" s="166"/>
      <c r="W76" s="166"/>
      <c r="X76" s="166"/>
      <c r="Y76" s="149">
        <v>4</v>
      </c>
      <c r="Z76" s="149" t="s">
        <v>1189</v>
      </c>
      <c r="AA76" s="149" t="s">
        <v>1509</v>
      </c>
      <c r="AB76" s="149"/>
      <c r="AC76" s="186"/>
      <c r="AD76" s="186"/>
      <c r="AE76" s="186"/>
      <c r="AF76" s="186"/>
      <c r="AG76" s="186"/>
      <c r="AH76" s="186"/>
      <c r="AI76" s="186"/>
      <c r="AJ76" s="186"/>
      <c r="AK76" s="186"/>
      <c r="AL76" s="186"/>
      <c r="AM76" s="186"/>
      <c r="AN76" s="18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46"/>
      <c r="BL76" s="146"/>
      <c r="BM76" s="146"/>
      <c r="BN76" s="146"/>
    </row>
    <row r="77" spans="1:66" ht="19.45" customHeight="1" x14ac:dyDescent="0.25">
      <c r="A77" s="166"/>
      <c r="B77" s="381"/>
      <c r="C77" s="96" t="s">
        <v>8</v>
      </c>
      <c r="D77" s="564">
        <f t="shared" ref="D77:F81" ca="1" si="22">D14</f>
        <v>9685.028571428571</v>
      </c>
      <c r="E77" s="586">
        <f t="shared" si="22"/>
        <v>0</v>
      </c>
      <c r="F77" s="586">
        <f t="shared" si="22"/>
        <v>0</v>
      </c>
      <c r="G77" s="586">
        <f t="shared" ca="1" si="21"/>
        <v>9685.028571428571</v>
      </c>
      <c r="H77" s="586">
        <f t="shared" ref="H77:I81" ca="1" si="23">H14</f>
        <v>1345.1428571428571</v>
      </c>
      <c r="I77" s="587">
        <f t="shared" ca="1" si="23"/>
        <v>156.41196013289036</v>
      </c>
      <c r="J77" s="588">
        <f ca="1">100*I77/SUM(I$77:I$81)</f>
        <v>78.22102364690447</v>
      </c>
      <c r="K77" s="186"/>
      <c r="L77" s="186"/>
      <c r="M77" s="186"/>
      <c r="N77" s="186"/>
      <c r="O77" s="186"/>
      <c r="P77" s="186"/>
      <c r="Q77" s="186"/>
      <c r="R77" s="186"/>
      <c r="S77" s="499"/>
      <c r="T77" s="166"/>
      <c r="U77" s="166"/>
      <c r="V77" s="166"/>
      <c r="W77" s="166"/>
      <c r="X77" s="166"/>
      <c r="Y77" s="149">
        <v>5</v>
      </c>
      <c r="Z77" s="149" t="s">
        <v>1110</v>
      </c>
      <c r="AA77" s="149" t="s">
        <v>672</v>
      </c>
      <c r="AB77" s="149"/>
      <c r="AC77" s="186"/>
      <c r="AD77" s="186"/>
      <c r="AE77" s="186"/>
      <c r="AF77" s="186"/>
      <c r="AG77" s="186"/>
      <c r="AH77" s="186"/>
      <c r="AI77" s="186"/>
      <c r="AJ77" s="186"/>
      <c r="AK77" s="186"/>
      <c r="AL77" s="186"/>
      <c r="AM77" s="186"/>
      <c r="AN77" s="18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46"/>
      <c r="BL77" s="146"/>
      <c r="BM77" s="146"/>
      <c r="BN77" s="146"/>
    </row>
    <row r="78" spans="1:66" ht="19.45" customHeight="1" x14ac:dyDescent="0.25">
      <c r="A78" s="166"/>
      <c r="B78" s="381"/>
      <c r="C78" s="85" t="s">
        <v>88</v>
      </c>
      <c r="D78" s="567">
        <f t="shared" ca="1" si="22"/>
        <v>0</v>
      </c>
      <c r="E78" s="242">
        <f t="shared" ca="1" si="22"/>
        <v>3.994962566793518</v>
      </c>
      <c r="F78" s="242">
        <f t="shared" si="22"/>
        <v>0</v>
      </c>
      <c r="G78" s="242">
        <f t="shared" ca="1" si="21"/>
        <v>1182.5089197708812</v>
      </c>
      <c r="H78" s="242">
        <f t="shared" ca="1" si="23"/>
        <v>164.23734996817794</v>
      </c>
      <c r="I78" s="261">
        <f t="shared" ca="1" si="23"/>
        <v>19.097366275369527</v>
      </c>
      <c r="J78" s="589">
        <f ca="1">100*I78/SUM(I$77:I$81)</f>
        <v>9.5505199074936691</v>
      </c>
      <c r="K78" s="186"/>
      <c r="L78" s="186"/>
      <c r="M78" s="186"/>
      <c r="N78" s="186"/>
      <c r="O78" s="186"/>
      <c r="P78" s="186"/>
      <c r="Q78" s="186"/>
      <c r="R78" s="186"/>
      <c r="S78" s="499"/>
      <c r="T78" s="166"/>
      <c r="U78" s="166"/>
      <c r="V78" s="166"/>
      <c r="W78" s="166"/>
      <c r="X78" s="166"/>
      <c r="Y78" s="149"/>
      <c r="Z78" s="149"/>
      <c r="AA78" s="149"/>
      <c r="AB78" s="149"/>
      <c r="AC78" s="186"/>
      <c r="AD78" s="186"/>
      <c r="AE78" s="186"/>
      <c r="AF78" s="186"/>
      <c r="AG78" s="186"/>
      <c r="AH78" s="186"/>
      <c r="AI78" s="186"/>
      <c r="AJ78" s="186"/>
      <c r="AK78" s="186"/>
      <c r="AL78" s="186"/>
      <c r="AM78" s="186"/>
      <c r="AN78" s="18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46"/>
      <c r="BL78" s="146"/>
      <c r="BM78" s="166"/>
      <c r="BN78" s="166"/>
    </row>
    <row r="79" spans="1:66" ht="19.45" customHeight="1" x14ac:dyDescent="0.25">
      <c r="A79" s="166"/>
      <c r="B79" s="381"/>
      <c r="C79" s="85" t="s">
        <v>89</v>
      </c>
      <c r="D79" s="567">
        <f t="shared" si="22"/>
        <v>0</v>
      </c>
      <c r="E79" s="242">
        <f t="shared" si="22"/>
        <v>0</v>
      </c>
      <c r="F79" s="242">
        <f t="shared" si="22"/>
        <v>0</v>
      </c>
      <c r="G79" s="242">
        <f t="shared" ca="1" si="21"/>
        <v>0</v>
      </c>
      <c r="H79" s="242">
        <f t="shared" ca="1" si="23"/>
        <v>0</v>
      </c>
      <c r="I79" s="261">
        <f t="shared" ca="1" si="23"/>
        <v>0</v>
      </c>
      <c r="J79" s="589">
        <f ca="1">100*I79/SUM(I$77:I$81)</f>
        <v>0</v>
      </c>
      <c r="K79" s="186"/>
      <c r="L79" s="186"/>
      <c r="M79" s="186"/>
      <c r="N79" s="186"/>
      <c r="O79" s="186"/>
      <c r="P79" s="186"/>
      <c r="Q79" s="186"/>
      <c r="R79" s="186"/>
      <c r="S79" s="499"/>
      <c r="T79" s="149"/>
      <c r="U79" s="149"/>
      <c r="V79" s="149"/>
      <c r="W79" s="166"/>
      <c r="X79" s="166"/>
      <c r="Y79" s="149"/>
      <c r="Z79" s="149"/>
      <c r="AA79" s="149"/>
      <c r="AB79" s="149"/>
      <c r="AC79" s="186"/>
      <c r="AD79" s="186"/>
      <c r="AE79" s="186"/>
      <c r="AF79" s="186"/>
      <c r="AG79" s="186"/>
      <c r="AH79" s="186"/>
      <c r="AI79" s="186"/>
      <c r="AJ79" s="186"/>
      <c r="AK79" s="186"/>
      <c r="AL79" s="186"/>
      <c r="AM79" s="186"/>
      <c r="AN79" s="18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46"/>
      <c r="BL79" s="146"/>
      <c r="BM79" s="166"/>
      <c r="BN79" s="166"/>
    </row>
    <row r="80" spans="1:66" ht="19.45" customHeight="1" x14ac:dyDescent="0.25">
      <c r="A80" s="166"/>
      <c r="B80" s="381"/>
      <c r="C80" s="85" t="s">
        <v>90</v>
      </c>
      <c r="D80" s="567">
        <f t="shared" ca="1" si="22"/>
        <v>1514.0808</v>
      </c>
      <c r="E80" s="242">
        <f t="shared" si="22"/>
        <v>0</v>
      </c>
      <c r="F80" s="242">
        <f t="shared" si="22"/>
        <v>0</v>
      </c>
      <c r="G80" s="242">
        <f t="shared" ca="1" si="21"/>
        <v>1514.0808</v>
      </c>
      <c r="H80" s="242">
        <f t="shared" ca="1" si="23"/>
        <v>210.28899999999999</v>
      </c>
      <c r="I80" s="261">
        <f t="shared" ca="1" si="23"/>
        <v>24.452209302325581</v>
      </c>
      <c r="J80" s="589">
        <f ca="1">100*I80/SUM(I$77:I$81)</f>
        <v>12.228456445601875</v>
      </c>
      <c r="K80" s="186"/>
      <c r="L80" s="186"/>
      <c r="M80" s="186"/>
      <c r="N80" s="186"/>
      <c r="O80" s="186"/>
      <c r="P80" s="186"/>
      <c r="Q80" s="186"/>
      <c r="R80" s="186"/>
      <c r="S80" s="499"/>
      <c r="T80" s="149"/>
      <c r="U80" s="149"/>
      <c r="V80" s="149"/>
      <c r="W80" s="166"/>
      <c r="X80" s="166"/>
      <c r="Y80" s="149"/>
      <c r="Z80" s="149"/>
      <c r="AA80" s="149"/>
      <c r="AB80" s="149"/>
      <c r="AC80" s="186"/>
      <c r="AD80" s="186"/>
      <c r="AE80" s="186"/>
      <c r="AF80" s="186"/>
      <c r="AG80" s="186"/>
      <c r="AH80" s="186"/>
      <c r="AI80" s="186"/>
      <c r="AJ80" s="186"/>
      <c r="AK80" s="186"/>
      <c r="AL80" s="186"/>
      <c r="AM80" s="186"/>
      <c r="AN80" s="18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46"/>
      <c r="BL80" s="146"/>
      <c r="BM80" s="166"/>
      <c r="BN80" s="166"/>
    </row>
    <row r="81" spans="1:66" ht="19.45" customHeight="1" thickBot="1" x14ac:dyDescent="0.3">
      <c r="A81" s="166"/>
      <c r="B81" s="381"/>
      <c r="C81" s="97" t="s">
        <v>91</v>
      </c>
      <c r="D81" s="590">
        <f t="shared" si="22"/>
        <v>0</v>
      </c>
      <c r="E81" s="591">
        <f t="shared" ca="1" si="22"/>
        <v>0</v>
      </c>
      <c r="F81" s="591">
        <f t="shared" si="22"/>
        <v>0</v>
      </c>
      <c r="G81" s="591">
        <f t="shared" ca="1" si="21"/>
        <v>0</v>
      </c>
      <c r="H81" s="591">
        <f t="shared" ca="1" si="23"/>
        <v>0</v>
      </c>
      <c r="I81" s="285">
        <f t="shared" ca="1" si="23"/>
        <v>0</v>
      </c>
      <c r="J81" s="592">
        <f ca="1">100*I81/SUM(I$77:I$81)</f>
        <v>0</v>
      </c>
      <c r="K81" s="186"/>
      <c r="L81" s="186"/>
      <c r="M81" s="186"/>
      <c r="N81" s="186"/>
      <c r="O81" s="186"/>
      <c r="P81" s="186"/>
      <c r="Q81" s="186"/>
      <c r="R81" s="186"/>
      <c r="S81" s="499"/>
      <c r="T81" s="149"/>
      <c r="U81" s="149"/>
      <c r="V81" s="149"/>
      <c r="W81" s="166"/>
      <c r="X81" s="166"/>
      <c r="Y81" s="149"/>
      <c r="Z81" s="149"/>
      <c r="AA81" s="149"/>
      <c r="AB81" s="149"/>
      <c r="AC81" s="186"/>
      <c r="AD81" s="186"/>
      <c r="AE81" s="186"/>
      <c r="AF81" s="186"/>
      <c r="AG81" s="186"/>
      <c r="AH81" s="186"/>
      <c r="AI81" s="186"/>
      <c r="AJ81" s="186"/>
      <c r="AK81" s="186"/>
      <c r="AL81" s="186"/>
      <c r="AM81" s="186"/>
      <c r="AN81" s="18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46"/>
      <c r="BL81" s="146"/>
      <c r="BM81" s="166"/>
      <c r="BN81" s="166"/>
    </row>
    <row r="82" spans="1:66" ht="19.45" customHeight="1" x14ac:dyDescent="0.25">
      <c r="A82" s="166"/>
      <c r="B82" s="381"/>
      <c r="C82" s="186"/>
      <c r="D82" s="186"/>
      <c r="E82" s="186"/>
      <c r="F82" s="186"/>
      <c r="G82" s="186"/>
      <c r="H82" s="186"/>
      <c r="I82" s="186"/>
      <c r="J82" s="186"/>
      <c r="K82" s="186"/>
      <c r="L82" s="186"/>
      <c r="M82" s="186"/>
      <c r="N82" s="186"/>
      <c r="O82" s="186"/>
      <c r="P82" s="186"/>
      <c r="Q82" s="186"/>
      <c r="R82" s="186"/>
      <c r="S82" s="499"/>
      <c r="T82" s="149"/>
      <c r="U82" s="149"/>
      <c r="V82" s="149"/>
      <c r="W82" s="166"/>
      <c r="X82" s="166"/>
      <c r="Y82" s="149"/>
      <c r="Z82" s="149"/>
      <c r="AA82" s="149"/>
      <c r="AB82" s="149"/>
      <c r="AC82" s="186"/>
      <c r="AD82" s="186"/>
      <c r="AE82" s="186"/>
      <c r="AF82" s="186"/>
      <c r="AG82" s="186"/>
      <c r="AH82" s="186"/>
      <c r="AI82" s="186"/>
      <c r="AJ82" s="186"/>
      <c r="AK82" s="186"/>
      <c r="AL82" s="186"/>
      <c r="AM82" s="186"/>
      <c r="AN82" s="18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46"/>
      <c r="BL82" s="146"/>
      <c r="BM82" s="146"/>
      <c r="BN82" s="146"/>
    </row>
    <row r="83" spans="1:66" ht="13.25" thickBot="1" x14ac:dyDescent="0.3">
      <c r="A83" s="166"/>
      <c r="B83" s="381"/>
      <c r="C83" s="186"/>
      <c r="D83" s="186"/>
      <c r="E83" s="186"/>
      <c r="F83" s="186"/>
      <c r="G83" s="186"/>
      <c r="H83" s="186"/>
      <c r="I83" s="186"/>
      <c r="J83" s="186"/>
      <c r="K83" s="186"/>
      <c r="L83" s="186"/>
      <c r="M83" s="186"/>
      <c r="N83" s="186"/>
      <c r="O83" s="186"/>
      <c r="P83" s="186"/>
      <c r="Q83" s="186"/>
      <c r="R83" s="186"/>
      <c r="S83" s="499"/>
      <c r="T83" s="149"/>
      <c r="U83" s="149"/>
      <c r="V83" s="149"/>
      <c r="W83" s="166"/>
      <c r="X83" s="166"/>
      <c r="Y83" s="149"/>
      <c r="Z83" s="149"/>
      <c r="AA83" s="149"/>
      <c r="AB83" s="149"/>
      <c r="AC83" s="186"/>
      <c r="AD83" s="186"/>
      <c r="AE83" s="186"/>
      <c r="AF83" s="186"/>
      <c r="AG83" s="186"/>
      <c r="AH83" s="186"/>
      <c r="AI83" s="186"/>
      <c r="AJ83" s="186"/>
      <c r="AK83" s="186"/>
      <c r="AL83" s="186"/>
      <c r="AM83" s="186"/>
      <c r="AN83" s="18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46"/>
      <c r="BL83" s="146"/>
      <c r="BM83" s="146"/>
      <c r="BN83" s="146"/>
    </row>
    <row r="84" spans="1:66" ht="23.2" hidden="1" customHeight="1" thickBot="1" x14ac:dyDescent="0.3">
      <c r="A84" s="253"/>
      <c r="B84" s="955"/>
      <c r="C84" s="1033" t="s">
        <v>33</v>
      </c>
      <c r="D84" s="956"/>
      <c r="E84" s="956"/>
      <c r="F84" s="956"/>
      <c r="G84" s="956"/>
      <c r="H84" s="956"/>
      <c r="I84" s="956"/>
      <c r="J84" s="956"/>
      <c r="K84" s="956"/>
      <c r="L84" s="956"/>
      <c r="M84" s="956"/>
      <c r="N84" s="956"/>
      <c r="O84" s="956"/>
      <c r="P84" s="956"/>
      <c r="Q84" s="956"/>
      <c r="R84" s="956"/>
      <c r="S84" s="957"/>
      <c r="T84" s="149"/>
      <c r="U84" s="149"/>
      <c r="V84" s="149"/>
      <c r="W84" s="166"/>
      <c r="X84" s="166"/>
      <c r="Y84" s="149"/>
      <c r="Z84" s="149"/>
      <c r="AA84" s="149"/>
      <c r="AB84" s="149"/>
      <c r="AC84" s="186"/>
      <c r="AD84" s="186"/>
      <c r="AE84" s="186"/>
      <c r="AF84" s="186"/>
      <c r="AG84" s="186"/>
      <c r="AH84" s="186"/>
      <c r="AI84" s="186"/>
      <c r="AJ84" s="186"/>
      <c r="AK84" s="186"/>
      <c r="AL84" s="186"/>
      <c r="AM84" s="186"/>
      <c r="AN84" s="18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46"/>
      <c r="BL84" s="146"/>
      <c r="BM84" s="146"/>
      <c r="BN84" s="146"/>
    </row>
    <row r="85" spans="1:66" ht="13.25" hidden="1" thickBot="1" x14ac:dyDescent="0.3">
      <c r="A85" s="253"/>
      <c r="B85" s="381"/>
      <c r="C85" s="186"/>
      <c r="D85" s="186"/>
      <c r="E85" s="186"/>
      <c r="F85" s="186"/>
      <c r="G85" s="186"/>
      <c r="H85" s="186"/>
      <c r="I85" s="186"/>
      <c r="J85" s="186"/>
      <c r="K85" s="186"/>
      <c r="L85" s="186"/>
      <c r="M85" s="186"/>
      <c r="N85" s="186"/>
      <c r="O85" s="186"/>
      <c r="P85" s="186"/>
      <c r="Q85" s="186"/>
      <c r="R85" s="186"/>
      <c r="S85" s="499"/>
      <c r="T85" s="149"/>
      <c r="U85" s="149"/>
      <c r="V85" s="149"/>
      <c r="W85" s="166"/>
      <c r="X85" s="166"/>
      <c r="Y85" s="149"/>
      <c r="Z85" s="149"/>
      <c r="AA85" s="149"/>
      <c r="AB85" s="149"/>
      <c r="AC85" s="186"/>
      <c r="AD85" s="186"/>
      <c r="AE85" s="186"/>
      <c r="AF85" s="186"/>
      <c r="AG85" s="186"/>
      <c r="AH85" s="186"/>
      <c r="AI85" s="186"/>
      <c r="AJ85" s="186"/>
      <c r="AK85" s="186"/>
      <c r="AL85" s="186"/>
      <c r="AM85" s="186"/>
      <c r="AN85" s="18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46"/>
      <c r="BL85" s="146"/>
      <c r="BM85" s="146"/>
      <c r="BN85" s="146"/>
    </row>
    <row r="86" spans="1:66" hidden="1" x14ac:dyDescent="0.25">
      <c r="A86" s="253"/>
      <c r="B86" s="381"/>
      <c r="C86" s="483"/>
      <c r="D86" s="346"/>
      <c r="E86" s="346"/>
      <c r="F86" s="346"/>
      <c r="G86" s="346"/>
      <c r="H86" s="347"/>
      <c r="I86" s="186"/>
      <c r="J86" s="186"/>
      <c r="K86" s="186"/>
      <c r="L86" s="186"/>
      <c r="M86" s="186"/>
      <c r="N86" s="186"/>
      <c r="O86" s="186"/>
      <c r="P86" s="186"/>
      <c r="Q86" s="186"/>
      <c r="R86" s="186"/>
      <c r="S86" s="499"/>
      <c r="T86" s="149"/>
      <c r="U86" s="149"/>
      <c r="V86" s="149"/>
      <c r="W86" s="166"/>
      <c r="X86" s="166"/>
      <c r="Y86" s="149"/>
      <c r="Z86" s="149"/>
      <c r="AA86" s="149"/>
      <c r="AB86" s="149"/>
      <c r="AC86" s="186"/>
      <c r="AD86" s="186"/>
      <c r="AE86" s="186"/>
      <c r="AF86" s="186"/>
      <c r="AG86" s="186"/>
      <c r="AH86" s="186"/>
      <c r="AI86" s="186"/>
      <c r="AJ86" s="186"/>
      <c r="AK86" s="186"/>
      <c r="AL86" s="186"/>
      <c r="AM86" s="186"/>
      <c r="AN86" s="18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46"/>
      <c r="BL86" s="146"/>
      <c r="BM86" s="146"/>
      <c r="BN86" s="146"/>
    </row>
    <row r="87" spans="1:66" ht="17.850000000000001" hidden="1" x14ac:dyDescent="0.35">
      <c r="A87" s="253"/>
      <c r="B87" s="381"/>
      <c r="C87" s="1032" t="s">
        <v>1201</v>
      </c>
      <c r="D87" s="186"/>
      <c r="E87" s="186"/>
      <c r="F87" s="186"/>
      <c r="G87" s="186"/>
      <c r="H87" s="499"/>
      <c r="I87" s="186"/>
      <c r="J87" s="186"/>
      <c r="K87" s="186"/>
      <c r="L87" s="186"/>
      <c r="M87" s="186"/>
      <c r="N87" s="186"/>
      <c r="O87" s="186"/>
      <c r="P87" s="186"/>
      <c r="Q87" s="186"/>
      <c r="R87" s="186"/>
      <c r="S87" s="499"/>
      <c r="T87" s="149"/>
      <c r="U87" s="149"/>
      <c r="V87" s="149"/>
      <c r="W87" s="166"/>
      <c r="X87" s="166"/>
      <c r="Y87" s="149"/>
      <c r="Z87" s="149"/>
      <c r="AA87" s="149"/>
      <c r="AB87" s="149"/>
      <c r="AC87" s="186"/>
      <c r="AD87" s="186"/>
      <c r="AE87" s="186"/>
      <c r="AF87" s="186"/>
      <c r="AG87" s="186"/>
      <c r="AH87" s="186"/>
      <c r="AI87" s="186"/>
      <c r="AJ87" s="186"/>
      <c r="AK87" s="186"/>
      <c r="AL87" s="186"/>
      <c r="AM87" s="186"/>
      <c r="AN87" s="18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46"/>
      <c r="BL87" s="146"/>
      <c r="BM87" s="146"/>
      <c r="BN87" s="146"/>
    </row>
    <row r="88" spans="1:66" ht="21.75" hidden="1" customHeight="1" x14ac:dyDescent="0.25">
      <c r="A88" s="253"/>
      <c r="B88" s="381"/>
      <c r="C88" s="381"/>
      <c r="D88" s="186"/>
      <c r="E88" s="186"/>
      <c r="F88" s="186"/>
      <c r="G88" s="186"/>
      <c r="H88" s="499"/>
      <c r="I88" s="186"/>
      <c r="J88" s="186"/>
      <c r="K88" s="186"/>
      <c r="L88" s="186"/>
      <c r="M88" s="186"/>
      <c r="N88" s="186"/>
      <c r="O88" s="186"/>
      <c r="P88" s="186"/>
      <c r="Q88" s="186"/>
      <c r="R88" s="186"/>
      <c r="S88" s="499"/>
      <c r="T88" s="149"/>
      <c r="U88" s="149"/>
      <c r="V88" s="149"/>
      <c r="W88" s="166"/>
      <c r="X88" s="166"/>
      <c r="Y88" s="149"/>
      <c r="Z88" s="149"/>
      <c r="AA88" s="149"/>
      <c r="AB88" s="149"/>
      <c r="AC88" s="186"/>
      <c r="AD88" s="186"/>
      <c r="AE88" s="186"/>
      <c r="AF88" s="186"/>
      <c r="AG88" s="186"/>
      <c r="AH88" s="186"/>
      <c r="AI88" s="186"/>
      <c r="AJ88" s="186"/>
      <c r="AK88" s="186"/>
      <c r="AL88" s="186"/>
      <c r="AM88" s="186"/>
      <c r="AN88" s="18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46"/>
      <c r="BL88" s="146"/>
      <c r="BM88" s="146"/>
      <c r="BN88" s="146"/>
    </row>
    <row r="89" spans="1:66" ht="21.75" hidden="1" customHeight="1" x14ac:dyDescent="0.25">
      <c r="A89" s="253"/>
      <c r="B89" s="381"/>
      <c r="C89" s="381" t="s">
        <v>1202</v>
      </c>
      <c r="D89" s="186"/>
      <c r="E89" s="186"/>
      <c r="F89" s="186"/>
      <c r="G89" s="186"/>
      <c r="H89" s="499"/>
      <c r="I89" s="186"/>
      <c r="J89" s="186"/>
      <c r="K89" s="186"/>
      <c r="L89" s="186"/>
      <c r="M89" s="186"/>
      <c r="N89" s="186"/>
      <c r="O89" s="186"/>
      <c r="P89" s="186"/>
      <c r="Q89" s="186"/>
      <c r="R89" s="186"/>
      <c r="S89" s="499"/>
      <c r="T89" s="149"/>
      <c r="U89" s="149"/>
      <c r="V89" s="149"/>
      <c r="W89" s="166"/>
      <c r="X89" s="166"/>
      <c r="Y89" s="149"/>
      <c r="Z89" s="149"/>
      <c r="AA89" s="149"/>
      <c r="AB89" s="149"/>
      <c r="AC89" s="186"/>
      <c r="AD89" s="186"/>
      <c r="AE89" s="186"/>
      <c r="AF89" s="186"/>
      <c r="AG89" s="186"/>
      <c r="AH89" s="186"/>
      <c r="AI89" s="186"/>
      <c r="AJ89" s="186"/>
      <c r="AK89" s="186"/>
      <c r="AL89" s="186"/>
      <c r="AM89" s="186"/>
      <c r="AN89" s="18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46"/>
      <c r="BL89" s="146"/>
      <c r="BM89" s="146"/>
      <c r="BN89" s="146"/>
    </row>
    <row r="90" spans="1:66" ht="21.75" hidden="1" customHeight="1" x14ac:dyDescent="0.25">
      <c r="A90" s="253"/>
      <c r="B90" s="381"/>
      <c r="C90" s="381" t="s">
        <v>1203</v>
      </c>
      <c r="D90" s="186"/>
      <c r="E90" s="186"/>
      <c r="F90" s="186"/>
      <c r="G90" s="186"/>
      <c r="H90" s="499"/>
      <c r="I90" s="186"/>
      <c r="J90" s="186"/>
      <c r="K90" s="186"/>
      <c r="L90" s="186"/>
      <c r="M90" s="186"/>
      <c r="N90" s="186"/>
      <c r="O90" s="186"/>
      <c r="P90" s="186"/>
      <c r="Q90" s="186"/>
      <c r="R90" s="186"/>
      <c r="S90" s="499"/>
      <c r="T90" s="149"/>
      <c r="U90" s="149"/>
      <c r="V90" s="149"/>
      <c r="W90" s="166"/>
      <c r="X90" s="166"/>
      <c r="Y90" s="149"/>
      <c r="Z90" s="149"/>
      <c r="AA90" s="149"/>
      <c r="AB90" s="149"/>
      <c r="AC90" s="186"/>
      <c r="AD90" s="186"/>
      <c r="AE90" s="186"/>
      <c r="AF90" s="186"/>
      <c r="AG90" s="186"/>
      <c r="AH90" s="186"/>
      <c r="AI90" s="186"/>
      <c r="AJ90" s="186"/>
      <c r="AK90" s="186"/>
      <c r="AL90" s="186"/>
      <c r="AM90" s="186"/>
      <c r="AN90" s="18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46"/>
      <c r="BL90" s="146"/>
      <c r="BM90" s="146"/>
      <c r="BN90" s="146"/>
    </row>
    <row r="91" spans="1:66" ht="21.75" hidden="1" customHeight="1" x14ac:dyDescent="0.25">
      <c r="A91" s="253"/>
      <c r="B91" s="381"/>
      <c r="C91" s="381" t="str">
        <f ca="1">"3.  " &amp; IF(D99&gt;0,AJ112,IF(D99&lt;0,AK112,AL112))</f>
        <v>3.  in your case this is zero</v>
      </c>
      <c r="D91" s="186"/>
      <c r="E91" s="186"/>
      <c r="F91" s="186"/>
      <c r="G91" s="186"/>
      <c r="H91" s="499"/>
      <c r="I91" s="186"/>
      <c r="J91" s="186"/>
      <c r="K91" s="186"/>
      <c r="L91" s="186"/>
      <c r="M91" s="186"/>
      <c r="N91" s="186"/>
      <c r="O91" s="186"/>
      <c r="P91" s="186"/>
      <c r="Q91" s="186"/>
      <c r="R91" s="186"/>
      <c r="S91" s="499"/>
      <c r="T91" s="149"/>
      <c r="U91" s="149"/>
      <c r="V91" s="149"/>
      <c r="W91" s="166"/>
      <c r="X91" s="166"/>
      <c r="Y91" s="149"/>
      <c r="Z91" s="149"/>
      <c r="AA91" s="149"/>
      <c r="AB91" s="149"/>
      <c r="AC91" s="186"/>
      <c r="AD91" s="186"/>
      <c r="AE91" s="186"/>
      <c r="AF91" s="186"/>
      <c r="AG91" s="186"/>
      <c r="AH91" s="186"/>
      <c r="AI91" s="186"/>
      <c r="AJ91" s="186"/>
      <c r="AK91" s="186"/>
      <c r="AL91" s="186"/>
      <c r="AM91" s="186"/>
      <c r="AN91" s="18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46"/>
      <c r="BL91" s="146"/>
      <c r="BM91" s="146"/>
      <c r="BN91" s="146"/>
    </row>
    <row r="92" spans="1:66" ht="26.25" hidden="1" customHeight="1" x14ac:dyDescent="0.25">
      <c r="A92" s="253"/>
      <c r="B92" s="381"/>
      <c r="C92" s="381" t="s">
        <v>831</v>
      </c>
      <c r="D92" s="186"/>
      <c r="E92" s="186"/>
      <c r="F92" s="186"/>
      <c r="G92" s="186"/>
      <c r="H92" s="499"/>
      <c r="I92" s="186"/>
      <c r="J92" s="186"/>
      <c r="K92" s="186"/>
      <c r="L92" s="186"/>
      <c r="M92" s="186"/>
      <c r="N92" s="186"/>
      <c r="O92" s="186"/>
      <c r="P92" s="186"/>
      <c r="Q92" s="186"/>
      <c r="R92" s="186"/>
      <c r="S92" s="499"/>
      <c r="T92" s="149"/>
      <c r="U92" s="149"/>
      <c r="V92" s="166"/>
      <c r="W92" s="166"/>
      <c r="X92" s="166"/>
      <c r="Y92" s="149"/>
      <c r="Z92" s="149"/>
      <c r="AA92" s="149"/>
      <c r="AB92" s="149"/>
      <c r="AC92" s="186"/>
      <c r="AD92" s="186"/>
      <c r="AE92" s="186"/>
      <c r="AF92" s="186"/>
      <c r="AG92" s="186"/>
      <c r="AH92" s="186"/>
      <c r="AI92" s="186"/>
      <c r="AJ92" s="186"/>
      <c r="AK92" s="186"/>
      <c r="AL92" s="186"/>
      <c r="AM92" s="186"/>
      <c r="AN92" s="18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46"/>
      <c r="BL92" s="146"/>
      <c r="BM92" s="146"/>
      <c r="BN92" s="146"/>
    </row>
    <row r="93" spans="1:66" ht="14.25" hidden="1" customHeight="1" x14ac:dyDescent="0.25">
      <c r="A93" s="253"/>
      <c r="B93" s="381"/>
      <c r="C93" s="381" t="str">
        <f ca="1">"5.  " &amp; IF(D100&gt;0,AJ113,IF(D100&lt;0,AK113,AL113))</f>
        <v>5.  in your case this is zero</v>
      </c>
      <c r="D93" s="186"/>
      <c r="E93" s="186"/>
      <c r="F93" s="186"/>
      <c r="G93" s="186"/>
      <c r="H93" s="499"/>
      <c r="I93" s="186"/>
      <c r="J93" s="186"/>
      <c r="K93" s="186"/>
      <c r="L93" s="186"/>
      <c r="M93" s="186"/>
      <c r="N93" s="186"/>
      <c r="O93" s="186"/>
      <c r="P93" s="186"/>
      <c r="Q93" s="186"/>
      <c r="R93" s="186"/>
      <c r="S93" s="499"/>
      <c r="T93" s="166"/>
      <c r="U93" s="166"/>
      <c r="V93" s="166"/>
      <c r="W93" s="166"/>
      <c r="X93" s="166"/>
      <c r="Y93" s="149"/>
      <c r="Z93" s="149"/>
      <c r="AA93" s="149"/>
      <c r="AB93" s="149"/>
      <c r="AC93" s="186"/>
      <c r="AD93" s="186"/>
      <c r="AE93" s="186"/>
      <c r="AF93" s="186"/>
      <c r="AG93" s="186"/>
      <c r="AH93" s="186"/>
      <c r="AI93" s="186"/>
      <c r="AJ93" s="186"/>
      <c r="AK93" s="186"/>
      <c r="AL93" s="186"/>
      <c r="AM93" s="186"/>
      <c r="AN93" s="18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46"/>
      <c r="BL93" s="146"/>
      <c r="BM93" s="146"/>
      <c r="BN93" s="146"/>
    </row>
    <row r="94" spans="1:66" hidden="1" x14ac:dyDescent="0.25">
      <c r="A94" s="253"/>
      <c r="B94" s="381"/>
      <c r="C94" s="381" t="str">
        <f ca="1">"6.  "  &amp; IF(E99&gt;0,AN112,IF(E99&lt;0,AO112,""))</f>
        <v xml:space="preserve">6.  </v>
      </c>
      <c r="D94" s="186"/>
      <c r="E94" s="186"/>
      <c r="F94" s="186"/>
      <c r="G94" s="186"/>
      <c r="H94" s="499"/>
      <c r="I94" s="186"/>
      <c r="J94" s="186"/>
      <c r="K94" s="186"/>
      <c r="L94" s="186"/>
      <c r="M94" s="186"/>
      <c r="N94" s="186"/>
      <c r="O94" s="186"/>
      <c r="P94" s="186"/>
      <c r="Q94" s="186"/>
      <c r="R94" s="186"/>
      <c r="S94" s="499"/>
      <c r="T94" s="166"/>
      <c r="U94" s="166"/>
      <c r="V94" s="166"/>
      <c r="W94" s="166"/>
      <c r="X94" s="166"/>
      <c r="Y94" s="149"/>
      <c r="Z94" s="149"/>
      <c r="AA94" s="149"/>
      <c r="AB94" s="149"/>
      <c r="AC94" s="186"/>
      <c r="AD94" s="186"/>
      <c r="AE94" s="186"/>
      <c r="AF94" s="186"/>
      <c r="AG94" s="186"/>
      <c r="AH94" s="186"/>
      <c r="AI94" s="186"/>
      <c r="AJ94" s="186"/>
      <c r="AK94" s="186"/>
      <c r="AL94" s="186"/>
      <c r="AM94" s="186"/>
      <c r="AN94" s="18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46"/>
      <c r="BL94" s="146"/>
      <c r="BM94" s="146"/>
      <c r="BN94" s="146"/>
    </row>
    <row r="95" spans="1:66" hidden="1" x14ac:dyDescent="0.25">
      <c r="A95" s="253"/>
      <c r="B95" s="381"/>
      <c r="C95" s="381"/>
      <c r="D95" s="186"/>
      <c r="E95" s="186"/>
      <c r="F95" s="186"/>
      <c r="G95" s="186"/>
      <c r="H95" s="499"/>
      <c r="I95" s="186"/>
      <c r="J95" s="186"/>
      <c r="K95" s="186"/>
      <c r="L95" s="186"/>
      <c r="M95" s="186"/>
      <c r="N95" s="186"/>
      <c r="O95" s="186"/>
      <c r="P95" s="186"/>
      <c r="Q95" s="186"/>
      <c r="R95" s="186"/>
      <c r="S95" s="499"/>
      <c r="T95" s="166"/>
      <c r="U95" s="166"/>
      <c r="V95" s="166"/>
      <c r="W95" s="166"/>
      <c r="X95" s="166"/>
      <c r="Y95" s="149"/>
      <c r="Z95" s="149"/>
      <c r="AA95" s="149"/>
      <c r="AB95" s="149"/>
      <c r="AC95" s="186"/>
      <c r="AD95" s="186"/>
      <c r="AE95" s="186"/>
      <c r="AF95" s="186"/>
      <c r="AG95" s="186"/>
      <c r="AH95" s="186"/>
      <c r="AI95" s="186"/>
      <c r="AJ95" s="186"/>
      <c r="AK95" s="186"/>
      <c r="AL95" s="186"/>
      <c r="AM95" s="186"/>
      <c r="AN95" s="18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46"/>
      <c r="BL95" s="146"/>
      <c r="BM95" s="146"/>
      <c r="BN95" s="146"/>
    </row>
    <row r="96" spans="1:66" ht="63.1" hidden="1" customHeight="1" thickBot="1" x14ac:dyDescent="0.3">
      <c r="A96" s="253"/>
      <c r="B96" s="381"/>
      <c r="C96" s="596" t="str">
        <f ca="1">"7.  " &amp; IF(E100&gt;0,AN113,IF(E100&lt;0,AO113,""))</f>
        <v xml:space="preserve">7.  </v>
      </c>
      <c r="D96" s="493"/>
      <c r="E96" s="493"/>
      <c r="F96" s="493"/>
      <c r="G96" s="493"/>
      <c r="H96" s="561"/>
      <c r="I96" s="186"/>
      <c r="J96" s="186"/>
      <c r="K96" s="186"/>
      <c r="L96" s="186"/>
      <c r="M96" s="186"/>
      <c r="N96" s="186"/>
      <c r="O96" s="186"/>
      <c r="P96" s="186"/>
      <c r="Q96" s="186"/>
      <c r="R96" s="186"/>
      <c r="S96" s="499"/>
      <c r="T96" s="166"/>
      <c r="U96" s="166"/>
      <c r="V96" s="166"/>
      <c r="W96" s="166"/>
      <c r="X96" s="166"/>
      <c r="Y96" s="149"/>
      <c r="Z96" s="149"/>
      <c r="AA96" s="149"/>
      <c r="AB96" s="149"/>
      <c r="AC96" s="186"/>
      <c r="AD96" s="186"/>
      <c r="AE96" s="186"/>
      <c r="AF96" s="186"/>
      <c r="AG96" s="186"/>
      <c r="AH96" s="186"/>
      <c r="AI96" s="186"/>
      <c r="AJ96" s="186"/>
      <c r="AK96" s="186"/>
      <c r="AL96" s="186"/>
      <c r="AM96" s="186"/>
      <c r="AN96" s="18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46"/>
      <c r="BL96" s="146"/>
      <c r="BM96" s="146"/>
      <c r="BN96" s="146"/>
    </row>
    <row r="97" spans="1:66" ht="13.25" hidden="1" thickBot="1" x14ac:dyDescent="0.3">
      <c r="A97" s="253"/>
      <c r="B97" s="381"/>
      <c r="C97" s="186"/>
      <c r="D97" s="186"/>
      <c r="E97" s="186"/>
      <c r="F97" s="186"/>
      <c r="G97" s="186"/>
      <c r="H97" s="186"/>
      <c r="I97" s="186"/>
      <c r="J97" s="186"/>
      <c r="K97" s="186"/>
      <c r="L97" s="186"/>
      <c r="M97" s="186"/>
      <c r="N97" s="186"/>
      <c r="O97" s="186"/>
      <c r="P97" s="186"/>
      <c r="Q97" s="186"/>
      <c r="R97" s="186"/>
      <c r="S97" s="499"/>
      <c r="T97" s="166"/>
      <c r="U97" s="166"/>
      <c r="V97" s="166"/>
      <c r="W97" s="166"/>
      <c r="X97" s="166"/>
      <c r="Y97" s="149"/>
      <c r="Z97" s="149"/>
      <c r="AA97" s="149"/>
      <c r="AB97" s="149"/>
      <c r="AC97" s="186"/>
      <c r="AD97" s="186"/>
      <c r="AE97" s="186"/>
      <c r="AF97" s="186"/>
      <c r="AG97" s="186"/>
      <c r="AH97" s="186"/>
      <c r="AI97" s="186"/>
      <c r="AJ97" s="186"/>
      <c r="AK97" s="186"/>
      <c r="AL97" s="186"/>
      <c r="AM97" s="186"/>
      <c r="AN97" s="18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46"/>
      <c r="BL97" s="146"/>
      <c r="BM97" s="146"/>
      <c r="BN97" s="146"/>
    </row>
    <row r="98" spans="1:66" ht="38.6" hidden="1" thickBot="1" x14ac:dyDescent="0.3">
      <c r="A98" s="253"/>
      <c r="B98" s="381"/>
      <c r="C98" s="483"/>
      <c r="D98" s="104" t="str">
        <f>'3.Sequestration'!B37 &amp; ", " &amp; D5</f>
        <v>Annual totals, kg CO2 eq</v>
      </c>
      <c r="E98" s="2551" t="str">
        <f>"Cumulative, " &amp; D5</f>
        <v>Cumulative, kg CO2 eq</v>
      </c>
      <c r="F98" s="2552"/>
      <c r="G98" s="186"/>
      <c r="H98" s="186"/>
      <c r="I98" s="186"/>
      <c r="J98" s="186"/>
      <c r="K98" s="186"/>
      <c r="L98" s="186"/>
      <c r="M98" s="186"/>
      <c r="N98" s="186"/>
      <c r="O98" s="186"/>
      <c r="P98" s="186"/>
      <c r="Q98" s="186"/>
      <c r="R98" s="186"/>
      <c r="S98" s="499"/>
      <c r="T98" s="166"/>
      <c r="U98" s="166"/>
      <c r="V98" s="166"/>
      <c r="W98" s="166"/>
      <c r="X98" s="166"/>
      <c r="Y98" s="149"/>
      <c r="Z98" s="149"/>
      <c r="AA98" s="149"/>
      <c r="AB98" s="149"/>
      <c r="AC98" s="186"/>
      <c r="AD98" s="186"/>
      <c r="AE98" s="186"/>
      <c r="AF98" s="186"/>
      <c r="AG98" s="186"/>
      <c r="AH98" s="186"/>
      <c r="AI98" s="186"/>
      <c r="AJ98" s="186"/>
      <c r="AK98" s="186"/>
      <c r="AL98" s="186"/>
      <c r="AM98" s="186"/>
      <c r="AN98" s="18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46"/>
      <c r="BL98" s="146"/>
      <c r="BM98" s="146"/>
      <c r="BN98" s="146"/>
    </row>
    <row r="99" spans="1:66" hidden="1" x14ac:dyDescent="0.25">
      <c r="A99" s="253"/>
      <c r="B99" s="381"/>
      <c r="C99" s="96" t="str">
        <f>'3.Sequestration'!B38</f>
        <v>Above ground biomass</v>
      </c>
      <c r="D99" s="623">
        <f ca="1">ROUND('3.Sequestration'!T40,2)*SUMIF(AK$4:AK$7,D$5,AL$4:AL$7)</f>
        <v>0</v>
      </c>
      <c r="E99" s="2518">
        <f ca="1">ROUND('3.Sequestration'!U40,2)*SUMIF(AK$4:AK$7,D$5,AL$4:AL$7)</f>
        <v>0</v>
      </c>
      <c r="F99" s="2519"/>
      <c r="G99" s="186"/>
      <c r="H99" s="186"/>
      <c r="I99" s="186"/>
      <c r="J99" s="186"/>
      <c r="K99" s="186"/>
      <c r="L99" s="186"/>
      <c r="M99" s="186"/>
      <c r="N99" s="186"/>
      <c r="O99" s="186"/>
      <c r="P99" s="186"/>
      <c r="Q99" s="186"/>
      <c r="R99" s="186"/>
      <c r="S99" s="499"/>
      <c r="T99" s="166"/>
      <c r="U99" s="166"/>
      <c r="V99" s="166"/>
      <c r="W99" s="166"/>
      <c r="X99" s="166"/>
      <c r="Y99" s="149"/>
      <c r="Z99" s="149"/>
      <c r="AA99" s="149"/>
      <c r="AB99" s="149"/>
      <c r="AC99" s="186"/>
      <c r="AD99" s="186"/>
      <c r="AE99" s="186"/>
      <c r="AF99" s="186"/>
      <c r="AG99" s="186"/>
      <c r="AH99" s="186"/>
      <c r="AI99" s="186"/>
      <c r="AJ99" s="186"/>
      <c r="AK99" s="186"/>
      <c r="AL99" s="186"/>
      <c r="AM99" s="186"/>
      <c r="AN99" s="18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46"/>
      <c r="BL99" s="146"/>
      <c r="BM99" s="146"/>
      <c r="BN99" s="146"/>
    </row>
    <row r="100" spans="1:66" hidden="1" x14ac:dyDescent="0.25">
      <c r="A100" s="166"/>
      <c r="B100" s="381"/>
      <c r="C100" s="85" t="str">
        <f>'3.Sequestration'!B39</f>
        <v>Below ground biomass</v>
      </c>
      <c r="D100" s="624">
        <f ca="1">ROUND('3.Sequestration'!T41,2)*SUMIF(AK$4:AK$7,D$5,AL$4:AL$7)</f>
        <v>0</v>
      </c>
      <c r="E100" s="2520">
        <f ca="1">ROUND('3.Sequestration'!U41,2)*SUMIF(AK$4:AK$7,D$5,AL$4:AL$7)</f>
        <v>0</v>
      </c>
      <c r="F100" s="2521"/>
      <c r="G100" s="186"/>
      <c r="H100" s="186"/>
      <c r="I100" s="186"/>
      <c r="J100" s="186"/>
      <c r="K100" s="186"/>
      <c r="L100" s="186"/>
      <c r="M100" s="186"/>
      <c r="N100" s="186"/>
      <c r="O100" s="186"/>
      <c r="P100" s="186"/>
      <c r="Q100" s="186"/>
      <c r="R100" s="186"/>
      <c r="S100" s="499"/>
      <c r="T100" s="166"/>
      <c r="U100" s="166"/>
      <c r="V100" s="166"/>
      <c r="W100" s="166"/>
      <c r="X100" s="166"/>
      <c r="Y100" s="149"/>
      <c r="Z100" s="149"/>
      <c r="AA100" s="149"/>
      <c r="AB100" s="149"/>
      <c r="AC100" s="186"/>
      <c r="AD100" s="186"/>
      <c r="AE100" s="186"/>
      <c r="AF100" s="186"/>
      <c r="AG100" s="186"/>
      <c r="AH100" s="186"/>
      <c r="AI100" s="186"/>
      <c r="AJ100" s="186"/>
      <c r="AK100" s="186"/>
      <c r="AL100" s="186"/>
      <c r="AM100" s="186"/>
      <c r="AN100" s="18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46"/>
      <c r="BL100" s="146"/>
      <c r="BM100" s="146"/>
      <c r="BN100" s="146"/>
    </row>
    <row r="101" spans="1:66" hidden="1" x14ac:dyDescent="0.25">
      <c r="A101" s="166"/>
      <c r="B101" s="381"/>
      <c r="C101" s="85" t="str">
        <f>'3.Sequestration'!B40</f>
        <v>Soil C</v>
      </c>
      <c r="D101" s="624">
        <f ca="1">ROUND('3.Sequestration'!T42,2)*SUMIF(AK$4:AK$7,D$5,AL$4:AL$7)</f>
        <v>-9266.4</v>
      </c>
      <c r="E101" s="2520">
        <f ca="1">ROUND('3.Sequestration'!U42,2)*SUMIF(AK$4:AK$7,D$5,AL$4:AL$7)</f>
        <v>-9266.4</v>
      </c>
      <c r="F101" s="2521"/>
      <c r="G101" s="186"/>
      <c r="H101" s="186"/>
      <c r="I101" s="186"/>
      <c r="J101" s="186"/>
      <c r="K101" s="186"/>
      <c r="L101" s="186"/>
      <c r="M101" s="186"/>
      <c r="N101" s="186"/>
      <c r="O101" s="186"/>
      <c r="P101" s="186"/>
      <c r="Q101" s="186"/>
      <c r="R101" s="186"/>
      <c r="S101" s="499"/>
      <c r="T101" s="271"/>
      <c r="U101" s="271"/>
      <c r="V101" s="166"/>
      <c r="W101" s="166"/>
      <c r="X101" s="166"/>
      <c r="Y101" s="149"/>
      <c r="Z101" s="149"/>
      <c r="AA101" s="149"/>
      <c r="AB101" s="149"/>
      <c r="AC101" s="186"/>
      <c r="AD101" s="186"/>
      <c r="AE101" s="186"/>
      <c r="AF101" s="186"/>
      <c r="AG101" s="186"/>
      <c r="AH101" s="186"/>
      <c r="AI101" s="186"/>
      <c r="AJ101" s="186"/>
      <c r="AK101" s="186"/>
      <c r="AL101" s="186"/>
      <c r="AM101" s="186"/>
      <c r="AN101" s="18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46"/>
      <c r="BL101" s="146"/>
      <c r="BM101" s="146"/>
      <c r="BN101" s="146"/>
    </row>
    <row r="102" spans="1:66" ht="15" hidden="1" customHeight="1" thickBot="1" x14ac:dyDescent="0.3">
      <c r="A102" s="166"/>
      <c r="B102" s="381"/>
      <c r="C102" s="97"/>
      <c r="D102" s="596"/>
      <c r="E102" s="2514"/>
      <c r="F102" s="2515"/>
      <c r="G102" s="186"/>
      <c r="H102" s="186"/>
      <c r="I102" s="186"/>
      <c r="J102" s="186"/>
      <c r="K102" s="186"/>
      <c r="L102" s="186"/>
      <c r="M102" s="186"/>
      <c r="N102" s="186"/>
      <c r="O102" s="186"/>
      <c r="P102" s="186"/>
      <c r="Q102" s="186"/>
      <c r="R102" s="186"/>
      <c r="S102" s="499"/>
      <c r="T102" s="149"/>
      <c r="U102" s="149"/>
      <c r="V102" s="166"/>
      <c r="W102" s="166"/>
      <c r="X102" s="166"/>
      <c r="Y102" s="149"/>
      <c r="Z102" s="149"/>
      <c r="AA102" s="149"/>
      <c r="AB102" s="149"/>
      <c r="AC102" s="186"/>
      <c r="AD102" s="186"/>
      <c r="AE102" s="186"/>
      <c r="AF102" s="186"/>
      <c r="AG102" s="186"/>
      <c r="AH102" s="186"/>
      <c r="AI102" s="186"/>
      <c r="AJ102" s="186"/>
      <c r="AK102" s="186"/>
      <c r="AL102" s="186"/>
      <c r="AM102" s="186"/>
      <c r="AN102" s="18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46"/>
      <c r="BL102" s="146"/>
      <c r="BM102" s="146"/>
      <c r="BN102" s="146"/>
    </row>
    <row r="103" spans="1:66" ht="19.45" hidden="1" customHeight="1" thickBot="1" x14ac:dyDescent="0.3">
      <c r="A103" s="166"/>
      <c r="B103" s="381"/>
      <c r="C103" s="97" t="str">
        <f>'3.Sequestration'!B42</f>
        <v>Total</v>
      </c>
      <c r="D103" s="596">
        <f ca="1">'3.Sequestration'!T44*SUMIF(AK$4:AK$7,D$5,AL$4:AL$7)</f>
        <v>-9266.3999999998941</v>
      </c>
      <c r="E103" s="2549">
        <f ca="1">'3.Sequestration'!U44*SUMIF(AK$4:AK$7,D$5,AL$4:AL$7)</f>
        <v>-9266.3999999998941</v>
      </c>
      <c r="F103" s="2550"/>
      <c r="G103" s="186"/>
      <c r="H103" s="186"/>
      <c r="I103" s="186"/>
      <c r="J103" s="186"/>
      <c r="K103" s="186"/>
      <c r="L103" s="186"/>
      <c r="M103" s="186"/>
      <c r="N103" s="186"/>
      <c r="O103" s="186"/>
      <c r="P103" s="186"/>
      <c r="Q103" s="186"/>
      <c r="R103" s="186"/>
      <c r="S103" s="499"/>
      <c r="T103" s="149"/>
      <c r="U103" s="149"/>
      <c r="V103" s="166"/>
      <c r="W103" s="166"/>
      <c r="X103" s="166"/>
      <c r="Y103" s="149"/>
      <c r="Z103" s="149"/>
      <c r="AA103" s="149"/>
      <c r="AB103" s="149"/>
      <c r="AC103" s="149"/>
      <c r="AD103" s="149"/>
      <c r="AE103" s="149"/>
      <c r="AF103" s="149"/>
      <c r="AG103" s="149"/>
      <c r="AH103" s="149"/>
      <c r="AI103" s="149"/>
      <c r="AJ103" s="149"/>
      <c r="AK103" s="149"/>
      <c r="AL103" s="149"/>
      <c r="AM103" s="149"/>
      <c r="AN103" s="149"/>
      <c r="AO103" s="166"/>
      <c r="AP103" s="166"/>
      <c r="AQ103" s="166"/>
      <c r="AR103" s="166"/>
      <c r="AS103" s="166"/>
      <c r="AT103" s="166"/>
      <c r="AU103" s="166"/>
      <c r="AV103" s="166"/>
      <c r="AW103" s="166"/>
      <c r="AX103" s="166"/>
      <c r="AY103" s="166"/>
      <c r="AZ103" s="166"/>
      <c r="BA103" s="166"/>
      <c r="BB103" s="166"/>
      <c r="BC103" s="166"/>
      <c r="BD103" s="166"/>
      <c r="BE103" s="166"/>
      <c r="BF103" s="166"/>
      <c r="BG103" s="166"/>
      <c r="BH103" s="166"/>
      <c r="BI103" s="166"/>
      <c r="BJ103" s="166"/>
      <c r="BK103" s="166"/>
      <c r="BL103" s="166"/>
      <c r="BM103" s="146"/>
      <c r="BN103" s="146"/>
    </row>
    <row r="104" spans="1:66" ht="0.75" hidden="1" customHeight="1" x14ac:dyDescent="0.25">
      <c r="A104" s="166"/>
      <c r="B104" s="381"/>
      <c r="C104" s="186"/>
      <c r="D104" s="186"/>
      <c r="E104" s="186"/>
      <c r="F104" s="186"/>
      <c r="G104" s="186"/>
      <c r="H104" s="186"/>
      <c r="I104" s="186"/>
      <c r="J104" s="186"/>
      <c r="K104" s="186"/>
      <c r="L104" s="186"/>
      <c r="M104" s="186"/>
      <c r="N104" s="186"/>
      <c r="O104" s="186"/>
      <c r="P104" s="186"/>
      <c r="Q104" s="186"/>
      <c r="R104" s="186"/>
      <c r="S104" s="499"/>
      <c r="T104" s="149"/>
      <c r="U104" s="149"/>
      <c r="V104" s="166"/>
      <c r="W104" s="166"/>
      <c r="X104" s="166"/>
      <c r="Y104" s="4"/>
      <c r="Z104" s="149"/>
      <c r="AA104" s="149"/>
      <c r="AB104" s="149"/>
      <c r="AC104" s="149"/>
      <c r="AD104" s="149"/>
      <c r="AE104" s="149"/>
      <c r="AF104" s="149"/>
      <c r="AG104" s="149"/>
      <c r="AH104" s="149"/>
      <c r="AI104" s="149"/>
      <c r="AJ104" s="149"/>
      <c r="AK104" s="149"/>
      <c r="AL104" s="149"/>
      <c r="AM104" s="149"/>
      <c r="AN104" s="149"/>
      <c r="AO104" s="166"/>
      <c r="AP104" s="166"/>
      <c r="AQ104" s="166"/>
      <c r="AR104" s="166"/>
      <c r="AS104" s="166"/>
      <c r="AT104" s="166"/>
      <c r="AU104" s="166"/>
      <c r="AV104" s="166"/>
      <c r="AW104" s="166"/>
      <c r="AX104" s="166"/>
      <c r="AY104" s="166"/>
      <c r="AZ104" s="166"/>
      <c r="BA104" s="166"/>
      <c r="BB104" s="166"/>
      <c r="BC104" s="166"/>
      <c r="BD104" s="166"/>
      <c r="BE104" s="166"/>
      <c r="BF104" s="166"/>
      <c r="BG104" s="166"/>
      <c r="BH104" s="166"/>
      <c r="BI104" s="166"/>
      <c r="BJ104" s="166"/>
      <c r="BK104" s="166"/>
      <c r="BL104" s="166"/>
      <c r="BM104" s="146"/>
      <c r="BN104" s="146"/>
    </row>
    <row r="105" spans="1:66" ht="0.75" hidden="1" customHeight="1" x14ac:dyDescent="0.25">
      <c r="A105" s="166"/>
      <c r="B105" s="381"/>
      <c r="C105" s="100" t="s">
        <v>1826</v>
      </c>
      <c r="D105" s="186"/>
      <c r="E105" s="186"/>
      <c r="F105" s="186"/>
      <c r="G105" s="186"/>
      <c r="H105" s="186"/>
      <c r="I105" s="186"/>
      <c r="J105" s="186"/>
      <c r="K105" s="186"/>
      <c r="L105" s="186"/>
      <c r="M105" s="186"/>
      <c r="N105" s="186"/>
      <c r="O105" s="186"/>
      <c r="P105" s="186"/>
      <c r="Q105" s="186"/>
      <c r="R105" s="186"/>
      <c r="S105" s="499"/>
      <c r="T105" s="166"/>
      <c r="U105" s="149"/>
      <c r="V105" s="166"/>
      <c r="W105" s="166"/>
      <c r="X105" s="166"/>
      <c r="Y105" s="149"/>
      <c r="Z105" s="149"/>
      <c r="AA105" s="149"/>
      <c r="AB105" s="149"/>
      <c r="AC105" s="149"/>
      <c r="AD105" s="149"/>
      <c r="AE105" s="149"/>
      <c r="AF105" s="149"/>
      <c r="AG105" s="149"/>
      <c r="AH105" s="149"/>
      <c r="AI105" s="149"/>
      <c r="AJ105" s="149"/>
      <c r="AK105" s="149"/>
      <c r="AL105" s="149"/>
      <c r="AM105" s="149"/>
      <c r="AN105" s="149"/>
      <c r="AO105" s="166"/>
      <c r="AP105" s="166"/>
      <c r="AQ105" s="166"/>
      <c r="AR105" s="166"/>
      <c r="AS105" s="166"/>
      <c r="AT105" s="166"/>
      <c r="AU105" s="166"/>
      <c r="AV105" s="166"/>
      <c r="AW105" s="166"/>
      <c r="AX105" s="166"/>
      <c r="AY105" s="166"/>
      <c r="AZ105" s="166"/>
      <c r="BA105" s="166"/>
      <c r="BB105" s="166"/>
      <c r="BC105" s="166"/>
      <c r="BD105" s="166"/>
      <c r="BE105" s="166"/>
      <c r="BF105" s="166"/>
      <c r="BG105" s="166"/>
      <c r="BH105" s="166"/>
      <c r="BI105" s="166"/>
      <c r="BJ105" s="166"/>
      <c r="BK105" s="166"/>
      <c r="BL105" s="166"/>
      <c r="BM105" s="146"/>
      <c r="BN105" s="146"/>
    </row>
    <row r="106" spans="1:66" ht="0.75" hidden="1" customHeight="1" x14ac:dyDescent="0.25">
      <c r="A106" s="166"/>
      <c r="B106" s="381"/>
      <c r="C106" s="186"/>
      <c r="D106" s="186"/>
      <c r="E106" s="186"/>
      <c r="F106" s="186"/>
      <c r="G106" s="186"/>
      <c r="H106" s="186"/>
      <c r="I106" s="186"/>
      <c r="J106" s="186"/>
      <c r="K106" s="186"/>
      <c r="L106" s="186"/>
      <c r="M106" s="186"/>
      <c r="N106" s="186"/>
      <c r="O106" s="186"/>
      <c r="P106" s="186"/>
      <c r="Q106" s="186"/>
      <c r="R106" s="186"/>
      <c r="S106" s="499"/>
      <c r="T106" s="166"/>
      <c r="U106" s="149"/>
      <c r="V106" s="166"/>
      <c r="W106" s="166"/>
      <c r="X106" s="166"/>
      <c r="Y106" s="149"/>
      <c r="Z106" s="149"/>
      <c r="AA106" s="149"/>
      <c r="AB106" s="149"/>
      <c r="AC106" s="149"/>
      <c r="AD106" s="149"/>
      <c r="AE106" s="149"/>
      <c r="AF106" s="149"/>
      <c r="AG106" s="149"/>
      <c r="AH106" s="149"/>
      <c r="AI106" s="149"/>
      <c r="AJ106" s="149"/>
      <c r="AK106" s="149"/>
      <c r="AL106" s="149"/>
      <c r="AM106" s="149"/>
      <c r="AN106" s="149"/>
      <c r="AO106" s="166"/>
      <c r="AP106" s="166"/>
      <c r="AQ106" s="166"/>
      <c r="AR106" s="166"/>
      <c r="AS106" s="166"/>
      <c r="AT106" s="166"/>
      <c r="AU106" s="166"/>
      <c r="AV106" s="166"/>
      <c r="AW106" s="166"/>
      <c r="AX106" s="166"/>
      <c r="AY106" s="166"/>
      <c r="AZ106" s="166"/>
      <c r="BA106" s="166"/>
      <c r="BB106" s="166"/>
      <c r="BC106" s="166"/>
      <c r="BD106" s="166"/>
      <c r="BE106" s="166"/>
      <c r="BF106" s="166"/>
      <c r="BG106" s="166"/>
      <c r="BH106" s="166"/>
      <c r="BI106" s="166"/>
      <c r="BJ106" s="166"/>
      <c r="BK106" s="166"/>
      <c r="BL106" s="166"/>
      <c r="BM106" s="146"/>
      <c r="BN106" s="146"/>
    </row>
    <row r="107" spans="1:66" ht="0.75" hidden="1" customHeight="1" x14ac:dyDescent="0.25">
      <c r="A107" s="166"/>
      <c r="B107" s="381"/>
      <c r="C107" s="186"/>
      <c r="D107" s="186"/>
      <c r="E107" s="186"/>
      <c r="F107" s="186"/>
      <c r="G107" s="186"/>
      <c r="H107" s="186"/>
      <c r="I107" s="186"/>
      <c r="J107" s="186"/>
      <c r="K107" s="186"/>
      <c r="L107" s="186"/>
      <c r="M107" s="186"/>
      <c r="N107" s="186"/>
      <c r="O107" s="186"/>
      <c r="P107" s="186"/>
      <c r="Q107" s="186"/>
      <c r="R107" s="186"/>
      <c r="S107" s="499"/>
      <c r="T107" s="253"/>
      <c r="U107" s="259"/>
      <c r="V107" s="166"/>
      <c r="W107" s="166"/>
      <c r="X107" s="166"/>
      <c r="Y107" s="149"/>
      <c r="Z107" s="149"/>
      <c r="AA107" s="149"/>
      <c r="AB107" s="149"/>
      <c r="AC107" s="186"/>
      <c r="AD107" s="186"/>
      <c r="AE107" s="186"/>
      <c r="AF107" s="186"/>
      <c r="AG107" s="186"/>
      <c r="AH107" s="186"/>
      <c r="AI107" s="186"/>
      <c r="AJ107" s="186"/>
      <c r="AK107" s="186"/>
      <c r="AL107" s="186"/>
      <c r="AM107" s="186"/>
      <c r="AN107" s="18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46"/>
      <c r="BL107" s="146"/>
      <c r="BM107" s="146"/>
      <c r="BN107" s="146"/>
    </row>
    <row r="108" spans="1:66" ht="0.75" hidden="1" customHeight="1" x14ac:dyDescent="0.25">
      <c r="A108" s="166"/>
      <c r="B108" s="381"/>
      <c r="C108" s="186"/>
      <c r="D108" s="186"/>
      <c r="E108" s="186"/>
      <c r="F108" s="186"/>
      <c r="G108" s="186"/>
      <c r="H108" s="186"/>
      <c r="I108" s="186"/>
      <c r="J108" s="186"/>
      <c r="K108" s="186"/>
      <c r="L108" s="186"/>
      <c r="M108" s="186"/>
      <c r="N108" s="186"/>
      <c r="O108" s="186"/>
      <c r="P108" s="186"/>
      <c r="Q108" s="186"/>
      <c r="R108" s="186"/>
      <c r="S108" s="499"/>
      <c r="T108" s="253"/>
      <c r="U108" s="259"/>
      <c r="V108" s="166"/>
      <c r="W108" s="166"/>
      <c r="X108" s="166"/>
      <c r="Y108" s="149"/>
      <c r="Z108" s="149"/>
      <c r="AA108" s="149"/>
      <c r="AB108" s="149"/>
      <c r="AC108" s="186"/>
      <c r="AD108" s="186"/>
      <c r="AE108" s="186"/>
      <c r="AF108" s="186"/>
      <c r="AG108" s="186"/>
      <c r="AH108" s="186"/>
      <c r="AI108" s="186"/>
      <c r="AJ108" s="186"/>
      <c r="AK108" s="186"/>
      <c r="AL108" s="186"/>
      <c r="AM108" s="186"/>
      <c r="AN108" s="18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46"/>
      <c r="BL108" s="146"/>
      <c r="BM108" s="146"/>
      <c r="BN108" s="146"/>
    </row>
    <row r="109" spans="1:66" ht="0.75" hidden="1" customHeight="1" x14ac:dyDescent="0.25">
      <c r="A109" s="166"/>
      <c r="B109" s="381"/>
      <c r="C109" s="186"/>
      <c r="D109" s="186"/>
      <c r="E109" s="186"/>
      <c r="F109" s="186"/>
      <c r="G109" s="186"/>
      <c r="H109" s="186"/>
      <c r="I109" s="186"/>
      <c r="J109" s="186"/>
      <c r="K109" s="186"/>
      <c r="L109" s="186"/>
      <c r="M109" s="186"/>
      <c r="N109" s="186"/>
      <c r="O109" s="186"/>
      <c r="P109" s="186"/>
      <c r="Q109" s="186"/>
      <c r="R109" s="186"/>
      <c r="S109" s="499"/>
      <c r="T109" s="253"/>
      <c r="U109" s="259"/>
      <c r="V109" s="166"/>
      <c r="W109" s="166"/>
      <c r="X109" s="166"/>
      <c r="Y109" s="149"/>
      <c r="Z109" s="149"/>
      <c r="AA109" s="149"/>
      <c r="AB109" s="149"/>
      <c r="AC109" s="186"/>
      <c r="AD109" s="186"/>
      <c r="AE109" s="186"/>
      <c r="AF109" s="186"/>
      <c r="AG109" s="186"/>
      <c r="AH109" s="186"/>
      <c r="AI109" s="186"/>
      <c r="AJ109" s="186"/>
      <c r="AK109" s="186"/>
      <c r="AL109" s="186"/>
      <c r="AM109" s="186"/>
      <c r="AN109" s="18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46"/>
      <c r="BL109" s="146"/>
      <c r="BM109" s="166"/>
      <c r="BN109" s="166"/>
    </row>
    <row r="110" spans="1:66" ht="0.75" hidden="1" customHeight="1" x14ac:dyDescent="0.25">
      <c r="A110" s="166"/>
      <c r="B110" s="381"/>
      <c r="C110" s="186"/>
      <c r="D110" s="186"/>
      <c r="E110" s="186"/>
      <c r="F110" s="186"/>
      <c r="G110" s="186"/>
      <c r="H110" s="186"/>
      <c r="I110" s="186"/>
      <c r="J110" s="186"/>
      <c r="K110" s="186"/>
      <c r="L110" s="186"/>
      <c r="M110" s="186"/>
      <c r="N110" s="186"/>
      <c r="O110" s="186"/>
      <c r="P110" s="186"/>
      <c r="Q110" s="186"/>
      <c r="R110" s="186"/>
      <c r="S110" s="499"/>
      <c r="T110" s="253"/>
      <c r="U110" s="259"/>
      <c r="V110" s="166"/>
      <c r="W110" s="166"/>
      <c r="X110" s="166"/>
      <c r="Y110" s="166"/>
      <c r="Z110" s="166"/>
      <c r="AA110" s="149"/>
      <c r="AB110" s="149"/>
      <c r="AC110" s="146"/>
      <c r="AD110" s="146"/>
      <c r="AE110" s="146"/>
      <c r="AF110" s="149"/>
      <c r="AG110" s="186"/>
      <c r="AH110" s="186"/>
      <c r="AI110" s="186"/>
      <c r="AJ110" s="186"/>
      <c r="AK110" s="186"/>
      <c r="AL110" s="186"/>
      <c r="AM110" s="186"/>
      <c r="AN110" s="18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46"/>
      <c r="BL110" s="146"/>
      <c r="BM110" s="166"/>
      <c r="BN110" s="166"/>
    </row>
    <row r="111" spans="1:66" ht="0.75" hidden="1" customHeight="1" x14ac:dyDescent="0.25">
      <c r="A111" s="166"/>
      <c r="B111" s="381"/>
      <c r="C111" s="186"/>
      <c r="D111" s="186"/>
      <c r="E111" s="186"/>
      <c r="F111" s="186"/>
      <c r="G111" s="186"/>
      <c r="H111" s="186"/>
      <c r="I111" s="186"/>
      <c r="J111" s="186"/>
      <c r="K111" s="186"/>
      <c r="L111" s="186"/>
      <c r="M111" s="186"/>
      <c r="N111" s="186"/>
      <c r="O111" s="186"/>
      <c r="P111" s="186"/>
      <c r="Q111" s="186"/>
      <c r="R111" s="186"/>
      <c r="S111" s="499"/>
      <c r="T111" s="253"/>
      <c r="U111" s="259"/>
      <c r="V111" s="166"/>
      <c r="W111" s="166"/>
      <c r="X111" s="166"/>
      <c r="Y111" s="166"/>
      <c r="Z111" s="166"/>
      <c r="AA111" s="149"/>
      <c r="AB111" s="149"/>
      <c r="AC111" s="146"/>
      <c r="AD111" s="146"/>
      <c r="AE111" s="146"/>
      <c r="AF111" s="149"/>
      <c r="AG111" s="186"/>
      <c r="AH111" s="186"/>
      <c r="AI111" s="186"/>
      <c r="AJ111" s="186" t="s">
        <v>1370</v>
      </c>
      <c r="AK111" s="186"/>
      <c r="AL111" s="186"/>
      <c r="AM111" s="186"/>
      <c r="AN111" s="186" t="s">
        <v>1371</v>
      </c>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46"/>
      <c r="BL111" s="146"/>
      <c r="BM111" s="166"/>
      <c r="BN111" s="166"/>
    </row>
    <row r="112" spans="1:66" ht="0.75" hidden="1" customHeight="1" x14ac:dyDescent="0.25">
      <c r="A112" s="166"/>
      <c r="B112" s="381"/>
      <c r="C112" s="186"/>
      <c r="D112" s="186"/>
      <c r="E112" s="186"/>
      <c r="F112" s="186"/>
      <c r="G112" s="186"/>
      <c r="H112" s="186"/>
      <c r="I112" s="186"/>
      <c r="J112" s="186"/>
      <c r="K112" s="186"/>
      <c r="L112" s="186"/>
      <c r="M112" s="186"/>
      <c r="N112" s="186"/>
      <c r="O112" s="186"/>
      <c r="P112" s="186"/>
      <c r="Q112" s="186"/>
      <c r="R112" s="186"/>
      <c r="S112" s="499"/>
      <c r="T112" s="253"/>
      <c r="U112" s="259"/>
      <c r="V112" s="166"/>
      <c r="W112" s="166"/>
      <c r="X112" s="166"/>
      <c r="Y112" s="166"/>
      <c r="Z112" s="166"/>
      <c r="AA112" s="149"/>
      <c r="AB112" s="149"/>
      <c r="AC112" s="146"/>
      <c r="AD112" s="146"/>
      <c r="AE112" s="146"/>
      <c r="AF112" s="149"/>
      <c r="AG112" s="186"/>
      <c r="AH112" s="186"/>
      <c r="AI112" s="186"/>
      <c r="AJ112" s="186" t="str">
        <f ca="1">"the annual increase is "&amp;$D99&amp; " kg CO2/hectare"</f>
        <v>the annual increase is 0 kg CO2/hectare</v>
      </c>
      <c r="AK112" s="186" t="str">
        <f ca="1">"the annual decrease is "&amp;$D99&amp; " kg CO2/hectare"</f>
        <v>the annual decrease is 0 kg CO2/hectare</v>
      </c>
      <c r="AL112" s="186" t="s">
        <v>1669</v>
      </c>
      <c r="AM112" s="186"/>
      <c r="AN112" s="186" t="str">
        <f ca="1">" and the total carbon stored here is  "&amp;$E99&amp; " kg CO2/hectare"</f>
        <v xml:space="preserve"> and the total carbon stored here is  0 kg CO2/hectare</v>
      </c>
      <c r="AO112" s="186"/>
      <c r="AP112" s="18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46"/>
      <c r="BL112" s="146"/>
      <c r="BM112" s="166"/>
      <c r="BN112" s="166"/>
    </row>
    <row r="113" spans="1:66" ht="0.75" hidden="1" customHeight="1" x14ac:dyDescent="0.25">
      <c r="A113" s="166"/>
      <c r="B113" s="381"/>
      <c r="C113" s="186"/>
      <c r="D113" s="186"/>
      <c r="E113" s="186"/>
      <c r="F113" s="186"/>
      <c r="G113" s="186"/>
      <c r="H113" s="186"/>
      <c r="I113" s="186"/>
      <c r="J113" s="186"/>
      <c r="K113" s="186"/>
      <c r="L113" s="186"/>
      <c r="M113" s="186"/>
      <c r="N113" s="186"/>
      <c r="O113" s="186"/>
      <c r="P113" s="186"/>
      <c r="Q113" s="186"/>
      <c r="R113" s="186"/>
      <c r="S113" s="499"/>
      <c r="T113" s="253"/>
      <c r="U113" s="259"/>
      <c r="V113" s="166"/>
      <c r="W113" s="166"/>
      <c r="X113" s="166"/>
      <c r="Y113" s="166"/>
      <c r="Z113" s="166"/>
      <c r="AA113" s="149"/>
      <c r="AB113" s="149"/>
      <c r="AC113" s="146"/>
      <c r="AD113" s="146"/>
      <c r="AE113" s="146"/>
      <c r="AF113" s="149"/>
      <c r="AG113" s="186"/>
      <c r="AH113" s="186"/>
      <c r="AI113" s="186"/>
      <c r="AJ113" s="186" t="str">
        <f ca="1">"the annual increase is "&amp;$D100&amp; " kg CO2/hectare"</f>
        <v>the annual increase is 0 kg CO2/hectare</v>
      </c>
      <c r="AK113" s="186" t="str">
        <f ca="1">"the annual decrease is "&amp;$D100&amp; " kg CO2/hectare"</f>
        <v>the annual decrease is 0 kg CO2/hectare</v>
      </c>
      <c r="AL113" s="186" t="s">
        <v>1669</v>
      </c>
      <c r="AM113" s="186"/>
      <c r="AN113" s="186" t="str">
        <f ca="1">" and the total carbon stored here is  "&amp;$E100&amp; " kg CO2/hectare"</f>
        <v xml:space="preserve"> and the total carbon stored here is  0 kg CO2/hectare</v>
      </c>
      <c r="AO113" s="186"/>
      <c r="AP113" s="18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46"/>
      <c r="BL113" s="146"/>
      <c r="BM113" s="166"/>
      <c r="BN113" s="166"/>
    </row>
    <row r="114" spans="1:66" ht="0.75" hidden="1" customHeight="1" x14ac:dyDescent="0.25">
      <c r="A114" s="166"/>
      <c r="B114" s="381"/>
      <c r="C114" s="186"/>
      <c r="D114" s="186"/>
      <c r="E114" s="186"/>
      <c r="F114" s="186"/>
      <c r="G114" s="186"/>
      <c r="H114" s="186"/>
      <c r="I114" s="186"/>
      <c r="J114" s="186"/>
      <c r="K114" s="186"/>
      <c r="L114" s="186"/>
      <c r="M114" s="186"/>
      <c r="N114" s="186"/>
      <c r="O114" s="186"/>
      <c r="P114" s="186"/>
      <c r="Q114" s="186"/>
      <c r="R114" s="186"/>
      <c r="S114" s="499"/>
      <c r="T114" s="253"/>
      <c r="U114" s="259"/>
      <c r="V114" s="166"/>
      <c r="W114" s="166"/>
      <c r="X114" s="166"/>
      <c r="Y114" s="166"/>
      <c r="Z114" s="166"/>
      <c r="AA114" s="149"/>
      <c r="AB114" s="149"/>
      <c r="AC114" s="146"/>
      <c r="AD114" s="146"/>
      <c r="AE114" s="146"/>
      <c r="AF114" s="149"/>
      <c r="AG114" s="186"/>
      <c r="AH114" s="186"/>
      <c r="AI114" s="186"/>
      <c r="AJ114" s="186"/>
      <c r="AK114" s="186"/>
      <c r="AL114" s="186"/>
      <c r="AM114" s="186"/>
      <c r="AN114" s="18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46"/>
      <c r="BL114" s="146"/>
      <c r="BM114" s="166"/>
      <c r="BN114" s="166"/>
    </row>
    <row r="115" spans="1:66" ht="0.75" hidden="1" customHeight="1" x14ac:dyDescent="0.25">
      <c r="A115" s="166"/>
      <c r="B115" s="381"/>
      <c r="C115" s="186"/>
      <c r="D115" s="186"/>
      <c r="E115" s="186"/>
      <c r="F115" s="186"/>
      <c r="G115" s="186"/>
      <c r="H115" s="186"/>
      <c r="I115" s="186"/>
      <c r="J115" s="186"/>
      <c r="K115" s="186"/>
      <c r="L115" s="186"/>
      <c r="M115" s="186"/>
      <c r="N115" s="186"/>
      <c r="O115" s="186"/>
      <c r="P115" s="186"/>
      <c r="Q115" s="186"/>
      <c r="R115" s="186"/>
      <c r="S115" s="499"/>
      <c r="T115" s="166"/>
      <c r="U115" s="149"/>
      <c r="V115" s="166"/>
      <c r="W115" s="166"/>
      <c r="X115" s="166"/>
      <c r="Y115" s="166"/>
      <c r="Z115" s="166"/>
      <c r="AA115" s="149"/>
      <c r="AB115" s="149"/>
      <c r="AC115" s="146"/>
      <c r="AD115" s="146"/>
      <c r="AE115" s="146"/>
      <c r="AF115" s="149"/>
      <c r="AG115" s="186"/>
      <c r="AH115" s="186"/>
      <c r="AI115" s="186"/>
      <c r="AJ115" s="186"/>
      <c r="AK115" s="186"/>
      <c r="AL115" s="186"/>
      <c r="AM115" s="186"/>
      <c r="AN115" s="18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46"/>
      <c r="BL115" s="146"/>
      <c r="BM115" s="166"/>
      <c r="BN115" s="166"/>
    </row>
    <row r="116" spans="1:66" ht="0.75" hidden="1" customHeight="1" x14ac:dyDescent="0.25">
      <c r="A116" s="166"/>
      <c r="B116" s="381"/>
      <c r="C116" s="186"/>
      <c r="D116" s="186"/>
      <c r="E116" s="186"/>
      <c r="F116" s="186"/>
      <c r="G116" s="186"/>
      <c r="H116" s="186"/>
      <c r="I116" s="186"/>
      <c r="J116" s="186"/>
      <c r="K116" s="186"/>
      <c r="L116" s="186"/>
      <c r="M116" s="186"/>
      <c r="N116" s="186"/>
      <c r="O116" s="186"/>
      <c r="P116" s="186"/>
      <c r="Q116" s="186"/>
      <c r="R116" s="186"/>
      <c r="S116" s="499"/>
      <c r="T116" s="166"/>
      <c r="U116" s="149"/>
      <c r="V116" s="166"/>
      <c r="W116" s="166"/>
      <c r="X116" s="166"/>
      <c r="Y116" s="166"/>
      <c r="Z116" s="166"/>
      <c r="AA116" s="149"/>
      <c r="AB116" s="149"/>
      <c r="AC116" s="146"/>
      <c r="AD116" s="146"/>
      <c r="AE116" s="146"/>
      <c r="AF116" s="149"/>
      <c r="AG116" s="186"/>
      <c r="AH116" s="186"/>
      <c r="AI116" s="186"/>
      <c r="AJ116" s="186"/>
      <c r="AK116" s="186"/>
      <c r="AL116" s="186"/>
      <c r="AM116" s="186"/>
      <c r="AN116" s="18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46"/>
      <c r="BL116" s="146"/>
      <c r="BM116" s="166"/>
      <c r="BN116" s="166"/>
    </row>
    <row r="117" spans="1:66" ht="0.75" hidden="1" customHeight="1" x14ac:dyDescent="0.25">
      <c r="A117" s="166"/>
      <c r="B117" s="381"/>
      <c r="C117" s="186"/>
      <c r="D117" s="186"/>
      <c r="E117" s="186"/>
      <c r="F117" s="186"/>
      <c r="G117" s="186"/>
      <c r="H117" s="186"/>
      <c r="I117" s="186"/>
      <c r="J117" s="186"/>
      <c r="K117" s="186"/>
      <c r="L117" s="186"/>
      <c r="M117" s="186"/>
      <c r="N117" s="186"/>
      <c r="O117" s="186"/>
      <c r="P117" s="186"/>
      <c r="Q117" s="186"/>
      <c r="R117" s="186"/>
      <c r="S117" s="499"/>
      <c r="T117" s="149"/>
      <c r="U117" s="149"/>
      <c r="V117" s="166"/>
      <c r="W117" s="166"/>
      <c r="X117" s="166"/>
      <c r="Y117" s="166"/>
      <c r="Z117" s="166"/>
      <c r="AA117" s="149"/>
      <c r="AB117" s="149"/>
      <c r="AC117" s="146"/>
      <c r="AD117" s="146"/>
      <c r="AE117" s="146"/>
      <c r="AF117" s="149"/>
      <c r="AG117" s="186"/>
      <c r="AH117" s="186"/>
      <c r="AI117" s="186"/>
      <c r="AJ117" s="186"/>
      <c r="AK117" s="186"/>
      <c r="AL117" s="186"/>
      <c r="AM117" s="186"/>
      <c r="AN117" s="18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46"/>
      <c r="BL117" s="146"/>
      <c r="BM117" s="166"/>
      <c r="BN117" s="166"/>
    </row>
    <row r="118" spans="1:66" ht="0.75" hidden="1" customHeight="1" x14ac:dyDescent="0.25">
      <c r="A118" s="166"/>
      <c r="B118" s="381"/>
      <c r="C118" s="186"/>
      <c r="D118" s="186"/>
      <c r="E118" s="186"/>
      <c r="F118" s="186"/>
      <c r="G118" s="186"/>
      <c r="H118" s="166"/>
      <c r="I118" s="186"/>
      <c r="J118" s="186"/>
      <c r="K118" s="186"/>
      <c r="L118" s="186"/>
      <c r="M118" s="186"/>
      <c r="N118" s="186"/>
      <c r="O118" s="186"/>
      <c r="P118" s="186"/>
      <c r="Q118" s="186"/>
      <c r="R118" s="186"/>
      <c r="S118" s="499"/>
      <c r="T118" s="149"/>
      <c r="U118" s="149"/>
      <c r="V118" s="166"/>
      <c r="W118" s="166"/>
      <c r="X118" s="166"/>
      <c r="Y118" s="166"/>
      <c r="Z118" s="166"/>
      <c r="AA118" s="149"/>
      <c r="AB118" s="149"/>
      <c r="AC118" s="146"/>
      <c r="AD118" s="146"/>
      <c r="AE118" s="146"/>
      <c r="AF118" s="149"/>
      <c r="AG118" s="186"/>
      <c r="AH118" s="186"/>
      <c r="AI118" s="186"/>
      <c r="AJ118" s="186"/>
      <c r="AK118" s="186"/>
      <c r="AL118" s="186"/>
      <c r="AM118" s="186"/>
      <c r="AN118" s="18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46"/>
      <c r="BL118" s="146"/>
      <c r="BM118" s="166"/>
      <c r="BN118" s="166"/>
    </row>
    <row r="119" spans="1:66" ht="0.75" hidden="1" customHeight="1" x14ac:dyDescent="0.25">
      <c r="A119" s="166"/>
      <c r="B119" s="381"/>
      <c r="C119" s="186"/>
      <c r="D119" s="186"/>
      <c r="E119" s="186"/>
      <c r="F119" s="186"/>
      <c r="G119" s="186"/>
      <c r="H119" s="166"/>
      <c r="I119" s="186"/>
      <c r="J119" s="186"/>
      <c r="K119" s="186"/>
      <c r="L119" s="186"/>
      <c r="M119" s="186"/>
      <c r="N119" s="186"/>
      <c r="O119" s="186"/>
      <c r="P119" s="186"/>
      <c r="Q119" s="186"/>
      <c r="R119" s="186"/>
      <c r="S119" s="499"/>
      <c r="T119" s="149"/>
      <c r="U119" s="149"/>
      <c r="V119" s="166"/>
      <c r="W119" s="166"/>
      <c r="X119" s="166"/>
      <c r="Y119" s="166"/>
      <c r="Z119" s="166"/>
      <c r="AA119" s="149"/>
      <c r="AB119" s="149"/>
      <c r="AC119" s="146"/>
      <c r="AD119" s="146"/>
      <c r="AE119" s="146"/>
      <c r="AF119" s="149"/>
      <c r="AG119" s="186"/>
      <c r="AH119" s="186"/>
      <c r="AI119" s="186"/>
      <c r="AJ119" s="186"/>
      <c r="AK119" s="186"/>
      <c r="AL119" s="186"/>
      <c r="AM119" s="186"/>
      <c r="AN119" s="18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46"/>
      <c r="BL119" s="146"/>
      <c r="BM119" s="166"/>
      <c r="BN119" s="166"/>
    </row>
    <row r="120" spans="1:66" ht="0.75" hidden="1" customHeight="1" x14ac:dyDescent="0.25">
      <c r="A120" s="166"/>
      <c r="B120" s="381"/>
      <c r="C120" s="186"/>
      <c r="D120" s="186"/>
      <c r="E120" s="186"/>
      <c r="F120" s="186"/>
      <c r="G120" s="186"/>
      <c r="H120" s="166"/>
      <c r="I120" s="186"/>
      <c r="J120" s="186"/>
      <c r="K120" s="186"/>
      <c r="L120" s="186"/>
      <c r="M120" s="186"/>
      <c r="N120" s="186"/>
      <c r="O120" s="186"/>
      <c r="P120" s="186"/>
      <c r="Q120" s="186"/>
      <c r="R120" s="186"/>
      <c r="S120" s="499"/>
      <c r="T120" s="166"/>
      <c r="U120" s="166"/>
      <c r="V120" s="166"/>
      <c r="W120" s="166"/>
      <c r="X120" s="166"/>
      <c r="Y120" s="166"/>
      <c r="Z120" s="166"/>
      <c r="AA120" s="149"/>
      <c r="AB120" s="149"/>
      <c r="AC120" s="146"/>
      <c r="AD120" s="146"/>
      <c r="AE120" s="146"/>
      <c r="AF120" s="149"/>
      <c r="AG120" s="186"/>
      <c r="AH120" s="186"/>
      <c r="AI120" s="186"/>
      <c r="AJ120" s="186">
        <f ca="1">PRODUCT('3.Sequestration'!AD12:AD16)</f>
        <v>1.0900000000000001</v>
      </c>
      <c r="AK120" s="186"/>
      <c r="AL120" s="186"/>
      <c r="AM120" s="186"/>
      <c r="AN120" s="18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46"/>
      <c r="BL120" s="146"/>
      <c r="BM120" s="166"/>
      <c r="BN120" s="166"/>
    </row>
    <row r="121" spans="1:66" ht="0.75" hidden="1" customHeight="1" x14ac:dyDescent="0.25">
      <c r="A121" s="166"/>
      <c r="B121" s="381"/>
      <c r="C121" s="186"/>
      <c r="D121" s="186"/>
      <c r="E121" s="186"/>
      <c r="F121" s="186"/>
      <c r="G121" s="186"/>
      <c r="H121" s="186"/>
      <c r="I121" s="186"/>
      <c r="J121" s="186"/>
      <c r="K121" s="186"/>
      <c r="L121" s="186"/>
      <c r="M121" s="186"/>
      <c r="N121" s="186"/>
      <c r="O121" s="186"/>
      <c r="P121" s="186"/>
      <c r="Q121" s="186"/>
      <c r="R121" s="186"/>
      <c r="S121" s="499"/>
      <c r="T121" s="149"/>
      <c r="U121" s="149"/>
      <c r="V121" s="166"/>
      <c r="W121" s="166"/>
      <c r="X121" s="166"/>
      <c r="Y121" s="166"/>
      <c r="Z121" s="166"/>
      <c r="AA121" s="149"/>
      <c r="AB121" s="149"/>
      <c r="AC121" s="146"/>
      <c r="AD121" s="146"/>
      <c r="AE121" s="146"/>
      <c r="AF121" s="149"/>
      <c r="AG121" s="186"/>
      <c r="AH121" s="186"/>
      <c r="AI121" s="186"/>
      <c r="AJ121" s="186" t="str">
        <f ca="1">IF(AJ120&lt;&gt;1,"For any changes that happened less than 20 years ago there is an ongoing annual effect of ","")</f>
        <v xml:space="preserve">For any changes that happened less than 20 years ago there is an ongoing annual effect of </v>
      </c>
      <c r="AK121" s="186">
        <f ca="1">IF(AJ120&lt;&gt;1,ROUND(D101,1),"")</f>
        <v>-9266.4</v>
      </c>
      <c r="AL121" s="186" t="str">
        <f ca="1">IF(AJ120&lt;&gt;1,"kg CO2 equiv/year","")</f>
        <v>kg CO2 equiv/year</v>
      </c>
      <c r="AM121" s="186"/>
      <c r="AN121" s="18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46"/>
      <c r="BL121" s="146"/>
      <c r="BM121" s="166"/>
      <c r="BN121" s="166"/>
    </row>
    <row r="122" spans="1:66" ht="0.75" hidden="1" customHeight="1" x14ac:dyDescent="0.25">
      <c r="A122" s="166"/>
      <c r="B122" s="381"/>
      <c r="C122" s="186" t="str">
        <f ca="1">IF(AJ120&lt;&gt;1,"You have indicated some management changes which affect soil carbon storage","")</f>
        <v>You have indicated some management changes which affect soil carbon storage</v>
      </c>
      <c r="D122" s="186"/>
      <c r="E122" s="186"/>
      <c r="F122" s="186"/>
      <c r="G122" s="186"/>
      <c r="H122" s="186"/>
      <c r="I122" s="186"/>
      <c r="J122" s="186"/>
      <c r="K122" s="186"/>
      <c r="L122" s="186"/>
      <c r="M122" s="186"/>
      <c r="N122" s="186"/>
      <c r="O122" s="186"/>
      <c r="P122" s="186"/>
      <c r="Q122" s="186"/>
      <c r="R122" s="186"/>
      <c r="S122" s="499"/>
      <c r="T122" s="149"/>
      <c r="U122" s="149"/>
      <c r="V122" s="166"/>
      <c r="W122" s="166"/>
      <c r="X122" s="166"/>
      <c r="Y122" s="166"/>
      <c r="Z122" s="166"/>
      <c r="AA122" s="149"/>
      <c r="AB122" s="149"/>
      <c r="AC122" s="146"/>
      <c r="AD122" s="146"/>
      <c r="AE122" s="146"/>
      <c r="AF122" s="149"/>
      <c r="AG122" s="186"/>
      <c r="AH122" s="186"/>
      <c r="AI122" s="186"/>
      <c r="AJ122" s="186" t="str">
        <f ca="1">IF(AJ120&lt;&gt;1,"The total effect on soil carbon since the first of your changes was applied is ","")</f>
        <v xml:space="preserve">The total effect on soil carbon since the first of your changes was applied is </v>
      </c>
      <c r="AK122" s="186">
        <f ca="1">IF(AJ120&lt;&gt;1,ROUND(E101,1),"")</f>
        <v>-9266.4</v>
      </c>
      <c r="AL122" s="186" t="str">
        <f ca="1">IF(AJ120&lt;&gt;1,"kg CO2 equiv","")</f>
        <v>kg CO2 equiv</v>
      </c>
      <c r="AM122" s="186"/>
      <c r="AN122" s="18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46"/>
      <c r="BL122" s="146"/>
      <c r="BM122" s="166"/>
      <c r="BN122" s="166"/>
    </row>
    <row r="123" spans="1:66" ht="0.75" hidden="1" customHeight="1" x14ac:dyDescent="0.25">
      <c r="A123" s="166"/>
      <c r="B123" s="381"/>
      <c r="C123" s="186" t="str">
        <f ca="1">AJ121&amp;AK121&amp;AL121</f>
        <v>For any changes that happened less than 20 years ago there is an ongoing annual effect of -9266.4kg CO2 equiv/year</v>
      </c>
      <c r="D123" s="186"/>
      <c r="E123" s="186"/>
      <c r="F123" s="186"/>
      <c r="G123" s="186"/>
      <c r="H123" s="186"/>
      <c r="I123" s="186"/>
      <c r="J123" s="186"/>
      <c r="K123" s="186"/>
      <c r="L123" s="186"/>
      <c r="M123" s="186"/>
      <c r="N123" s="186"/>
      <c r="O123" s="186"/>
      <c r="P123" s="186"/>
      <c r="Q123" s="186"/>
      <c r="R123" s="186"/>
      <c r="S123" s="499"/>
      <c r="T123" s="149"/>
      <c r="U123" s="149"/>
      <c r="V123" s="166"/>
      <c r="W123" s="166"/>
      <c r="X123" s="166"/>
      <c r="Y123" s="166"/>
      <c r="Z123" s="166"/>
      <c r="AA123" s="149"/>
      <c r="AB123" s="149"/>
      <c r="AC123" s="146"/>
      <c r="AD123" s="146"/>
      <c r="AE123" s="146"/>
      <c r="AF123" s="149"/>
      <c r="AG123" s="186"/>
      <c r="AH123" s="186"/>
      <c r="AI123" s="186"/>
      <c r="AJ123" s="186"/>
      <c r="AK123" s="186"/>
      <c r="AL123" s="186"/>
      <c r="AM123" s="186"/>
      <c r="AN123" s="18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46"/>
      <c r="BL123" s="146"/>
      <c r="BM123" s="166"/>
      <c r="BN123" s="166"/>
    </row>
    <row r="124" spans="1:66" hidden="1" x14ac:dyDescent="0.25">
      <c r="A124" s="166"/>
      <c r="B124" s="381"/>
      <c r="C124" s="186" t="str">
        <f ca="1">AJ122&amp;AK122&amp;AL122</f>
        <v>The total effect on soil carbon since the first of your changes was applied is -9266.4kg CO2 equiv</v>
      </c>
      <c r="D124" s="186"/>
      <c r="E124" s="186"/>
      <c r="F124" s="186"/>
      <c r="G124" s="186"/>
      <c r="H124" s="186"/>
      <c r="I124" s="186"/>
      <c r="J124" s="186"/>
      <c r="K124" s="186"/>
      <c r="L124" s="186"/>
      <c r="M124" s="186"/>
      <c r="N124" s="186"/>
      <c r="O124" s="186"/>
      <c r="P124" s="186"/>
      <c r="Q124" s="186"/>
      <c r="R124" s="186"/>
      <c r="S124" s="499"/>
      <c r="T124" s="149"/>
      <c r="U124" s="149"/>
      <c r="V124" s="166"/>
      <c r="W124" s="166"/>
      <c r="X124" s="166"/>
      <c r="Y124" s="166"/>
      <c r="Z124" s="166"/>
      <c r="AA124" s="149"/>
      <c r="AB124" s="149"/>
      <c r="AC124" s="149"/>
      <c r="AD124" s="149"/>
      <c r="AE124" s="149"/>
      <c r="AF124" s="149"/>
      <c r="AG124" s="186"/>
      <c r="AH124" s="186"/>
      <c r="AI124" s="186"/>
      <c r="AJ124" s="186"/>
      <c r="AK124" s="186"/>
      <c r="AL124" s="186"/>
      <c r="AM124" s="186"/>
      <c r="AN124" s="18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46"/>
      <c r="BL124" s="146"/>
      <c r="BM124" s="166"/>
      <c r="BN124" s="166"/>
    </row>
    <row r="125" spans="1:66" ht="13.25" hidden="1" thickBot="1" x14ac:dyDescent="0.3">
      <c r="A125" s="166"/>
      <c r="B125" s="381"/>
      <c r="C125" s="186"/>
      <c r="D125" s="186"/>
      <c r="E125" s="186"/>
      <c r="F125" s="186"/>
      <c r="G125" s="186"/>
      <c r="H125" s="186"/>
      <c r="I125" s="186"/>
      <c r="J125" s="186"/>
      <c r="K125" s="186"/>
      <c r="L125" s="186"/>
      <c r="M125" s="186"/>
      <c r="N125" s="186"/>
      <c r="O125" s="186"/>
      <c r="P125" s="186"/>
      <c r="Q125" s="186"/>
      <c r="R125" s="186"/>
      <c r="S125" s="499"/>
      <c r="T125" s="149"/>
      <c r="U125" s="166"/>
      <c r="V125" s="146"/>
      <c r="W125" s="146"/>
      <c r="X125" s="146"/>
      <c r="Y125" s="146"/>
      <c r="Z125" s="166"/>
      <c r="AA125" s="149"/>
      <c r="AB125" s="149"/>
      <c r="AC125" s="149"/>
      <c r="AD125" s="149"/>
      <c r="AE125" s="149"/>
      <c r="AF125" s="149"/>
      <c r="AG125" s="186"/>
      <c r="AH125" s="186"/>
      <c r="AI125" s="186"/>
      <c r="AJ125" s="186"/>
      <c r="AK125" s="186"/>
      <c r="AL125" s="186"/>
      <c r="AM125" s="186"/>
      <c r="AN125" s="186"/>
      <c r="AO125" s="146"/>
      <c r="AP125" s="146"/>
      <c r="AQ125" s="146"/>
      <c r="AR125" s="146"/>
      <c r="AS125" s="146"/>
      <c r="AT125" s="146"/>
      <c r="AU125" s="146"/>
      <c r="AV125" s="146"/>
      <c r="AW125" s="146"/>
      <c r="AX125" s="146"/>
      <c r="AY125" s="146"/>
      <c r="AZ125" s="146"/>
      <c r="BA125" s="146"/>
      <c r="BB125" s="146"/>
      <c r="BC125" s="146"/>
      <c r="BD125" s="149"/>
      <c r="BE125" s="146"/>
      <c r="BF125" s="146" t="s">
        <v>97</v>
      </c>
      <c r="BG125" s="166"/>
      <c r="BH125" s="166"/>
      <c r="BI125" s="146"/>
      <c r="BJ125" s="146"/>
      <c r="BK125" s="146"/>
      <c r="BL125" s="146"/>
      <c r="BM125" s="166"/>
      <c r="BN125" s="166"/>
    </row>
    <row r="126" spans="1:66" ht="23.2" customHeight="1" thickBot="1" x14ac:dyDescent="0.3">
      <c r="A126" s="166"/>
      <c r="B126" s="958"/>
      <c r="C126" s="1033" t="s">
        <v>96</v>
      </c>
      <c r="D126" s="959"/>
      <c r="E126" s="959"/>
      <c r="F126" s="959"/>
      <c r="G126" s="959"/>
      <c r="H126" s="959"/>
      <c r="I126" s="959"/>
      <c r="J126" s="959"/>
      <c r="K126" s="959"/>
      <c r="L126" s="959"/>
      <c r="M126" s="959"/>
      <c r="N126" s="959"/>
      <c r="O126" s="959"/>
      <c r="P126" s="959"/>
      <c r="Q126" s="959"/>
      <c r="R126" s="959"/>
      <c r="S126" s="960"/>
      <c r="T126" s="166"/>
      <c r="U126" s="166"/>
      <c r="V126" s="166"/>
      <c r="W126" s="166"/>
      <c r="X126" s="166"/>
      <c r="Y126" s="166"/>
      <c r="Z126" s="149"/>
      <c r="AA126" s="149"/>
      <c r="AB126" s="149"/>
      <c r="AC126" s="149"/>
      <c r="AD126" s="149"/>
      <c r="AE126" s="149"/>
      <c r="AF126" s="149"/>
      <c r="AG126" s="149"/>
      <c r="AH126" s="149"/>
      <c r="AI126" s="149"/>
      <c r="AJ126" s="149"/>
      <c r="AK126" s="149"/>
      <c r="AL126" s="149"/>
      <c r="AM126" s="149"/>
      <c r="AN126" s="149"/>
      <c r="AO126" s="166"/>
      <c r="AP126" s="166"/>
      <c r="AQ126" s="166"/>
      <c r="AR126" s="166"/>
      <c r="AS126" s="166"/>
      <c r="AT126" s="166"/>
      <c r="AU126" s="166"/>
      <c r="AV126" s="166"/>
      <c r="AW126" s="166"/>
      <c r="AX126" s="166"/>
      <c r="AY126" s="166"/>
      <c r="AZ126" s="166"/>
      <c r="BA126" s="166"/>
      <c r="BB126" s="166"/>
      <c r="BC126" s="166"/>
      <c r="BD126" s="166"/>
      <c r="BE126" s="146" t="str">
        <f>'5.FieldEnergyUse'!D36</f>
        <v>chisel plough</v>
      </c>
      <c r="BF126" s="593" t="e">
        <f ca="1">IF('5.FieldEnergyUse'!F36&gt;0,'5.FieldEnergyUse'!F36,NA())</f>
        <v>#N/A</v>
      </c>
      <c r="BG126" s="166"/>
      <c r="BH126" s="149"/>
      <c r="BI126" s="166"/>
      <c r="BJ126" s="166"/>
      <c r="BK126" s="166"/>
      <c r="BL126" s="166"/>
      <c r="BM126" s="166"/>
      <c r="BN126" s="166"/>
    </row>
    <row r="127" spans="1:66" x14ac:dyDescent="0.25">
      <c r="A127" s="166"/>
      <c r="B127" s="381"/>
      <c r="C127" s="186"/>
      <c r="D127" s="186"/>
      <c r="E127" s="186"/>
      <c r="F127" s="186"/>
      <c r="G127" s="186"/>
      <c r="H127" s="186"/>
      <c r="I127" s="186"/>
      <c r="J127" s="186"/>
      <c r="K127" s="186"/>
      <c r="L127" s="186"/>
      <c r="M127" s="186"/>
      <c r="N127" s="186"/>
      <c r="O127" s="186"/>
      <c r="P127" s="186"/>
      <c r="Q127" s="186"/>
      <c r="R127" s="186"/>
      <c r="S127" s="499"/>
      <c r="T127" s="166"/>
      <c r="U127" s="166"/>
      <c r="V127" s="166"/>
      <c r="W127" s="166"/>
      <c r="X127" s="166"/>
      <c r="Y127" s="166"/>
      <c r="Z127" s="149"/>
      <c r="AA127" s="149"/>
      <c r="AB127" s="149"/>
      <c r="AC127" s="149"/>
      <c r="AD127" s="149"/>
      <c r="AE127" s="149"/>
      <c r="AF127" s="149"/>
      <c r="AG127" s="149"/>
      <c r="AH127" s="149"/>
      <c r="AI127" s="149"/>
      <c r="AJ127" s="149"/>
      <c r="AK127" s="149"/>
      <c r="AL127" s="149"/>
      <c r="AM127" s="149"/>
      <c r="AN127" s="149"/>
      <c r="AO127" s="166"/>
      <c r="AP127" s="166"/>
      <c r="AQ127" s="166"/>
      <c r="AR127" s="166"/>
      <c r="AS127" s="166"/>
      <c r="AT127" s="166"/>
      <c r="AU127" s="166"/>
      <c r="AV127" s="166"/>
      <c r="AW127" s="166"/>
      <c r="AX127" s="166"/>
      <c r="AY127" s="166"/>
      <c r="AZ127" s="166"/>
      <c r="BA127" s="166"/>
      <c r="BB127" s="166"/>
      <c r="BC127" s="166"/>
      <c r="BD127" s="166"/>
      <c r="BE127" s="146" t="str">
        <f>'5.FieldEnergyUse'!D37</f>
        <v>coulter</v>
      </c>
      <c r="BF127" s="593" t="e">
        <f ca="1">IF('5.FieldEnergyUse'!F37&gt;0,'5.FieldEnergyUse'!F37,NA())</f>
        <v>#N/A</v>
      </c>
      <c r="BG127" s="166"/>
      <c r="BH127" s="149"/>
      <c r="BI127" s="166"/>
      <c r="BJ127" s="166"/>
      <c r="BK127" s="166"/>
      <c r="BL127" s="166"/>
      <c r="BM127" s="166"/>
      <c r="BN127" s="166"/>
    </row>
    <row r="128" spans="1:66" ht="24.05" customHeight="1" x14ac:dyDescent="0.25">
      <c r="A128" s="166"/>
      <c r="B128" s="381"/>
      <c r="C128" s="186"/>
      <c r="D128" s="186"/>
      <c r="E128" s="186"/>
      <c r="F128" s="186"/>
      <c r="G128" s="186"/>
      <c r="H128" s="186"/>
      <c r="I128" s="186"/>
      <c r="J128" s="186"/>
      <c r="K128" s="186"/>
      <c r="L128" s="186"/>
      <c r="M128" s="186"/>
      <c r="N128" s="186"/>
      <c r="O128" s="186"/>
      <c r="P128" s="186"/>
      <c r="Q128" s="186"/>
      <c r="R128" s="186"/>
      <c r="S128" s="499"/>
      <c r="T128" s="166"/>
      <c r="U128" s="166"/>
      <c r="V128" s="166"/>
      <c r="W128" s="166"/>
      <c r="X128" s="166"/>
      <c r="Y128" s="166"/>
      <c r="Z128" s="149"/>
      <c r="AA128" s="149"/>
      <c r="AB128" s="149"/>
      <c r="AC128" s="149"/>
      <c r="AD128" s="149"/>
      <c r="AE128" s="149"/>
      <c r="AF128" s="149"/>
      <c r="AG128" s="149"/>
      <c r="AH128" s="149"/>
      <c r="AI128" s="149"/>
      <c r="AJ128" s="149"/>
      <c r="AK128" s="149"/>
      <c r="AL128" s="149"/>
      <c r="AM128" s="149"/>
      <c r="AN128" s="149"/>
      <c r="AO128" s="166"/>
      <c r="AP128" s="166"/>
      <c r="AQ128" s="166"/>
      <c r="AR128" s="166"/>
      <c r="AS128" s="166"/>
      <c r="AT128" s="166"/>
      <c r="AU128" s="166"/>
      <c r="AV128" s="166"/>
      <c r="AW128" s="166"/>
      <c r="AX128" s="166"/>
      <c r="AY128" s="166"/>
      <c r="AZ128" s="166"/>
      <c r="BA128" s="166"/>
      <c r="BB128" s="166"/>
      <c r="BC128" s="166"/>
      <c r="BD128" s="166"/>
      <c r="BE128" s="146" t="str">
        <f>'5.FieldEnergyUse'!D38</f>
        <v>disc gang</v>
      </c>
      <c r="BF128" s="593" t="e">
        <f ca="1">IF('5.FieldEnergyUse'!F38&gt;0,'5.FieldEnergyUse'!F38,NA())</f>
        <v>#N/A</v>
      </c>
      <c r="BG128" s="166"/>
      <c r="BH128" s="149"/>
      <c r="BI128" s="166"/>
      <c r="BJ128" s="166"/>
      <c r="BK128" s="166"/>
      <c r="BL128" s="166"/>
      <c r="BM128" s="166"/>
      <c r="BN128" s="166"/>
    </row>
    <row r="129" spans="1:66" x14ac:dyDescent="0.25">
      <c r="A129" s="166"/>
      <c r="B129" s="381"/>
      <c r="C129" s="186"/>
      <c r="D129" s="186"/>
      <c r="E129" s="186"/>
      <c r="F129" s="186"/>
      <c r="G129" s="186"/>
      <c r="H129" s="186"/>
      <c r="I129" s="186"/>
      <c r="J129" s="186"/>
      <c r="K129" s="186"/>
      <c r="L129" s="186"/>
      <c r="M129" s="186"/>
      <c r="N129" s="186"/>
      <c r="O129" s="186"/>
      <c r="P129" s="186"/>
      <c r="Q129" s="186"/>
      <c r="R129" s="186"/>
      <c r="S129" s="499"/>
      <c r="T129" s="166"/>
      <c r="U129" s="166"/>
      <c r="V129" s="166"/>
      <c r="W129" s="166"/>
      <c r="X129" s="166"/>
      <c r="Y129" s="166"/>
      <c r="Z129" s="149"/>
      <c r="AA129" s="149"/>
      <c r="AB129" s="149"/>
      <c r="AC129" s="149"/>
      <c r="AD129" s="149"/>
      <c r="AE129" s="149"/>
      <c r="AF129" s="149"/>
      <c r="AG129" s="149"/>
      <c r="AH129" s="149"/>
      <c r="AI129" s="149"/>
      <c r="AJ129" s="149"/>
      <c r="AK129" s="149"/>
      <c r="AL129" s="149"/>
      <c r="AM129" s="149"/>
      <c r="AN129" s="149"/>
      <c r="AO129" s="166"/>
      <c r="AP129" s="166"/>
      <c r="AQ129" s="166"/>
      <c r="AR129" s="166"/>
      <c r="AS129" s="166"/>
      <c r="AT129" s="166"/>
      <c r="AU129" s="166"/>
      <c r="AV129" s="166"/>
      <c r="AW129" s="166"/>
      <c r="AX129" s="166"/>
      <c r="AY129" s="166"/>
      <c r="AZ129" s="166"/>
      <c r="BA129" s="166"/>
      <c r="BB129" s="166"/>
      <c r="BC129" s="166"/>
      <c r="BD129" s="166"/>
      <c r="BE129" s="146" t="str">
        <f>'5.FieldEnergyUse'!D39</f>
        <v>disc harrow</v>
      </c>
      <c r="BF129" s="593">
        <f ca="1">IF('5.FieldEnergyUse'!F39&gt;0,'5.FieldEnergyUse'!F39,NA())</f>
        <v>37.69791639254386</v>
      </c>
      <c r="BG129" s="166"/>
      <c r="BH129" s="625"/>
      <c r="BI129" s="166"/>
      <c r="BJ129" s="166"/>
      <c r="BK129" s="166"/>
      <c r="BL129" s="166"/>
      <c r="BM129" s="166"/>
      <c r="BN129" s="166"/>
    </row>
    <row r="130" spans="1:66" ht="21.75" customHeight="1" x14ac:dyDescent="0.25">
      <c r="A130" s="166"/>
      <c r="B130" s="381"/>
      <c r="C130" s="186"/>
      <c r="D130" s="186"/>
      <c r="E130" s="186"/>
      <c r="F130" s="186"/>
      <c r="G130" s="186"/>
      <c r="H130" s="186"/>
      <c r="I130" s="186"/>
      <c r="J130" s="186"/>
      <c r="K130" s="186"/>
      <c r="L130" s="186"/>
      <c r="M130" s="186"/>
      <c r="N130" s="186"/>
      <c r="O130" s="186"/>
      <c r="P130" s="186"/>
      <c r="Q130" s="186"/>
      <c r="R130" s="186"/>
      <c r="S130" s="499"/>
      <c r="T130" s="166"/>
      <c r="U130" s="166"/>
      <c r="V130" s="166"/>
      <c r="W130" s="166"/>
      <c r="X130" s="166"/>
      <c r="Y130" s="166"/>
      <c r="Z130" s="100"/>
      <c r="AA130" s="186"/>
      <c r="AB130" s="186"/>
      <c r="AC130" s="186"/>
      <c r="AD130" s="186"/>
      <c r="AE130" s="186"/>
      <c r="AF130" s="186"/>
      <c r="AG130" s="186"/>
      <c r="AH130" s="186"/>
      <c r="AI130" s="186"/>
      <c r="AJ130" s="186"/>
      <c r="AK130" s="186"/>
      <c r="AL130" s="186"/>
      <c r="AM130" s="186"/>
      <c r="AN130" s="186"/>
      <c r="AO130" s="186"/>
      <c r="AP130" s="499"/>
      <c r="AQ130" s="166"/>
      <c r="AR130" s="166"/>
      <c r="AS130" s="166"/>
      <c r="AT130" s="166"/>
      <c r="AU130" s="166"/>
      <c r="AV130" s="166"/>
      <c r="AW130" s="166"/>
      <c r="AX130" s="166"/>
      <c r="AY130" s="166"/>
      <c r="AZ130" s="166"/>
      <c r="BA130" s="166"/>
      <c r="BB130" s="166"/>
      <c r="BC130" s="166"/>
      <c r="BD130" s="166"/>
      <c r="BE130" s="146" t="str">
        <f>'5.FieldEnergyUse'!D40</f>
        <v>disk bedder</v>
      </c>
      <c r="BF130" s="593" t="e">
        <f ca="1">IF('5.FieldEnergyUse'!F40&gt;0,'5.FieldEnergyUse'!F40,NA())</f>
        <v>#N/A</v>
      </c>
      <c r="BG130" s="166"/>
      <c r="BH130" s="381"/>
      <c r="BI130" s="166"/>
      <c r="BJ130" s="166"/>
      <c r="BK130" s="166"/>
      <c r="BL130" s="166"/>
      <c r="BM130" s="166"/>
      <c r="BN130" s="166"/>
    </row>
    <row r="131" spans="1:66" ht="21.75" customHeight="1" x14ac:dyDescent="0.25">
      <c r="A131" s="166"/>
      <c r="B131" s="381"/>
      <c r="C131" s="186"/>
      <c r="D131" s="186"/>
      <c r="E131" s="186"/>
      <c r="F131" s="186"/>
      <c r="G131" s="186"/>
      <c r="H131" s="186"/>
      <c r="I131" s="186"/>
      <c r="J131" s="186"/>
      <c r="K131" s="186"/>
      <c r="L131" s="186"/>
      <c r="M131" s="186"/>
      <c r="N131" s="186"/>
      <c r="O131" s="186"/>
      <c r="P131" s="186"/>
      <c r="Q131" s="186"/>
      <c r="R131" s="186"/>
      <c r="S131" s="499"/>
      <c r="T131" s="166"/>
      <c r="U131" s="166"/>
      <c r="V131" s="166"/>
      <c r="W131" s="166"/>
      <c r="X131" s="166"/>
      <c r="Y131" s="166"/>
      <c r="Z131" s="100"/>
      <c r="AA131" s="186"/>
      <c r="AB131" s="186"/>
      <c r="AC131" s="186"/>
      <c r="AD131" s="186"/>
      <c r="AE131" s="186"/>
      <c r="AF131" s="186"/>
      <c r="AG131" s="186"/>
      <c r="AH131" s="186"/>
      <c r="AI131" s="186"/>
      <c r="AJ131" s="186"/>
      <c r="AK131" s="186"/>
      <c r="AL131" s="186"/>
      <c r="AM131" s="186"/>
      <c r="AN131" s="186"/>
      <c r="AO131" s="186"/>
      <c r="AP131" s="499"/>
      <c r="AQ131" s="166"/>
      <c r="AR131" s="166"/>
      <c r="AS131" s="166"/>
      <c r="AT131" s="166"/>
      <c r="AU131" s="166"/>
      <c r="AV131" s="166"/>
      <c r="AW131" s="166"/>
      <c r="AX131" s="166"/>
      <c r="AY131" s="166"/>
      <c r="AZ131" s="166"/>
      <c r="BA131" s="166"/>
      <c r="BB131" s="166"/>
      <c r="BC131" s="166"/>
      <c r="BD131" s="166"/>
      <c r="BE131" s="146" t="str">
        <f>'5.FieldEnergyUse'!D41</f>
        <v xml:space="preserve">field cultivator/ridger </v>
      </c>
      <c r="BF131" s="593" t="e">
        <f ca="1">IF('5.FieldEnergyUse'!F41&gt;0,'5.FieldEnergyUse'!F41,NA())</f>
        <v>#N/A</v>
      </c>
      <c r="BG131" s="166"/>
      <c r="BH131" s="381"/>
      <c r="BI131" s="166"/>
      <c r="BJ131" s="166"/>
      <c r="BK131" s="166"/>
      <c r="BL131" s="166"/>
      <c r="BM131" s="166"/>
      <c r="BN131" s="166"/>
    </row>
    <row r="132" spans="1:66" ht="21.75" customHeight="1" x14ac:dyDescent="0.25">
      <c r="A132" s="166"/>
      <c r="B132" s="381"/>
      <c r="C132" s="186"/>
      <c r="D132" s="186"/>
      <c r="E132" s="186"/>
      <c r="F132" s="186"/>
      <c r="G132" s="186"/>
      <c r="H132" s="186"/>
      <c r="I132" s="186"/>
      <c r="J132" s="186"/>
      <c r="K132" s="186"/>
      <c r="L132" s="186"/>
      <c r="M132" s="186"/>
      <c r="N132" s="186"/>
      <c r="O132" s="186"/>
      <c r="P132" s="186"/>
      <c r="Q132" s="186"/>
      <c r="R132" s="186"/>
      <c r="S132" s="499"/>
      <c r="T132" s="166"/>
      <c r="U132" s="166"/>
      <c r="V132" s="166"/>
      <c r="W132" s="166"/>
      <c r="X132" s="166"/>
      <c r="Y132" s="166"/>
      <c r="Z132" s="100"/>
      <c r="AA132" s="186"/>
      <c r="AB132" s="186"/>
      <c r="AC132" s="186"/>
      <c r="AD132" s="186"/>
      <c r="AE132" s="186"/>
      <c r="AF132" s="186"/>
      <c r="AG132" s="186"/>
      <c r="AH132" s="186"/>
      <c r="AI132" s="186"/>
      <c r="AJ132" s="186"/>
      <c r="AK132" s="186"/>
      <c r="AL132" s="186"/>
      <c r="AM132" s="186"/>
      <c r="AN132" s="186"/>
      <c r="AO132" s="186"/>
      <c r="AP132" s="499"/>
      <c r="AQ132" s="166"/>
      <c r="AR132" s="166"/>
      <c r="AS132" s="166"/>
      <c r="AT132" s="166"/>
      <c r="AU132" s="166"/>
      <c r="AV132" s="166"/>
      <c r="AW132" s="166"/>
      <c r="AX132" s="166"/>
      <c r="AY132" s="166"/>
      <c r="AZ132" s="166"/>
      <c r="BA132" s="166"/>
      <c r="BB132" s="166"/>
      <c r="BC132" s="166"/>
      <c r="BD132" s="166"/>
      <c r="BE132" s="146" t="str">
        <f>'5.FieldEnergyUse'!D42</f>
        <v>grain drill</v>
      </c>
      <c r="BF132" s="593" t="e">
        <f ca="1">IF('5.FieldEnergyUse'!F42&gt;0,'5.FieldEnergyUse'!F42,NA())</f>
        <v>#N/A</v>
      </c>
      <c r="BG132" s="166"/>
      <c r="BH132" s="381"/>
      <c r="BI132" s="166"/>
      <c r="BJ132" s="166"/>
      <c r="BK132" s="166"/>
      <c r="BL132" s="166"/>
      <c r="BM132" s="166"/>
      <c r="BN132" s="166"/>
    </row>
    <row r="133" spans="1:66" ht="21.75" customHeight="1" x14ac:dyDescent="0.25">
      <c r="A133" s="166"/>
      <c r="B133" s="381"/>
      <c r="C133" s="186"/>
      <c r="D133" s="186"/>
      <c r="E133" s="186"/>
      <c r="F133" s="186"/>
      <c r="G133" s="186"/>
      <c r="H133" s="186"/>
      <c r="I133" s="186"/>
      <c r="J133" s="186"/>
      <c r="K133" s="186"/>
      <c r="L133" s="186"/>
      <c r="M133" s="186"/>
      <c r="N133" s="186"/>
      <c r="O133" s="186"/>
      <c r="P133" s="186"/>
      <c r="Q133" s="186"/>
      <c r="R133" s="186"/>
      <c r="S133" s="499"/>
      <c r="T133" s="166"/>
      <c r="U133" s="166"/>
      <c r="V133" s="166"/>
      <c r="W133" s="166"/>
      <c r="X133" s="166"/>
      <c r="Y133" s="166"/>
      <c r="Z133" s="100"/>
      <c r="AA133" s="186"/>
      <c r="AB133" s="186"/>
      <c r="AC133" s="186"/>
      <c r="AD133" s="186"/>
      <c r="AE133" s="186"/>
      <c r="AF133" s="186"/>
      <c r="AG133" s="186"/>
      <c r="AH133" s="186"/>
      <c r="AI133" s="186"/>
      <c r="AJ133" s="186"/>
      <c r="AK133" s="186"/>
      <c r="AL133" s="186"/>
      <c r="AM133" s="186"/>
      <c r="AN133" s="186"/>
      <c r="AO133" s="186"/>
      <c r="AP133" s="499"/>
      <c r="AQ133" s="166"/>
      <c r="AR133" s="166"/>
      <c r="AS133" s="166"/>
      <c r="AT133" s="166"/>
      <c r="AU133" s="166"/>
      <c r="AV133" s="166"/>
      <c r="AW133" s="166"/>
      <c r="AX133" s="166"/>
      <c r="AY133" s="166"/>
      <c r="AZ133" s="166"/>
      <c r="BA133" s="166"/>
      <c r="BB133" s="166"/>
      <c r="BC133" s="166"/>
      <c r="BD133" s="166"/>
      <c r="BE133" s="146" t="str">
        <f>'5.FieldEnergyUse'!D43</f>
        <v>grain drill-notill</v>
      </c>
      <c r="BF133" s="593">
        <f ca="1">IF('5.FieldEnergyUse'!F43&gt;0,'5.FieldEnergyUse'!F43,NA())</f>
        <v>4.2420684210526316</v>
      </c>
      <c r="BG133" s="166"/>
      <c r="BH133" s="381"/>
      <c r="BI133" s="166"/>
      <c r="BJ133" s="166"/>
      <c r="BK133" s="166"/>
      <c r="BL133" s="166"/>
      <c r="BM133" s="166"/>
      <c r="BN133" s="166"/>
    </row>
    <row r="134" spans="1:66" ht="21.75" customHeight="1" x14ac:dyDescent="0.25">
      <c r="A134" s="166"/>
      <c r="B134" s="381"/>
      <c r="C134" s="186"/>
      <c r="D134" s="186"/>
      <c r="E134" s="186"/>
      <c r="F134" s="186"/>
      <c r="G134" s="186"/>
      <c r="H134" s="186"/>
      <c r="I134" s="186"/>
      <c r="J134" s="186"/>
      <c r="K134" s="186"/>
      <c r="L134" s="186"/>
      <c r="M134" s="186"/>
      <c r="N134" s="186"/>
      <c r="O134" s="186"/>
      <c r="P134" s="186"/>
      <c r="Q134" s="186"/>
      <c r="R134" s="186"/>
      <c r="S134" s="499"/>
      <c r="T134" s="166"/>
      <c r="U134" s="166"/>
      <c r="V134" s="166"/>
      <c r="W134" s="166"/>
      <c r="X134" s="166"/>
      <c r="Y134" s="166"/>
      <c r="Z134" s="100"/>
      <c r="AA134" s="186"/>
      <c r="AB134" s="186"/>
      <c r="AC134" s="186"/>
      <c r="AD134" s="186"/>
      <c r="AE134" s="186"/>
      <c r="AF134" s="186"/>
      <c r="AG134" s="186"/>
      <c r="AH134" s="186"/>
      <c r="AI134" s="186"/>
      <c r="AJ134" s="186"/>
      <c r="AK134" s="186"/>
      <c r="AL134" s="186"/>
      <c r="AM134" s="186"/>
      <c r="AN134" s="186"/>
      <c r="AO134" s="186"/>
      <c r="AP134" s="499"/>
      <c r="AQ134" s="166"/>
      <c r="AR134" s="166"/>
      <c r="AS134" s="166"/>
      <c r="AT134" s="166"/>
      <c r="AU134" s="166"/>
      <c r="AV134" s="166"/>
      <c r="AW134" s="166"/>
      <c r="AX134" s="166"/>
      <c r="AY134" s="166"/>
      <c r="AZ134" s="166"/>
      <c r="BA134" s="166"/>
      <c r="BB134" s="166"/>
      <c r="BC134" s="166"/>
      <c r="BD134" s="166"/>
      <c r="BE134" s="146" t="str">
        <f>'5.FieldEnergyUse'!D44</f>
        <v>hoe drill</v>
      </c>
      <c r="BF134" s="593" t="e">
        <f ca="1">IF('5.FieldEnergyUse'!F44&gt;0,'5.FieldEnergyUse'!F44,NA())</f>
        <v>#N/A</v>
      </c>
      <c r="BG134" s="166"/>
      <c r="BH134" s="381"/>
      <c r="BI134" s="166"/>
      <c r="BJ134" s="166"/>
      <c r="BK134" s="166"/>
      <c r="BL134" s="166"/>
      <c r="BM134" s="166"/>
      <c r="BN134" s="166"/>
    </row>
    <row r="135" spans="1:66" ht="21.75" customHeight="1" x14ac:dyDescent="0.25">
      <c r="A135" s="166"/>
      <c r="B135" s="381"/>
      <c r="C135" s="186"/>
      <c r="D135" s="186"/>
      <c r="E135" s="186"/>
      <c r="F135" s="186"/>
      <c r="G135" s="186"/>
      <c r="H135" s="186"/>
      <c r="I135" s="186"/>
      <c r="J135" s="186"/>
      <c r="K135" s="186"/>
      <c r="L135" s="186"/>
      <c r="M135" s="186"/>
      <c r="N135" s="186"/>
      <c r="O135" s="186"/>
      <c r="P135" s="186"/>
      <c r="Q135" s="186"/>
      <c r="R135" s="186"/>
      <c r="S135" s="499"/>
      <c r="T135" s="166"/>
      <c r="U135" s="166"/>
      <c r="V135" s="166"/>
      <c r="W135" s="166"/>
      <c r="X135" s="166"/>
      <c r="Y135" s="166"/>
      <c r="Z135" s="100"/>
      <c r="AA135" s="186"/>
      <c r="AB135" s="186"/>
      <c r="AC135" s="186"/>
      <c r="AD135" s="186"/>
      <c r="AE135" s="186"/>
      <c r="AF135" s="186"/>
      <c r="AG135" s="186"/>
      <c r="AH135" s="186"/>
      <c r="AI135" s="186"/>
      <c r="AJ135" s="186"/>
      <c r="AK135" s="186"/>
      <c r="AL135" s="186"/>
      <c r="AM135" s="186"/>
      <c r="AN135" s="186"/>
      <c r="AO135" s="186"/>
      <c r="AP135" s="499"/>
      <c r="AQ135" s="166"/>
      <c r="AR135" s="166"/>
      <c r="AS135" s="166"/>
      <c r="AT135" s="166"/>
      <c r="AU135" s="166"/>
      <c r="AV135" s="166"/>
      <c r="AW135" s="166"/>
      <c r="AX135" s="166"/>
      <c r="AY135" s="166"/>
      <c r="AZ135" s="166"/>
      <c r="BA135" s="166"/>
      <c r="BB135" s="166"/>
      <c r="BC135" s="166"/>
      <c r="BD135" s="166"/>
      <c r="BE135" s="146" t="str">
        <f>'5.FieldEnergyUse'!D45</f>
        <v>land plane/destoner</v>
      </c>
      <c r="BF135" s="593" t="e">
        <f ca="1">IF('5.FieldEnergyUse'!F45&gt;0,'5.FieldEnergyUse'!F45,NA())</f>
        <v>#N/A</v>
      </c>
      <c r="BG135" s="166"/>
      <c r="BH135" s="381"/>
      <c r="BI135" s="166"/>
      <c r="BJ135" s="166"/>
      <c r="BK135" s="166"/>
      <c r="BL135" s="166"/>
      <c r="BM135" s="166"/>
      <c r="BN135" s="166"/>
    </row>
    <row r="136" spans="1:66" ht="21.75" customHeight="1" x14ac:dyDescent="0.25">
      <c r="A136" s="166"/>
      <c r="B136" s="381"/>
      <c r="C136" s="186"/>
      <c r="D136" s="186"/>
      <c r="E136" s="186"/>
      <c r="F136" s="186"/>
      <c r="G136" s="186"/>
      <c r="H136" s="186"/>
      <c r="I136" s="186"/>
      <c r="J136" s="186"/>
      <c r="K136" s="186"/>
      <c r="L136" s="186"/>
      <c r="M136" s="186"/>
      <c r="N136" s="186"/>
      <c r="O136" s="186"/>
      <c r="P136" s="186"/>
      <c r="Q136" s="186"/>
      <c r="R136" s="186"/>
      <c r="S136" s="499"/>
      <c r="T136" s="166"/>
      <c r="U136" s="166"/>
      <c r="V136" s="166"/>
      <c r="W136" s="166"/>
      <c r="X136" s="166"/>
      <c r="Y136" s="166"/>
      <c r="Z136" s="100"/>
      <c r="AA136" s="100"/>
      <c r="AB136" s="260"/>
      <c r="AC136" s="260"/>
      <c r="AD136" s="260"/>
      <c r="AE136" s="260"/>
      <c r="AF136" s="100"/>
      <c r="AG136" s="260"/>
      <c r="AH136" s="260"/>
      <c r="AI136" s="260"/>
      <c r="AJ136" s="260"/>
      <c r="AK136" s="260"/>
      <c r="AL136" s="260"/>
      <c r="AM136" s="260"/>
      <c r="AN136" s="260"/>
      <c r="AO136" s="260"/>
      <c r="AP136" s="280"/>
      <c r="AQ136" s="166"/>
      <c r="AR136" s="166"/>
      <c r="AS136" s="166"/>
      <c r="AT136" s="166"/>
      <c r="AU136" s="166"/>
      <c r="AV136" s="166"/>
      <c r="AW136" s="166"/>
      <c r="AX136" s="166"/>
      <c r="AY136" s="166"/>
      <c r="AZ136" s="166"/>
      <c r="BA136" s="166"/>
      <c r="BB136" s="166"/>
      <c r="BC136" s="166"/>
      <c r="BD136" s="166"/>
      <c r="BE136" s="146" t="str">
        <f>'5.FieldEnergyUse'!D46</f>
        <v>moldboard plough</v>
      </c>
      <c r="BF136" s="593" t="e">
        <f ca="1">IF('5.FieldEnergyUse'!F46&gt;0,'5.FieldEnergyUse'!F46,NA())</f>
        <v>#N/A</v>
      </c>
      <c r="BG136" s="166"/>
      <c r="BH136" s="381"/>
      <c r="BI136" s="166"/>
      <c r="BJ136" s="166"/>
      <c r="BK136" s="166"/>
      <c r="BL136" s="166"/>
      <c r="BM136" s="166"/>
      <c r="BN136" s="166"/>
    </row>
    <row r="137" spans="1:66" ht="21.75" customHeight="1" x14ac:dyDescent="0.25">
      <c r="A137" s="166"/>
      <c r="B137" s="381"/>
      <c r="C137" s="186"/>
      <c r="D137" s="186"/>
      <c r="E137" s="186"/>
      <c r="F137" s="186"/>
      <c r="G137" s="186"/>
      <c r="H137" s="186"/>
      <c r="I137" s="186"/>
      <c r="J137" s="186"/>
      <c r="K137" s="186"/>
      <c r="L137" s="186"/>
      <c r="M137" s="186"/>
      <c r="N137" s="186"/>
      <c r="O137" s="186"/>
      <c r="P137" s="186"/>
      <c r="Q137" s="186"/>
      <c r="R137" s="186"/>
      <c r="S137" s="499"/>
      <c r="T137" s="166"/>
      <c r="U137" s="166"/>
      <c r="V137" s="166"/>
      <c r="W137" s="166"/>
      <c r="X137" s="166"/>
      <c r="Y137" s="166"/>
      <c r="Z137" s="186"/>
      <c r="AA137" s="186"/>
      <c r="AB137" s="186"/>
      <c r="AC137" s="186"/>
      <c r="AD137" s="186"/>
      <c r="AE137" s="186"/>
      <c r="AF137" s="186"/>
      <c r="AG137" s="186"/>
      <c r="AH137" s="186"/>
      <c r="AI137" s="186"/>
      <c r="AJ137" s="186"/>
      <c r="AK137" s="186"/>
      <c r="AL137" s="186"/>
      <c r="AM137" s="186"/>
      <c r="AN137" s="186"/>
      <c r="AO137" s="186"/>
      <c r="AP137" s="499"/>
      <c r="AQ137" s="166"/>
      <c r="AR137" s="166"/>
      <c r="AS137" s="166"/>
      <c r="AT137" s="166"/>
      <c r="AU137" s="166"/>
      <c r="AV137" s="166"/>
      <c r="AW137" s="166"/>
      <c r="AX137" s="166"/>
      <c r="AY137" s="166"/>
      <c r="AZ137" s="166"/>
      <c r="BA137" s="166"/>
      <c r="BB137" s="166"/>
      <c r="BC137" s="166"/>
      <c r="BD137" s="166"/>
      <c r="BE137" s="146" t="str">
        <f>'5.FieldEnergyUse'!D47</f>
        <v>pneumatic drill</v>
      </c>
      <c r="BF137" s="593" t="e">
        <f ca="1">IF('5.FieldEnergyUse'!F47&gt;0,'5.FieldEnergyUse'!F47,NA())</f>
        <v>#N/A</v>
      </c>
      <c r="BG137" s="166"/>
      <c r="BH137" s="381"/>
      <c r="BI137" s="166"/>
      <c r="BJ137" s="166"/>
      <c r="BK137" s="166"/>
      <c r="BL137" s="166"/>
      <c r="BM137" s="166"/>
      <c r="BN137" s="166"/>
    </row>
    <row r="138" spans="1:66" ht="21.75" customHeight="1" x14ac:dyDescent="0.25">
      <c r="A138" s="166"/>
      <c r="B138" s="381"/>
      <c r="C138" s="186"/>
      <c r="D138" s="186"/>
      <c r="E138" s="186"/>
      <c r="F138" s="186"/>
      <c r="G138" s="186"/>
      <c r="H138" s="186"/>
      <c r="I138" s="186"/>
      <c r="J138" s="186"/>
      <c r="K138" s="186"/>
      <c r="L138" s="186"/>
      <c r="M138" s="186"/>
      <c r="N138" s="186"/>
      <c r="O138" s="186"/>
      <c r="P138" s="186"/>
      <c r="Q138" s="186"/>
      <c r="R138" s="186"/>
      <c r="S138" s="499"/>
      <c r="T138" s="166"/>
      <c r="U138" s="166"/>
      <c r="V138" s="166"/>
      <c r="W138" s="166"/>
      <c r="X138" s="166"/>
      <c r="Y138" s="166"/>
      <c r="Z138" s="166"/>
      <c r="AA138" s="166"/>
      <c r="AB138" s="166"/>
      <c r="AC138" s="166"/>
      <c r="AD138" s="166"/>
      <c r="AE138" s="166"/>
      <c r="AF138" s="166"/>
      <c r="AG138" s="166"/>
      <c r="AH138" s="166"/>
      <c r="AI138" s="166"/>
      <c r="AJ138" s="166"/>
      <c r="AK138" s="166"/>
      <c r="AL138" s="166"/>
      <c r="AM138" s="166"/>
      <c r="AN138" s="166"/>
      <c r="AO138" s="166"/>
      <c r="AP138" s="166"/>
      <c r="AQ138" s="166"/>
      <c r="AR138" s="166"/>
      <c r="AS138" s="166"/>
      <c r="AT138" s="166"/>
      <c r="AU138" s="166"/>
      <c r="AV138" s="166"/>
      <c r="AW138" s="166"/>
      <c r="AX138" s="166"/>
      <c r="AY138" s="166"/>
      <c r="AZ138" s="166"/>
      <c r="BA138" s="166"/>
      <c r="BB138" s="166"/>
      <c r="BC138" s="166"/>
      <c r="BD138" s="166"/>
      <c r="BE138" s="146" t="str">
        <f>'5.FieldEnergyUse'!D48</f>
        <v>rod weeder</v>
      </c>
      <c r="BF138" s="593" t="e">
        <f ca="1">IF('5.FieldEnergyUse'!F48&gt;0,'5.FieldEnergyUse'!F48,NA())</f>
        <v>#N/A</v>
      </c>
      <c r="BG138" s="166"/>
      <c r="BH138" s="166"/>
      <c r="BI138" s="166"/>
      <c r="BJ138" s="166"/>
      <c r="BK138" s="166"/>
      <c r="BL138" s="166"/>
      <c r="BM138" s="166"/>
      <c r="BN138" s="166"/>
    </row>
    <row r="139" spans="1:66" ht="21.75" customHeight="1" x14ac:dyDescent="0.25">
      <c r="A139" s="166"/>
      <c r="B139" s="381"/>
      <c r="C139" s="186"/>
      <c r="D139" s="186"/>
      <c r="E139" s="186"/>
      <c r="F139" s="186"/>
      <c r="G139" s="186"/>
      <c r="H139" s="186"/>
      <c r="I139" s="186"/>
      <c r="J139" s="186"/>
      <c r="K139" s="186"/>
      <c r="L139" s="186"/>
      <c r="M139" s="186"/>
      <c r="N139" s="186"/>
      <c r="O139" s="186"/>
      <c r="P139" s="186"/>
      <c r="Q139" s="186"/>
      <c r="R139" s="186"/>
      <c r="S139" s="499"/>
      <c r="T139" s="166"/>
      <c r="U139" s="166"/>
      <c r="V139" s="166"/>
      <c r="W139" s="166"/>
      <c r="X139" s="166"/>
      <c r="Y139" s="166"/>
      <c r="Z139" s="166"/>
      <c r="AA139" s="166"/>
      <c r="AB139" s="166"/>
      <c r="AC139" s="166"/>
      <c r="AD139" s="166"/>
      <c r="AE139" s="166"/>
      <c r="AF139" s="166"/>
      <c r="AG139" s="166"/>
      <c r="AH139" s="166"/>
      <c r="AI139" s="166"/>
      <c r="AJ139" s="166"/>
      <c r="AK139" s="166"/>
      <c r="AL139" s="166"/>
      <c r="AM139" s="166"/>
      <c r="AN139" s="166"/>
      <c r="AO139" s="166"/>
      <c r="AP139" s="166"/>
      <c r="AQ139" s="166"/>
      <c r="AR139" s="166"/>
      <c r="AS139" s="166"/>
      <c r="AT139" s="166"/>
      <c r="AU139" s="166"/>
      <c r="AV139" s="166"/>
      <c r="AW139" s="166"/>
      <c r="AX139" s="166"/>
      <c r="AY139" s="166"/>
      <c r="AZ139" s="166"/>
      <c r="BA139" s="166"/>
      <c r="BB139" s="166"/>
      <c r="BC139" s="166"/>
      <c r="BD139" s="166"/>
      <c r="BE139" s="146" t="str">
        <f>'5.FieldEnergyUse'!D49</f>
        <v>roller harrow</v>
      </c>
      <c r="BF139" s="593" t="e">
        <f ca="1">IF('5.FieldEnergyUse'!F49&gt;0,'5.FieldEnergyUse'!F49,NA())</f>
        <v>#N/A</v>
      </c>
      <c r="BG139" s="166"/>
      <c r="BH139" s="166"/>
      <c r="BI139" s="166"/>
      <c r="BJ139" s="166"/>
      <c r="BK139" s="166"/>
      <c r="BL139" s="166"/>
      <c r="BM139" s="166"/>
      <c r="BN139" s="166"/>
    </row>
    <row r="140" spans="1:66" ht="21.75" customHeight="1" x14ac:dyDescent="0.25">
      <c r="A140" s="166"/>
      <c r="B140" s="381"/>
      <c r="C140" s="186"/>
      <c r="D140" s="186"/>
      <c r="E140" s="186"/>
      <c r="F140" s="186"/>
      <c r="G140" s="186"/>
      <c r="H140" s="186"/>
      <c r="I140" s="186"/>
      <c r="J140" s="186"/>
      <c r="K140" s="186"/>
      <c r="L140" s="186"/>
      <c r="M140" s="186"/>
      <c r="N140" s="186"/>
      <c r="O140" s="186"/>
      <c r="P140" s="186"/>
      <c r="Q140" s="186"/>
      <c r="R140" s="186"/>
      <c r="S140" s="499"/>
      <c r="T140" s="166"/>
      <c r="U140" s="166"/>
      <c r="V140" s="166"/>
      <c r="W140" s="166"/>
      <c r="X140" s="166"/>
      <c r="Y140" s="166"/>
      <c r="Z140" s="166"/>
      <c r="AA140" s="166"/>
      <c r="AB140" s="166"/>
      <c r="AC140" s="166"/>
      <c r="AD140" s="166"/>
      <c r="AE140" s="166"/>
      <c r="AF140" s="166"/>
      <c r="AG140" s="166"/>
      <c r="AH140" s="166"/>
      <c r="AI140" s="166"/>
      <c r="AJ140" s="166"/>
      <c r="AK140" s="166"/>
      <c r="AL140" s="166"/>
      <c r="AM140" s="166"/>
      <c r="AN140" s="166"/>
      <c r="AO140" s="166"/>
      <c r="AP140" s="166"/>
      <c r="AQ140" s="166"/>
      <c r="AR140" s="166"/>
      <c r="AS140" s="166"/>
      <c r="AT140" s="166"/>
      <c r="AU140" s="166"/>
      <c r="AV140" s="166"/>
      <c r="AW140" s="166"/>
      <c r="AX140" s="166"/>
      <c r="AY140" s="166"/>
      <c r="AZ140" s="166"/>
      <c r="BA140" s="166"/>
      <c r="BB140" s="166"/>
      <c r="BC140" s="166"/>
      <c r="BD140" s="166"/>
      <c r="BE140" s="146" t="str">
        <f>'5.FieldEnergyUse'!D50</f>
        <v>roller packer</v>
      </c>
      <c r="BF140" s="593">
        <f ca="1">IF('5.FieldEnergyUse'!F50&gt;0,'5.FieldEnergyUse'!F50,NA())</f>
        <v>7.8122807017543847</v>
      </c>
      <c r="BG140" s="166"/>
      <c r="BH140" s="166"/>
      <c r="BI140" s="166"/>
      <c r="BJ140" s="166"/>
      <c r="BK140" s="166"/>
      <c r="BL140" s="166"/>
      <c r="BM140" s="166"/>
      <c r="BN140" s="166"/>
    </row>
    <row r="141" spans="1:66" ht="21.75" customHeight="1" x14ac:dyDescent="0.25">
      <c r="A141" s="166"/>
      <c r="B141" s="381"/>
      <c r="C141" s="186"/>
      <c r="D141" s="186"/>
      <c r="E141" s="186"/>
      <c r="F141" s="186"/>
      <c r="G141" s="186"/>
      <c r="H141" s="186"/>
      <c r="I141" s="186"/>
      <c r="J141" s="186"/>
      <c r="K141" s="186"/>
      <c r="L141" s="186"/>
      <c r="M141" s="186"/>
      <c r="N141" s="186"/>
      <c r="O141" s="186"/>
      <c r="P141" s="186"/>
      <c r="Q141" s="186"/>
      <c r="R141" s="186"/>
      <c r="S141" s="499"/>
      <c r="T141" s="166"/>
      <c r="U141" s="166"/>
      <c r="V141" s="166"/>
      <c r="W141" s="166"/>
      <c r="X141" s="166"/>
      <c r="Y141" s="166"/>
      <c r="Z141" s="166"/>
      <c r="AA141" s="166"/>
      <c r="AB141" s="166"/>
      <c r="AC141" s="166"/>
      <c r="AD141" s="166"/>
      <c r="AE141" s="166"/>
      <c r="AF141" s="166"/>
      <c r="AG141" s="166"/>
      <c r="AH141" s="166"/>
      <c r="AI141" s="166"/>
      <c r="AJ141" s="166"/>
      <c r="AK141" s="166"/>
      <c r="AL141" s="166"/>
      <c r="AM141" s="166"/>
      <c r="AN141" s="166"/>
      <c r="AO141" s="166"/>
      <c r="AP141" s="166"/>
      <c r="AQ141" s="166"/>
      <c r="AR141" s="166"/>
      <c r="AS141" s="166"/>
      <c r="AT141" s="166"/>
      <c r="AU141" s="166"/>
      <c r="AV141" s="166"/>
      <c r="AW141" s="166"/>
      <c r="AX141" s="166"/>
      <c r="AY141" s="166"/>
      <c r="AZ141" s="166"/>
      <c r="BA141" s="166"/>
      <c r="BB141" s="166"/>
      <c r="BC141" s="166"/>
      <c r="BD141" s="166"/>
      <c r="BE141" s="146" t="str">
        <f>'5.FieldEnergyUse'!D51</f>
        <v>rotary hoe/bed tiller</v>
      </c>
      <c r="BF141" s="593" t="e">
        <f ca="1">IF('5.FieldEnergyUse'!F51&gt;0,'5.FieldEnergyUse'!F51,NA())</f>
        <v>#N/A</v>
      </c>
      <c r="BG141" s="166"/>
      <c r="BH141" s="166"/>
      <c r="BI141" s="166"/>
      <c r="BJ141" s="166"/>
      <c r="BK141" s="166"/>
      <c r="BL141" s="166"/>
      <c r="BM141" s="166"/>
      <c r="BN141" s="166"/>
    </row>
    <row r="142" spans="1:66" ht="21.75" customHeight="1" x14ac:dyDescent="0.25">
      <c r="A142" s="166"/>
      <c r="B142" s="381"/>
      <c r="C142" s="186"/>
      <c r="D142" s="186"/>
      <c r="E142" s="186"/>
      <c r="F142" s="186"/>
      <c r="G142" s="186"/>
      <c r="H142" s="186"/>
      <c r="I142" s="186"/>
      <c r="J142" s="186"/>
      <c r="K142" s="186"/>
      <c r="L142" s="186"/>
      <c r="M142" s="186"/>
      <c r="N142" s="186"/>
      <c r="O142" s="186"/>
      <c r="P142" s="186"/>
      <c r="Q142" s="186"/>
      <c r="R142" s="186"/>
      <c r="S142" s="499"/>
      <c r="T142" s="166"/>
      <c r="U142" s="166"/>
      <c r="V142" s="166"/>
      <c r="W142" s="166"/>
      <c r="X142" s="166"/>
      <c r="Y142" s="166"/>
      <c r="Z142" s="166"/>
      <c r="AA142" s="166"/>
      <c r="AB142" s="166"/>
      <c r="AC142" s="166"/>
      <c r="AD142" s="166"/>
      <c r="AE142" s="166"/>
      <c r="AF142" s="166"/>
      <c r="AG142" s="166"/>
      <c r="AH142" s="166"/>
      <c r="AI142" s="166"/>
      <c r="AJ142" s="166"/>
      <c r="AK142" s="166"/>
      <c r="AL142" s="166"/>
      <c r="AM142" s="166"/>
      <c r="AN142" s="166"/>
      <c r="AO142" s="166"/>
      <c r="AP142" s="166"/>
      <c r="AQ142" s="166"/>
      <c r="AR142" s="166"/>
      <c r="AS142" s="166"/>
      <c r="AT142" s="166"/>
      <c r="AU142" s="166"/>
      <c r="AV142" s="166"/>
      <c r="AW142" s="166"/>
      <c r="AX142" s="166"/>
      <c r="AY142" s="166"/>
      <c r="AZ142" s="166"/>
      <c r="BA142" s="166"/>
      <c r="BB142" s="166"/>
      <c r="BC142" s="166"/>
      <c r="BD142" s="166"/>
      <c r="BE142" s="146" t="str">
        <f>'5.FieldEnergyUse'!D52</f>
        <v>row crop cultivator</v>
      </c>
      <c r="BF142" s="593" t="e">
        <f ca="1">IF('5.FieldEnergyUse'!F52&gt;0,'5.FieldEnergyUse'!F52,NA())</f>
        <v>#N/A</v>
      </c>
      <c r="BG142" s="166"/>
      <c r="BH142" s="166"/>
      <c r="BI142" s="166"/>
      <c r="BJ142" s="166"/>
      <c r="BK142" s="166"/>
      <c r="BL142" s="166"/>
      <c r="BM142" s="166"/>
      <c r="BN142" s="166"/>
    </row>
    <row r="143" spans="1:66" ht="21.75" customHeight="1" x14ac:dyDescent="0.25">
      <c r="A143" s="166"/>
      <c r="B143" s="381"/>
      <c r="C143" s="186"/>
      <c r="D143" s="186"/>
      <c r="E143" s="186"/>
      <c r="F143" s="186"/>
      <c r="G143" s="186"/>
      <c r="H143" s="186"/>
      <c r="I143" s="186"/>
      <c r="J143" s="186"/>
      <c r="K143" s="186"/>
      <c r="L143" s="186"/>
      <c r="M143" s="186"/>
      <c r="N143" s="186"/>
      <c r="O143" s="186"/>
      <c r="P143" s="186"/>
      <c r="Q143" s="186"/>
      <c r="R143" s="186"/>
      <c r="S143" s="499"/>
      <c r="T143" s="166"/>
      <c r="U143" s="166"/>
      <c r="V143" s="166"/>
      <c r="W143" s="166"/>
      <c r="X143" s="166"/>
      <c r="Y143" s="166"/>
      <c r="Z143" s="166"/>
      <c r="AA143" s="166"/>
      <c r="AB143" s="166"/>
      <c r="AC143" s="166"/>
      <c r="AD143" s="166"/>
      <c r="AE143" s="166"/>
      <c r="AF143" s="166"/>
      <c r="AG143" s="166"/>
      <c r="AH143" s="166"/>
      <c r="AI143" s="166"/>
      <c r="AJ143" s="166"/>
      <c r="AK143" s="166"/>
      <c r="AL143" s="166"/>
      <c r="AM143" s="166"/>
      <c r="AN143" s="166"/>
      <c r="AO143" s="166"/>
      <c r="AP143" s="166"/>
      <c r="AQ143" s="166"/>
      <c r="AR143" s="166"/>
      <c r="AS143" s="166"/>
      <c r="AT143" s="166"/>
      <c r="AU143" s="166"/>
      <c r="AV143" s="166"/>
      <c r="AW143" s="166"/>
      <c r="AX143" s="166"/>
      <c r="AY143" s="166"/>
      <c r="AZ143" s="166"/>
      <c r="BA143" s="166"/>
      <c r="BB143" s="166"/>
      <c r="BC143" s="166"/>
      <c r="BD143" s="166"/>
      <c r="BE143" s="146" t="str">
        <f>'5.FieldEnergyUse'!D53</f>
        <v>row crop planter</v>
      </c>
      <c r="BF143" s="593" t="e">
        <f ca="1">IF('5.FieldEnergyUse'!F53&gt;0,'5.FieldEnergyUse'!F53,NA())</f>
        <v>#N/A</v>
      </c>
      <c r="BG143" s="166"/>
      <c r="BH143" s="166"/>
      <c r="BI143" s="166"/>
      <c r="BJ143" s="166"/>
      <c r="BK143" s="166"/>
      <c r="BL143" s="166"/>
      <c r="BM143" s="166"/>
      <c r="BN143" s="166"/>
    </row>
    <row r="144" spans="1:66" ht="21.75" customHeight="1" x14ac:dyDescent="0.25">
      <c r="A144" s="166"/>
      <c r="B144" s="381"/>
      <c r="C144" s="186"/>
      <c r="D144" s="186"/>
      <c r="E144" s="186"/>
      <c r="F144" s="186"/>
      <c r="G144" s="186"/>
      <c r="H144" s="186"/>
      <c r="I144" s="186"/>
      <c r="J144" s="186"/>
      <c r="K144" s="186"/>
      <c r="L144" s="186"/>
      <c r="M144" s="186"/>
      <c r="N144" s="186"/>
      <c r="O144" s="186"/>
      <c r="P144" s="186"/>
      <c r="Q144" s="186"/>
      <c r="R144" s="186"/>
      <c r="S144" s="499"/>
      <c r="T144" s="166"/>
      <c r="U144" s="166"/>
      <c r="V144" s="166"/>
      <c r="W144" s="166"/>
      <c r="X144" s="166"/>
      <c r="Y144" s="166"/>
      <c r="Z144" s="166"/>
      <c r="AA144" s="166"/>
      <c r="AB144" s="166"/>
      <c r="AC144" s="166"/>
      <c r="AD144" s="166"/>
      <c r="AE144" s="166"/>
      <c r="AF144" s="166"/>
      <c r="AG144" s="166"/>
      <c r="AH144" s="166"/>
      <c r="AI144" s="166"/>
      <c r="AJ144" s="166"/>
      <c r="AK144" s="166"/>
      <c r="AL144" s="166"/>
      <c r="AM144" s="166"/>
      <c r="AN144" s="166"/>
      <c r="AO144" s="166"/>
      <c r="AP144" s="166"/>
      <c r="AQ144" s="166"/>
      <c r="AR144" s="166"/>
      <c r="AS144" s="166"/>
      <c r="AT144" s="166"/>
      <c r="AU144" s="166"/>
      <c r="AV144" s="166"/>
      <c r="AW144" s="166"/>
      <c r="AX144" s="166"/>
      <c r="AY144" s="166"/>
      <c r="AZ144" s="166"/>
      <c r="BA144" s="166"/>
      <c r="BB144" s="166"/>
      <c r="BC144" s="166"/>
      <c r="BD144" s="166"/>
      <c r="BE144" s="146" t="str">
        <f>'5.FieldEnergyUse'!D54</f>
        <v>subsoiler</v>
      </c>
      <c r="BF144" s="593" t="e">
        <f ca="1">IF('5.FieldEnergyUse'!F54&gt;0,'5.FieldEnergyUse'!F54,NA())</f>
        <v>#N/A</v>
      </c>
      <c r="BG144" s="166"/>
      <c r="BH144" s="166"/>
      <c r="BI144" s="166"/>
      <c r="BJ144" s="166"/>
      <c r="BK144" s="166"/>
      <c r="BL144" s="166"/>
      <c r="BM144" s="166"/>
      <c r="BN144" s="166"/>
    </row>
    <row r="145" spans="1:66" ht="21.75" customHeight="1" x14ac:dyDescent="0.25">
      <c r="A145" s="166"/>
      <c r="B145" s="381"/>
      <c r="C145" s="186"/>
      <c r="D145" s="186"/>
      <c r="E145" s="186"/>
      <c r="F145" s="186"/>
      <c r="G145" s="186"/>
      <c r="H145" s="186"/>
      <c r="I145" s="186"/>
      <c r="J145" s="186"/>
      <c r="K145" s="186"/>
      <c r="L145" s="186"/>
      <c r="M145" s="186"/>
      <c r="N145" s="186"/>
      <c r="O145" s="186"/>
      <c r="P145" s="186"/>
      <c r="Q145" s="186"/>
      <c r="R145" s="186"/>
      <c r="S145" s="499"/>
      <c r="T145" s="166"/>
      <c r="U145" s="166"/>
      <c r="V145" s="166"/>
      <c r="W145" s="166"/>
      <c r="X145" s="166"/>
      <c r="Y145" s="166"/>
      <c r="Z145" s="166"/>
      <c r="AA145" s="166"/>
      <c r="AB145" s="166"/>
      <c r="AC145" s="166"/>
      <c r="AD145" s="166"/>
      <c r="AE145" s="166"/>
      <c r="AF145" s="166"/>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46" t="str">
        <f>'5.FieldEnergyUse'!D55</f>
        <v>sweep plough</v>
      </c>
      <c r="BF145" s="593" t="e">
        <f ca="1">IF('5.FieldEnergyUse'!F55&gt;0,'5.FieldEnergyUse'!F55,NA())</f>
        <v>#N/A</v>
      </c>
      <c r="BG145" s="166"/>
      <c r="BH145" s="166"/>
      <c r="BI145" s="166"/>
      <c r="BJ145" s="166"/>
      <c r="BK145" s="166"/>
      <c r="BL145" s="166"/>
      <c r="BM145" s="166"/>
      <c r="BN145" s="166"/>
    </row>
    <row r="146" spans="1:66" ht="21.75" customHeight="1" x14ac:dyDescent="0.25">
      <c r="A146" s="166"/>
      <c r="B146" s="381"/>
      <c r="C146" s="186"/>
      <c r="D146" s="186"/>
      <c r="E146" s="186"/>
      <c r="F146" s="186"/>
      <c r="G146" s="186"/>
      <c r="H146" s="186"/>
      <c r="I146" s="186"/>
      <c r="J146" s="186"/>
      <c r="K146" s="186"/>
      <c r="L146" s="186"/>
      <c r="M146" s="186"/>
      <c r="N146" s="186"/>
      <c r="O146" s="186"/>
      <c r="P146" s="186"/>
      <c r="Q146" s="186"/>
      <c r="R146" s="186"/>
      <c r="S146" s="499"/>
      <c r="T146" s="166"/>
      <c r="U146" s="166"/>
      <c r="V146" s="166"/>
      <c r="W146" s="166"/>
      <c r="X146" s="166"/>
      <c r="Y146" s="166"/>
      <c r="Z146" s="166"/>
      <c r="AA146" s="166"/>
      <c r="AB146" s="166"/>
      <c r="AC146" s="166"/>
      <c r="AD146" s="166"/>
      <c r="AE146" s="166"/>
      <c r="AF146" s="166"/>
      <c r="AG146" s="166"/>
      <c r="AH146" s="166"/>
      <c r="AI146" s="166"/>
      <c r="AJ146" s="166"/>
      <c r="AK146" s="166"/>
      <c r="AL146" s="166"/>
      <c r="AM146" s="166"/>
      <c r="AN146" s="166"/>
      <c r="AO146" s="166"/>
      <c r="AP146" s="166"/>
      <c r="AQ146" s="166"/>
      <c r="AR146" s="166"/>
      <c r="AS146" s="166"/>
      <c r="AT146" s="166"/>
      <c r="AU146" s="166"/>
      <c r="AV146" s="166"/>
      <c r="AW146" s="166"/>
      <c r="AX146" s="166"/>
      <c r="AY146" s="166"/>
      <c r="AZ146" s="166"/>
      <c r="BA146" s="166"/>
      <c r="BB146" s="166"/>
      <c r="BC146" s="166"/>
      <c r="BD146" s="166"/>
      <c r="BE146" s="146" t="str">
        <f>'5.FieldEnergyUse'!D56</f>
        <v>tine harrow/seed handling transport</v>
      </c>
      <c r="BF146" s="593" t="e">
        <f ca="1">IF('5.FieldEnergyUse'!F56&gt;0,'5.FieldEnergyUse'!F56,NA())</f>
        <v>#N/A</v>
      </c>
      <c r="BG146" s="166"/>
      <c r="BH146" s="166"/>
      <c r="BI146" s="166"/>
      <c r="BJ146" s="166"/>
      <c r="BK146" s="166"/>
      <c r="BL146" s="166"/>
      <c r="BM146" s="166"/>
      <c r="BN146" s="166"/>
    </row>
    <row r="147" spans="1:66" ht="24.8" customHeight="1" thickBot="1" x14ac:dyDescent="0.3">
      <c r="A147" s="166"/>
      <c r="B147" s="381"/>
      <c r="C147" s="186"/>
      <c r="D147" s="186"/>
      <c r="E147" s="186"/>
      <c r="F147" s="186"/>
      <c r="G147" s="186"/>
      <c r="H147" s="186"/>
      <c r="I147" s="186"/>
      <c r="J147" s="186"/>
      <c r="K147" s="186"/>
      <c r="L147" s="186"/>
      <c r="M147" s="186"/>
      <c r="N147" s="186"/>
      <c r="O147" s="186"/>
      <c r="P147" s="186"/>
      <c r="Q147" s="186"/>
      <c r="R147" s="186"/>
      <c r="S147" s="499"/>
      <c r="T147" s="166"/>
      <c r="U147" s="166"/>
      <c r="V147" s="166"/>
      <c r="W147" s="166"/>
      <c r="X147" s="166"/>
      <c r="Y147" s="166"/>
      <c r="Z147" s="166"/>
      <c r="AA147" s="166"/>
      <c r="AB147" s="166"/>
      <c r="AC147" s="166"/>
      <c r="AD147" s="166"/>
      <c r="AE147" s="166"/>
      <c r="AF147" s="166"/>
      <c r="AG147" s="166"/>
      <c r="AH147" s="166"/>
      <c r="AI147" s="166"/>
      <c r="AJ147" s="166"/>
      <c r="AK147" s="166"/>
      <c r="AL147" s="166"/>
      <c r="AM147" s="166"/>
      <c r="AN147" s="166"/>
      <c r="AO147" s="166"/>
      <c r="AP147" s="166"/>
      <c r="AQ147" s="166"/>
      <c r="AR147" s="166"/>
      <c r="AS147" s="166"/>
      <c r="AT147" s="166"/>
      <c r="AU147" s="166"/>
      <c r="AV147" s="166"/>
      <c r="AW147" s="166"/>
      <c r="AX147" s="166"/>
      <c r="AY147" s="166"/>
      <c r="AZ147" s="166"/>
      <c r="BA147" s="166"/>
      <c r="BB147" s="166"/>
      <c r="BC147" s="166"/>
      <c r="BD147" s="166"/>
      <c r="BE147" s="146" t="str">
        <f>'5.FieldEnergyUse'!D57</f>
        <v>tooth harrow</v>
      </c>
      <c r="BF147" s="593" t="e">
        <f ca="1">IF('5.FieldEnergyUse'!F57&gt;0,'5.FieldEnergyUse'!F57,NA())</f>
        <v>#N/A</v>
      </c>
      <c r="BG147" s="166"/>
      <c r="BH147" s="166"/>
      <c r="BI147" s="166"/>
      <c r="BJ147" s="166"/>
      <c r="BK147" s="166"/>
      <c r="BL147" s="166"/>
      <c r="BM147" s="166"/>
      <c r="BN147" s="166"/>
    </row>
    <row r="148" spans="1:66" ht="21.75" customHeight="1" thickBot="1" x14ac:dyDescent="0.3">
      <c r="A148" s="166"/>
      <c r="B148" s="955"/>
      <c r="C148" s="1033" t="s">
        <v>1260</v>
      </c>
      <c r="D148" s="956"/>
      <c r="E148" s="956"/>
      <c r="F148" s="956"/>
      <c r="G148" s="956"/>
      <c r="H148" s="956"/>
      <c r="I148" s="956"/>
      <c r="J148" s="956"/>
      <c r="K148" s="956"/>
      <c r="L148" s="956"/>
      <c r="M148" s="956"/>
      <c r="N148" s="956"/>
      <c r="O148" s="956"/>
      <c r="P148" s="956"/>
      <c r="Q148" s="956"/>
      <c r="R148" s="956"/>
      <c r="S148" s="957"/>
      <c r="T148" s="166"/>
      <c r="U148" s="166"/>
      <c r="V148" s="166"/>
      <c r="W148" s="166"/>
      <c r="X148" s="166"/>
      <c r="Y148" s="166"/>
      <c r="Z148" s="166"/>
      <c r="AA148" s="166"/>
      <c r="AB148" s="166"/>
      <c r="AC148" s="166"/>
      <c r="AD148" s="166"/>
      <c r="AE148" s="166"/>
      <c r="AF148" s="166"/>
      <c r="AG148" s="166"/>
      <c r="AH148" s="166"/>
      <c r="AI148" s="166"/>
      <c r="AJ148" s="166"/>
      <c r="AK148" s="166"/>
      <c r="AL148" s="166"/>
      <c r="AM148" s="166"/>
      <c r="AN148" s="166"/>
      <c r="AO148" s="166"/>
      <c r="AP148" s="166"/>
      <c r="AQ148" s="166"/>
      <c r="AR148" s="166"/>
      <c r="AS148" s="166"/>
      <c r="AT148" s="166"/>
      <c r="AU148" s="166"/>
      <c r="AV148" s="166"/>
      <c r="AW148" s="166"/>
      <c r="AX148" s="166"/>
      <c r="AY148" s="166"/>
      <c r="AZ148" s="166"/>
      <c r="BA148" s="166"/>
      <c r="BB148" s="166"/>
      <c r="BC148" s="166"/>
      <c r="BD148" s="166"/>
      <c r="BE148" s="146" t="str">
        <f>'5.FieldEnergyUse'!D60</f>
        <v>herbicide spraying</v>
      </c>
      <c r="BF148" s="593">
        <f ca="1">IF('5.FieldEnergyUse'!F60&gt;0,'5.FieldEnergyUse'!F60,NA())</f>
        <v>40.32</v>
      </c>
      <c r="BG148" s="166"/>
      <c r="BH148" s="166"/>
      <c r="BI148" s="166"/>
      <c r="BJ148" s="166"/>
      <c r="BK148" s="166"/>
      <c r="BL148" s="166"/>
      <c r="BM148" s="166"/>
      <c r="BN148" s="166"/>
    </row>
    <row r="149" spans="1:66" ht="21.75" customHeight="1" thickBot="1" x14ac:dyDescent="0.3">
      <c r="A149" s="166"/>
      <c r="B149" s="483"/>
      <c r="C149" s="346"/>
      <c r="D149" s="346"/>
      <c r="E149" s="346"/>
      <c r="F149" s="186"/>
      <c r="G149" s="186"/>
      <c r="H149" s="186"/>
      <c r="I149" s="186"/>
      <c r="J149" s="186"/>
      <c r="K149" s="186"/>
      <c r="L149" s="186"/>
      <c r="M149" s="186"/>
      <c r="N149" s="186"/>
      <c r="O149" s="186"/>
      <c r="P149" s="186"/>
      <c r="Q149" s="186"/>
      <c r="R149" s="186"/>
      <c r="S149" s="347"/>
      <c r="T149" s="166"/>
      <c r="U149" s="166"/>
      <c r="V149" s="166"/>
      <c r="W149" s="166"/>
      <c r="X149" s="166"/>
      <c r="Y149" s="166"/>
      <c r="Z149" s="166"/>
      <c r="AA149" s="166"/>
      <c r="AB149" s="166"/>
      <c r="AC149" s="166"/>
      <c r="AD149" s="166"/>
      <c r="AE149" s="166"/>
      <c r="AF149" s="166"/>
      <c r="AG149" s="166"/>
      <c r="AH149" s="166"/>
      <c r="AI149" s="166"/>
      <c r="AJ149" s="166"/>
      <c r="AK149" s="166"/>
      <c r="AL149" s="166"/>
      <c r="AM149" s="166"/>
      <c r="AN149" s="166"/>
      <c r="AO149" s="166"/>
      <c r="AP149" s="166"/>
      <c r="AQ149" s="166"/>
      <c r="AR149" s="166"/>
      <c r="AS149" s="166"/>
      <c r="AT149" s="166"/>
      <c r="AU149" s="166"/>
      <c r="AV149" s="166"/>
      <c r="AW149" s="166"/>
      <c r="AX149" s="166"/>
      <c r="AY149" s="166"/>
      <c r="AZ149" s="166"/>
      <c r="BA149" s="166"/>
      <c r="BB149" s="166"/>
      <c r="BC149" s="166"/>
      <c r="BD149" s="166"/>
      <c r="BE149" s="146" t="str">
        <f>'5.FieldEnergyUse'!D61</f>
        <v>fertiliser spraying</v>
      </c>
      <c r="BF149" s="593">
        <f ca="1">IF('5.FieldEnergyUse'!F61&gt;0,'5.FieldEnergyUse'!F61,NA())</f>
        <v>21.6</v>
      </c>
      <c r="BG149" s="166"/>
      <c r="BH149" s="166"/>
      <c r="BI149" s="166"/>
      <c r="BJ149" s="166"/>
      <c r="BK149" s="166"/>
      <c r="BL149" s="166"/>
      <c r="BM149" s="166"/>
      <c r="BN149" s="166"/>
    </row>
    <row r="150" spans="1:66" ht="21.75" customHeight="1" x14ac:dyDescent="0.25">
      <c r="A150" s="166"/>
      <c r="B150" s="381"/>
      <c r="C150" s="483"/>
      <c r="D150" s="346"/>
      <c r="E150" s="346"/>
      <c r="F150" s="346"/>
      <c r="G150" s="346"/>
      <c r="H150" s="347"/>
      <c r="I150" s="186"/>
      <c r="J150" s="186"/>
      <c r="K150" s="186"/>
      <c r="L150" s="186"/>
      <c r="M150" s="186"/>
      <c r="N150" s="186"/>
      <c r="O150" s="186"/>
      <c r="P150" s="186"/>
      <c r="Q150" s="186"/>
      <c r="R150" s="186"/>
      <c r="S150" s="499"/>
      <c r="T150" s="166"/>
      <c r="U150" s="166"/>
      <c r="V150" s="166"/>
      <c r="W150" s="166"/>
      <c r="X150" s="166"/>
      <c r="Y150" s="166"/>
      <c r="Z150" s="166"/>
      <c r="AA150" s="166"/>
      <c r="AB150" s="166"/>
      <c r="AC150" s="166"/>
      <c r="AD150" s="166"/>
      <c r="AE150" s="166"/>
      <c r="AF150" s="166"/>
      <c r="AG150" s="166"/>
      <c r="AH150" s="166"/>
      <c r="AI150" s="166"/>
      <c r="AJ150" s="166"/>
      <c r="AK150" s="166"/>
      <c r="AL150" s="166"/>
      <c r="AM150" s="166"/>
      <c r="AN150" s="166"/>
      <c r="AO150" s="166"/>
      <c r="AP150" s="166"/>
      <c r="AQ150" s="166"/>
      <c r="AR150" s="166"/>
      <c r="AS150" s="166"/>
      <c r="AT150" s="166"/>
      <c r="AU150" s="166"/>
      <c r="AV150" s="166"/>
      <c r="AW150" s="166"/>
      <c r="AX150" s="166"/>
      <c r="AY150" s="166"/>
      <c r="AZ150" s="166"/>
      <c r="BA150" s="166"/>
      <c r="BB150" s="166"/>
      <c r="BC150" s="166"/>
      <c r="BD150" s="166"/>
      <c r="BE150" s="146" t="str">
        <f>'5.FieldEnergyUse'!D62</f>
        <v>fertiliser spreading</v>
      </c>
      <c r="BF150" s="593" t="e">
        <f ca="1">IF('5.FieldEnergyUse'!F62&gt;0,'5.FieldEnergyUse'!F62,NA())</f>
        <v>#N/A</v>
      </c>
      <c r="BG150" s="166"/>
      <c r="BH150" s="166"/>
      <c r="BI150" s="166"/>
      <c r="BJ150" s="166"/>
      <c r="BK150" s="166"/>
      <c r="BL150" s="166"/>
      <c r="BM150" s="166"/>
      <c r="BN150" s="166"/>
    </row>
    <row r="151" spans="1:66" ht="21.75" customHeight="1" x14ac:dyDescent="0.35">
      <c r="A151" s="166"/>
      <c r="B151" s="381"/>
      <c r="C151" s="1032" t="s">
        <v>832</v>
      </c>
      <c r="D151" s="186"/>
      <c r="E151" s="186"/>
      <c r="F151" s="186"/>
      <c r="G151" s="186"/>
      <c r="H151" s="499"/>
      <c r="I151" s="186"/>
      <c r="J151" s="186"/>
      <c r="K151" s="186"/>
      <c r="L151" s="186"/>
      <c r="M151" s="186"/>
      <c r="N151" s="186"/>
      <c r="O151" s="186"/>
      <c r="P151" s="186"/>
      <c r="Q151" s="186"/>
      <c r="R151" s="186"/>
      <c r="S151" s="499"/>
      <c r="T151" s="166"/>
      <c r="U151" s="166"/>
      <c r="V151" s="166"/>
      <c r="W151" s="166"/>
      <c r="X151" s="166"/>
      <c r="Y151" s="166"/>
      <c r="Z151" s="166"/>
      <c r="AA151" s="166"/>
      <c r="AB151" s="166"/>
      <c r="AC151" s="166"/>
      <c r="AD151" s="166"/>
      <c r="AE151" s="166"/>
      <c r="AF151" s="166"/>
      <c r="AG151" s="166"/>
      <c r="AH151" s="166"/>
      <c r="AI151" s="166"/>
      <c r="AJ151" s="166"/>
      <c r="AK151" s="166"/>
      <c r="AL151" s="166"/>
      <c r="AM151" s="166"/>
      <c r="AN151" s="166"/>
      <c r="AO151" s="166"/>
      <c r="AP151" s="166"/>
      <c r="AQ151" s="166"/>
      <c r="AR151" s="166"/>
      <c r="AS151" s="166"/>
      <c r="AT151" s="166"/>
      <c r="AU151" s="166"/>
      <c r="AV151" s="166"/>
      <c r="AW151" s="166"/>
      <c r="AX151" s="166"/>
      <c r="AY151" s="166"/>
      <c r="AZ151" s="166"/>
      <c r="BA151" s="166"/>
      <c r="BB151" s="166"/>
      <c r="BC151" s="166"/>
      <c r="BD151" s="166"/>
      <c r="BE151" s="146" t="str">
        <f>'5.FieldEnergyUse'!D67</f>
        <v>Baler</v>
      </c>
      <c r="BF151" s="593" t="e">
        <f ca="1">IF('5.FieldEnergyUse'!F67&gt;0,'5.FieldEnergyUse'!F67,NA())</f>
        <v>#N/A</v>
      </c>
      <c r="BG151" s="166"/>
      <c r="BH151" s="166"/>
      <c r="BI151" s="166"/>
      <c r="BJ151" s="166"/>
      <c r="BK151" s="166"/>
      <c r="BL151" s="166"/>
      <c r="BM151" s="166"/>
      <c r="BN151" s="166"/>
    </row>
    <row r="152" spans="1:66" ht="21.75" customHeight="1" x14ac:dyDescent="0.25">
      <c r="A152" s="166"/>
      <c r="B152" s="381"/>
      <c r="C152" s="381"/>
      <c r="D152" s="186"/>
      <c r="E152" s="186"/>
      <c r="F152" s="186"/>
      <c r="G152" s="186"/>
      <c r="H152" s="499"/>
      <c r="I152" s="186"/>
      <c r="J152" s="186"/>
      <c r="K152" s="186"/>
      <c r="L152" s="186"/>
      <c r="M152" s="186"/>
      <c r="N152" s="186"/>
      <c r="O152" s="186"/>
      <c r="P152" s="186"/>
      <c r="Q152" s="186"/>
      <c r="R152" s="186"/>
      <c r="S152" s="499"/>
      <c r="T152" s="166"/>
      <c r="U152" s="166"/>
      <c r="V152" s="166"/>
      <c r="W152" s="166"/>
      <c r="X152" s="166"/>
      <c r="Y152" s="166"/>
      <c r="Z152" s="166"/>
      <c r="AA152" s="166"/>
      <c r="AB152" s="166"/>
      <c r="AC152" s="166"/>
      <c r="AD152" s="166"/>
      <c r="AE152" s="166"/>
      <c r="AF152" s="166"/>
      <c r="AG152" s="166"/>
      <c r="AH152" s="166"/>
      <c r="AI152" s="166"/>
      <c r="AJ152" s="166"/>
      <c r="AK152" s="166"/>
      <c r="AL152" s="166"/>
      <c r="AM152" s="166"/>
      <c r="AN152" s="166"/>
      <c r="AO152" s="166"/>
      <c r="AP152" s="166"/>
      <c r="AQ152" s="166"/>
      <c r="AR152" s="166"/>
      <c r="AS152" s="166"/>
      <c r="AT152" s="166"/>
      <c r="AU152" s="166"/>
      <c r="AV152" s="166"/>
      <c r="AW152" s="166"/>
      <c r="AX152" s="166"/>
      <c r="AY152" s="166"/>
      <c r="AZ152" s="166"/>
      <c r="BA152" s="166"/>
      <c r="BB152" s="166"/>
      <c r="BC152" s="166"/>
      <c r="BD152" s="166"/>
      <c r="BE152" s="146" t="str">
        <f>'5.FieldEnergyUse'!D68</f>
        <v>Beet harvester</v>
      </c>
      <c r="BF152" s="593" t="e">
        <f ca="1">IF('5.FieldEnergyUse'!F68&gt;0,'5.FieldEnergyUse'!F68,NA())</f>
        <v>#N/A</v>
      </c>
      <c r="BG152" s="166"/>
      <c r="BH152" s="166"/>
      <c r="BI152" s="166"/>
      <c r="BJ152" s="166"/>
      <c r="BK152" s="166"/>
      <c r="BL152" s="166"/>
      <c r="BM152" s="166"/>
      <c r="BN152" s="166"/>
    </row>
    <row r="153" spans="1:66" ht="21.75" customHeight="1" x14ac:dyDescent="0.25">
      <c r="A153" s="166"/>
      <c r="B153" s="381"/>
      <c r="C153" s="381" t="str">
        <f ca="1">"Most of your energy emissions come from " &amp;AB156&amp; " - representing " &amp;AA157&amp; "% of the total."</f>
        <v>Most of your energy emissions come from Fossil Fuels - representing 100% of the total.</v>
      </c>
      <c r="D153" s="186"/>
      <c r="E153" s="186"/>
      <c r="F153" s="186"/>
      <c r="G153" s="186"/>
      <c r="H153" s="499"/>
      <c r="I153" s="186"/>
      <c r="J153" s="186"/>
      <c r="K153" s="186"/>
      <c r="L153" s="186"/>
      <c r="M153" s="186"/>
      <c r="N153" s="186"/>
      <c r="O153" s="186"/>
      <c r="P153" s="186"/>
      <c r="Q153" s="186"/>
      <c r="R153" s="186"/>
      <c r="S153" s="499"/>
      <c r="T153" s="166"/>
      <c r="U153" s="166"/>
      <c r="V153" s="166"/>
      <c r="W153" s="166"/>
      <c r="X153" s="166"/>
      <c r="Y153" s="166"/>
      <c r="Z153" s="166"/>
      <c r="AA153" s="166"/>
      <c r="AB153" s="166"/>
      <c r="AC153" s="166"/>
      <c r="AD153" s="166"/>
      <c r="AE153" s="166"/>
      <c r="AF153" s="166"/>
      <c r="AG153" s="166"/>
      <c r="AH153" s="166"/>
      <c r="AI153" s="166"/>
      <c r="AJ153" s="166"/>
      <c r="AK153" s="166"/>
      <c r="AL153" s="166"/>
      <c r="AM153" s="166"/>
      <c r="AN153" s="166"/>
      <c r="AO153" s="166"/>
      <c r="AP153" s="166"/>
      <c r="AQ153" s="166"/>
      <c r="AR153" s="166"/>
      <c r="AS153" s="166"/>
      <c r="AT153" s="166"/>
      <c r="AU153" s="166"/>
      <c r="AV153" s="166"/>
      <c r="AW153" s="166"/>
      <c r="AX153" s="166"/>
      <c r="AY153" s="166"/>
      <c r="AZ153" s="166"/>
      <c r="BA153" s="166"/>
      <c r="BB153" s="166"/>
      <c r="BC153" s="166"/>
      <c r="BD153" s="166"/>
      <c r="BE153" s="146" t="str">
        <f>'5.FieldEnergyUse'!D69</f>
        <v xml:space="preserve">combine </v>
      </c>
      <c r="BF153" s="593" t="e">
        <f ca="1">IF('5.FieldEnergyUse'!F69&gt;0,'5.FieldEnergyUse'!F69,NA())</f>
        <v>#N/A</v>
      </c>
      <c r="BG153" s="166"/>
      <c r="BH153" s="166"/>
      <c r="BI153" s="166"/>
      <c r="BJ153" s="166"/>
      <c r="BK153" s="166"/>
      <c r="BL153" s="166"/>
      <c r="BM153" s="166"/>
      <c r="BN153" s="166"/>
    </row>
    <row r="154" spans="1:66" ht="21.75" customHeight="1" x14ac:dyDescent="0.25">
      <c r="A154" s="166"/>
      <c r="B154" s="381"/>
      <c r="C154" s="381" t="str">
        <f ca="1">AB159&amp; " accounts for most (" &amp;AA160&amp; "%) of your energy use"</f>
        <v>On farm use accounts for most (100%) of your energy use</v>
      </c>
      <c r="D154" s="186"/>
      <c r="E154" s="186"/>
      <c r="F154" s="186"/>
      <c r="G154" s="186"/>
      <c r="H154" s="499"/>
      <c r="I154" s="186"/>
      <c r="J154" s="186"/>
      <c r="K154" s="186"/>
      <c r="L154" s="186"/>
      <c r="M154" s="186"/>
      <c r="N154" s="186"/>
      <c r="O154" s="186"/>
      <c r="P154" s="186"/>
      <c r="Q154" s="186"/>
      <c r="R154" s="186"/>
      <c r="S154" s="499"/>
      <c r="T154" s="166"/>
      <c r="U154" s="166"/>
      <c r="V154" s="166"/>
      <c r="W154" s="166"/>
      <c r="X154" s="166"/>
      <c r="Y154" s="166"/>
      <c r="Z154" s="166"/>
      <c r="AA154" s="166"/>
      <c r="AB154" s="166"/>
      <c r="AC154" s="166"/>
      <c r="AD154" s="166"/>
      <c r="AE154" s="166"/>
      <c r="AF154" s="166"/>
      <c r="AG154" s="166"/>
      <c r="AH154" s="166"/>
      <c r="AI154" s="166"/>
      <c r="AJ154" s="166"/>
      <c r="AK154" s="166"/>
      <c r="AL154" s="166"/>
      <c r="AM154" s="166"/>
      <c r="AN154" s="166"/>
      <c r="AO154" s="166"/>
      <c r="AP154" s="166"/>
      <c r="AQ154" s="166"/>
      <c r="AR154" s="166"/>
      <c r="AS154" s="166"/>
      <c r="AT154" s="166"/>
      <c r="AU154" s="166"/>
      <c r="AV154" s="166"/>
      <c r="AW154" s="166"/>
      <c r="AX154" s="166"/>
      <c r="AY154" s="166"/>
      <c r="AZ154" s="166"/>
      <c r="BA154" s="166"/>
      <c r="BB154" s="166"/>
      <c r="BC154" s="166"/>
      <c r="BD154" s="166"/>
      <c r="BE154" s="146" t="str">
        <f>'5.FieldEnergyUse'!D70</f>
        <v>corn combine</v>
      </c>
      <c r="BF154" s="593" t="e">
        <f ca="1">IF('5.FieldEnergyUse'!F70&gt;0,'5.FieldEnergyUse'!F70,NA())</f>
        <v>#N/A</v>
      </c>
      <c r="BG154" s="166"/>
      <c r="BH154" s="166"/>
      <c r="BI154" s="166"/>
      <c r="BJ154" s="166"/>
      <c r="BK154" s="166"/>
      <c r="BL154" s="166"/>
      <c r="BM154" s="166"/>
      <c r="BN154" s="166"/>
    </row>
    <row r="155" spans="1:66" ht="21.75" customHeight="1" x14ac:dyDescent="0.25">
      <c r="A155" s="166"/>
      <c r="B155" s="381"/>
      <c r="C155" s="381" t="str">
        <f ca="1">IF(AA163&gt;0,AC162&amp;AC163,"")</f>
        <v/>
      </c>
      <c r="D155" s="186"/>
      <c r="E155" s="186"/>
      <c r="F155" s="186"/>
      <c r="G155" s="186"/>
      <c r="H155" s="499"/>
      <c r="I155" s="186"/>
      <c r="J155" s="186"/>
      <c r="K155" s="186"/>
      <c r="L155" s="186"/>
      <c r="M155" s="186"/>
      <c r="N155" s="186"/>
      <c r="O155" s="186"/>
      <c r="P155" s="186"/>
      <c r="Q155" s="186"/>
      <c r="R155" s="186"/>
      <c r="S155" s="499"/>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c r="AT155" s="166"/>
      <c r="AU155" s="166"/>
      <c r="AV155" s="166"/>
      <c r="AW155" s="166"/>
      <c r="AX155" s="166"/>
      <c r="AY155" s="166"/>
      <c r="AZ155" s="166"/>
      <c r="BA155" s="166"/>
      <c r="BB155" s="166"/>
      <c r="BC155" s="166"/>
      <c r="BD155" s="166"/>
      <c r="BE155" s="146" t="str">
        <f>'5.FieldEnergyUse'!D71</f>
        <v>cotton picker</v>
      </c>
      <c r="BF155" s="593" t="e">
        <f ca="1">IF('5.FieldEnergyUse'!F71&gt;0,'5.FieldEnergyUse'!F71,NA())</f>
        <v>#N/A</v>
      </c>
      <c r="BG155" s="166"/>
      <c r="BH155" s="166"/>
      <c r="BI155" s="166"/>
      <c r="BJ155" s="166"/>
      <c r="BK155" s="166"/>
      <c r="BL155" s="166"/>
      <c r="BM155" s="166"/>
      <c r="BN155" s="166"/>
    </row>
    <row r="156" spans="1:66" ht="26.25" customHeight="1" thickBot="1" x14ac:dyDescent="0.3">
      <c r="A156" s="166"/>
      <c r="B156" s="381"/>
      <c r="C156" s="596"/>
      <c r="D156" s="493"/>
      <c r="E156" s="493"/>
      <c r="F156" s="493"/>
      <c r="G156" s="493"/>
      <c r="H156" s="561"/>
      <c r="I156" s="186"/>
      <c r="J156" s="186"/>
      <c r="K156" s="186"/>
      <c r="L156" s="186"/>
      <c r="M156" s="186"/>
      <c r="N156" s="186"/>
      <c r="O156" s="186"/>
      <c r="P156" s="186"/>
      <c r="Q156" s="186"/>
      <c r="R156" s="186"/>
      <c r="S156" s="499"/>
      <c r="T156" s="166"/>
      <c r="U156" s="166"/>
      <c r="V156" s="166"/>
      <c r="W156" s="166"/>
      <c r="X156" s="149" t="s">
        <v>620</v>
      </c>
      <c r="Y156" s="149" t="s">
        <v>602</v>
      </c>
      <c r="Z156" s="166"/>
      <c r="AA156" s="166">
        <f ca="1">MAX(E162:E165)</f>
        <v>299.2816715811403</v>
      </c>
      <c r="AB156" s="166" t="str">
        <f ca="1">IF(ISERROR(OFFSET(C161,SUMIF(E162:E165,AA156,AF156:AF159),0)),0,OFFSET(C161,SUMIF(E162:E165,AA156,AF156:AF159),0))</f>
        <v>Fossil Fuels</v>
      </c>
      <c r="AC156" s="166"/>
      <c r="AD156" s="166"/>
      <c r="AE156" s="166"/>
      <c r="AF156" s="166">
        <v>1</v>
      </c>
      <c r="AG156" s="166"/>
      <c r="AH156" s="166"/>
      <c r="AI156" s="166"/>
      <c r="AJ156" s="166"/>
      <c r="AK156" s="166"/>
      <c r="AL156" s="166"/>
      <c r="AM156" s="166"/>
      <c r="AN156" s="166"/>
      <c r="AO156" s="166"/>
      <c r="AP156" s="166"/>
      <c r="AQ156" s="166"/>
      <c r="AR156" s="166"/>
      <c r="AS156" s="166"/>
      <c r="AT156" s="166"/>
      <c r="AU156" s="166"/>
      <c r="AV156" s="166"/>
      <c r="AW156" s="166"/>
      <c r="AX156" s="166"/>
      <c r="AY156" s="166"/>
      <c r="AZ156" s="166"/>
      <c r="BA156" s="166"/>
      <c r="BB156" s="166"/>
      <c r="BC156" s="166"/>
      <c r="BD156" s="166"/>
      <c r="BE156" s="146" t="str">
        <f>'5.FieldEnergyUse'!D72</f>
        <v>cotton stripper/potato topper</v>
      </c>
      <c r="BF156" s="593" t="e">
        <f ca="1">IF('5.FieldEnergyUse'!F72&gt;0,'5.FieldEnergyUse'!F72,NA())</f>
        <v>#N/A</v>
      </c>
      <c r="BG156" s="166"/>
      <c r="BH156" s="166"/>
      <c r="BI156" s="166"/>
      <c r="BJ156" s="166"/>
      <c r="BK156" s="166"/>
      <c r="BL156" s="166"/>
      <c r="BM156" s="166"/>
      <c r="BN156" s="166"/>
    </row>
    <row r="157" spans="1:66" ht="26.25" customHeight="1" thickBot="1" x14ac:dyDescent="0.3">
      <c r="A157" s="166"/>
      <c r="B157" s="381"/>
      <c r="C157" s="186"/>
      <c r="D157" s="186"/>
      <c r="E157" s="186"/>
      <c r="F157" s="186"/>
      <c r="G157" s="186"/>
      <c r="H157" s="186"/>
      <c r="I157" s="186"/>
      <c r="J157" s="186"/>
      <c r="K157" s="186"/>
      <c r="L157" s="186"/>
      <c r="M157" s="186"/>
      <c r="N157" s="186"/>
      <c r="O157" s="186"/>
      <c r="P157" s="186"/>
      <c r="Q157" s="186"/>
      <c r="R157" s="186"/>
      <c r="S157" s="499"/>
      <c r="T157" s="166"/>
      <c r="U157" s="166"/>
      <c r="V157" s="166"/>
      <c r="W157" s="166"/>
      <c r="X157" s="166"/>
      <c r="Y157" s="166"/>
      <c r="Z157" s="166"/>
      <c r="AA157" s="166">
        <f ca="1">IF(ISERROR(100*AA156/(SUM(E162:E165))),0,100*AA156/(SUM(E162:E165)))</f>
        <v>100</v>
      </c>
      <c r="AB157" s="166"/>
      <c r="AC157" s="166"/>
      <c r="AD157" s="166"/>
      <c r="AE157" s="166"/>
      <c r="AF157" s="166">
        <v>2</v>
      </c>
      <c r="AG157" s="166"/>
      <c r="AH157" s="166"/>
      <c r="AI157" s="166"/>
      <c r="AJ157" s="166"/>
      <c r="AK157" s="166"/>
      <c r="AL157" s="166"/>
      <c r="AM157" s="166"/>
      <c r="AN157" s="166"/>
      <c r="AO157" s="166"/>
      <c r="AP157" s="166"/>
      <c r="AQ157" s="166"/>
      <c r="AR157" s="166"/>
      <c r="AS157" s="166"/>
      <c r="AT157" s="166"/>
      <c r="AU157" s="166"/>
      <c r="AV157" s="166"/>
      <c r="AW157" s="166"/>
      <c r="AX157" s="166"/>
      <c r="AY157" s="166"/>
      <c r="AZ157" s="166"/>
      <c r="BA157" s="166"/>
      <c r="BB157" s="166"/>
      <c r="BC157" s="166"/>
      <c r="BD157" s="166"/>
      <c r="BE157" s="146" t="str">
        <f>'5.FieldEnergyUse'!D73</f>
        <v>forage blower/washer</v>
      </c>
      <c r="BF157" s="593" t="e">
        <f ca="1">IF('5.FieldEnergyUse'!F73&gt;0,'5.FieldEnergyUse'!F73,NA())</f>
        <v>#N/A</v>
      </c>
      <c r="BG157" s="166"/>
      <c r="BH157" s="166"/>
      <c r="BI157" s="166"/>
      <c r="BJ157" s="166"/>
      <c r="BK157" s="166"/>
      <c r="BL157" s="166"/>
      <c r="BM157" s="166"/>
      <c r="BN157" s="166"/>
    </row>
    <row r="158" spans="1:66" ht="26.25" customHeight="1" thickBot="1" x14ac:dyDescent="0.3">
      <c r="A158" s="166"/>
      <c r="B158" s="381"/>
      <c r="C158" s="186"/>
      <c r="D158" s="1034" t="s">
        <v>602</v>
      </c>
      <c r="E158" s="1035" t="str">
        <f>D5</f>
        <v>kg CO2 eq</v>
      </c>
      <c r="F158" s="186"/>
      <c r="G158" s="186"/>
      <c r="H158" s="186"/>
      <c r="I158" s="186"/>
      <c r="J158" s="186"/>
      <c r="K158" s="186"/>
      <c r="L158" s="186"/>
      <c r="M158" s="186"/>
      <c r="N158" s="186"/>
      <c r="O158" s="186"/>
      <c r="P158" s="186"/>
      <c r="Q158" s="186"/>
      <c r="R158" s="186"/>
      <c r="S158" s="499"/>
      <c r="T158" s="166"/>
      <c r="U158" s="166"/>
      <c r="V158" s="166"/>
      <c r="W158" s="166"/>
      <c r="X158" s="166"/>
      <c r="Y158" s="166"/>
      <c r="Z158" s="166"/>
      <c r="AA158" s="166"/>
      <c r="AB158" s="166"/>
      <c r="AC158" s="166"/>
      <c r="AD158" s="166"/>
      <c r="AE158" s="166"/>
      <c r="AF158" s="166">
        <v>3</v>
      </c>
      <c r="AG158" s="166"/>
      <c r="AH158" s="166"/>
      <c r="AI158" s="166"/>
      <c r="AJ158" s="166"/>
      <c r="AK158" s="166"/>
      <c r="AL158" s="166"/>
      <c r="AM158" s="166"/>
      <c r="AN158" s="166"/>
      <c r="AO158" s="166"/>
      <c r="AP158" s="166"/>
      <c r="AQ158" s="166"/>
      <c r="AR158" s="166"/>
      <c r="AS158" s="166"/>
      <c r="AT158" s="166"/>
      <c r="AU158" s="166"/>
      <c r="AV158" s="166"/>
      <c r="AW158" s="166"/>
      <c r="AX158" s="166"/>
      <c r="AY158" s="166"/>
      <c r="AZ158" s="166"/>
      <c r="BA158" s="166"/>
      <c r="BB158" s="166"/>
      <c r="BC158" s="166"/>
      <c r="BD158" s="166"/>
      <c r="BE158" s="146" t="str">
        <f>'5.FieldEnergyUse'!D74</f>
        <v>forage harvester</v>
      </c>
      <c r="BF158" s="593" t="e">
        <f ca="1">IF('5.FieldEnergyUse'!F74&gt;0,'5.FieldEnergyUse'!F74,NA())</f>
        <v>#N/A</v>
      </c>
      <c r="BG158" s="166"/>
      <c r="BH158" s="166"/>
      <c r="BI158" s="166"/>
      <c r="BJ158" s="166"/>
      <c r="BK158" s="166"/>
      <c r="BL158" s="166"/>
      <c r="BM158" s="166"/>
      <c r="BN158" s="166"/>
    </row>
    <row r="159" spans="1:66" ht="26.25" customHeight="1" x14ac:dyDescent="0.25">
      <c r="A159" s="166"/>
      <c r="B159" s="381"/>
      <c r="C159" s="483" t="s">
        <v>951</v>
      </c>
      <c r="D159" s="564">
        <f>AL189+AL201+Y166</f>
        <v>0</v>
      </c>
      <c r="E159" s="587">
        <f ca="1">(AM189+AM201+E164)*SUMIF(AK$4:AK$7,D$5,AL$4:AL$7)</f>
        <v>0</v>
      </c>
      <c r="F159" s="186"/>
      <c r="G159" s="186"/>
      <c r="H159" s="186"/>
      <c r="I159" s="186"/>
      <c r="J159" s="186"/>
      <c r="K159" s="186"/>
      <c r="L159" s="186"/>
      <c r="M159" s="186"/>
      <c r="N159" s="186"/>
      <c r="O159" s="186"/>
      <c r="P159" s="186"/>
      <c r="Q159" s="186"/>
      <c r="R159" s="186"/>
      <c r="S159" s="499"/>
      <c r="T159" s="166"/>
      <c r="U159" s="166"/>
      <c r="V159" s="166"/>
      <c r="W159" s="166"/>
      <c r="X159" s="149"/>
      <c r="Y159" s="149"/>
      <c r="Z159" s="166"/>
      <c r="AA159" s="166">
        <f ca="1">MAX(D167:D168)</f>
        <v>4232.3788630317968</v>
      </c>
      <c r="AB159" s="166" t="str">
        <f ca="1">OFFSET(C166,SUMIF(D167:D168,AA159,AF156:AF157),0)</f>
        <v>On farm use</v>
      </c>
      <c r="AC159" s="166"/>
      <c r="AD159" s="166"/>
      <c r="AE159" s="166"/>
      <c r="AF159" s="166">
        <v>4</v>
      </c>
      <c r="AG159" s="166"/>
      <c r="AH159" s="166"/>
      <c r="AI159" s="166"/>
      <c r="AJ159" s="166"/>
      <c r="AK159" s="166"/>
      <c r="AL159" s="166"/>
      <c r="AM159" s="166"/>
      <c r="AN159" s="166"/>
      <c r="AO159" s="166"/>
      <c r="AP159" s="166"/>
      <c r="AQ159" s="166"/>
      <c r="AR159" s="166"/>
      <c r="AS159" s="166"/>
      <c r="AT159" s="166"/>
      <c r="AU159" s="166"/>
      <c r="AV159" s="166"/>
      <c r="AW159" s="166"/>
      <c r="AX159" s="166"/>
      <c r="AY159" s="166"/>
      <c r="AZ159" s="166"/>
      <c r="BA159" s="166"/>
      <c r="BB159" s="166"/>
      <c r="BC159" s="166"/>
      <c r="BD159" s="166"/>
      <c r="BE159" s="166"/>
      <c r="BF159" s="166"/>
      <c r="BG159" s="166"/>
      <c r="BH159" s="166"/>
      <c r="BI159" s="166"/>
      <c r="BJ159" s="166"/>
      <c r="BK159" s="166"/>
      <c r="BL159" s="166"/>
      <c r="BM159" s="166"/>
      <c r="BN159" s="166"/>
    </row>
    <row r="160" spans="1:66" ht="26.25" customHeight="1" thickBot="1" x14ac:dyDescent="0.3">
      <c r="A160" s="166"/>
      <c r="B160" s="381"/>
      <c r="C160" s="596" t="s">
        <v>990</v>
      </c>
      <c r="D160" s="590">
        <f>(AL188+AL200)-Y166</f>
        <v>0</v>
      </c>
      <c r="E160" s="285">
        <f ca="1">((AM188+AM200)-E164)*SUMIF(AK$4:AK$7,D$5,AL$4:AL$7)</f>
        <v>0</v>
      </c>
      <c r="F160" s="186"/>
      <c r="G160" s="186"/>
      <c r="H160" s="186"/>
      <c r="I160" s="186"/>
      <c r="J160" s="186"/>
      <c r="K160" s="186"/>
      <c r="L160" s="186"/>
      <c r="M160" s="186"/>
      <c r="N160" s="186"/>
      <c r="O160" s="186"/>
      <c r="P160" s="186"/>
      <c r="Q160" s="186"/>
      <c r="R160" s="186"/>
      <c r="S160" s="499"/>
      <c r="T160" s="166"/>
      <c r="U160" s="166"/>
      <c r="V160" s="166"/>
      <c r="W160" s="166"/>
      <c r="X160" s="166"/>
      <c r="Y160" s="166"/>
      <c r="Z160" s="166"/>
      <c r="AA160" s="166">
        <f ca="1">IF(ISERROR(100*AA159/(SUM(D167:D168))),0,100*AA159/(SUM(D167:D168)))</f>
        <v>100</v>
      </c>
      <c r="AB160" s="166"/>
      <c r="AC160" s="166"/>
      <c r="AD160" s="166"/>
      <c r="AE160" s="166"/>
      <c r="AF160" s="166"/>
      <c r="AG160" s="166"/>
      <c r="AH160" s="166"/>
      <c r="AI160" s="166"/>
      <c r="AJ160" s="166"/>
      <c r="AK160" s="166"/>
      <c r="AL160" s="166"/>
      <c r="AM160" s="166"/>
      <c r="AN160" s="166"/>
      <c r="AO160" s="166"/>
      <c r="AP160" s="166"/>
      <c r="AQ160" s="166"/>
      <c r="AR160" s="166"/>
      <c r="AS160" s="166"/>
      <c r="AT160" s="166"/>
      <c r="AU160" s="166"/>
      <c r="AV160" s="166"/>
      <c r="AW160" s="166"/>
      <c r="AX160" s="166"/>
      <c r="AY160" s="166"/>
      <c r="AZ160" s="166"/>
      <c r="BA160" s="166"/>
      <c r="BB160" s="166"/>
      <c r="BC160" s="166"/>
      <c r="BD160" s="166"/>
      <c r="BE160" s="166"/>
      <c r="BF160" s="166"/>
      <c r="BG160" s="166"/>
      <c r="BH160" s="166"/>
      <c r="BI160" s="166"/>
      <c r="BJ160" s="166"/>
      <c r="BK160" s="166"/>
      <c r="BL160" s="166"/>
      <c r="BM160" s="166"/>
      <c r="BN160" s="166"/>
    </row>
    <row r="161" spans="1:66" ht="26.25" customHeight="1" thickBot="1" x14ac:dyDescent="0.3">
      <c r="A161" s="166"/>
      <c r="B161" s="381"/>
      <c r="C161" s="186"/>
      <c r="D161" s="242"/>
      <c r="E161" s="242"/>
      <c r="F161" s="186"/>
      <c r="G161" s="186"/>
      <c r="H161" s="186"/>
      <c r="I161" s="186"/>
      <c r="J161" s="186"/>
      <c r="K161" s="186"/>
      <c r="L161" s="186"/>
      <c r="M161" s="186"/>
      <c r="N161" s="186"/>
      <c r="O161" s="186"/>
      <c r="P161" s="186"/>
      <c r="Q161" s="186"/>
      <c r="R161" s="186"/>
      <c r="S161" s="499"/>
      <c r="T161" s="166"/>
      <c r="U161" s="166"/>
      <c r="V161" s="166"/>
      <c r="W161" s="166"/>
      <c r="X161" s="166"/>
      <c r="Y161" s="166"/>
      <c r="Z161" s="166"/>
      <c r="AA161" s="166"/>
      <c r="AB161" s="166"/>
      <c r="AC161" s="166"/>
      <c r="AD161" s="166"/>
      <c r="AE161" s="166"/>
      <c r="AF161" s="166"/>
      <c r="AG161" s="166"/>
      <c r="AH161" s="166"/>
      <c r="AI161" s="166"/>
      <c r="AJ161" s="166"/>
      <c r="AK161" s="166"/>
      <c r="AL161" s="166"/>
      <c r="AM161" s="166"/>
      <c r="AN161" s="166"/>
      <c r="AO161" s="166"/>
      <c r="AP161" s="166"/>
      <c r="AQ161" s="166"/>
      <c r="AR161" s="166"/>
      <c r="AS161" s="166"/>
      <c r="AT161" s="166"/>
      <c r="AU161" s="166"/>
      <c r="AV161" s="166"/>
      <c r="AW161" s="166"/>
      <c r="AX161" s="166"/>
      <c r="AY161" s="166"/>
      <c r="AZ161" s="166"/>
      <c r="BA161" s="166"/>
      <c r="BB161" s="166"/>
      <c r="BC161" s="166"/>
      <c r="BD161" s="166"/>
      <c r="BE161" s="166"/>
      <c r="BF161" s="166"/>
      <c r="BG161" s="166"/>
      <c r="BH161" s="166"/>
      <c r="BI161" s="166"/>
      <c r="BJ161" s="166"/>
      <c r="BK161" s="166"/>
      <c r="BL161" s="166"/>
      <c r="BM161" s="166"/>
      <c r="BN161" s="166"/>
    </row>
    <row r="162" spans="1:66" ht="26.25" customHeight="1" x14ac:dyDescent="0.25">
      <c r="A162" s="166"/>
      <c r="B162" s="381"/>
      <c r="C162" s="626" t="str">
        <f>AK200</f>
        <v>Grid electricity</v>
      </c>
      <c r="D162" s="564">
        <f>AL200+AL188</f>
        <v>0</v>
      </c>
      <c r="E162" s="587">
        <f>(AM200+AM188)*SUMIF(AK$4:AK$7,D$5,AL$4:AL$7)</f>
        <v>0</v>
      </c>
      <c r="F162" s="186"/>
      <c r="G162" s="186"/>
      <c r="H162" s="186"/>
      <c r="I162" s="186"/>
      <c r="J162" s="186"/>
      <c r="K162" s="186"/>
      <c r="L162" s="186"/>
      <c r="M162" s="186"/>
      <c r="N162" s="186"/>
      <c r="O162" s="186"/>
      <c r="P162" s="186"/>
      <c r="Q162" s="186"/>
      <c r="R162" s="186"/>
      <c r="S162" s="499"/>
      <c r="T162" s="166"/>
      <c r="U162" s="166"/>
      <c r="V162" s="166"/>
      <c r="W162" s="166"/>
      <c r="X162" s="166"/>
      <c r="Y162" s="166"/>
      <c r="Z162" s="166"/>
      <c r="AA162" s="166">
        <f ca="1">MAX(E159:E160)</f>
        <v>0</v>
      </c>
      <c r="AB162" s="166" t="str">
        <f ca="1">IF(AA162&gt;0,OFFSET(C158,SUMIF(E159:E160,AA162,AF156:AF157),0),"None")</f>
        <v>None</v>
      </c>
      <c r="AC162" s="166" t="str">
        <f ca="1">AB162&amp; " constitutes " &amp;AA163&amp; "% of your electricity use."</f>
        <v>None constitutes 0% of your electricity use.</v>
      </c>
      <c r="AD162" s="166"/>
      <c r="AE162" s="166"/>
      <c r="AF162" s="166"/>
      <c r="AG162" s="166"/>
      <c r="AH162" s="166"/>
      <c r="AI162" s="166"/>
      <c r="AJ162" s="166"/>
      <c r="AK162" s="166"/>
      <c r="AL162" s="166"/>
      <c r="AM162" s="166"/>
      <c r="AN162" s="166"/>
      <c r="AO162" s="166"/>
      <c r="AP162" s="166"/>
      <c r="AQ162" s="166"/>
      <c r="AR162" s="166"/>
      <c r="AS162" s="166"/>
      <c r="AT162" s="166"/>
      <c r="AU162" s="166"/>
      <c r="AV162" s="166"/>
      <c r="AW162" s="166"/>
      <c r="AX162" s="166"/>
      <c r="AY162" s="166"/>
      <c r="AZ162" s="166"/>
      <c r="BA162" s="166"/>
      <c r="BB162" s="166"/>
      <c r="BC162" s="166"/>
      <c r="BD162" s="166"/>
      <c r="BE162" s="166"/>
      <c r="BF162" s="166"/>
      <c r="BG162" s="166"/>
      <c r="BH162" s="166"/>
      <c r="BI162" s="166"/>
      <c r="BJ162" s="166"/>
      <c r="BK162" s="166"/>
      <c r="BL162" s="166"/>
      <c r="BM162" s="166"/>
      <c r="BN162" s="166"/>
    </row>
    <row r="163" spans="1:66" ht="26.25" customHeight="1" x14ac:dyDescent="0.25">
      <c r="A163" s="166"/>
      <c r="B163" s="381"/>
      <c r="C163" s="627" t="str">
        <f>AK201</f>
        <v>Local wind, solar, hydro-electric</v>
      </c>
      <c r="D163" s="567">
        <f>AL201+AL189</f>
        <v>0</v>
      </c>
      <c r="E163" s="261">
        <f>(AM201+AM189)*SUMIF(AK$4:AK$7,D$5,AL$4:AL$7)</f>
        <v>0</v>
      </c>
      <c r="F163" s="186"/>
      <c r="G163" s="186"/>
      <c r="H163" s="186"/>
      <c r="I163" s="186"/>
      <c r="J163" s="186"/>
      <c r="K163" s="186"/>
      <c r="L163" s="186"/>
      <c r="M163" s="594"/>
      <c r="N163" s="594"/>
      <c r="O163" s="569"/>
      <c r="P163" s="186"/>
      <c r="Q163" s="186"/>
      <c r="R163" s="186"/>
      <c r="S163" s="499"/>
      <c r="T163" s="166"/>
      <c r="U163" s="166"/>
      <c r="V163" s="166"/>
      <c r="W163" s="166"/>
      <c r="X163" s="166"/>
      <c r="Y163" s="166"/>
      <c r="Z163" s="166"/>
      <c r="AA163" s="166">
        <f ca="1">IF(AA162&gt;0,100*AA162/(SUM(E159:E160)),0)</f>
        <v>0</v>
      </c>
      <c r="AB163" s="166"/>
      <c r="AC163" s="166" t="str">
        <f ca="1">IF(AB162=C160," Is it possible to consider renerwable options which may have lower emission factors?","")</f>
        <v/>
      </c>
      <c r="AD163" s="166"/>
      <c r="AE163" s="166"/>
      <c r="AF163" s="166"/>
      <c r="AG163" s="166"/>
      <c r="AH163" s="166"/>
      <c r="AI163" s="166"/>
      <c r="AJ163" s="166"/>
      <c r="AK163" s="166"/>
      <c r="AL163" s="166"/>
      <c r="AM163" s="166"/>
      <c r="AN163" s="166"/>
      <c r="AO163" s="166"/>
      <c r="AP163" s="166"/>
      <c r="AQ163" s="166"/>
      <c r="AR163" s="166"/>
      <c r="AS163" s="166"/>
      <c r="AT163" s="166"/>
      <c r="AU163" s="166"/>
      <c r="AV163" s="166"/>
      <c r="AW163" s="166"/>
      <c r="AX163" s="166"/>
      <c r="AY163" s="166"/>
      <c r="AZ163" s="166"/>
      <c r="BA163" s="166"/>
      <c r="BB163" s="166"/>
      <c r="BC163" s="166"/>
      <c r="BD163" s="149"/>
      <c r="BE163" s="149"/>
      <c r="BF163" s="149"/>
      <c r="BG163" s="149"/>
      <c r="BH163" s="149"/>
      <c r="BI163" s="149"/>
      <c r="BJ163" s="149"/>
      <c r="BK163" s="166"/>
      <c r="BL163" s="166"/>
      <c r="BM163" s="166"/>
      <c r="BN163" s="166"/>
    </row>
    <row r="164" spans="1:66" ht="26.25" customHeight="1" x14ac:dyDescent="0.25">
      <c r="A164" s="166"/>
      <c r="B164" s="381"/>
      <c r="C164" s="627" t="s">
        <v>762</v>
      </c>
      <c r="D164" s="567">
        <f ca="1">AL202+AL193+AL192+AL194</f>
        <v>0</v>
      </c>
      <c r="E164" s="261">
        <f ca="1">(AM202+AM193+AM192+AM194)*SUMIF(AK$4:AK$7,D$5,AL$4:AL$7)</f>
        <v>0</v>
      </c>
      <c r="F164" s="186"/>
      <c r="G164" s="186"/>
      <c r="H164" s="186"/>
      <c r="I164" s="186"/>
      <c r="J164" s="186"/>
      <c r="K164" s="186"/>
      <c r="L164" s="186"/>
      <c r="M164" s="595"/>
      <c r="N164" s="595"/>
      <c r="O164" s="186"/>
      <c r="P164" s="186"/>
      <c r="Q164" s="186"/>
      <c r="R164" s="186"/>
      <c r="S164" s="499"/>
      <c r="T164" s="166"/>
      <c r="U164" s="166"/>
      <c r="V164" s="166"/>
      <c r="W164" s="166"/>
      <c r="X164" s="149"/>
      <c r="Y164" s="149"/>
      <c r="Z164" s="166"/>
      <c r="AA164" s="166"/>
      <c r="AB164" s="166"/>
      <c r="AC164" s="166"/>
      <c r="AD164" s="166"/>
      <c r="AE164" s="166"/>
      <c r="AF164" s="166"/>
      <c r="AG164" s="166"/>
      <c r="AH164" s="166"/>
      <c r="AI164" s="166"/>
      <c r="AJ164" s="166"/>
      <c r="AK164" s="166"/>
      <c r="AL164" s="166"/>
      <c r="AM164" s="166"/>
      <c r="AN164" s="166"/>
      <c r="AO164" s="166"/>
      <c r="AP164" s="166"/>
      <c r="AQ164" s="166"/>
      <c r="AR164" s="166"/>
      <c r="AS164" s="166"/>
      <c r="AT164" s="166"/>
      <c r="AU164" s="166"/>
      <c r="AV164" s="166"/>
      <c r="AW164" s="166"/>
      <c r="AX164" s="166"/>
      <c r="AY164" s="166"/>
      <c r="AZ164" s="166"/>
      <c r="BA164" s="166"/>
      <c r="BB164" s="166"/>
      <c r="BC164" s="166"/>
      <c r="BD164" s="149"/>
      <c r="BE164" s="149"/>
      <c r="BF164" s="149"/>
      <c r="BG164" s="149"/>
      <c r="BH164" s="149"/>
      <c r="BI164" s="149"/>
      <c r="BJ164" s="149"/>
      <c r="BK164" s="166"/>
      <c r="BL164" s="166"/>
      <c r="BM164" s="166"/>
      <c r="BN164" s="166"/>
    </row>
    <row r="165" spans="1:66" ht="26.25" customHeight="1" thickBot="1" x14ac:dyDescent="0.3">
      <c r="A165" s="166"/>
      <c r="B165" s="381"/>
      <c r="C165" s="628" t="str">
        <f>AK203</f>
        <v>Fossil Fuels</v>
      </c>
      <c r="D165" s="590">
        <f ca="1">AL203+AL191+AL190+AL195</f>
        <v>4232.3788630317968</v>
      </c>
      <c r="E165" s="285">
        <f ca="1">(AM203+AM191+AM190+AM195)*SUMIF(AK$4:AK$7,D$5,AL$4:AL$7)</f>
        <v>299.2816715811403</v>
      </c>
      <c r="F165" s="186"/>
      <c r="G165" s="186"/>
      <c r="H165" s="186"/>
      <c r="I165" s="186"/>
      <c r="J165" s="186"/>
      <c r="K165" s="186"/>
      <c r="L165" s="186"/>
      <c r="M165" s="595"/>
      <c r="N165" s="595"/>
      <c r="O165" s="186"/>
      <c r="P165" s="186"/>
      <c r="Q165" s="186"/>
      <c r="R165" s="186"/>
      <c r="S165" s="499"/>
      <c r="T165" s="166"/>
      <c r="U165" s="166"/>
      <c r="V165" s="166"/>
      <c r="W165" s="166"/>
      <c r="X165" s="149"/>
      <c r="Y165" s="149"/>
      <c r="Z165" s="166"/>
      <c r="AA165" s="166"/>
      <c r="AB165" s="166"/>
      <c r="AC165" s="166"/>
      <c r="AD165" s="166"/>
      <c r="AE165" s="166"/>
      <c r="AF165" s="166"/>
      <c r="AG165" s="166"/>
      <c r="AH165" s="166"/>
      <c r="AI165" s="166"/>
      <c r="AJ165" s="166"/>
      <c r="AK165" s="166"/>
      <c r="AL165" s="166"/>
      <c r="AM165" s="166"/>
      <c r="AN165" s="166"/>
      <c r="AO165" s="166"/>
      <c r="AP165" s="166"/>
      <c r="AQ165" s="166"/>
      <c r="AR165" s="166"/>
      <c r="AS165" s="166"/>
      <c r="AT165" s="166"/>
      <c r="AU165" s="166"/>
      <c r="AV165" s="166"/>
      <c r="AW165" s="166"/>
      <c r="AX165" s="166"/>
      <c r="AY165" s="166"/>
      <c r="AZ165" s="166"/>
      <c r="BA165" s="166"/>
      <c r="BB165" s="166"/>
      <c r="BC165" s="166"/>
      <c r="BD165" s="149"/>
      <c r="BE165" s="149"/>
      <c r="BF165" s="149"/>
      <c r="BG165" s="149"/>
      <c r="BH165" s="149"/>
      <c r="BI165" s="149"/>
      <c r="BJ165" s="149"/>
      <c r="BK165" s="166"/>
      <c r="BL165" s="166"/>
      <c r="BM165" s="166"/>
      <c r="BN165" s="166"/>
    </row>
    <row r="166" spans="1:66" ht="16.600000000000001" customHeight="1" thickBot="1" x14ac:dyDescent="0.3">
      <c r="A166" s="166"/>
      <c r="B166" s="381"/>
      <c r="C166" s="186"/>
      <c r="D166" s="242"/>
      <c r="E166" s="242"/>
      <c r="F166" s="186"/>
      <c r="G166" s="186"/>
      <c r="H166" s="186"/>
      <c r="I166" s="186"/>
      <c r="J166" s="186"/>
      <c r="K166" s="186"/>
      <c r="L166" s="186"/>
      <c r="M166" s="595"/>
      <c r="N166" s="595"/>
      <c r="O166" s="186"/>
      <c r="P166" s="186"/>
      <c r="Q166" s="186"/>
      <c r="R166" s="186"/>
      <c r="S166" s="499"/>
      <c r="T166" s="166"/>
      <c r="U166" s="166"/>
      <c r="V166" s="166"/>
      <c r="W166" s="166"/>
      <c r="X166" s="149" t="s">
        <v>950</v>
      </c>
      <c r="Y166" s="149">
        <f>(AL188+AL200)*(SUMIF('A1. Submodels &amp; data'!B144:B337,'1.GeneralInfo'!E7,'A1. Submodels &amp; data'!D144:D337)/100)</f>
        <v>0</v>
      </c>
      <c r="Z166" s="166"/>
      <c r="AA166" s="166"/>
      <c r="AB166" s="166"/>
      <c r="AC166" s="166"/>
      <c r="AD166" s="166"/>
      <c r="AE166" s="166"/>
      <c r="AF166" s="166"/>
      <c r="AG166" s="166"/>
      <c r="AH166" s="166"/>
      <c r="AI166" s="166"/>
      <c r="AJ166" s="166"/>
      <c r="AK166" s="166"/>
      <c r="AL166" s="166"/>
      <c r="AM166" s="166"/>
      <c r="AN166" s="166"/>
      <c r="AO166" s="166"/>
      <c r="AP166" s="166"/>
      <c r="AQ166" s="166"/>
      <c r="AR166" s="166"/>
      <c r="AS166" s="166"/>
      <c r="AT166" s="166"/>
      <c r="AU166" s="166"/>
      <c r="AV166" s="166"/>
      <c r="AW166" s="166"/>
      <c r="AX166" s="166"/>
      <c r="AY166" s="166"/>
      <c r="AZ166" s="166"/>
      <c r="BA166" s="166"/>
      <c r="BB166" s="166"/>
      <c r="BC166" s="166"/>
      <c r="BD166" s="149"/>
      <c r="BE166" s="149"/>
      <c r="BF166" s="149"/>
      <c r="BG166" s="149"/>
      <c r="BH166" s="149"/>
      <c r="BI166" s="149"/>
      <c r="BJ166" s="149"/>
      <c r="BK166" s="166"/>
      <c r="BL166" s="166"/>
      <c r="BM166" s="166"/>
      <c r="BN166" s="166"/>
    </row>
    <row r="167" spans="1:66" ht="16.600000000000001" customHeight="1" x14ac:dyDescent="0.25">
      <c r="A167" s="166"/>
      <c r="B167" s="381"/>
      <c r="C167" s="626" t="s">
        <v>1130</v>
      </c>
      <c r="D167" s="564">
        <f ca="1">AL197</f>
        <v>4232.3788630317968</v>
      </c>
      <c r="E167" s="587">
        <f ca="1">AM197*SUMIF(AK$4:AK$7,D$5,AL$4:AL$7)</f>
        <v>299.2816715811403</v>
      </c>
      <c r="F167" s="186"/>
      <c r="G167" s="186"/>
      <c r="H167" s="186"/>
      <c r="I167" s="186"/>
      <c r="J167" s="186"/>
      <c r="K167" s="186"/>
      <c r="L167" s="186"/>
      <c r="M167" s="595"/>
      <c r="N167" s="595"/>
      <c r="O167" s="186"/>
      <c r="P167" s="186"/>
      <c r="Q167" s="186"/>
      <c r="R167" s="186"/>
      <c r="S167" s="499"/>
      <c r="T167" s="166"/>
      <c r="U167" s="166"/>
      <c r="V167" s="166"/>
      <c r="W167" s="166"/>
      <c r="X167" s="149" t="s">
        <v>620</v>
      </c>
      <c r="Y167" s="149" t="s">
        <v>602</v>
      </c>
      <c r="Z167" s="166"/>
      <c r="AA167" s="149"/>
      <c r="AB167" s="149"/>
      <c r="AC167" s="149"/>
      <c r="AD167" s="149"/>
      <c r="AE167" s="149"/>
      <c r="AF167" s="149"/>
      <c r="AG167" s="149"/>
      <c r="AH167" s="149"/>
      <c r="AI167" s="149"/>
      <c r="AJ167" s="149"/>
      <c r="AK167" s="149"/>
      <c r="AL167" s="149"/>
      <c r="AM167" s="149"/>
      <c r="AN167" s="149"/>
      <c r="AO167" s="166"/>
      <c r="AP167" s="166"/>
      <c r="AQ167" s="166"/>
      <c r="AR167" s="166"/>
      <c r="AS167" s="166"/>
      <c r="AT167" s="166"/>
      <c r="AU167" s="166"/>
      <c r="AV167" s="166"/>
      <c r="AW167" s="166"/>
      <c r="AX167" s="166"/>
      <c r="AY167" s="166"/>
      <c r="AZ167" s="166"/>
      <c r="BA167" s="166"/>
      <c r="BB167" s="166"/>
      <c r="BC167" s="166"/>
      <c r="BD167" s="149"/>
      <c r="BE167" s="149" t="str">
        <f>'5.FieldEnergyUse'!D75</f>
        <v>manure spreader</v>
      </c>
      <c r="BF167" s="278" t="e">
        <f ca="1">IF('5.FieldEnergyUse'!F75&gt;0,'5.FieldEnergyUse'!F75,NA())</f>
        <v>#N/A</v>
      </c>
      <c r="BG167" s="149"/>
      <c r="BH167" s="149"/>
      <c r="BI167" s="149"/>
      <c r="BJ167" s="149"/>
      <c r="BK167" s="166"/>
      <c r="BL167" s="166"/>
      <c r="BM167" s="166"/>
      <c r="BN167" s="166"/>
    </row>
    <row r="168" spans="1:66" ht="16.600000000000001" customHeight="1" thickBot="1" x14ac:dyDescent="0.3">
      <c r="A168" s="166"/>
      <c r="B168" s="381"/>
      <c r="C168" s="628" t="s">
        <v>952</v>
      </c>
      <c r="D168" s="590">
        <f ca="1">AL204</f>
        <v>0</v>
      </c>
      <c r="E168" s="285">
        <f ca="1">AM204*SUMIF(AK$4:AK$7,D$5,AL$4:AL$7)</f>
        <v>0</v>
      </c>
      <c r="F168" s="186"/>
      <c r="G168" s="186"/>
      <c r="H168" s="186"/>
      <c r="I168" s="186"/>
      <c r="J168" s="186"/>
      <c r="K168" s="186"/>
      <c r="L168" s="186"/>
      <c r="M168" s="186"/>
      <c r="N168" s="186"/>
      <c r="O168" s="186"/>
      <c r="P168" s="186"/>
      <c r="Q168" s="186"/>
      <c r="R168" s="186"/>
      <c r="S168" s="499"/>
      <c r="T168" s="166"/>
      <c r="U168" s="166"/>
      <c r="V168" s="166"/>
      <c r="W168" s="166"/>
      <c r="X168" s="166"/>
      <c r="Y168" s="166"/>
      <c r="Z168" s="166"/>
      <c r="AA168" s="149"/>
      <c r="AB168" s="149"/>
      <c r="AC168" s="149"/>
      <c r="AD168" s="149"/>
      <c r="AE168" s="149"/>
      <c r="AF168" s="149"/>
      <c r="AG168" s="149"/>
      <c r="AH168" s="149"/>
      <c r="AI168" s="149"/>
      <c r="AJ168" s="149"/>
      <c r="AK168" s="149"/>
      <c r="AL168" s="149"/>
      <c r="AM168" s="149"/>
      <c r="AN168" s="149"/>
      <c r="AO168" s="166"/>
      <c r="AP168" s="166"/>
      <c r="AQ168" s="166"/>
      <c r="AR168" s="166"/>
      <c r="AS168" s="166"/>
      <c r="AT168" s="166"/>
      <c r="AU168" s="166"/>
      <c r="AV168" s="166"/>
      <c r="AW168" s="166"/>
      <c r="AX168" s="166"/>
      <c r="AY168" s="166"/>
      <c r="AZ168" s="166"/>
      <c r="BA168" s="166"/>
      <c r="BB168" s="166"/>
      <c r="BC168" s="166"/>
      <c r="BD168" s="149"/>
      <c r="BE168" s="149" t="str">
        <f>'5.FieldEnergyUse'!D76</f>
        <v>mower/grader</v>
      </c>
      <c r="BF168" s="278" t="e">
        <f ca="1">IF('5.FieldEnergyUse'!F76&gt;0,'5.FieldEnergyUse'!F76,NA())</f>
        <v>#N/A</v>
      </c>
      <c r="BG168" s="149"/>
      <c r="BH168" s="149"/>
      <c r="BI168" s="149"/>
      <c r="BJ168" s="149"/>
      <c r="BK168" s="166"/>
      <c r="BL168" s="166"/>
      <c r="BM168" s="166"/>
      <c r="BN168" s="166"/>
    </row>
    <row r="169" spans="1:66" ht="3.75" customHeight="1" x14ac:dyDescent="0.25">
      <c r="A169" s="166"/>
      <c r="B169" s="381"/>
      <c r="C169" s="186"/>
      <c r="D169" s="186"/>
      <c r="E169" s="186"/>
      <c r="F169" s="186"/>
      <c r="G169" s="186"/>
      <c r="H169" s="186"/>
      <c r="I169" s="186"/>
      <c r="J169" s="186"/>
      <c r="K169" s="186"/>
      <c r="L169" s="186"/>
      <c r="M169" s="186"/>
      <c r="N169" s="186"/>
      <c r="O169" s="186"/>
      <c r="P169" s="186"/>
      <c r="Q169" s="186"/>
      <c r="R169" s="186"/>
      <c r="S169" s="499"/>
      <c r="T169" s="166"/>
      <c r="U169" s="166"/>
      <c r="V169" s="166"/>
      <c r="W169" s="166"/>
      <c r="X169" s="166"/>
      <c r="Y169" s="166"/>
      <c r="Z169" s="166"/>
      <c r="AA169" s="149"/>
      <c r="AB169" s="149"/>
      <c r="AC169" s="149"/>
      <c r="AD169" s="149"/>
      <c r="AE169" s="149"/>
      <c r="AF169" s="149"/>
      <c r="AG169" s="149"/>
      <c r="AH169" s="149"/>
      <c r="AI169" s="149"/>
      <c r="AJ169" s="149"/>
      <c r="AK169" s="149"/>
      <c r="AL169" s="149"/>
      <c r="AM169" s="149"/>
      <c r="AN169" s="149"/>
      <c r="AO169" s="166"/>
      <c r="AP169" s="166"/>
      <c r="AQ169" s="166"/>
      <c r="AR169" s="166"/>
      <c r="AS169" s="166"/>
      <c r="AT169" s="166"/>
      <c r="AU169" s="166"/>
      <c r="AV169" s="166"/>
      <c r="AW169" s="166"/>
      <c r="AX169" s="166"/>
      <c r="AY169" s="166"/>
      <c r="AZ169" s="166"/>
      <c r="BA169" s="166"/>
      <c r="BB169" s="166"/>
      <c r="BC169" s="166"/>
      <c r="BD169" s="149"/>
      <c r="BE169" s="149" t="str">
        <f>'5.FieldEnergyUse'!D77</f>
        <v>mower-conditioner</v>
      </c>
      <c r="BF169" s="278" t="e">
        <f ca="1">IF('5.FieldEnergyUse'!F77&gt;0,'5.FieldEnergyUse'!F77,NA())</f>
        <v>#N/A</v>
      </c>
      <c r="BG169" s="149"/>
      <c r="BH169" s="149"/>
      <c r="BI169" s="149"/>
      <c r="BJ169" s="149"/>
      <c r="BK169" s="166"/>
      <c r="BL169" s="166"/>
      <c r="BM169" s="166"/>
      <c r="BN169" s="166"/>
    </row>
    <row r="170" spans="1:66" ht="3.75" customHeight="1" x14ac:dyDescent="0.25">
      <c r="A170" s="166"/>
      <c r="B170" s="381"/>
      <c r="C170" s="186"/>
      <c r="D170" s="186"/>
      <c r="E170" s="186"/>
      <c r="F170" s="186"/>
      <c r="G170" s="186"/>
      <c r="H170" s="186"/>
      <c r="I170" s="186"/>
      <c r="J170" s="186"/>
      <c r="K170" s="186"/>
      <c r="L170" s="186"/>
      <c r="M170" s="186"/>
      <c r="N170" s="186"/>
      <c r="O170" s="186"/>
      <c r="P170" s="186"/>
      <c r="Q170" s="186"/>
      <c r="R170" s="186"/>
      <c r="S170" s="499"/>
      <c r="T170" s="166"/>
      <c r="U170" s="166"/>
      <c r="V170" s="166"/>
      <c r="W170" s="166"/>
      <c r="X170" s="166"/>
      <c r="Y170" s="166"/>
      <c r="Z170" s="149"/>
      <c r="AA170" s="149"/>
      <c r="AB170" s="149"/>
      <c r="AC170" s="149"/>
      <c r="AD170" s="149"/>
      <c r="AE170" s="149"/>
      <c r="AF170" s="149"/>
      <c r="AG170" s="149"/>
      <c r="AH170" s="149"/>
      <c r="AI170" s="149"/>
      <c r="AJ170" s="149"/>
      <c r="AK170" s="149"/>
      <c r="AL170" s="149"/>
      <c r="AM170" s="149"/>
      <c r="AN170" s="149"/>
      <c r="AO170" s="166"/>
      <c r="AP170" s="166"/>
      <c r="AQ170" s="166"/>
      <c r="AR170" s="166"/>
      <c r="AS170" s="166"/>
      <c r="AT170" s="166"/>
      <c r="AU170" s="166"/>
      <c r="AV170" s="166"/>
      <c r="AW170" s="166"/>
      <c r="AX170" s="166"/>
      <c r="AY170" s="166"/>
      <c r="AZ170" s="166"/>
      <c r="BA170" s="166"/>
      <c r="BB170" s="166"/>
      <c r="BC170" s="166"/>
      <c r="BD170" s="149"/>
      <c r="BE170" s="149" t="str">
        <f>'5.FieldEnergyUse'!D78</f>
        <v>potato harvester</v>
      </c>
      <c r="BF170" s="278" t="e">
        <f ca="1">IF('5.FieldEnergyUse'!F78&gt;0,'5.FieldEnergyUse'!F78,NA())</f>
        <v>#N/A</v>
      </c>
      <c r="BG170" s="149"/>
      <c r="BH170" s="149"/>
      <c r="BI170" s="149"/>
      <c r="BJ170" s="149"/>
      <c r="BK170" s="166"/>
      <c r="BL170" s="166"/>
      <c r="BM170" s="166"/>
      <c r="BN170" s="166"/>
    </row>
    <row r="171" spans="1:66" ht="3.75" customHeight="1" x14ac:dyDescent="0.25">
      <c r="A171" s="166"/>
      <c r="B171" s="381"/>
      <c r="C171" s="186"/>
      <c r="D171" s="186"/>
      <c r="E171" s="186"/>
      <c r="F171" s="186"/>
      <c r="G171" s="186"/>
      <c r="H171" s="186"/>
      <c r="I171" s="186"/>
      <c r="J171" s="186"/>
      <c r="K171" s="186"/>
      <c r="L171" s="186"/>
      <c r="M171" s="186"/>
      <c r="N171" s="186"/>
      <c r="O171" s="186"/>
      <c r="P171" s="186"/>
      <c r="Q171" s="186"/>
      <c r="R171" s="186"/>
      <c r="S171" s="499"/>
      <c r="T171" s="166"/>
      <c r="U171" s="166"/>
      <c r="V171" s="166"/>
      <c r="W171" s="166"/>
      <c r="X171" s="166"/>
      <c r="Y171" s="166"/>
      <c r="Z171" s="149"/>
      <c r="AA171" s="149"/>
      <c r="AB171" s="149"/>
      <c r="AC171" s="149"/>
      <c r="AD171" s="149"/>
      <c r="AE171" s="149"/>
      <c r="AF171" s="149"/>
      <c r="AG171" s="149"/>
      <c r="AH171" s="149"/>
      <c r="AI171" s="149"/>
      <c r="AJ171" s="149"/>
      <c r="AK171" s="149"/>
      <c r="AL171" s="149"/>
      <c r="AM171" s="149"/>
      <c r="AN171" s="149"/>
      <c r="AO171" s="166"/>
      <c r="AP171" s="166"/>
      <c r="AQ171" s="166"/>
      <c r="AR171" s="166"/>
      <c r="AS171" s="166"/>
      <c r="AT171" s="166"/>
      <c r="AU171" s="166"/>
      <c r="AV171" s="166"/>
      <c r="AW171" s="166"/>
      <c r="AX171" s="166"/>
      <c r="AY171" s="166"/>
      <c r="AZ171" s="166"/>
      <c r="BA171" s="166"/>
      <c r="BB171" s="166"/>
      <c r="BC171" s="166"/>
      <c r="BD171" s="149"/>
      <c r="BE171" s="149" t="str">
        <f>'5.FieldEnergyUse'!D79</f>
        <v>potato windrower</v>
      </c>
      <c r="BF171" s="278" t="e">
        <f ca="1">IF('5.FieldEnergyUse'!F79&gt;0,'5.FieldEnergyUse'!F79,NA())</f>
        <v>#N/A</v>
      </c>
      <c r="BG171" s="149"/>
      <c r="BH171" s="149"/>
      <c r="BI171" s="149"/>
      <c r="BJ171" s="149"/>
      <c r="BK171" s="166"/>
      <c r="BL171" s="166"/>
      <c r="BM171" s="166"/>
      <c r="BN171" s="166"/>
    </row>
    <row r="172" spans="1:66" ht="3.75" customHeight="1" x14ac:dyDescent="0.25">
      <c r="A172" s="166"/>
      <c r="B172" s="381"/>
      <c r="C172" s="186"/>
      <c r="D172" s="186"/>
      <c r="E172" s="186"/>
      <c r="F172" s="186"/>
      <c r="G172" s="186"/>
      <c r="H172" s="186"/>
      <c r="I172" s="186"/>
      <c r="J172" s="186"/>
      <c r="K172" s="186"/>
      <c r="L172" s="186"/>
      <c r="M172" s="186"/>
      <c r="N172" s="186"/>
      <c r="O172" s="186"/>
      <c r="P172" s="186"/>
      <c r="Q172" s="186"/>
      <c r="R172" s="186"/>
      <c r="S172" s="499"/>
      <c r="T172" s="166"/>
      <c r="U172" s="166"/>
      <c r="V172" s="166"/>
      <c r="W172" s="166"/>
      <c r="X172" s="166"/>
      <c r="Y172" s="166"/>
      <c r="Z172" s="149"/>
      <c r="AA172" s="149"/>
      <c r="AB172" s="149"/>
      <c r="AC172" s="149"/>
      <c r="AD172" s="149"/>
      <c r="AE172" s="149"/>
      <c r="AF172" s="149"/>
      <c r="AG172" s="149"/>
      <c r="AH172" s="149"/>
      <c r="AI172" s="149"/>
      <c r="AJ172" s="149"/>
      <c r="AK172" s="149"/>
      <c r="AL172" s="149"/>
      <c r="AM172" s="149"/>
      <c r="AN172" s="149"/>
      <c r="AO172" s="166"/>
      <c r="AP172" s="166"/>
      <c r="AQ172" s="166"/>
      <c r="AR172" s="166"/>
      <c r="AS172" s="166"/>
      <c r="AT172" s="166"/>
      <c r="AU172" s="166"/>
      <c r="AV172" s="166"/>
      <c r="AW172" s="166"/>
      <c r="AX172" s="166"/>
      <c r="AY172" s="166"/>
      <c r="AZ172" s="166"/>
      <c r="BA172" s="166"/>
      <c r="BB172" s="166"/>
      <c r="BC172" s="166"/>
      <c r="BD172" s="149"/>
      <c r="BE172" s="149" t="str">
        <f>'5.FieldEnergyUse'!D80</f>
        <v>rake</v>
      </c>
      <c r="BF172" s="278" t="e">
        <f ca="1">IF('5.FieldEnergyUse'!F80&gt;0,'5.FieldEnergyUse'!F80,NA())</f>
        <v>#N/A</v>
      </c>
      <c r="BG172" s="149"/>
      <c r="BH172" s="149"/>
      <c r="BI172" s="149"/>
      <c r="BJ172" s="149"/>
      <c r="BK172" s="166"/>
      <c r="BL172" s="166"/>
      <c r="BM172" s="166"/>
      <c r="BN172" s="166"/>
    </row>
    <row r="173" spans="1:66" ht="3.75" customHeight="1" x14ac:dyDescent="0.25">
      <c r="A173" s="166"/>
      <c r="B173" s="381"/>
      <c r="C173" s="186"/>
      <c r="D173" s="186"/>
      <c r="E173" s="186"/>
      <c r="F173" s="186"/>
      <c r="G173" s="186"/>
      <c r="H173" s="186"/>
      <c r="I173" s="186"/>
      <c r="J173" s="186"/>
      <c r="K173" s="186"/>
      <c r="L173" s="186"/>
      <c r="M173" s="186"/>
      <c r="N173" s="186"/>
      <c r="O173" s="186"/>
      <c r="P173" s="186"/>
      <c r="Q173" s="186"/>
      <c r="R173" s="186"/>
      <c r="S173" s="499"/>
      <c r="T173" s="166"/>
      <c r="U173" s="166"/>
      <c r="V173" s="166"/>
      <c r="W173" s="166"/>
      <c r="X173" s="166"/>
      <c r="Y173" s="166"/>
      <c r="Z173" s="149"/>
      <c r="AA173" s="149"/>
      <c r="AB173" s="149"/>
      <c r="AC173" s="149"/>
      <c r="AD173" s="149"/>
      <c r="AE173" s="149"/>
      <c r="AF173" s="149"/>
      <c r="AG173" s="149"/>
      <c r="AH173" s="149"/>
      <c r="AI173" s="149"/>
      <c r="AJ173" s="149"/>
      <c r="AK173" s="149"/>
      <c r="AL173" s="149"/>
      <c r="AM173" s="149"/>
      <c r="AN173" s="149"/>
      <c r="AO173" s="166"/>
      <c r="AP173" s="166"/>
      <c r="AQ173" s="166"/>
      <c r="AR173" s="166"/>
      <c r="AS173" s="166"/>
      <c r="AT173" s="166"/>
      <c r="AU173" s="166"/>
      <c r="AV173" s="166"/>
      <c r="AW173" s="166"/>
      <c r="AX173" s="166"/>
      <c r="AY173" s="166"/>
      <c r="AZ173" s="166"/>
      <c r="BA173" s="166"/>
      <c r="BB173" s="166"/>
      <c r="BC173" s="166"/>
      <c r="BD173" s="149"/>
      <c r="BE173" s="149" t="str">
        <f>'5.FieldEnergyUse'!D82</f>
        <v>windrower/swather</v>
      </c>
      <c r="BF173" s="278" t="e">
        <f ca="1">IF('5.FieldEnergyUse'!F82&gt;0,'5.FieldEnergyUse'!F82,NA())</f>
        <v>#N/A</v>
      </c>
      <c r="BG173" s="149"/>
      <c r="BH173" s="149"/>
      <c r="BI173" s="149"/>
      <c r="BJ173" s="149"/>
      <c r="BK173" s="166"/>
      <c r="BL173" s="166"/>
      <c r="BM173" s="166"/>
      <c r="BN173" s="166"/>
    </row>
    <row r="174" spans="1:66" ht="3.75" customHeight="1" x14ac:dyDescent="0.25">
      <c r="A174" s="166"/>
      <c r="B174" s="381"/>
      <c r="C174" s="186"/>
      <c r="D174" s="186"/>
      <c r="E174" s="186"/>
      <c r="F174" s="186"/>
      <c r="G174" s="186"/>
      <c r="H174" s="186"/>
      <c r="I174" s="186"/>
      <c r="J174" s="186"/>
      <c r="K174" s="186"/>
      <c r="L174" s="186"/>
      <c r="M174" s="186"/>
      <c r="N174" s="186"/>
      <c r="O174" s="186"/>
      <c r="P174" s="186"/>
      <c r="Q174" s="186"/>
      <c r="R174" s="186"/>
      <c r="S174" s="499"/>
      <c r="T174" s="166"/>
      <c r="U174" s="166"/>
      <c r="V174" s="166"/>
      <c r="W174" s="166"/>
      <c r="X174" s="166"/>
      <c r="Y174" s="166"/>
      <c r="Z174" s="149"/>
      <c r="AA174" s="149"/>
      <c r="AB174" s="149"/>
      <c r="AC174" s="149"/>
      <c r="AD174" s="149"/>
      <c r="AE174" s="149"/>
      <c r="AF174" s="149"/>
      <c r="AG174" s="149"/>
      <c r="AH174" s="149"/>
      <c r="AI174" s="149"/>
      <c r="AJ174" s="149"/>
      <c r="AK174" s="149"/>
      <c r="AL174" s="149"/>
      <c r="AM174" s="149"/>
      <c r="AN174" s="149"/>
      <c r="AO174" s="166"/>
      <c r="AP174" s="166"/>
      <c r="AQ174" s="166"/>
      <c r="AR174" s="166"/>
      <c r="AS174" s="166"/>
      <c r="AT174" s="166"/>
      <c r="AU174" s="166"/>
      <c r="AV174" s="166"/>
      <c r="AW174" s="166"/>
      <c r="AX174" s="166"/>
      <c r="AY174" s="166"/>
      <c r="AZ174" s="166"/>
      <c r="BA174" s="166"/>
      <c r="BB174" s="166"/>
      <c r="BC174" s="166"/>
      <c r="BD174" s="149"/>
      <c r="BE174" s="149"/>
      <c r="BF174" s="149"/>
      <c r="BG174" s="149"/>
      <c r="BH174" s="149"/>
      <c r="BI174" s="149"/>
      <c r="BJ174" s="149"/>
      <c r="BK174" s="166"/>
      <c r="BL174" s="166"/>
      <c r="BM174" s="166"/>
      <c r="BN174" s="166"/>
    </row>
    <row r="175" spans="1:66" ht="3.75" customHeight="1" thickBot="1" x14ac:dyDescent="0.3">
      <c r="A175" s="166"/>
      <c r="B175" s="596"/>
      <c r="C175" s="493"/>
      <c r="D175" s="493"/>
      <c r="E175" s="493"/>
      <c r="F175" s="493"/>
      <c r="G175" s="493"/>
      <c r="H175" s="493"/>
      <c r="I175" s="493"/>
      <c r="J175" s="493"/>
      <c r="K175" s="493"/>
      <c r="L175" s="493"/>
      <c r="M175" s="493"/>
      <c r="N175" s="493"/>
      <c r="O175" s="493"/>
      <c r="P175" s="493"/>
      <c r="Q175" s="493"/>
      <c r="R175" s="493"/>
      <c r="S175" s="561"/>
      <c r="T175" s="166"/>
      <c r="U175" s="166"/>
      <c r="V175" s="146"/>
      <c r="W175" s="146"/>
      <c r="X175" s="166"/>
      <c r="Y175" s="149"/>
      <c r="Z175" s="149"/>
      <c r="AA175" s="149"/>
      <c r="AB175" s="149"/>
      <c r="AC175" s="149"/>
      <c r="AD175" s="149"/>
      <c r="AE175" s="149"/>
      <c r="AF175" s="149"/>
      <c r="AG175" s="149"/>
      <c r="AH175" s="149"/>
      <c r="AI175" s="149"/>
      <c r="AJ175" s="149"/>
      <c r="AK175" s="149"/>
      <c r="AL175" s="149"/>
      <c r="AM175" s="149"/>
      <c r="AN175" s="149"/>
      <c r="AO175" s="166"/>
      <c r="AP175" s="166"/>
      <c r="AQ175" s="166"/>
      <c r="AR175" s="166"/>
      <c r="AS175" s="166"/>
      <c r="AT175" s="166"/>
      <c r="AU175" s="166"/>
      <c r="AV175" s="166"/>
      <c r="AW175" s="166"/>
      <c r="AX175" s="166"/>
      <c r="AY175" s="166"/>
      <c r="AZ175" s="166"/>
      <c r="BA175" s="166"/>
      <c r="BB175" s="166"/>
      <c r="BC175" s="166"/>
      <c r="BD175" s="149"/>
      <c r="BE175" s="149"/>
      <c r="BF175" s="149"/>
      <c r="BG175" s="149"/>
      <c r="BH175" s="149"/>
      <c r="BI175" s="149"/>
      <c r="BJ175" s="149"/>
      <c r="BK175" s="166"/>
      <c r="BL175" s="166"/>
      <c r="BM175" s="166"/>
      <c r="BN175" s="166"/>
    </row>
    <row r="176" spans="1:66" ht="23.2" customHeight="1" thickBot="1" x14ac:dyDescent="0.3">
      <c r="A176" s="166"/>
      <c r="B176" s="955"/>
      <c r="C176" s="1033" t="s">
        <v>102</v>
      </c>
      <c r="D176" s="956"/>
      <c r="E176" s="956"/>
      <c r="F176" s="956"/>
      <c r="G176" s="956"/>
      <c r="H176" s="956"/>
      <c r="I176" s="956"/>
      <c r="J176" s="956"/>
      <c r="K176" s="956"/>
      <c r="L176" s="956"/>
      <c r="M176" s="956"/>
      <c r="N176" s="956"/>
      <c r="O176" s="956"/>
      <c r="P176" s="956"/>
      <c r="Q176" s="956"/>
      <c r="R176" s="956"/>
      <c r="S176" s="957"/>
      <c r="T176" s="166"/>
      <c r="U176" s="166"/>
      <c r="V176" s="166"/>
      <c r="W176" s="166"/>
      <c r="X176" s="166"/>
      <c r="Y176" s="149"/>
      <c r="Z176" s="149"/>
      <c r="AA176" s="149"/>
      <c r="AB176" s="149"/>
      <c r="AC176" s="149"/>
      <c r="AD176" s="149"/>
      <c r="AE176" s="149"/>
      <c r="AF176" s="149"/>
      <c r="AG176" s="149"/>
      <c r="AH176" s="149"/>
      <c r="AI176" s="149"/>
      <c r="AJ176" s="149"/>
      <c r="AK176" s="149"/>
      <c r="AL176" s="149"/>
      <c r="AM176" s="149"/>
      <c r="AN176" s="149"/>
      <c r="AO176" s="166"/>
      <c r="AP176" s="166"/>
      <c r="AQ176" s="166"/>
      <c r="AR176" s="166"/>
      <c r="AS176" s="166"/>
      <c r="AT176" s="166"/>
      <c r="AU176" s="166"/>
      <c r="AV176" s="166"/>
      <c r="AW176" s="166"/>
      <c r="AX176" s="166"/>
      <c r="AY176" s="166"/>
      <c r="AZ176" s="166"/>
      <c r="BA176" s="166"/>
      <c r="BB176" s="166"/>
      <c r="BC176" s="166"/>
      <c r="BD176" s="149"/>
      <c r="BE176" s="149"/>
      <c r="BF176" s="149"/>
      <c r="BG176" s="149"/>
      <c r="BH176" s="149"/>
      <c r="BI176" s="149"/>
      <c r="BJ176" s="149"/>
      <c r="BK176" s="166"/>
      <c r="BL176" s="166"/>
      <c r="BM176" s="166"/>
      <c r="BN176" s="166"/>
    </row>
    <row r="177" spans="1:66" x14ac:dyDescent="0.25">
      <c r="A177" s="166"/>
      <c r="B177" s="483"/>
      <c r="C177" s="346"/>
      <c r="D177" s="346"/>
      <c r="E177" s="346"/>
      <c r="F177" s="346"/>
      <c r="G177" s="346"/>
      <c r="H177" s="346"/>
      <c r="I177" s="346"/>
      <c r="J177" s="346"/>
      <c r="K177" s="346"/>
      <c r="L177" s="346"/>
      <c r="M177" s="346"/>
      <c r="N177" s="346"/>
      <c r="O177" s="346"/>
      <c r="P177" s="346"/>
      <c r="Q177" s="346"/>
      <c r="R177" s="346"/>
      <c r="S177" s="347"/>
      <c r="T177" s="166"/>
      <c r="U177" s="166"/>
      <c r="V177" s="166"/>
      <c r="W177" s="166"/>
      <c r="X177" s="166"/>
      <c r="Y177" s="149"/>
      <c r="Z177" s="149"/>
      <c r="AA177" s="149"/>
      <c r="AB177" s="149"/>
      <c r="AC177" s="149"/>
      <c r="AD177" s="149"/>
      <c r="AE177" s="149"/>
      <c r="AF177" s="149"/>
      <c r="AG177" s="149"/>
      <c r="AH177" s="149"/>
      <c r="AI177" s="149"/>
      <c r="AJ177" s="149"/>
      <c r="AK177" s="149"/>
      <c r="AL177" s="149"/>
      <c r="AM177" s="149"/>
      <c r="AN177" s="149"/>
      <c r="AO177" s="166"/>
      <c r="AP177" s="166"/>
      <c r="AQ177" s="166"/>
      <c r="AR177" s="166"/>
      <c r="AS177" s="166"/>
      <c r="AT177" s="166"/>
      <c r="AU177" s="166"/>
      <c r="AV177" s="166"/>
      <c r="AW177" s="166"/>
      <c r="AX177" s="166"/>
      <c r="AY177" s="166"/>
      <c r="AZ177" s="166"/>
      <c r="BA177" s="166"/>
      <c r="BB177" s="166"/>
      <c r="BC177" s="166"/>
      <c r="BD177" s="149"/>
      <c r="BE177" s="149"/>
      <c r="BF177" s="149"/>
      <c r="BG177" s="149"/>
      <c r="BH177" s="149"/>
      <c r="BI177" s="149"/>
      <c r="BJ177" s="149"/>
      <c r="BK177" s="166"/>
      <c r="BL177" s="166"/>
      <c r="BM177" s="166"/>
      <c r="BN177" s="166"/>
    </row>
    <row r="178" spans="1:66" x14ac:dyDescent="0.25">
      <c r="A178" s="166"/>
      <c r="B178" s="381"/>
      <c r="C178" s="186"/>
      <c r="D178" s="186"/>
      <c r="E178" s="186"/>
      <c r="F178" s="186"/>
      <c r="G178" s="186"/>
      <c r="H178" s="186"/>
      <c r="I178" s="186"/>
      <c r="J178" s="186"/>
      <c r="K178" s="186"/>
      <c r="L178" s="186"/>
      <c r="M178" s="186"/>
      <c r="N178" s="186"/>
      <c r="O178" s="186"/>
      <c r="P178" s="186"/>
      <c r="Q178" s="186"/>
      <c r="R178" s="186"/>
      <c r="S178" s="499"/>
      <c r="T178" s="166"/>
      <c r="U178" s="166"/>
      <c r="V178" s="166"/>
      <c r="W178" s="166"/>
      <c r="X178" s="166"/>
      <c r="Y178" s="149"/>
      <c r="Z178" s="149"/>
      <c r="AA178" s="149"/>
      <c r="AB178" s="149"/>
      <c r="AC178" s="149"/>
      <c r="AD178" s="149"/>
      <c r="AE178" s="149"/>
      <c r="AF178" s="149"/>
      <c r="AG178" s="149"/>
      <c r="AH178" s="149"/>
      <c r="AI178" s="149"/>
      <c r="AJ178" s="149"/>
      <c r="AK178" s="149"/>
      <c r="AL178" s="149"/>
      <c r="AM178" s="149"/>
      <c r="AN178" s="149"/>
      <c r="AO178" s="166"/>
      <c r="AP178" s="166"/>
      <c r="AQ178" s="166"/>
      <c r="AR178" s="166"/>
      <c r="AS178" s="166"/>
      <c r="AT178" s="166"/>
      <c r="AU178" s="166"/>
      <c r="AV178" s="166"/>
      <c r="AW178" s="166"/>
      <c r="AX178" s="166"/>
      <c r="AY178" s="166"/>
      <c r="AZ178" s="166"/>
      <c r="BA178" s="166"/>
      <c r="BB178" s="166"/>
      <c r="BC178" s="166"/>
      <c r="BD178" s="166"/>
      <c r="BE178" s="166"/>
      <c r="BF178" s="166"/>
      <c r="BG178" s="166"/>
      <c r="BH178" s="166"/>
      <c r="BI178" s="166"/>
      <c r="BJ178" s="166"/>
      <c r="BK178" s="166"/>
      <c r="BL178" s="166"/>
      <c r="BM178" s="166"/>
      <c r="BN178" s="166"/>
    </row>
    <row r="179" spans="1:66" ht="13.25" thickBot="1" x14ac:dyDescent="0.3">
      <c r="A179" s="166"/>
      <c r="B179" s="381"/>
      <c r="C179" s="186"/>
      <c r="D179" s="186"/>
      <c r="E179" s="186"/>
      <c r="F179" s="186"/>
      <c r="G179" s="186"/>
      <c r="H179" s="186"/>
      <c r="I179" s="186"/>
      <c r="J179" s="186"/>
      <c r="K179" s="186"/>
      <c r="L179" s="186"/>
      <c r="M179" s="186"/>
      <c r="N179" s="186"/>
      <c r="O179" s="186"/>
      <c r="P179" s="186"/>
      <c r="Q179" s="533"/>
      <c r="R179" s="157"/>
      <c r="S179" s="499"/>
      <c r="T179" s="166"/>
      <c r="U179" s="166"/>
      <c r="V179" s="166"/>
      <c r="W179" s="166"/>
      <c r="X179" s="166"/>
      <c r="Y179" s="149"/>
      <c r="Z179" s="149"/>
      <c r="AA179" s="149"/>
      <c r="AB179" s="149"/>
      <c r="AC179" s="149"/>
      <c r="AD179" s="149"/>
      <c r="AE179" s="149"/>
      <c r="AF179" s="149"/>
      <c r="AG179" s="149"/>
      <c r="AH179" s="149"/>
      <c r="AI179" s="149"/>
      <c r="AJ179" s="149"/>
      <c r="AK179" s="149"/>
      <c r="AL179" s="149"/>
      <c r="AM179" s="149"/>
      <c r="AN179" s="149"/>
      <c r="AO179" s="166"/>
      <c r="AP179" s="166"/>
      <c r="AQ179" s="166"/>
      <c r="AR179" s="166"/>
      <c r="AS179" s="166"/>
      <c r="AT179" s="166"/>
      <c r="AU179" s="166"/>
      <c r="AV179" s="166"/>
      <c r="AW179" s="166"/>
      <c r="AX179" s="166"/>
      <c r="AY179" s="166"/>
      <c r="AZ179" s="166"/>
      <c r="BA179" s="166"/>
      <c r="BB179" s="166"/>
      <c r="BC179" s="166"/>
      <c r="BD179" s="166"/>
      <c r="BE179" s="166"/>
      <c r="BF179" s="166"/>
      <c r="BG179" s="166"/>
      <c r="BH179" s="166"/>
      <c r="BI179" s="166"/>
      <c r="BJ179" s="166"/>
      <c r="BK179" s="166"/>
      <c r="BL179" s="166"/>
      <c r="BM179" s="166"/>
      <c r="BN179" s="166"/>
    </row>
    <row r="180" spans="1:66" x14ac:dyDescent="0.25">
      <c r="A180" s="166"/>
      <c r="B180" s="381"/>
      <c r="C180" s="626"/>
      <c r="D180" s="626"/>
      <c r="E180" s="186"/>
      <c r="F180" s="186"/>
      <c r="G180" s="186"/>
      <c r="H180" s="186"/>
      <c r="I180" s="186"/>
      <c r="J180" s="186"/>
      <c r="K180" s="186"/>
      <c r="L180" s="186"/>
      <c r="M180" s="186"/>
      <c r="N180" s="186"/>
      <c r="O180" s="629"/>
      <c r="P180" s="549"/>
      <c r="Q180" s="186"/>
      <c r="R180" s="186"/>
      <c r="S180" s="499"/>
      <c r="T180" s="166"/>
      <c r="U180" s="166"/>
      <c r="V180" s="166"/>
      <c r="W180" s="166"/>
      <c r="X180" s="166"/>
      <c r="Y180" s="149"/>
      <c r="Z180" s="149"/>
      <c r="AA180" s="149"/>
      <c r="AB180" s="149"/>
      <c r="AC180" s="149"/>
      <c r="AD180" s="149"/>
      <c r="AE180" s="149"/>
      <c r="AF180" s="149"/>
      <c r="AG180" s="149"/>
      <c r="AH180" s="149"/>
      <c r="AI180" s="149"/>
      <c r="AJ180" s="149"/>
      <c r="AK180" s="149"/>
      <c r="AL180" s="149"/>
      <c r="AM180" s="149"/>
      <c r="AN180" s="149"/>
      <c r="AO180" s="166"/>
      <c r="AP180" s="166"/>
      <c r="AQ180" s="166"/>
      <c r="AR180" s="166"/>
      <c r="AS180" s="166"/>
      <c r="AT180" s="166"/>
      <c r="AU180" s="166"/>
      <c r="AV180" s="166"/>
      <c r="AW180" s="166"/>
      <c r="AX180" s="166"/>
      <c r="AY180" s="166"/>
      <c r="AZ180" s="166"/>
      <c r="BA180" s="166"/>
      <c r="BB180" s="166"/>
      <c r="BC180" s="166"/>
      <c r="BD180" s="166"/>
      <c r="BE180" s="166"/>
      <c r="BF180" s="166"/>
      <c r="BG180" s="166"/>
      <c r="BH180" s="166"/>
      <c r="BI180" s="166"/>
      <c r="BJ180" s="166"/>
      <c r="BK180" s="166"/>
      <c r="BL180" s="166"/>
      <c r="BM180" s="166"/>
      <c r="BN180" s="166"/>
    </row>
    <row r="181" spans="1:66" x14ac:dyDescent="0.25">
      <c r="A181" s="166"/>
      <c r="B181" s="381"/>
      <c r="C181" s="1112"/>
      <c r="D181" s="1112" t="str">
        <f>D5</f>
        <v>kg CO2 eq</v>
      </c>
      <c r="E181" s="186"/>
      <c r="F181" s="186"/>
      <c r="G181" s="186"/>
      <c r="H181" s="186"/>
      <c r="I181" s="186"/>
      <c r="J181" s="186"/>
      <c r="K181" s="186"/>
      <c r="L181" s="186"/>
      <c r="M181" s="186"/>
      <c r="N181" s="186"/>
      <c r="O181" s="629"/>
      <c r="P181" s="549"/>
      <c r="Q181" s="186"/>
      <c r="R181" s="186"/>
      <c r="S181" s="499"/>
      <c r="T181" s="166"/>
      <c r="U181" s="166"/>
      <c r="V181" s="166"/>
      <c r="W181" s="166"/>
      <c r="X181" s="166"/>
      <c r="Y181" s="149"/>
      <c r="Z181" s="149"/>
      <c r="AA181" s="149"/>
      <c r="AB181" s="149"/>
      <c r="AC181" s="149"/>
      <c r="AD181" s="149"/>
      <c r="AE181" s="149"/>
      <c r="AF181" s="149"/>
      <c r="AG181" s="149"/>
      <c r="AH181" s="149"/>
      <c r="AI181" s="149"/>
      <c r="AJ181" s="149"/>
      <c r="AK181" s="149"/>
      <c r="AL181" s="149"/>
      <c r="AM181" s="149"/>
      <c r="AN181" s="149"/>
      <c r="AO181" s="166"/>
      <c r="AP181" s="166"/>
      <c r="AQ181" s="166"/>
      <c r="AR181" s="166"/>
      <c r="AS181" s="166"/>
      <c r="AT181" s="166"/>
      <c r="AU181" s="166"/>
      <c r="AV181" s="166"/>
      <c r="AW181" s="166"/>
      <c r="AX181" s="166"/>
      <c r="AY181" s="166"/>
      <c r="AZ181" s="166"/>
      <c r="BA181" s="166"/>
      <c r="BB181" s="166"/>
      <c r="BC181" s="166"/>
      <c r="BD181" s="166"/>
      <c r="BE181" s="166"/>
      <c r="BF181" s="166"/>
      <c r="BG181" s="166"/>
      <c r="BH181" s="166"/>
      <c r="BI181" s="166"/>
      <c r="BJ181" s="166"/>
      <c r="BK181" s="166"/>
      <c r="BL181" s="166"/>
      <c r="BM181" s="166"/>
      <c r="BN181" s="166"/>
    </row>
    <row r="182" spans="1:66" x14ac:dyDescent="0.25">
      <c r="A182" s="166"/>
      <c r="B182" s="381"/>
      <c r="C182" s="1112" t="str">
        <f>'7.Transport'!B47</f>
        <v>Road</v>
      </c>
      <c r="D182" s="1112">
        <f ca="1">'7.Transport'!Y47*SUMIF(AK$4:AK$7,D$5,AL$4:AL$7)</f>
        <v>0</v>
      </c>
      <c r="E182" s="186"/>
      <c r="F182" s="186"/>
      <c r="G182" s="186"/>
      <c r="H182" s="186"/>
      <c r="I182" s="186"/>
      <c r="J182" s="186"/>
      <c r="K182" s="186"/>
      <c r="L182" s="186"/>
      <c r="M182" s="186"/>
      <c r="N182" s="186"/>
      <c r="O182" s="629"/>
      <c r="P182" s="549"/>
      <c r="Q182" s="186"/>
      <c r="R182" s="186"/>
      <c r="S182" s="499"/>
      <c r="T182" s="166"/>
      <c r="U182" s="166"/>
      <c r="V182" s="166"/>
      <c r="W182" s="166"/>
      <c r="X182" s="166"/>
      <c r="Y182" s="149"/>
      <c r="Z182" s="149"/>
      <c r="AA182" s="149"/>
      <c r="AB182" s="149"/>
      <c r="AC182" s="149"/>
      <c r="AD182" s="149"/>
      <c r="AE182" s="149"/>
      <c r="AF182" s="149"/>
      <c r="AG182" s="149"/>
      <c r="AH182" s="149"/>
      <c r="AI182" s="149"/>
      <c r="AJ182" s="149"/>
      <c r="AK182" s="149"/>
      <c r="AL182" s="149"/>
      <c r="AM182" s="149"/>
      <c r="AN182" s="149"/>
      <c r="AO182" s="166"/>
      <c r="AP182" s="166"/>
      <c r="AQ182" s="166"/>
      <c r="AR182" s="166"/>
      <c r="AS182" s="166"/>
      <c r="AT182" s="166"/>
      <c r="AU182" s="166"/>
      <c r="AV182" s="166"/>
      <c r="AW182" s="166"/>
      <c r="AX182" s="166"/>
      <c r="AY182" s="166"/>
      <c r="AZ182" s="166"/>
      <c r="BA182" s="166"/>
      <c r="BB182" s="166"/>
      <c r="BC182" s="166"/>
      <c r="BD182" s="166"/>
      <c r="BE182" s="166"/>
      <c r="BF182" s="166"/>
      <c r="BG182" s="166"/>
      <c r="BH182" s="166"/>
      <c r="BI182" s="166"/>
      <c r="BJ182" s="166"/>
      <c r="BK182" s="166"/>
      <c r="BL182" s="166"/>
      <c r="BM182" s="166"/>
      <c r="BN182" s="166"/>
    </row>
    <row r="183" spans="1:66" ht="13.25" thickBot="1" x14ac:dyDescent="0.3">
      <c r="A183" s="166"/>
      <c r="B183" s="381"/>
      <c r="C183" s="1112" t="str">
        <f>'7.Transport'!B48</f>
        <v>Rail</v>
      </c>
      <c r="D183" s="1112">
        <f ca="1">'7.Transport'!Y48*SUMIF(AK$4:AK$7,D$5,AL$4:AL$7)</f>
        <v>0</v>
      </c>
      <c r="E183" s="186"/>
      <c r="F183" s="186"/>
      <c r="G183" s="186"/>
      <c r="H183" s="186"/>
      <c r="I183" s="186"/>
      <c r="J183" s="186"/>
      <c r="K183" s="186"/>
      <c r="L183" s="186"/>
      <c r="M183" s="186"/>
      <c r="N183" s="186"/>
      <c r="O183" s="629"/>
      <c r="P183" s="549"/>
      <c r="Q183" s="186"/>
      <c r="R183" s="186"/>
      <c r="S183" s="499"/>
      <c r="T183" s="166"/>
      <c r="U183" s="166"/>
      <c r="V183" s="166"/>
      <c r="W183" s="166"/>
      <c r="X183" s="166"/>
      <c r="Y183" s="149"/>
      <c r="Z183" s="149"/>
      <c r="AA183" s="149"/>
      <c r="AB183" s="149"/>
      <c r="AC183" s="149"/>
      <c r="AD183" s="149"/>
      <c r="AE183" s="149"/>
      <c r="AF183" s="149"/>
      <c r="AG183" s="149"/>
      <c r="AH183" s="149"/>
      <c r="AI183" s="149"/>
      <c r="AJ183" s="149"/>
      <c r="AK183" s="149"/>
      <c r="AL183" s="149"/>
      <c r="AM183" s="149"/>
      <c r="AN183" s="149"/>
      <c r="AO183" s="166"/>
      <c r="AP183" s="166"/>
      <c r="AQ183" s="166"/>
      <c r="AR183" s="166"/>
      <c r="AS183" s="166"/>
      <c r="AT183" s="166"/>
      <c r="AU183" s="166"/>
      <c r="AV183" s="166"/>
      <c r="AW183" s="166"/>
      <c r="AX183" s="166"/>
      <c r="AY183" s="166"/>
      <c r="AZ183" s="166"/>
      <c r="BA183" s="166"/>
      <c r="BB183" s="166"/>
      <c r="BC183" s="166"/>
      <c r="BD183" s="166"/>
      <c r="BE183" s="166"/>
      <c r="BF183" s="166"/>
      <c r="BG183" s="166"/>
      <c r="BH183" s="166"/>
      <c r="BI183" s="166"/>
      <c r="BJ183" s="166"/>
      <c r="BK183" s="166"/>
      <c r="BL183" s="166"/>
      <c r="BM183" s="166"/>
      <c r="BN183" s="166"/>
    </row>
    <row r="184" spans="1:66" ht="13.25" thickBot="1" x14ac:dyDescent="0.3">
      <c r="A184" s="166"/>
      <c r="B184" s="381"/>
      <c r="C184" s="1112" t="str">
        <f>'7.Transport'!B49</f>
        <v>Air</v>
      </c>
      <c r="D184" s="1112">
        <f ca="1">'7.Transport'!Y49*SUMIF(AK$4:AK$7,D$5,AL$4:AL$7)</f>
        <v>0</v>
      </c>
      <c r="E184" s="186"/>
      <c r="F184" s="186"/>
      <c r="G184" s="186"/>
      <c r="H184" s="186"/>
      <c r="I184" s="186"/>
      <c r="J184" s="186"/>
      <c r="K184" s="186"/>
      <c r="L184" s="186"/>
      <c r="M184" s="186"/>
      <c r="N184" s="186"/>
      <c r="O184" s="629"/>
      <c r="P184" s="549"/>
      <c r="Q184" s="186"/>
      <c r="R184" s="186"/>
      <c r="S184" s="499"/>
      <c r="T184" s="166"/>
      <c r="U184" s="166"/>
      <c r="V184" s="166"/>
      <c r="W184" s="631"/>
      <c r="X184" s="632" t="s">
        <v>1794</v>
      </c>
      <c r="Y184" s="633"/>
      <c r="Z184" s="633"/>
      <c r="AA184" s="633"/>
      <c r="AB184" s="633"/>
      <c r="AC184" s="633"/>
      <c r="AD184" s="633"/>
      <c r="AE184" s="633"/>
      <c r="AF184" s="633"/>
      <c r="AG184" s="633"/>
      <c r="AH184" s="633"/>
      <c r="AI184" s="633"/>
      <c r="AJ184" s="633"/>
      <c r="AK184" s="633"/>
      <c r="AL184" s="633"/>
      <c r="AM184" s="633"/>
      <c r="AN184" s="634"/>
      <c r="AO184" s="166"/>
      <c r="AP184" s="346"/>
      <c r="AQ184" s="346"/>
      <c r="AR184" s="346"/>
      <c r="AS184" s="346"/>
      <c r="AT184" s="346"/>
      <c r="AU184" s="346"/>
      <c r="AV184" s="346"/>
      <c r="AW184" s="346"/>
      <c r="AX184" s="346"/>
      <c r="AY184" s="346"/>
      <c r="AZ184" s="346"/>
      <c r="BA184" s="346"/>
      <c r="BB184" s="346"/>
      <c r="BC184" s="166"/>
      <c r="BD184" s="166"/>
      <c r="BE184" s="166"/>
      <c r="BF184" s="166"/>
      <c r="BG184" s="166"/>
      <c r="BH184" s="166"/>
      <c r="BI184" s="166"/>
      <c r="BJ184" s="166"/>
      <c r="BK184" s="166"/>
      <c r="BL184" s="166"/>
      <c r="BM184" s="166"/>
      <c r="BN184" s="166"/>
    </row>
    <row r="185" spans="1:66" ht="18.75" customHeight="1" x14ac:dyDescent="0.25">
      <c r="A185" s="166"/>
      <c r="B185" s="381"/>
      <c r="C185" s="1112" t="str">
        <f>'7.Transport'!B50</f>
        <v>Shipping</v>
      </c>
      <c r="D185" s="1112">
        <f ca="1">'7.Transport'!Y50*SUMIF(AK$4:AK$7,D$5,AL$4:AL$7)</f>
        <v>0</v>
      </c>
      <c r="E185" s="186"/>
      <c r="F185" s="186"/>
      <c r="G185" s="186"/>
      <c r="H185" s="186"/>
      <c r="I185" s="186"/>
      <c r="J185" s="186"/>
      <c r="K185" s="186"/>
      <c r="L185" s="186"/>
      <c r="M185" s="186"/>
      <c r="N185" s="186"/>
      <c r="O185" s="629"/>
      <c r="P185" s="549"/>
      <c r="Q185" s="186"/>
      <c r="R185" s="186"/>
      <c r="S185" s="499"/>
      <c r="T185" s="166"/>
      <c r="U185" s="166"/>
      <c r="V185" s="166"/>
      <c r="W185" s="483"/>
      <c r="X185" s="346"/>
      <c r="Y185" s="346"/>
      <c r="Z185" s="346"/>
      <c r="AA185" s="346"/>
      <c r="AB185" s="346"/>
      <c r="AC185" s="346"/>
      <c r="AD185" s="346"/>
      <c r="AE185" s="346"/>
      <c r="AF185" s="346"/>
      <c r="AG185" s="346"/>
      <c r="AH185" s="346"/>
      <c r="AI185" s="346"/>
      <c r="AJ185" s="346"/>
      <c r="AK185" s="346"/>
      <c r="AL185" s="346"/>
      <c r="AM185" s="346"/>
      <c r="AN185" s="347"/>
      <c r="AO185" s="166"/>
      <c r="AP185" s="186"/>
      <c r="AQ185" s="635"/>
      <c r="AR185" s="594" t="s">
        <v>1236</v>
      </c>
      <c r="AS185" s="594" t="s">
        <v>911</v>
      </c>
      <c r="AT185" s="594" t="s">
        <v>910</v>
      </c>
      <c r="AU185" s="594" t="s">
        <v>1235</v>
      </c>
      <c r="AV185" s="594"/>
      <c r="AW185" s="636"/>
      <c r="AX185" s="594"/>
      <c r="AY185" s="594" t="str">
        <f>AK188</f>
        <v>Grid electricity</v>
      </c>
      <c r="AZ185" s="594" t="str">
        <f>AK189</f>
        <v>Local wind, solar, hydro-electric</v>
      </c>
      <c r="BA185" s="594" t="s">
        <v>1399</v>
      </c>
      <c r="BB185" s="594" t="s">
        <v>909</v>
      </c>
      <c r="BC185" s="166"/>
      <c r="BD185" s="166"/>
      <c r="BE185" s="166"/>
      <c r="BF185" s="166"/>
      <c r="BG185" s="166"/>
      <c r="BH185" s="166"/>
      <c r="BI185" s="166"/>
      <c r="BJ185" s="166"/>
      <c r="BK185" s="166"/>
      <c r="BL185" s="166"/>
      <c r="BM185" s="166"/>
      <c r="BN185" s="166"/>
    </row>
    <row r="186" spans="1:66" ht="13.25" thickBot="1" x14ac:dyDescent="0.3">
      <c r="A186" s="166"/>
      <c r="B186" s="381"/>
      <c r="C186" s="1113" t="s">
        <v>104</v>
      </c>
      <c r="D186" s="1113">
        <f ca="1">'7.Transport'!Y51*SUMIF(AK$4:AK$7,D$5,AL$4:AL$7)</f>
        <v>0</v>
      </c>
      <c r="E186" s="186"/>
      <c r="F186" s="186"/>
      <c r="G186" s="186"/>
      <c r="H186" s="186"/>
      <c r="I186" s="186"/>
      <c r="J186" s="186"/>
      <c r="K186" s="186"/>
      <c r="L186" s="186"/>
      <c r="M186" s="186"/>
      <c r="N186" s="186"/>
      <c r="O186" s="629"/>
      <c r="P186" s="185"/>
      <c r="Q186" s="630"/>
      <c r="R186" s="630"/>
      <c r="S186" s="499"/>
      <c r="T186" s="166"/>
      <c r="U186" s="166"/>
      <c r="V186" s="166"/>
      <c r="W186" s="381"/>
      <c r="X186" s="186"/>
      <c r="Y186" s="186"/>
      <c r="Z186" s="186"/>
      <c r="AA186" s="186"/>
      <c r="AB186" s="186"/>
      <c r="AC186" s="186"/>
      <c r="AD186" s="186"/>
      <c r="AE186" s="186"/>
      <c r="AF186" s="186"/>
      <c r="AG186" s="186"/>
      <c r="AH186" s="186"/>
      <c r="AI186" s="186"/>
      <c r="AJ186" s="186"/>
      <c r="AK186" s="186"/>
      <c r="AL186" s="186"/>
      <c r="AM186" s="186"/>
      <c r="AN186" s="499"/>
      <c r="AO186" s="166"/>
      <c r="AP186" s="186"/>
      <c r="AQ186" s="636" t="str">
        <f>AK188</f>
        <v>Grid electricity</v>
      </c>
      <c r="AR186" s="637">
        <f>AL188</f>
        <v>0</v>
      </c>
      <c r="AS186" s="637">
        <f>AL200</f>
        <v>0</v>
      </c>
      <c r="AT186" s="637">
        <f>AM188</f>
        <v>0</v>
      </c>
      <c r="AU186" s="637">
        <f>AM200</f>
        <v>0</v>
      </c>
      <c r="AV186" s="595"/>
      <c r="AW186" s="636"/>
      <c r="AX186" s="595" t="s">
        <v>1236</v>
      </c>
      <c r="AY186" s="637">
        <f>AR186</f>
        <v>0</v>
      </c>
      <c r="AZ186" s="637">
        <f>AR187</f>
        <v>0</v>
      </c>
      <c r="BA186" s="637">
        <f ca="1">AR188</f>
        <v>4232.3788630317968</v>
      </c>
      <c r="BB186" s="637">
        <f ca="1">AR189</f>
        <v>0</v>
      </c>
      <c r="BC186" s="166"/>
      <c r="BD186" s="166"/>
      <c r="BE186" s="166"/>
      <c r="BF186" s="166"/>
      <c r="BG186" s="166"/>
      <c r="BH186" s="166"/>
      <c r="BI186" s="166"/>
      <c r="BJ186" s="166"/>
      <c r="BK186" s="166"/>
      <c r="BL186" s="166"/>
      <c r="BM186" s="166"/>
      <c r="BN186" s="166"/>
    </row>
    <row r="187" spans="1:66" ht="25.95" thickBot="1" x14ac:dyDescent="0.3">
      <c r="A187" s="166"/>
      <c r="B187" s="381"/>
      <c r="C187" s="186"/>
      <c r="D187" s="186"/>
      <c r="E187" s="186"/>
      <c r="F187" s="186"/>
      <c r="G187" s="186"/>
      <c r="H187" s="186"/>
      <c r="I187" s="186"/>
      <c r="J187" s="186"/>
      <c r="K187" s="186"/>
      <c r="L187" s="186"/>
      <c r="M187" s="186"/>
      <c r="N187" s="186"/>
      <c r="O187" s="629"/>
      <c r="P187" s="185"/>
      <c r="Q187" s="630"/>
      <c r="R187" s="630"/>
      <c r="S187" s="499"/>
      <c r="T187" s="166"/>
      <c r="U187" s="166"/>
      <c r="V187" s="166"/>
      <c r="W187" s="381"/>
      <c r="X187" s="186"/>
      <c r="Y187" s="186"/>
      <c r="Z187" s="186"/>
      <c r="AA187" s="186"/>
      <c r="AB187" s="186"/>
      <c r="AC187" s="186"/>
      <c r="AD187" s="186"/>
      <c r="AE187" s="186"/>
      <c r="AF187" s="186"/>
      <c r="AG187" s="186"/>
      <c r="AH187" s="186"/>
      <c r="AI187" s="186"/>
      <c r="AJ187" s="186"/>
      <c r="AK187" s="186"/>
      <c r="AL187" s="533" t="s">
        <v>1127</v>
      </c>
      <c r="AM187" s="157" t="s">
        <v>1553</v>
      </c>
      <c r="AN187" s="499"/>
      <c r="AO187" s="166"/>
      <c r="AP187" s="186"/>
      <c r="AQ187" s="636" t="str">
        <f>AK189</f>
        <v>Local wind, solar, hydro-electric</v>
      </c>
      <c r="AR187" s="637">
        <f>AL189</f>
        <v>0</v>
      </c>
      <c r="AS187" s="637">
        <f>AL201</f>
        <v>0</v>
      </c>
      <c r="AT187" s="637">
        <f>AM189</f>
        <v>0</v>
      </c>
      <c r="AU187" s="637">
        <f>AM201</f>
        <v>0</v>
      </c>
      <c r="AV187" s="595"/>
      <c r="AW187" s="636"/>
      <c r="AX187" s="595" t="s">
        <v>911</v>
      </c>
      <c r="AY187" s="637">
        <f>AS186</f>
        <v>0</v>
      </c>
      <c r="AZ187" s="637">
        <f>AS187</f>
        <v>0</v>
      </c>
      <c r="BA187" s="637">
        <f ca="1">AS188</f>
        <v>0</v>
      </c>
      <c r="BB187" s="637">
        <f ca="1">AS189</f>
        <v>0</v>
      </c>
      <c r="BC187" s="166"/>
      <c r="BD187" s="166"/>
      <c r="BE187" s="166"/>
      <c r="BF187" s="166"/>
      <c r="BG187" s="166"/>
      <c r="BH187" s="166"/>
      <c r="BI187" s="166"/>
      <c r="BJ187" s="166"/>
      <c r="BK187" s="166"/>
      <c r="BL187" s="166"/>
      <c r="BM187" s="166"/>
      <c r="BN187" s="166"/>
    </row>
    <row r="188" spans="1:66" ht="43.5" customHeight="1" x14ac:dyDescent="0.25">
      <c r="A188" s="166"/>
      <c r="B188" s="381"/>
      <c r="C188" s="186" t="s">
        <v>1733</v>
      </c>
      <c r="D188" s="186"/>
      <c r="E188" s="186"/>
      <c r="F188" s="186"/>
      <c r="G188" s="186"/>
      <c r="H188" s="186"/>
      <c r="I188" s="186"/>
      <c r="J188" s="186"/>
      <c r="K188" s="186"/>
      <c r="L188" s="186"/>
      <c r="M188" s="186"/>
      <c r="N188" s="186"/>
      <c r="O188" s="629"/>
      <c r="P188" s="549"/>
      <c r="Q188" s="498"/>
      <c r="R188" s="498"/>
      <c r="S188" s="499"/>
      <c r="T188" s="166"/>
      <c r="U188" s="166"/>
      <c r="V188" s="166"/>
      <c r="W188" s="381"/>
      <c r="X188" s="186"/>
      <c r="Y188" s="186"/>
      <c r="Z188" s="186"/>
      <c r="AA188" s="186"/>
      <c r="AB188" s="186"/>
      <c r="AC188" s="186"/>
      <c r="AD188" s="186"/>
      <c r="AE188" s="186"/>
      <c r="AF188" s="186"/>
      <c r="AG188" s="186"/>
      <c r="AH188" s="186"/>
      <c r="AI188" s="186"/>
      <c r="AJ188" s="638" t="s">
        <v>606</v>
      </c>
      <c r="AK188" s="558" t="str">
        <f>'5.FieldEnergyUse'!D96</f>
        <v>Grid electricity</v>
      </c>
      <c r="AL188" s="639">
        <f>'5.FieldEnergyUse'!E96</f>
        <v>0</v>
      </c>
      <c r="AM188" s="588">
        <f>'5.FieldEnergyUse'!M96</f>
        <v>0</v>
      </c>
      <c r="AN188" s="499"/>
      <c r="AO188" s="166"/>
      <c r="AP188" s="186"/>
      <c r="AQ188" s="636" t="str">
        <f>AK190</f>
        <v>Diesel</v>
      </c>
      <c r="AR188" s="637">
        <f ca="1">AL190+AL191</f>
        <v>4232.3788630317968</v>
      </c>
      <c r="AS188" s="637">
        <f ca="1">AL203</f>
        <v>0</v>
      </c>
      <c r="AT188" s="637">
        <f ca="1">AM190+AM191</f>
        <v>299.2816715811403</v>
      </c>
      <c r="AU188" s="637">
        <f ca="1">AM203</f>
        <v>0</v>
      </c>
      <c r="AV188" s="595"/>
      <c r="AW188" s="636"/>
      <c r="AX188" s="595" t="s">
        <v>910</v>
      </c>
      <c r="AY188" s="637">
        <f>AT186</f>
        <v>0</v>
      </c>
      <c r="AZ188" s="637">
        <f>AT187</f>
        <v>0</v>
      </c>
      <c r="BA188" s="637">
        <f ca="1">AT188</f>
        <v>299.2816715811403</v>
      </c>
      <c r="BB188" s="637">
        <f ca="1">AT189</f>
        <v>0</v>
      </c>
      <c r="BC188" s="166"/>
      <c r="BD188" s="166"/>
      <c r="BE188" s="166"/>
      <c r="BF188" s="166"/>
      <c r="BG188" s="166"/>
      <c r="BH188" s="166"/>
      <c r="BI188" s="166"/>
      <c r="BJ188" s="166"/>
      <c r="BK188" s="166"/>
      <c r="BL188" s="166"/>
      <c r="BM188" s="166"/>
      <c r="BN188" s="166"/>
    </row>
    <row r="189" spans="1:66" ht="43.5" customHeight="1" x14ac:dyDescent="0.25">
      <c r="A189" s="166"/>
      <c r="B189" s="381"/>
      <c r="C189" s="186"/>
      <c r="D189" s="186"/>
      <c r="E189" s="186"/>
      <c r="F189" s="186"/>
      <c r="G189" s="186"/>
      <c r="H189" s="186"/>
      <c r="I189" s="186"/>
      <c r="J189" s="186"/>
      <c r="K189" s="186"/>
      <c r="L189" s="186"/>
      <c r="M189" s="186"/>
      <c r="N189" s="186"/>
      <c r="O189" s="629"/>
      <c r="P189" s="549"/>
      <c r="Q189" s="498"/>
      <c r="R189" s="498"/>
      <c r="S189" s="499"/>
      <c r="T189" s="166"/>
      <c r="U189" s="166"/>
      <c r="V189" s="166"/>
      <c r="W189" s="381"/>
      <c r="X189" s="186"/>
      <c r="Y189" s="186"/>
      <c r="Z189" s="186"/>
      <c r="AA189" s="186"/>
      <c r="AB189" s="186"/>
      <c r="AC189" s="186"/>
      <c r="AD189" s="186"/>
      <c r="AE189" s="186"/>
      <c r="AF189" s="186"/>
      <c r="AG189" s="186"/>
      <c r="AH189" s="186"/>
      <c r="AI189" s="186"/>
      <c r="AJ189" s="640"/>
      <c r="AK189" s="549" t="str">
        <f>'5.FieldEnergyUse'!D97</f>
        <v>Local wind, solar, hydro-electric</v>
      </c>
      <c r="AL189" s="498">
        <f>'5.FieldEnergyUse'!E97</f>
        <v>0</v>
      </c>
      <c r="AM189" s="589">
        <f>'5.FieldEnergyUse'!M97</f>
        <v>0</v>
      </c>
      <c r="AN189" s="499"/>
      <c r="AO189" s="166"/>
      <c r="AP189" s="186"/>
      <c r="AQ189" s="636" t="s">
        <v>909</v>
      </c>
      <c r="AR189" s="637">
        <f ca="1">AL192</f>
        <v>0</v>
      </c>
      <c r="AS189" s="637">
        <f ca="1">AL202</f>
        <v>0</v>
      </c>
      <c r="AT189" s="637">
        <f ca="1">AM192</f>
        <v>0</v>
      </c>
      <c r="AU189" s="637">
        <f ca="1">AM202</f>
        <v>0</v>
      </c>
      <c r="AV189" s="595"/>
      <c r="AW189" s="636"/>
      <c r="AX189" s="595" t="s">
        <v>1235</v>
      </c>
      <c r="AY189" s="637">
        <f>AU186</f>
        <v>0</v>
      </c>
      <c r="AZ189" s="637">
        <f>AU187</f>
        <v>0</v>
      </c>
      <c r="BA189" s="637">
        <f ca="1">AU188</f>
        <v>0</v>
      </c>
      <c r="BB189" s="637">
        <f ca="1">AU189</f>
        <v>0</v>
      </c>
      <c r="BC189" s="166"/>
      <c r="BD189" s="166"/>
      <c r="BE189" s="166"/>
      <c r="BF189" s="166"/>
      <c r="BG189" s="166"/>
      <c r="BH189" s="166"/>
      <c r="BI189" s="166"/>
      <c r="BJ189" s="166"/>
      <c r="BK189" s="166"/>
      <c r="BL189" s="166"/>
      <c r="BM189" s="166"/>
      <c r="BN189" s="166"/>
    </row>
    <row r="190" spans="1:66" x14ac:dyDescent="0.25">
      <c r="A190" s="166"/>
      <c r="B190" s="381"/>
      <c r="C190" s="186"/>
      <c r="D190" s="186"/>
      <c r="E190" s="186"/>
      <c r="F190" s="186"/>
      <c r="G190" s="186"/>
      <c r="H190" s="186"/>
      <c r="I190" s="186"/>
      <c r="J190" s="186"/>
      <c r="K190" s="186"/>
      <c r="L190" s="186"/>
      <c r="M190" s="186"/>
      <c r="N190" s="186"/>
      <c r="O190" s="629"/>
      <c r="P190" s="549"/>
      <c r="Q190" s="498"/>
      <c r="R190" s="498"/>
      <c r="S190" s="499"/>
      <c r="T190" s="166"/>
      <c r="U190" s="166"/>
      <c r="V190" s="166"/>
      <c r="W190" s="381"/>
      <c r="X190" s="186"/>
      <c r="Y190" s="186"/>
      <c r="Z190" s="186"/>
      <c r="AA190" s="186"/>
      <c r="AB190" s="186"/>
      <c r="AC190" s="186"/>
      <c r="AD190" s="186"/>
      <c r="AE190" s="186"/>
      <c r="AF190" s="186"/>
      <c r="AG190" s="186"/>
      <c r="AH190" s="186"/>
      <c r="AI190" s="186"/>
      <c r="AJ190" s="640"/>
      <c r="AK190" s="549" t="str">
        <f>'5.FieldEnergyUse'!D98</f>
        <v>Diesel</v>
      </c>
      <c r="AL190" s="498">
        <f ca="1">'5.FieldEnergyUse'!E98</f>
        <v>4232.3788630317968</v>
      </c>
      <c r="AM190" s="589">
        <f ca="1">'5.FieldEnergyUse'!M98</f>
        <v>299.2816715811403</v>
      </c>
      <c r="AN190" s="499"/>
      <c r="AO190" s="166"/>
      <c r="AP190" s="166"/>
      <c r="AQ190" s="166"/>
      <c r="AR190" s="166"/>
      <c r="AS190" s="166"/>
      <c r="AT190" s="166"/>
      <c r="AU190" s="166"/>
      <c r="AV190" s="166"/>
      <c r="AW190" s="166"/>
      <c r="AX190" s="166"/>
      <c r="AY190" s="166"/>
      <c r="AZ190" s="166"/>
      <c r="BA190" s="166"/>
      <c r="BB190" s="166"/>
      <c r="BC190" s="166"/>
      <c r="BD190" s="166"/>
      <c r="BE190" s="166"/>
      <c r="BF190" s="166"/>
      <c r="BG190" s="166"/>
      <c r="BH190" s="166"/>
      <c r="BI190" s="166"/>
      <c r="BJ190" s="166"/>
      <c r="BK190" s="166"/>
      <c r="BL190" s="166"/>
      <c r="BM190" s="166"/>
      <c r="BN190" s="166"/>
    </row>
    <row r="191" spans="1:66" x14ac:dyDescent="0.25">
      <c r="A191" s="166"/>
      <c r="B191" s="381"/>
      <c r="C191" s="186"/>
      <c r="D191" s="186"/>
      <c r="E191" s="186"/>
      <c r="F191" s="186"/>
      <c r="G191" s="186"/>
      <c r="H191" s="186"/>
      <c r="I191" s="186"/>
      <c r="J191" s="186"/>
      <c r="K191" s="186"/>
      <c r="L191" s="186"/>
      <c r="M191" s="186"/>
      <c r="N191" s="186"/>
      <c r="O191" s="629"/>
      <c r="P191" s="549"/>
      <c r="Q191" s="498"/>
      <c r="R191" s="498"/>
      <c r="S191" s="499"/>
      <c r="T191" s="166"/>
      <c r="U191" s="166"/>
      <c r="V191" s="166"/>
      <c r="W191" s="381"/>
      <c r="X191" s="186"/>
      <c r="Y191" s="186"/>
      <c r="Z191" s="186"/>
      <c r="AA191" s="186"/>
      <c r="AB191" s="186"/>
      <c r="AC191" s="186"/>
      <c r="AD191" s="186"/>
      <c r="AE191" s="186"/>
      <c r="AF191" s="186"/>
      <c r="AG191" s="186"/>
      <c r="AH191" s="186"/>
      <c r="AI191" s="186"/>
      <c r="AJ191" s="640"/>
      <c r="AK191" s="549" t="str">
        <f>'5.FieldEnergyUse'!D99</f>
        <v>Petrol</v>
      </c>
      <c r="AL191" s="498">
        <f ca="1">'5.FieldEnergyUse'!E99</f>
        <v>0</v>
      </c>
      <c r="AM191" s="589">
        <f ca="1">'5.FieldEnergyUse'!M99</f>
        <v>0</v>
      </c>
      <c r="AN191" s="499"/>
      <c r="AO191" s="166"/>
      <c r="AP191" s="166"/>
      <c r="AQ191" s="166"/>
      <c r="AR191" s="166"/>
      <c r="AS191" s="166"/>
      <c r="AT191" s="166"/>
      <c r="AU191" s="166"/>
      <c r="AV191" s="166"/>
      <c r="AW191" s="166"/>
      <c r="AX191" s="166"/>
      <c r="AY191" s="166"/>
      <c r="AZ191" s="166"/>
      <c r="BA191" s="166"/>
      <c r="BB191" s="166"/>
      <c r="BC191" s="166"/>
      <c r="BD191" s="166"/>
      <c r="BE191" s="166"/>
      <c r="BF191" s="166"/>
      <c r="BG191" s="166"/>
      <c r="BH191" s="166"/>
      <c r="BI191" s="166"/>
      <c r="BJ191" s="166"/>
      <c r="BK191" s="166"/>
      <c r="BL191" s="166"/>
      <c r="BM191" s="166"/>
      <c r="BN191" s="166"/>
    </row>
    <row r="192" spans="1:66" x14ac:dyDescent="0.25">
      <c r="A192" s="166"/>
      <c r="B192" s="381"/>
      <c r="C192" s="186"/>
      <c r="D192" s="186"/>
      <c r="E192" s="186"/>
      <c r="F192" s="186"/>
      <c r="G192" s="186"/>
      <c r="H192" s="186"/>
      <c r="I192" s="186"/>
      <c r="J192" s="186"/>
      <c r="K192" s="186"/>
      <c r="L192" s="186"/>
      <c r="M192" s="186"/>
      <c r="N192" s="186"/>
      <c r="O192" s="629"/>
      <c r="P192" s="549"/>
      <c r="Q192" s="498"/>
      <c r="R192" s="498"/>
      <c r="S192" s="499"/>
      <c r="T192" s="166"/>
      <c r="U192" s="166"/>
      <c r="V192" s="166"/>
      <c r="W192" s="381"/>
      <c r="X192" s="186"/>
      <c r="Y192" s="186"/>
      <c r="Z192" s="186"/>
      <c r="AA192" s="186"/>
      <c r="AB192" s="186"/>
      <c r="AC192" s="186"/>
      <c r="AD192" s="186"/>
      <c r="AE192" s="186"/>
      <c r="AF192" s="186"/>
      <c r="AG192" s="186"/>
      <c r="AH192" s="186"/>
      <c r="AI192" s="186"/>
      <c r="AJ192" s="640"/>
      <c r="AK192" s="549" t="str">
        <f>'5.FieldEnergyUse'!D100</f>
        <v>Biodiesel</v>
      </c>
      <c r="AL192" s="498">
        <f ca="1">'5.FieldEnergyUse'!E100</f>
        <v>0</v>
      </c>
      <c r="AM192" s="589">
        <f ca="1">'5.FieldEnergyUse'!M100</f>
        <v>0</v>
      </c>
      <c r="AN192" s="499"/>
      <c r="AO192" s="166"/>
      <c r="AP192" s="166"/>
      <c r="AQ192" s="166"/>
      <c r="AR192" s="166"/>
      <c r="AS192" s="166"/>
      <c r="AT192" s="166"/>
      <c r="AU192" s="166"/>
      <c r="AV192" s="166"/>
      <c r="AW192" s="166"/>
      <c r="AX192" s="166"/>
      <c r="AY192" s="166"/>
      <c r="AZ192" s="166"/>
      <c r="BA192" s="166"/>
      <c r="BB192" s="166"/>
      <c r="BC192" s="166"/>
      <c r="BD192" s="166"/>
      <c r="BE192" s="166"/>
      <c r="BF192" s="166"/>
      <c r="BG192" s="166"/>
      <c r="BH192" s="166"/>
      <c r="BI192" s="166"/>
      <c r="BJ192" s="166"/>
      <c r="BK192" s="166"/>
      <c r="BL192" s="166"/>
      <c r="BM192" s="166"/>
      <c r="BN192" s="166"/>
    </row>
    <row r="193" spans="1:66" ht="25.35" x14ac:dyDescent="0.25">
      <c r="A193" s="166"/>
      <c r="B193" s="381"/>
      <c r="C193" s="186"/>
      <c r="D193" s="186"/>
      <c r="E193" s="186"/>
      <c r="F193" s="186"/>
      <c r="G193" s="186"/>
      <c r="H193" s="186"/>
      <c r="I193" s="186"/>
      <c r="J193" s="186"/>
      <c r="K193" s="186"/>
      <c r="L193" s="186"/>
      <c r="M193" s="186"/>
      <c r="N193" s="186"/>
      <c r="O193" s="186"/>
      <c r="P193" s="185"/>
      <c r="Q193" s="641"/>
      <c r="R193" s="641"/>
      <c r="S193" s="499"/>
      <c r="T193" s="166"/>
      <c r="U193" s="166"/>
      <c r="V193" s="166"/>
      <c r="W193" s="381"/>
      <c r="X193" s="186"/>
      <c r="Y193" s="186"/>
      <c r="Z193" s="186"/>
      <c r="AA193" s="186"/>
      <c r="AB193" s="186"/>
      <c r="AC193" s="186"/>
      <c r="AD193" s="186"/>
      <c r="AE193" s="186"/>
      <c r="AF193" s="186"/>
      <c r="AG193" s="186"/>
      <c r="AH193" s="186"/>
      <c r="AI193" s="186"/>
      <c r="AJ193" s="640"/>
      <c r="AK193" s="549" t="str">
        <f>'5.FieldEnergyUse'!D101</f>
        <v>Bioethanol</v>
      </c>
      <c r="AL193" s="498">
        <f ca="1">'5.FieldEnergyUse'!E101</f>
        <v>0</v>
      </c>
      <c r="AM193" s="589">
        <f ca="1">'5.FieldEnergyUse'!M101</f>
        <v>0</v>
      </c>
      <c r="AN193" s="499"/>
      <c r="AO193" s="166"/>
      <c r="AP193" s="166"/>
      <c r="AQ193" s="166"/>
      <c r="AR193" s="166"/>
      <c r="AS193" s="166"/>
      <c r="AT193" s="166"/>
      <c r="AU193" s="166"/>
      <c r="AV193" s="166"/>
      <c r="AW193" s="166"/>
      <c r="AX193" s="166"/>
      <c r="AY193" s="166"/>
      <c r="AZ193" s="166"/>
      <c r="BA193" s="166"/>
      <c r="BB193" s="166"/>
      <c r="BC193" s="166"/>
      <c r="BD193" s="166"/>
      <c r="BE193" s="166"/>
      <c r="BF193" s="166"/>
      <c r="BG193" s="166"/>
      <c r="BH193" s="166"/>
      <c r="BI193" s="166"/>
      <c r="BJ193" s="166"/>
      <c r="BK193" s="166"/>
      <c r="BL193" s="166"/>
      <c r="BM193" s="166"/>
      <c r="BN193" s="166"/>
    </row>
    <row r="194" spans="1:66" x14ac:dyDescent="0.25">
      <c r="A194" s="166"/>
      <c r="B194" s="381"/>
      <c r="C194" s="186"/>
      <c r="D194" s="186"/>
      <c r="E194" s="186"/>
      <c r="F194" s="186"/>
      <c r="G194" s="186"/>
      <c r="H194" s="186"/>
      <c r="I194" s="186"/>
      <c r="J194" s="186"/>
      <c r="K194" s="186"/>
      <c r="L194" s="186"/>
      <c r="M194" s="186"/>
      <c r="N194" s="186"/>
      <c r="O194" s="186"/>
      <c r="P194" s="185"/>
      <c r="Q194" s="641"/>
      <c r="R194" s="641"/>
      <c r="S194" s="499"/>
      <c r="T194" s="166"/>
      <c r="U194" s="166"/>
      <c r="V194" s="166"/>
      <c r="W194" s="381"/>
      <c r="X194" s="186"/>
      <c r="Y194" s="186"/>
      <c r="Z194" s="186"/>
      <c r="AA194" s="186"/>
      <c r="AB194" s="186"/>
      <c r="AC194" s="186"/>
      <c r="AD194" s="186"/>
      <c r="AE194" s="186"/>
      <c r="AF194" s="186"/>
      <c r="AG194" s="186"/>
      <c r="AH194" s="186"/>
      <c r="AI194" s="186"/>
      <c r="AJ194" s="159"/>
      <c r="AK194" s="549" t="s">
        <v>1561</v>
      </c>
      <c r="AL194" s="159">
        <f ca="1">SUM('5.FieldEnergyUse'!M18:M19)</f>
        <v>0</v>
      </c>
      <c r="AM194" s="159">
        <f ca="1">SUM('5.FieldEnergyUse'!X18:X19)</f>
        <v>0</v>
      </c>
      <c r="AN194" s="499"/>
      <c r="AO194" s="166"/>
      <c r="AP194" s="166"/>
      <c r="AQ194" s="166"/>
      <c r="AR194" s="166"/>
      <c r="AS194" s="166"/>
      <c r="AT194" s="166"/>
      <c r="AU194" s="166"/>
      <c r="AV194" s="166"/>
      <c r="AW194" s="166"/>
      <c r="AX194" s="166"/>
      <c r="AY194" s="166"/>
      <c r="AZ194" s="166"/>
      <c r="BA194" s="166"/>
      <c r="BB194" s="166"/>
      <c r="BC194" s="166"/>
      <c r="BD194" s="166"/>
      <c r="BE194" s="166"/>
      <c r="BF194" s="166"/>
      <c r="BG194" s="166"/>
      <c r="BH194" s="166"/>
      <c r="BI194" s="166"/>
      <c r="BJ194" s="166"/>
      <c r="BK194" s="166"/>
      <c r="BL194" s="166"/>
      <c r="BM194" s="159"/>
      <c r="BN194" s="159"/>
    </row>
    <row r="195" spans="1:66" ht="25.95" thickBot="1" x14ac:dyDescent="0.3">
      <c r="A195" s="166"/>
      <c r="B195" s="596"/>
      <c r="C195" s="493"/>
      <c r="D195" s="493"/>
      <c r="E195" s="493"/>
      <c r="F195" s="493"/>
      <c r="G195" s="493"/>
      <c r="H195" s="493"/>
      <c r="I195" s="493"/>
      <c r="J195" s="493"/>
      <c r="K195" s="493"/>
      <c r="L195" s="493"/>
      <c r="M195" s="493"/>
      <c r="N195" s="493"/>
      <c r="O195" s="493"/>
      <c r="P195" s="493"/>
      <c r="Q195" s="493"/>
      <c r="R195" s="493"/>
      <c r="S195" s="561"/>
      <c r="T195" s="166"/>
      <c r="U195" s="166"/>
      <c r="V195" s="166"/>
      <c r="W195" s="381"/>
      <c r="X195" s="186"/>
      <c r="Y195" s="186"/>
      <c r="Z195" s="186"/>
      <c r="AA195" s="186"/>
      <c r="AB195" s="186"/>
      <c r="AC195" s="186"/>
      <c r="AD195" s="186"/>
      <c r="AE195" s="186"/>
      <c r="AF195" s="186"/>
      <c r="AG195" s="186"/>
      <c r="AH195" s="186"/>
      <c r="AI195" s="186"/>
      <c r="AJ195" s="159"/>
      <c r="AK195" s="549" t="s">
        <v>1562</v>
      </c>
      <c r="AL195" s="597">
        <f ca="1">SUM('5.FieldEnergyUse'!M20:M22)</f>
        <v>0</v>
      </c>
      <c r="AM195" s="159">
        <f ca="1">SUM('5.FieldEnergyUse'!X20:X22)</f>
        <v>0</v>
      </c>
      <c r="AN195" s="499"/>
      <c r="AO195" s="166"/>
      <c r="AP195" s="166"/>
      <c r="AQ195" s="166"/>
      <c r="AR195" s="166"/>
      <c r="AS195" s="166"/>
      <c r="AT195" s="166"/>
      <c r="AU195" s="166"/>
      <c r="AV195" s="166"/>
      <c r="AW195" s="166"/>
      <c r="AX195" s="166"/>
      <c r="AY195" s="166"/>
      <c r="AZ195" s="166"/>
      <c r="BA195" s="166"/>
      <c r="BB195" s="166"/>
      <c r="BC195" s="166"/>
      <c r="BD195" s="166"/>
      <c r="BE195" s="166"/>
      <c r="BF195" s="166"/>
      <c r="BG195" s="166"/>
      <c r="BH195" s="166"/>
      <c r="BI195" s="166"/>
      <c r="BJ195" s="166"/>
      <c r="BK195" s="166"/>
      <c r="BL195" s="166"/>
      <c r="BM195" s="159"/>
      <c r="BN195" s="159"/>
    </row>
    <row r="196" spans="1:66" x14ac:dyDescent="0.25">
      <c r="A196" s="166"/>
      <c r="B196" s="166"/>
      <c r="C196" s="166"/>
      <c r="D196" s="166"/>
      <c r="E196" s="166"/>
      <c r="F196" s="166"/>
      <c r="G196" s="166"/>
      <c r="H196" s="166"/>
      <c r="I196" s="166"/>
      <c r="J196" s="166"/>
      <c r="K196" s="166"/>
      <c r="L196" s="166"/>
      <c r="M196" s="166"/>
      <c r="N196" s="166"/>
      <c r="O196" s="166"/>
      <c r="P196" s="166"/>
      <c r="Q196" s="166"/>
      <c r="R196" s="166"/>
      <c r="S196" s="166"/>
      <c r="T196" s="166"/>
      <c r="U196" s="166"/>
      <c r="V196" s="166"/>
      <c r="W196" s="381"/>
      <c r="X196" s="186"/>
      <c r="Y196" s="186"/>
      <c r="Z196" s="186"/>
      <c r="AA196" s="186"/>
      <c r="AB196" s="186"/>
      <c r="AC196" s="186"/>
      <c r="AD196" s="186"/>
      <c r="AE196" s="186"/>
      <c r="AF196" s="186"/>
      <c r="AG196" s="186"/>
      <c r="AH196" s="186"/>
      <c r="AI196" s="186"/>
      <c r="AJ196" s="159"/>
      <c r="AK196" s="159"/>
      <c r="AL196" s="159"/>
      <c r="AM196" s="159"/>
      <c r="AN196" s="499"/>
      <c r="AO196" s="166"/>
      <c r="AP196" s="166"/>
      <c r="AQ196" s="166"/>
      <c r="AR196" s="166"/>
      <c r="AS196" s="166"/>
      <c r="AT196" s="166"/>
      <c r="AU196" s="166"/>
      <c r="AV196" s="166"/>
      <c r="AW196" s="166"/>
      <c r="AX196" s="166"/>
      <c r="AY196" s="166"/>
      <c r="AZ196" s="166"/>
      <c r="BA196" s="166"/>
      <c r="BB196" s="166"/>
      <c r="BC196" s="166"/>
      <c r="BD196" s="166"/>
      <c r="BE196" s="166"/>
      <c r="BF196" s="166"/>
      <c r="BG196" s="166"/>
      <c r="BH196" s="166"/>
      <c r="BI196" s="166"/>
      <c r="BJ196" s="166"/>
      <c r="BK196" s="166"/>
      <c r="BL196" s="166"/>
      <c r="BM196" s="159"/>
      <c r="BN196" s="159"/>
    </row>
    <row r="197" spans="1:66" ht="38.049999999999997" x14ac:dyDescent="0.25">
      <c r="A197" s="166"/>
      <c r="B197" s="166"/>
      <c r="C197" s="166"/>
      <c r="D197" s="166"/>
      <c r="E197" s="166"/>
      <c r="F197" s="166"/>
      <c r="G197" s="166"/>
      <c r="H197" s="166"/>
      <c r="I197" s="166"/>
      <c r="J197" s="166"/>
      <c r="K197" s="166"/>
      <c r="L197" s="166"/>
      <c r="M197" s="166"/>
      <c r="N197" s="166"/>
      <c r="O197" s="166"/>
      <c r="P197" s="166"/>
      <c r="Q197" s="166"/>
      <c r="R197" s="166"/>
      <c r="S197" s="166"/>
      <c r="T197" s="166"/>
      <c r="U197" s="166"/>
      <c r="V197" s="166"/>
      <c r="W197" s="381"/>
      <c r="X197" s="186"/>
      <c r="Y197" s="186"/>
      <c r="Z197" s="186"/>
      <c r="AA197" s="186"/>
      <c r="AB197" s="186"/>
      <c r="AC197" s="186"/>
      <c r="AD197" s="186"/>
      <c r="AE197" s="186"/>
      <c r="AF197" s="186"/>
      <c r="AG197" s="186"/>
      <c r="AH197" s="186"/>
      <c r="AI197" s="186"/>
      <c r="AJ197" s="640"/>
      <c r="AK197" s="185" t="str">
        <f>'5.FieldEnergyUse'!D103</f>
        <v>Total (kg CO2 equiv)</v>
      </c>
      <c r="AL197" s="630">
        <f ca="1">'5.FieldEnergyUse'!E103</f>
        <v>4232.3788630317968</v>
      </c>
      <c r="AM197" s="642">
        <f ca="1">'5.FieldEnergyUse'!M103</f>
        <v>299.2816715811403</v>
      </c>
      <c r="AN197" s="499"/>
      <c r="AO197" s="166"/>
      <c r="AP197" s="166"/>
      <c r="AQ197" s="166"/>
      <c r="AR197" s="166"/>
      <c r="AS197" s="166"/>
      <c r="AT197" s="166"/>
      <c r="AU197" s="166"/>
      <c r="AV197" s="166"/>
      <c r="AW197" s="166"/>
      <c r="AX197" s="166"/>
      <c r="AY197" s="166"/>
      <c r="AZ197" s="166"/>
      <c r="BA197" s="166"/>
      <c r="BB197" s="166"/>
      <c r="BC197" s="166"/>
      <c r="BD197" s="166"/>
      <c r="BE197" s="166"/>
      <c r="BF197" s="166"/>
      <c r="BG197" s="166"/>
      <c r="BH197" s="166"/>
      <c r="BI197" s="166"/>
      <c r="BJ197" s="166"/>
      <c r="BK197" s="166"/>
      <c r="BL197" s="166"/>
      <c r="BM197" s="159"/>
      <c r="BN197" s="159"/>
    </row>
    <row r="198" spans="1:66" ht="51.3" thickBot="1" x14ac:dyDescent="0.3">
      <c r="A198" s="166"/>
      <c r="B198" s="166"/>
      <c r="C198" s="166"/>
      <c r="D198" s="166"/>
      <c r="E198" s="166"/>
      <c r="F198" s="166"/>
      <c r="G198" s="166"/>
      <c r="H198" s="166"/>
      <c r="I198" s="166"/>
      <c r="J198" s="166"/>
      <c r="K198" s="166"/>
      <c r="L198" s="166"/>
      <c r="M198" s="166"/>
      <c r="N198" s="166"/>
      <c r="O198" s="166"/>
      <c r="P198" s="166"/>
      <c r="Q198" s="166"/>
      <c r="R198" s="166"/>
      <c r="S198" s="166"/>
      <c r="T198" s="166"/>
      <c r="U198" s="166"/>
      <c r="V198" s="166"/>
      <c r="W198" s="381"/>
      <c r="X198" s="186"/>
      <c r="Y198" s="186"/>
      <c r="Z198" s="186"/>
      <c r="AA198" s="186"/>
      <c r="AB198" s="186"/>
      <c r="AC198" s="186"/>
      <c r="AD198" s="186"/>
      <c r="AE198" s="186"/>
      <c r="AF198" s="186"/>
      <c r="AG198" s="186"/>
      <c r="AH198" s="186"/>
      <c r="AI198" s="186"/>
      <c r="AJ198" s="643"/>
      <c r="AK198" s="644" t="str">
        <f>'5.FieldEnergyUse'!D104</f>
        <v>Total /hectare (kg CO2 equiv)</v>
      </c>
      <c r="AL198" s="645">
        <f ca="1">'5.FieldEnergyUse'!E104</f>
        <v>587.8303976433051</v>
      </c>
      <c r="AM198" s="646">
        <f ca="1">'5.FieldEnergyUse'!M104</f>
        <v>41.566898830713932</v>
      </c>
      <c r="AN198" s="499"/>
      <c r="AO198" s="166"/>
      <c r="AP198" s="166"/>
      <c r="AQ198" s="166"/>
      <c r="AR198" s="166"/>
      <c r="AS198" s="166"/>
      <c r="AT198" s="166"/>
      <c r="AU198" s="166"/>
      <c r="AV198" s="166"/>
      <c r="AW198" s="166"/>
      <c r="AX198" s="166"/>
      <c r="AY198" s="166"/>
      <c r="AZ198" s="166"/>
      <c r="BA198" s="166"/>
      <c r="BB198" s="166"/>
      <c r="BC198" s="166"/>
      <c r="BD198" s="166"/>
      <c r="BE198" s="166"/>
      <c r="BF198" s="166"/>
      <c r="BG198" s="166"/>
      <c r="BH198" s="166"/>
      <c r="BI198" s="166"/>
      <c r="BJ198" s="166"/>
      <c r="BK198" s="166"/>
      <c r="BL198" s="166"/>
      <c r="BM198" s="159"/>
      <c r="BN198" s="159"/>
    </row>
    <row r="199" spans="1:66" ht="94.5" x14ac:dyDescent="0.25">
      <c r="A199" s="166"/>
      <c r="B199" s="166"/>
      <c r="C199" s="166"/>
      <c r="D199" s="166"/>
      <c r="E199" s="166"/>
      <c r="F199" s="166"/>
      <c r="G199" s="166"/>
      <c r="H199" s="166"/>
      <c r="I199" s="166"/>
      <c r="J199" s="166"/>
      <c r="K199" s="166"/>
      <c r="L199" s="166"/>
      <c r="M199" s="166"/>
      <c r="N199" s="166"/>
      <c r="O199" s="166"/>
      <c r="P199" s="166"/>
      <c r="Q199" s="166"/>
      <c r="R199" s="166"/>
      <c r="S199" s="166"/>
      <c r="T199" s="166"/>
      <c r="U199" s="166"/>
      <c r="V199" s="166"/>
      <c r="W199" s="381"/>
      <c r="X199" s="186"/>
      <c r="Y199" s="186"/>
      <c r="Z199" s="186"/>
      <c r="AA199" s="186"/>
      <c r="AB199" s="186"/>
      <c r="AC199" s="186"/>
      <c r="AD199" s="186"/>
      <c r="AE199" s="186"/>
      <c r="AF199" s="186"/>
      <c r="AG199" s="186"/>
      <c r="AH199" s="186"/>
      <c r="AI199" s="186"/>
      <c r="AJ199" s="638" t="s">
        <v>952</v>
      </c>
      <c r="AK199" s="558"/>
      <c r="AL199" s="639"/>
      <c r="AM199" s="588"/>
      <c r="AN199" s="499"/>
      <c r="AO199" s="166"/>
      <c r="AP199" s="166"/>
      <c r="AQ199" s="166"/>
      <c r="AR199" s="166"/>
      <c r="AS199" s="166"/>
      <c r="AT199" s="166"/>
      <c r="AU199" s="166"/>
      <c r="AV199" s="166"/>
      <c r="AW199" s="166"/>
      <c r="AX199" s="166"/>
      <c r="AY199" s="166"/>
      <c r="AZ199" s="166"/>
      <c r="BA199" s="166"/>
      <c r="BB199" s="166"/>
      <c r="BC199" s="166"/>
      <c r="BD199" s="166"/>
      <c r="BE199" s="166"/>
      <c r="BF199" s="166"/>
      <c r="BG199" s="166"/>
      <c r="BH199" s="166"/>
      <c r="BI199" s="166"/>
      <c r="BJ199" s="166"/>
      <c r="BK199" s="166"/>
      <c r="BL199" s="166"/>
      <c r="BM199" s="159"/>
      <c r="BN199" s="159"/>
    </row>
    <row r="200" spans="1:66" ht="25.35" x14ac:dyDescent="0.25">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381"/>
      <c r="X200" s="186"/>
      <c r="Y200" s="186"/>
      <c r="Z200" s="186"/>
      <c r="AA200" s="186"/>
      <c r="AB200" s="186"/>
      <c r="AC200" s="186"/>
      <c r="AD200" s="186"/>
      <c r="AE200" s="186"/>
      <c r="AF200" s="186"/>
      <c r="AG200" s="186"/>
      <c r="AH200" s="186"/>
      <c r="AI200" s="186"/>
      <c r="AJ200" s="640"/>
      <c r="AK200" s="549" t="str">
        <f>'6.PrimaryProcessing'!C35</f>
        <v>Grid electricity</v>
      </c>
      <c r="AL200" s="498">
        <f>'6.PrimaryProcessing'!E35</f>
        <v>0</v>
      </c>
      <c r="AM200" s="589">
        <f>'6.PrimaryProcessing'!L68</f>
        <v>0</v>
      </c>
      <c r="AN200" s="499"/>
      <c r="AO200" s="166"/>
      <c r="AP200" s="166"/>
      <c r="AQ200" s="166"/>
      <c r="AR200" s="166"/>
      <c r="AS200" s="166"/>
      <c r="AT200" s="166"/>
      <c r="AU200" s="166"/>
      <c r="AV200" s="166"/>
      <c r="AW200" s="166"/>
      <c r="AX200" s="166"/>
      <c r="AY200" s="166"/>
      <c r="AZ200" s="166"/>
      <c r="BA200" s="166"/>
      <c r="BB200" s="166"/>
      <c r="BC200" s="166"/>
      <c r="BD200" s="166"/>
      <c r="BE200" s="166"/>
      <c r="BF200" s="166"/>
      <c r="BG200" s="166"/>
      <c r="BH200" s="166"/>
      <c r="BI200" s="166"/>
      <c r="BJ200" s="166"/>
      <c r="BK200" s="166"/>
      <c r="BL200" s="166"/>
      <c r="BM200" s="159"/>
      <c r="BN200" s="159"/>
    </row>
    <row r="201" spans="1:66" ht="63.4" x14ac:dyDescent="0.25">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381"/>
      <c r="X201" s="186"/>
      <c r="Y201" s="186"/>
      <c r="Z201" s="186"/>
      <c r="AA201" s="186"/>
      <c r="AB201" s="186"/>
      <c r="AC201" s="186"/>
      <c r="AD201" s="186"/>
      <c r="AE201" s="186"/>
      <c r="AF201" s="186"/>
      <c r="AG201" s="186"/>
      <c r="AH201" s="186"/>
      <c r="AI201" s="186"/>
      <c r="AJ201" s="640"/>
      <c r="AK201" s="549" t="str">
        <f>'6.PrimaryProcessing'!C36</f>
        <v>Local wind, solar, hydro-electric</v>
      </c>
      <c r="AL201" s="498">
        <f>'6.PrimaryProcessing'!E36</f>
        <v>0</v>
      </c>
      <c r="AM201" s="589">
        <f>'6.PrimaryProcessing'!L69</f>
        <v>0</v>
      </c>
      <c r="AN201" s="499"/>
      <c r="AO201" s="166"/>
      <c r="AP201" s="166"/>
      <c r="AQ201" s="166"/>
      <c r="AR201" s="166"/>
      <c r="AS201" s="166"/>
      <c r="AT201" s="166"/>
      <c r="AU201" s="166"/>
      <c r="AV201" s="166"/>
      <c r="AW201" s="166"/>
      <c r="AX201" s="166"/>
      <c r="AY201" s="166"/>
      <c r="AZ201" s="166"/>
      <c r="BA201" s="166"/>
      <c r="BB201" s="166"/>
      <c r="BC201" s="166"/>
      <c r="BD201" s="166"/>
      <c r="BE201" s="166"/>
      <c r="BF201" s="166"/>
      <c r="BG201" s="166"/>
      <c r="BH201" s="166"/>
      <c r="BI201" s="166"/>
      <c r="BJ201" s="166"/>
      <c r="BK201" s="166"/>
      <c r="BL201" s="166"/>
      <c r="BM201" s="159"/>
      <c r="BN201" s="159"/>
    </row>
    <row r="202" spans="1:66" x14ac:dyDescent="0.25">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381"/>
      <c r="X202" s="186"/>
      <c r="Y202" s="186"/>
      <c r="Z202" s="186"/>
      <c r="AA202" s="186"/>
      <c r="AB202" s="186"/>
      <c r="AC202" s="186"/>
      <c r="AD202" s="186"/>
      <c r="AE202" s="186"/>
      <c r="AF202" s="186"/>
      <c r="AG202" s="186"/>
      <c r="AH202" s="186"/>
      <c r="AI202" s="186"/>
      <c r="AJ202" s="640"/>
      <c r="AK202" s="549" t="str">
        <f>'6.PrimaryProcessing'!C37</f>
        <v>Biomass</v>
      </c>
      <c r="AL202" s="498">
        <f ca="1">'6.PrimaryProcessing'!E37</f>
        <v>0</v>
      </c>
      <c r="AM202" s="589">
        <f ca="1">'6.PrimaryProcessing'!L70</f>
        <v>0</v>
      </c>
      <c r="AN202" s="499"/>
      <c r="AO202" s="166"/>
      <c r="AP202" s="166"/>
      <c r="AQ202" s="166"/>
      <c r="AR202" s="166"/>
      <c r="AS202" s="166"/>
      <c r="AT202" s="166"/>
      <c r="AU202" s="166"/>
      <c r="AV202" s="166"/>
      <c r="AW202" s="166"/>
      <c r="AX202" s="166"/>
      <c r="AY202" s="166"/>
      <c r="AZ202" s="166"/>
      <c r="BA202" s="166"/>
      <c r="BB202" s="166"/>
      <c r="BC202" s="166"/>
      <c r="BD202" s="166"/>
      <c r="BE202" s="166"/>
      <c r="BF202" s="166"/>
      <c r="BG202" s="166"/>
      <c r="BH202" s="166"/>
      <c r="BI202" s="166"/>
      <c r="BJ202" s="166"/>
      <c r="BK202" s="166"/>
      <c r="BL202" s="166"/>
      <c r="BM202" s="159"/>
      <c r="BN202" s="159"/>
    </row>
    <row r="203" spans="1:66" ht="25.95" thickBot="1" x14ac:dyDescent="0.3">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596"/>
      <c r="X203" s="493"/>
      <c r="Y203" s="493"/>
      <c r="Z203" s="493"/>
      <c r="AA203" s="493"/>
      <c r="AB203" s="493"/>
      <c r="AC203" s="493"/>
      <c r="AD203" s="493"/>
      <c r="AE203" s="493"/>
      <c r="AF203" s="493"/>
      <c r="AG203" s="493"/>
      <c r="AH203" s="493"/>
      <c r="AI203" s="493"/>
      <c r="AJ203" s="640"/>
      <c r="AK203" s="549" t="str">
        <f>'6.PrimaryProcessing'!C38</f>
        <v>Fossil Fuels</v>
      </c>
      <c r="AL203" s="498">
        <f ca="1">'6.PrimaryProcessing'!E38</f>
        <v>0</v>
      </c>
      <c r="AM203" s="589">
        <f ca="1">'6.PrimaryProcessing'!L71</f>
        <v>0</v>
      </c>
      <c r="AN203" s="561"/>
      <c r="AO203" s="166"/>
      <c r="AP203" s="166"/>
      <c r="AQ203" s="166"/>
      <c r="AR203" s="166"/>
      <c r="AS203" s="166"/>
      <c r="AT203" s="166"/>
      <c r="AU203" s="166"/>
      <c r="AV203" s="166"/>
      <c r="AW203" s="166"/>
      <c r="AX203" s="166"/>
      <c r="AY203" s="166"/>
      <c r="AZ203" s="166"/>
      <c r="BA203" s="166"/>
      <c r="BB203" s="166"/>
      <c r="BC203" s="166"/>
      <c r="BD203" s="166"/>
      <c r="BE203" s="166"/>
      <c r="BF203" s="166"/>
      <c r="BG203" s="166"/>
      <c r="BH203" s="166"/>
      <c r="BI203" s="166"/>
      <c r="BJ203" s="166"/>
      <c r="BK203" s="166"/>
      <c r="BL203" s="166"/>
      <c r="BM203" s="159"/>
      <c r="BN203" s="159"/>
    </row>
    <row r="204" spans="1:66" x14ac:dyDescent="0.25">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c r="AA204" s="166"/>
      <c r="AB204" s="166"/>
      <c r="AC204" s="166"/>
      <c r="AD204" s="166"/>
      <c r="AE204" s="166"/>
      <c r="AF204" s="166"/>
      <c r="AG204" s="166"/>
      <c r="AH204" s="166"/>
      <c r="AI204" s="166"/>
      <c r="AJ204" s="483"/>
      <c r="AK204" s="647" t="str">
        <f>'6.PrimaryProcessing'!C41</f>
        <v xml:space="preserve">Totals </v>
      </c>
      <c r="AL204" s="648">
        <f ca="1">'6.PrimaryProcessing'!E41</f>
        <v>0</v>
      </c>
      <c r="AM204" s="649">
        <f ca="1">'6.PrimaryProcessing'!L74</f>
        <v>0</v>
      </c>
      <c r="AN204" s="166"/>
      <c r="AO204" s="166"/>
      <c r="AP204" s="166"/>
      <c r="AQ204" s="166"/>
      <c r="AR204" s="166"/>
      <c r="AS204" s="166"/>
      <c r="AT204" s="166"/>
      <c r="AU204" s="166"/>
      <c r="AV204" s="166"/>
      <c r="AW204" s="166"/>
      <c r="AX204" s="166"/>
      <c r="AY204" s="166"/>
      <c r="AZ204" s="166"/>
      <c r="BA204" s="166"/>
      <c r="BB204" s="166"/>
      <c r="BC204" s="166"/>
      <c r="BD204" s="166"/>
      <c r="BE204" s="166"/>
      <c r="BF204" s="166"/>
      <c r="BG204" s="166"/>
      <c r="BH204" s="166"/>
      <c r="BI204" s="166"/>
      <c r="BJ204" s="166"/>
      <c r="BK204" s="166"/>
      <c r="BL204" s="166"/>
      <c r="BM204" s="159"/>
      <c r="BN204" s="159"/>
    </row>
    <row r="205" spans="1:66" ht="25.95" thickBot="1" x14ac:dyDescent="0.3">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c r="AA205" s="166"/>
      <c r="AB205" s="166"/>
      <c r="AC205" s="166"/>
      <c r="AD205" s="149"/>
      <c r="AE205" s="149"/>
      <c r="AF205" s="149"/>
      <c r="AG205" s="149"/>
      <c r="AH205" s="149"/>
      <c r="AI205" s="149"/>
      <c r="AJ205" s="596"/>
      <c r="AK205" s="644" t="str">
        <f>'6.PrimaryProcessing'!C42</f>
        <v>Totals/ hectare</v>
      </c>
      <c r="AL205" s="650">
        <f ca="1">'6.PrimaryProcessing'!E42</f>
        <v>0</v>
      </c>
      <c r="AM205" s="651">
        <f ca="1">'6.PrimaryProcessing'!L75</f>
        <v>0</v>
      </c>
      <c r="AN205" s="149"/>
      <c r="AO205" s="166"/>
      <c r="AP205" s="166"/>
      <c r="AQ205" s="166"/>
      <c r="AR205" s="166"/>
      <c r="AS205" s="166"/>
      <c r="AT205" s="166"/>
      <c r="AU205" s="166"/>
      <c r="AV205" s="166"/>
      <c r="AW205" s="166"/>
      <c r="AX205" s="166"/>
      <c r="AY205" s="166"/>
      <c r="AZ205" s="166"/>
      <c r="BA205" s="166"/>
      <c r="BB205" s="166"/>
      <c r="BC205" s="166"/>
      <c r="BD205" s="166"/>
      <c r="BE205" s="166"/>
      <c r="BF205" s="166"/>
      <c r="BG205" s="166"/>
      <c r="BH205" s="166"/>
      <c r="BI205" s="166"/>
      <c r="BJ205" s="166"/>
      <c r="BK205" s="166"/>
      <c r="BL205" s="166"/>
      <c r="BM205" s="159"/>
      <c r="BN205" s="159"/>
    </row>
    <row r="206" spans="1:66" x14ac:dyDescent="0.25">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c r="AA206" s="166"/>
      <c r="AB206" s="166"/>
      <c r="AC206" s="166"/>
      <c r="AD206" s="149"/>
      <c r="AE206" s="149"/>
      <c r="AF206" s="149"/>
      <c r="AG206" s="149"/>
      <c r="AH206" s="149"/>
      <c r="AI206" s="149"/>
      <c r="AJ206" s="149"/>
      <c r="AK206" s="149"/>
      <c r="AL206" s="149"/>
      <c r="AM206" s="149"/>
      <c r="AN206" s="149"/>
      <c r="AO206" s="166"/>
      <c r="AP206" s="166"/>
      <c r="AQ206" s="166"/>
      <c r="AR206" s="166"/>
      <c r="AS206" s="166"/>
      <c r="AT206" s="166"/>
      <c r="AU206" s="166"/>
      <c r="AV206" s="166"/>
      <c r="AW206" s="166"/>
      <c r="AX206" s="166"/>
      <c r="AY206" s="166"/>
      <c r="AZ206" s="166"/>
      <c r="BA206" s="166"/>
      <c r="BB206" s="166"/>
      <c r="BC206" s="166"/>
      <c r="BD206" s="166"/>
      <c r="BE206" s="166"/>
      <c r="BF206" s="166"/>
      <c r="BG206" s="166"/>
      <c r="BH206" s="166"/>
      <c r="BI206" s="166"/>
      <c r="BJ206" s="166"/>
      <c r="BK206" s="166"/>
      <c r="BL206" s="166"/>
      <c r="BM206" s="159"/>
      <c r="BN206" s="159"/>
    </row>
    <row r="207" spans="1:66" x14ac:dyDescent="0.25">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c r="AA207" s="166"/>
      <c r="AB207" s="166"/>
      <c r="AC207" s="166"/>
      <c r="AD207" s="149"/>
      <c r="AE207" s="149"/>
      <c r="AF207" s="149"/>
      <c r="AG207" s="149"/>
      <c r="AH207" s="149"/>
      <c r="AI207" s="149"/>
      <c r="AJ207" s="149"/>
      <c r="AK207" s="149"/>
      <c r="AL207" s="149"/>
      <c r="AM207" s="149"/>
      <c r="AN207" s="149"/>
      <c r="AO207" s="166"/>
      <c r="AP207" s="166"/>
      <c r="AQ207" s="166"/>
      <c r="AR207" s="166"/>
      <c r="AS207" s="166"/>
      <c r="AT207" s="166"/>
      <c r="AU207" s="166"/>
      <c r="AV207" s="166"/>
      <c r="AW207" s="166"/>
      <c r="AX207" s="166"/>
      <c r="AY207" s="166"/>
      <c r="AZ207" s="166"/>
      <c r="BA207" s="166"/>
      <c r="BB207" s="166"/>
      <c r="BC207" s="166"/>
      <c r="BD207" s="166"/>
      <c r="BE207" s="166"/>
      <c r="BF207" s="166"/>
      <c r="BG207" s="166"/>
      <c r="BH207" s="166"/>
      <c r="BI207" s="166"/>
      <c r="BJ207" s="166"/>
      <c r="BK207" s="166"/>
      <c r="BL207" s="166"/>
      <c r="BM207" s="159"/>
      <c r="BN207" s="159"/>
    </row>
    <row r="208" spans="1:66" x14ac:dyDescent="0.25">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49"/>
      <c r="AE208" s="149"/>
      <c r="AF208" s="149"/>
      <c r="AG208" s="149"/>
      <c r="AH208" s="149"/>
      <c r="AI208" s="149"/>
      <c r="AJ208" s="149"/>
      <c r="AK208" s="149"/>
      <c r="AL208" s="149"/>
      <c r="AM208" s="149"/>
      <c r="AN208" s="149"/>
      <c r="AO208" s="166"/>
      <c r="AP208" s="166"/>
      <c r="AQ208" s="166"/>
      <c r="AR208" s="166"/>
      <c r="AS208" s="166"/>
      <c r="AT208" s="166"/>
      <c r="AU208" s="166"/>
      <c r="AV208" s="166"/>
      <c r="AW208" s="166"/>
      <c r="AX208" s="166"/>
      <c r="AY208" s="166"/>
      <c r="AZ208" s="166"/>
      <c r="BA208" s="166"/>
      <c r="BB208" s="166"/>
      <c r="BC208" s="166"/>
      <c r="BD208" s="166"/>
      <c r="BE208" s="166"/>
      <c r="BF208" s="166"/>
      <c r="BG208" s="166"/>
      <c r="BH208" s="166"/>
      <c r="BI208" s="166"/>
      <c r="BJ208" s="166"/>
      <c r="BK208" s="166"/>
      <c r="BL208" s="166"/>
      <c r="BM208" s="159"/>
      <c r="BN208" s="159"/>
    </row>
    <row r="209" spans="1:66" x14ac:dyDescent="0.25">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c r="AA209" s="166"/>
      <c r="AB209" s="166"/>
      <c r="AC209" s="166"/>
      <c r="AD209" s="149"/>
      <c r="AE209" s="149"/>
      <c r="AF209" s="149"/>
      <c r="AG209" s="149"/>
      <c r="AH209" s="149"/>
      <c r="AI209" s="149"/>
      <c r="AJ209" s="149"/>
      <c r="AK209" s="149"/>
      <c r="AL209" s="149"/>
      <c r="AM209" s="149"/>
      <c r="AN209" s="149"/>
      <c r="AO209" s="166"/>
      <c r="AP209" s="166"/>
      <c r="AQ209" s="166"/>
      <c r="AR209" s="166"/>
      <c r="AS209" s="166"/>
      <c r="AT209" s="166"/>
      <c r="AU209" s="166"/>
      <c r="AV209" s="166"/>
      <c r="AW209" s="166"/>
      <c r="AX209" s="166"/>
      <c r="AY209" s="166"/>
      <c r="AZ209" s="166"/>
      <c r="BA209" s="166"/>
      <c r="BB209" s="166"/>
      <c r="BC209" s="166"/>
      <c r="BD209" s="166"/>
      <c r="BE209" s="166"/>
      <c r="BF209" s="166"/>
      <c r="BG209" s="166"/>
      <c r="BH209" s="166"/>
      <c r="BI209" s="166"/>
      <c r="BJ209" s="166"/>
      <c r="BK209" s="166"/>
      <c r="BL209" s="166"/>
      <c r="BM209" s="159"/>
      <c r="BN209" s="159"/>
    </row>
    <row r="210" spans="1:66" x14ac:dyDescent="0.25">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c r="AA210" s="166"/>
      <c r="AB210" s="166"/>
      <c r="AC210" s="166"/>
      <c r="AD210" s="149"/>
      <c r="AE210" s="149"/>
      <c r="AF210" s="149"/>
      <c r="AG210" s="149"/>
      <c r="AH210" s="149"/>
      <c r="AI210" s="149"/>
      <c r="AJ210" s="149"/>
      <c r="AK210" s="149"/>
      <c r="AL210" s="149"/>
      <c r="AM210" s="149"/>
      <c r="AN210" s="149"/>
      <c r="AO210" s="166"/>
      <c r="AP210" s="166"/>
      <c r="AQ210" s="166"/>
      <c r="AR210" s="166"/>
      <c r="AS210" s="166"/>
      <c r="AT210" s="166"/>
      <c r="AU210" s="166"/>
      <c r="AV210" s="166"/>
      <c r="AW210" s="166"/>
      <c r="AX210" s="166"/>
      <c r="AY210" s="166"/>
      <c r="AZ210" s="166"/>
      <c r="BA210" s="166"/>
      <c r="BB210" s="166"/>
      <c r="BC210" s="166"/>
      <c r="BD210" s="166"/>
      <c r="BE210" s="166"/>
      <c r="BF210" s="166"/>
      <c r="BG210" s="166"/>
      <c r="BH210" s="166"/>
      <c r="BI210" s="166"/>
      <c r="BJ210" s="166"/>
      <c r="BK210" s="166"/>
      <c r="BL210" s="166"/>
      <c r="BM210" s="159"/>
      <c r="BN210" s="159"/>
    </row>
    <row r="211" spans="1:66" x14ac:dyDescent="0.25">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c r="AA211" s="166"/>
      <c r="AB211" s="166"/>
      <c r="AC211" s="159"/>
      <c r="AD211" s="159"/>
      <c r="AE211" s="159"/>
      <c r="AF211" s="159"/>
      <c r="AG211" s="159"/>
      <c r="AH211" s="159"/>
      <c r="AI211" s="159"/>
      <c r="AJ211" s="159"/>
      <c r="AK211" s="159"/>
      <c r="AL211" s="159"/>
      <c r="AM211" s="159"/>
      <c r="AN211" s="159"/>
      <c r="AO211" s="159"/>
      <c r="AP211" s="159"/>
      <c r="AQ211" s="159"/>
      <c r="AR211" s="159"/>
      <c r="AS211" s="159"/>
      <c r="AT211" s="159"/>
      <c r="AU211" s="159"/>
      <c r="AV211" s="159"/>
      <c r="AW211" s="159"/>
      <c r="AX211" s="159"/>
      <c r="AY211" s="159"/>
      <c r="AZ211" s="159"/>
      <c r="BA211" s="159"/>
      <c r="BB211" s="159"/>
      <c r="BC211" s="159"/>
      <c r="BD211" s="159"/>
      <c r="BE211" s="159"/>
      <c r="BF211" s="159"/>
      <c r="BG211" s="159"/>
      <c r="BH211" s="159"/>
      <c r="BI211" s="159"/>
      <c r="BJ211" s="159"/>
      <c r="BK211" s="159"/>
      <c r="BL211" s="159"/>
      <c r="BM211" s="159"/>
      <c r="BN211" s="159"/>
    </row>
    <row r="212" spans="1:66" x14ac:dyDescent="0.25">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c r="AA212" s="166"/>
      <c r="AB212" s="166"/>
      <c r="AC212" s="159"/>
      <c r="AD212" s="159"/>
      <c r="AE212" s="159"/>
      <c r="AF212" s="159"/>
      <c r="AG212" s="159"/>
      <c r="AH212" s="159"/>
      <c r="AI212" s="159"/>
      <c r="AJ212" s="159"/>
      <c r="AK212" s="159"/>
      <c r="AL212" s="159"/>
      <c r="AM212" s="159"/>
      <c r="AN212" s="159"/>
      <c r="AO212" s="159"/>
      <c r="AP212" s="159"/>
      <c r="AQ212" s="159"/>
      <c r="AR212" s="159"/>
      <c r="AS212" s="159"/>
      <c r="AT212" s="159"/>
      <c r="AU212" s="159"/>
      <c r="AV212" s="159"/>
      <c r="AW212" s="159"/>
      <c r="AX212" s="159"/>
      <c r="AY212" s="159"/>
      <c r="AZ212" s="159"/>
      <c r="BA212" s="159"/>
      <c r="BB212" s="159"/>
      <c r="BC212" s="159"/>
      <c r="BD212" s="159"/>
      <c r="BE212" s="159"/>
      <c r="BF212" s="159"/>
      <c r="BG212" s="159"/>
      <c r="BH212" s="159"/>
      <c r="BI212" s="159"/>
      <c r="BJ212" s="159"/>
      <c r="BK212" s="159"/>
      <c r="BL212" s="159"/>
      <c r="BM212" s="159"/>
      <c r="BN212" s="159"/>
    </row>
    <row r="213" spans="1:66" x14ac:dyDescent="0.25">
      <c r="A213" s="166"/>
      <c r="B213" s="159"/>
      <c r="C213" s="159"/>
      <c r="D213" s="159"/>
      <c r="E213" s="159"/>
      <c r="F213" s="159"/>
      <c r="G213" s="159"/>
      <c r="H213" s="159"/>
      <c r="I213" s="159"/>
      <c r="J213" s="159"/>
      <c r="K213" s="159"/>
      <c r="L213" s="159"/>
      <c r="M213" s="159"/>
      <c r="N213" s="159"/>
      <c r="O213" s="159"/>
      <c r="P213" s="159"/>
      <c r="Q213" s="159"/>
      <c r="R213" s="159"/>
      <c r="S213" s="159"/>
      <c r="T213" s="166"/>
      <c r="U213" s="166"/>
      <c r="V213" s="166"/>
      <c r="W213" s="166"/>
      <c r="X213" s="166"/>
      <c r="Y213" s="166"/>
      <c r="Z213" s="166"/>
      <c r="AA213" s="166"/>
      <c r="AB213" s="166"/>
      <c r="AC213" s="159"/>
      <c r="AD213" s="159"/>
      <c r="AE213" s="159"/>
      <c r="AF213" s="159"/>
      <c r="AG213" s="159"/>
      <c r="AH213" s="159"/>
      <c r="AI213" s="159"/>
      <c r="AJ213" s="159"/>
      <c r="AK213" s="159"/>
      <c r="AL213" s="159"/>
      <c r="AM213" s="159"/>
      <c r="AN213" s="159"/>
      <c r="AO213" s="159"/>
      <c r="AP213" s="159"/>
      <c r="AQ213" s="159"/>
      <c r="AR213" s="159"/>
      <c r="AS213" s="159"/>
      <c r="AT213" s="159"/>
      <c r="AU213" s="159"/>
      <c r="AV213" s="159"/>
      <c r="AW213" s="159"/>
      <c r="AX213" s="159"/>
      <c r="AY213" s="159"/>
      <c r="AZ213" s="159"/>
      <c r="BA213" s="159"/>
      <c r="BB213" s="159"/>
      <c r="BC213" s="159"/>
      <c r="BD213" s="159"/>
      <c r="BE213" s="159"/>
      <c r="BF213" s="159"/>
      <c r="BG213" s="159"/>
      <c r="BH213" s="159"/>
      <c r="BI213" s="159"/>
      <c r="BJ213" s="159"/>
      <c r="BK213" s="159"/>
      <c r="BL213" s="159"/>
      <c r="BM213" s="159"/>
      <c r="BN213" s="159"/>
    </row>
    <row r="214" spans="1:66" x14ac:dyDescent="0.25">
      <c r="A214" s="166"/>
      <c r="B214" s="159"/>
      <c r="C214" s="159"/>
      <c r="D214" s="159"/>
      <c r="E214" s="159"/>
      <c r="F214" s="159"/>
      <c r="G214" s="159"/>
      <c r="H214" s="159"/>
      <c r="I214" s="159"/>
      <c r="J214" s="159"/>
      <c r="K214" s="159"/>
      <c r="L214" s="159"/>
      <c r="M214" s="159"/>
      <c r="N214" s="159"/>
      <c r="O214" s="159"/>
      <c r="P214" s="159"/>
      <c r="Q214" s="159"/>
      <c r="R214" s="159"/>
      <c r="S214" s="159"/>
      <c r="T214" s="166"/>
      <c r="U214" s="166"/>
      <c r="V214" s="166"/>
      <c r="W214" s="166"/>
      <c r="X214" s="166"/>
      <c r="Y214" s="166"/>
      <c r="Z214" s="166"/>
      <c r="AA214" s="166"/>
      <c r="AB214" s="166"/>
      <c r="AC214" s="159"/>
      <c r="AD214" s="159"/>
      <c r="AE214" s="159"/>
      <c r="AF214" s="159"/>
      <c r="AG214" s="159"/>
      <c r="AH214" s="159"/>
      <c r="AI214" s="159"/>
      <c r="AJ214" s="159"/>
      <c r="AK214" s="159"/>
      <c r="AL214" s="159"/>
      <c r="AM214" s="159"/>
      <c r="AN214" s="159"/>
      <c r="AO214" s="159"/>
      <c r="AP214" s="159"/>
      <c r="AQ214" s="159"/>
      <c r="AR214" s="159"/>
      <c r="AS214" s="159"/>
      <c r="AT214" s="159"/>
      <c r="AU214" s="159"/>
      <c r="AV214" s="159"/>
      <c r="AW214" s="159"/>
      <c r="AX214" s="159"/>
      <c r="AY214" s="159"/>
      <c r="AZ214" s="159"/>
      <c r="BA214" s="159"/>
      <c r="BB214" s="159"/>
      <c r="BC214" s="159"/>
      <c r="BD214" s="159"/>
      <c r="BE214" s="159"/>
      <c r="BF214" s="159"/>
      <c r="BG214" s="159"/>
      <c r="BH214" s="159"/>
      <c r="BI214" s="159"/>
      <c r="BJ214" s="159"/>
      <c r="BK214" s="159"/>
      <c r="BL214" s="159"/>
      <c r="BM214" s="159"/>
      <c r="BN214" s="159"/>
    </row>
    <row r="215" spans="1:66" x14ac:dyDescent="0.25">
      <c r="A215" s="166"/>
      <c r="B215" s="159"/>
      <c r="C215" s="159"/>
      <c r="D215" s="159"/>
      <c r="E215" s="159"/>
      <c r="F215" s="159"/>
      <c r="G215" s="159"/>
      <c r="H215" s="159"/>
      <c r="I215" s="159"/>
      <c r="J215" s="159"/>
      <c r="K215" s="159"/>
      <c r="L215" s="159"/>
      <c r="M215" s="159"/>
      <c r="N215" s="159"/>
      <c r="O215" s="159"/>
      <c r="P215" s="159"/>
      <c r="Q215" s="159"/>
      <c r="R215" s="159"/>
      <c r="S215" s="159"/>
      <c r="T215" s="166"/>
      <c r="U215" s="166"/>
      <c r="V215" s="166"/>
      <c r="W215" s="166"/>
      <c r="X215" s="166"/>
      <c r="Y215" s="166"/>
      <c r="Z215" s="166"/>
      <c r="AA215" s="166"/>
      <c r="AB215" s="166"/>
      <c r="AC215" s="159"/>
      <c r="AD215" s="159"/>
      <c r="AE215" s="159"/>
      <c r="AF215" s="159"/>
      <c r="AG215" s="159"/>
      <c r="AH215" s="159"/>
      <c r="AI215" s="159"/>
      <c r="AJ215" s="159"/>
      <c r="AK215" s="159"/>
      <c r="AL215" s="159"/>
      <c r="AM215" s="159"/>
      <c r="AN215" s="159"/>
      <c r="AO215" s="159"/>
      <c r="AP215" s="159"/>
      <c r="AQ215" s="159"/>
      <c r="AR215" s="159"/>
      <c r="AS215" s="159"/>
      <c r="AT215" s="159"/>
      <c r="AU215" s="159"/>
      <c r="AV215" s="159"/>
      <c r="AW215" s="159"/>
      <c r="AX215" s="159"/>
      <c r="AY215" s="159"/>
      <c r="AZ215" s="159"/>
      <c r="BA215" s="159"/>
      <c r="BB215" s="159"/>
      <c r="BC215" s="159"/>
      <c r="BD215" s="159"/>
      <c r="BE215" s="159"/>
      <c r="BF215" s="159"/>
      <c r="BG215" s="159"/>
      <c r="BH215" s="159"/>
      <c r="BI215" s="159"/>
      <c r="BJ215" s="159"/>
      <c r="BK215" s="159"/>
      <c r="BL215" s="159"/>
      <c r="BM215" s="159"/>
      <c r="BN215" s="159"/>
    </row>
    <row r="216" spans="1:66" x14ac:dyDescent="0.25">
      <c r="A216" s="166"/>
      <c r="B216" s="159"/>
      <c r="C216" s="159"/>
      <c r="D216" s="159"/>
      <c r="E216" s="159"/>
      <c r="F216" s="159"/>
      <c r="G216" s="159"/>
      <c r="H216" s="159"/>
      <c r="I216" s="159"/>
      <c r="J216" s="159"/>
      <c r="K216" s="159"/>
      <c r="L216" s="159"/>
      <c r="M216" s="159"/>
      <c r="N216" s="159"/>
      <c r="O216" s="159"/>
      <c r="P216" s="159"/>
      <c r="Q216" s="159"/>
      <c r="R216" s="159"/>
      <c r="S216" s="159"/>
      <c r="T216" s="166"/>
      <c r="U216" s="166"/>
      <c r="V216" s="166"/>
      <c r="W216" s="166"/>
      <c r="X216" s="166"/>
      <c r="Y216" s="166"/>
      <c r="Z216" s="166"/>
      <c r="AA216" s="166"/>
      <c r="AB216" s="166"/>
      <c r="AC216" s="159"/>
      <c r="AD216" s="159"/>
      <c r="AE216" s="159"/>
      <c r="AF216" s="159"/>
      <c r="AG216" s="159"/>
      <c r="AH216" s="159"/>
      <c r="AI216" s="159"/>
      <c r="AJ216" s="159"/>
      <c r="AK216" s="159"/>
      <c r="AL216" s="159"/>
      <c r="AM216" s="159"/>
      <c r="AN216" s="159"/>
      <c r="AO216" s="159"/>
      <c r="AP216" s="159"/>
      <c r="AQ216" s="159"/>
      <c r="AR216" s="159"/>
      <c r="AS216" s="159"/>
      <c r="AT216" s="159"/>
      <c r="AU216" s="159"/>
      <c r="AV216" s="159"/>
      <c r="AW216" s="159"/>
      <c r="AX216" s="159"/>
      <c r="AY216" s="159"/>
      <c r="AZ216" s="159"/>
      <c r="BA216" s="159"/>
      <c r="BB216" s="159"/>
      <c r="BC216" s="159"/>
      <c r="BD216" s="159"/>
      <c r="BE216" s="159"/>
      <c r="BF216" s="159"/>
      <c r="BG216" s="159"/>
      <c r="BH216" s="159"/>
      <c r="BI216" s="159"/>
      <c r="BJ216" s="159"/>
      <c r="BK216" s="159"/>
      <c r="BL216" s="159"/>
      <c r="BM216" s="159"/>
      <c r="BN216" s="159"/>
    </row>
    <row r="217" spans="1:66" x14ac:dyDescent="0.25">
      <c r="A217" s="166"/>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c r="AA217" s="166"/>
      <c r="AB217" s="166"/>
      <c r="AC217" s="159"/>
      <c r="AD217" s="159"/>
      <c r="AE217" s="159"/>
      <c r="AF217" s="159"/>
      <c r="AG217" s="159"/>
      <c r="AH217" s="159"/>
      <c r="AI217" s="159"/>
      <c r="AJ217" s="159"/>
      <c r="AK217" s="159"/>
      <c r="AL217" s="159"/>
      <c r="AM217" s="159"/>
      <c r="AN217" s="159"/>
      <c r="AO217" s="159"/>
      <c r="AP217" s="159"/>
      <c r="AQ217" s="159"/>
      <c r="AR217" s="159"/>
      <c r="AS217" s="159"/>
      <c r="AT217" s="159"/>
      <c r="AU217" s="159"/>
      <c r="AV217" s="159"/>
      <c r="AW217" s="159"/>
      <c r="AX217" s="159"/>
      <c r="AY217" s="159"/>
      <c r="AZ217" s="159"/>
      <c r="BA217" s="159"/>
      <c r="BB217" s="159"/>
      <c r="BC217" s="159"/>
      <c r="BD217" s="159"/>
      <c r="BE217" s="159"/>
      <c r="BF217" s="159"/>
      <c r="BG217" s="159"/>
      <c r="BH217" s="159"/>
      <c r="BI217" s="159"/>
      <c r="BJ217" s="159"/>
      <c r="BK217" s="159"/>
      <c r="BL217" s="159"/>
      <c r="BM217" s="159"/>
      <c r="BN217" s="159"/>
    </row>
    <row r="218" spans="1:66" x14ac:dyDescent="0.25">
      <c r="A218" s="166"/>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c r="AA218" s="166"/>
      <c r="AB218" s="166"/>
      <c r="AC218" s="159"/>
      <c r="AD218" s="159"/>
      <c r="AE218" s="159"/>
      <c r="AF218" s="159"/>
      <c r="AG218" s="159"/>
      <c r="AH218" s="159"/>
      <c r="AI218" s="159"/>
      <c r="AJ218" s="159"/>
      <c r="AK218" s="159"/>
      <c r="AL218" s="159"/>
      <c r="AM218" s="159"/>
      <c r="AN218" s="159"/>
      <c r="AO218" s="159"/>
      <c r="AP218" s="159"/>
      <c r="AQ218" s="159"/>
      <c r="AR218" s="159"/>
      <c r="AS218" s="159"/>
      <c r="AT218" s="159"/>
      <c r="AU218" s="159"/>
      <c r="AV218" s="159"/>
      <c r="AW218" s="159"/>
      <c r="AX218" s="159"/>
      <c r="AY218" s="159"/>
      <c r="AZ218" s="159"/>
      <c r="BA218" s="159"/>
      <c r="BB218" s="159"/>
      <c r="BC218" s="159"/>
      <c r="BD218" s="159"/>
      <c r="BE218" s="159"/>
      <c r="BF218" s="159"/>
      <c r="BG218" s="159"/>
      <c r="BH218" s="159"/>
      <c r="BI218" s="159"/>
      <c r="BJ218" s="159"/>
      <c r="BK218" s="159"/>
      <c r="BL218" s="159"/>
      <c r="BM218" s="159"/>
      <c r="BN218" s="159"/>
    </row>
    <row r="219" spans="1:66" x14ac:dyDescent="0.25">
      <c r="A219" s="166"/>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c r="AA219" s="166"/>
      <c r="AB219" s="166"/>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59"/>
      <c r="BH219" s="159"/>
      <c r="BI219" s="159"/>
      <c r="BJ219" s="159"/>
      <c r="BK219" s="159"/>
      <c r="BL219" s="159"/>
      <c r="BM219" s="159"/>
      <c r="BN219" s="159"/>
    </row>
    <row r="220" spans="1:66" x14ac:dyDescent="0.25">
      <c r="A220" s="166"/>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c r="AA220" s="166"/>
      <c r="AB220" s="166"/>
      <c r="AC220" s="159"/>
      <c r="AD220" s="159"/>
      <c r="AE220" s="159"/>
      <c r="AF220" s="159"/>
      <c r="AG220" s="159"/>
      <c r="AH220" s="159"/>
      <c r="AI220" s="159"/>
      <c r="AJ220" s="159"/>
      <c r="AK220" s="159"/>
      <c r="AL220" s="159"/>
      <c r="AM220" s="159"/>
      <c r="AN220" s="159"/>
      <c r="AO220" s="159"/>
      <c r="AP220" s="159"/>
      <c r="AQ220" s="159"/>
      <c r="AR220" s="159"/>
      <c r="AS220" s="159"/>
      <c r="AT220" s="159"/>
      <c r="AU220" s="159"/>
      <c r="AV220" s="159"/>
      <c r="AW220" s="159"/>
      <c r="AX220" s="159"/>
      <c r="AY220" s="159"/>
      <c r="AZ220" s="159"/>
      <c r="BA220" s="159"/>
      <c r="BB220" s="159"/>
      <c r="BC220" s="159"/>
      <c r="BD220" s="159"/>
      <c r="BE220" s="159"/>
      <c r="BF220" s="159"/>
      <c r="BG220" s="159"/>
      <c r="BH220" s="159"/>
      <c r="BI220" s="159"/>
      <c r="BJ220" s="159"/>
      <c r="BK220" s="159"/>
      <c r="BL220" s="159"/>
      <c r="BM220" s="159"/>
      <c r="BN220" s="159"/>
    </row>
    <row r="221" spans="1:66" x14ac:dyDescent="0.25">
      <c r="A221" s="166"/>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c r="AA221" s="166"/>
      <c r="AB221" s="166"/>
      <c r="AC221" s="159"/>
      <c r="AD221" s="159"/>
      <c r="AE221" s="159"/>
      <c r="AF221" s="159"/>
      <c r="AG221" s="159"/>
      <c r="AH221" s="159"/>
      <c r="AI221" s="159"/>
      <c r="AJ221" s="159"/>
      <c r="AK221" s="159"/>
      <c r="AL221" s="159"/>
      <c r="AM221" s="159"/>
      <c r="AN221" s="159"/>
      <c r="AO221" s="159"/>
      <c r="AP221" s="159"/>
      <c r="AQ221" s="159"/>
      <c r="AR221" s="159"/>
      <c r="AS221" s="159"/>
      <c r="AT221" s="159"/>
      <c r="AU221" s="159"/>
      <c r="AV221" s="159"/>
      <c r="AW221" s="159"/>
      <c r="AX221" s="159"/>
      <c r="AY221" s="159"/>
      <c r="AZ221" s="159"/>
      <c r="BA221" s="159"/>
      <c r="BB221" s="159"/>
      <c r="BC221" s="159"/>
      <c r="BD221" s="159"/>
      <c r="BE221" s="159"/>
      <c r="BF221" s="159"/>
      <c r="BG221" s="159"/>
      <c r="BH221" s="159"/>
      <c r="BI221" s="159"/>
      <c r="BJ221" s="159"/>
      <c r="BK221" s="159"/>
      <c r="BL221" s="159"/>
      <c r="BM221" s="159"/>
      <c r="BN221" s="159"/>
    </row>
    <row r="222" spans="1:66" x14ac:dyDescent="0.25">
      <c r="A222" s="166"/>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c r="AA222" s="166"/>
      <c r="AB222" s="166"/>
      <c r="AC222" s="159"/>
      <c r="AD222" s="159"/>
      <c r="AE222" s="159"/>
      <c r="AF222" s="159"/>
      <c r="AG222" s="159"/>
      <c r="AH222" s="159"/>
      <c r="AI222" s="159"/>
      <c r="AJ222" s="159"/>
      <c r="AK222" s="159"/>
      <c r="AL222" s="159"/>
      <c r="AM222" s="159"/>
      <c r="AN222" s="159"/>
      <c r="AO222" s="159"/>
      <c r="AP222" s="159"/>
      <c r="AQ222" s="159"/>
      <c r="AR222" s="159"/>
      <c r="AS222" s="159"/>
      <c r="AT222" s="159"/>
      <c r="AU222" s="159"/>
      <c r="AV222" s="159"/>
      <c r="AW222" s="159"/>
      <c r="AX222" s="159"/>
      <c r="AY222" s="159"/>
      <c r="AZ222" s="159"/>
      <c r="BA222" s="159"/>
      <c r="BB222" s="159"/>
      <c r="BC222" s="159"/>
      <c r="BD222" s="159"/>
      <c r="BE222" s="159"/>
      <c r="BF222" s="159"/>
      <c r="BG222" s="159"/>
      <c r="BH222" s="159"/>
      <c r="BI222" s="159"/>
      <c r="BJ222" s="159"/>
      <c r="BK222" s="159"/>
      <c r="BL222" s="159"/>
      <c r="BM222" s="159"/>
      <c r="BN222" s="159"/>
    </row>
    <row r="223" spans="1:66" x14ac:dyDescent="0.25">
      <c r="A223" s="166"/>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c r="AA223" s="166"/>
      <c r="AB223" s="166"/>
      <c r="AC223" s="159"/>
      <c r="AD223" s="159"/>
      <c r="AE223" s="159"/>
      <c r="AF223" s="159"/>
      <c r="AG223" s="159"/>
      <c r="AH223" s="159"/>
      <c r="AI223" s="159"/>
      <c r="AJ223" s="159"/>
      <c r="AK223" s="159"/>
      <c r="AL223" s="159"/>
      <c r="AM223" s="159"/>
      <c r="AN223" s="159"/>
      <c r="AO223" s="159"/>
      <c r="AP223" s="159"/>
      <c r="AQ223" s="159"/>
      <c r="AR223" s="159"/>
      <c r="AS223" s="159"/>
      <c r="AT223" s="159"/>
      <c r="AU223" s="159"/>
      <c r="AV223" s="159"/>
      <c r="AW223" s="159"/>
      <c r="AX223" s="159"/>
      <c r="AY223" s="159"/>
      <c r="AZ223" s="159"/>
      <c r="BA223" s="159"/>
      <c r="BB223" s="159"/>
      <c r="BC223" s="159"/>
      <c r="BD223" s="159"/>
      <c r="BE223" s="159"/>
      <c r="BF223" s="159"/>
      <c r="BG223" s="159"/>
      <c r="BH223" s="159"/>
      <c r="BI223" s="159"/>
      <c r="BJ223" s="159"/>
      <c r="BK223" s="159"/>
      <c r="BL223" s="159"/>
      <c r="BM223" s="159"/>
      <c r="BN223" s="159"/>
    </row>
    <row r="224" spans="1:66" x14ac:dyDescent="0.25">
      <c r="A224" s="166"/>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c r="AA224" s="166"/>
      <c r="AB224" s="166"/>
      <c r="AC224" s="159"/>
      <c r="AD224" s="159"/>
      <c r="AE224" s="159"/>
      <c r="AF224" s="159"/>
      <c r="AG224" s="159"/>
      <c r="AH224" s="159"/>
      <c r="AI224" s="159"/>
      <c r="AJ224" s="159"/>
      <c r="AK224" s="159"/>
      <c r="AL224" s="159"/>
      <c r="AM224" s="159"/>
      <c r="AN224" s="159"/>
      <c r="AO224" s="159"/>
      <c r="AP224" s="159"/>
      <c r="AQ224" s="159"/>
      <c r="AR224" s="159"/>
      <c r="AS224" s="159"/>
      <c r="AT224" s="159"/>
      <c r="AU224" s="159"/>
      <c r="AV224" s="159"/>
      <c r="AW224" s="159"/>
      <c r="AX224" s="159"/>
      <c r="AY224" s="159"/>
      <c r="AZ224" s="159"/>
      <c r="BA224" s="159"/>
      <c r="BB224" s="159"/>
      <c r="BC224" s="159"/>
      <c r="BD224" s="159"/>
      <c r="BE224" s="159"/>
      <c r="BF224" s="159"/>
      <c r="BG224" s="159"/>
      <c r="BH224" s="159"/>
      <c r="BI224" s="159"/>
      <c r="BJ224" s="159"/>
      <c r="BK224" s="159"/>
      <c r="BL224" s="159"/>
      <c r="BM224" s="159"/>
      <c r="BN224" s="159"/>
    </row>
    <row r="225" spans="1:66" x14ac:dyDescent="0.25">
      <c r="A225" s="166"/>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c r="AA225" s="166"/>
      <c r="AB225" s="166"/>
      <c r="AC225" s="159"/>
      <c r="AD225" s="159"/>
      <c r="AE225" s="159"/>
      <c r="AF225" s="159"/>
      <c r="AG225" s="159"/>
      <c r="AH225" s="159"/>
      <c r="AI225" s="159"/>
      <c r="AJ225" s="159"/>
      <c r="AK225" s="159"/>
      <c r="AL225" s="159"/>
      <c r="AM225" s="159"/>
      <c r="AN225" s="159"/>
      <c r="AO225" s="159"/>
      <c r="AP225" s="159"/>
      <c r="AQ225" s="159"/>
      <c r="AR225" s="159"/>
      <c r="AS225" s="159"/>
      <c r="AT225" s="159"/>
      <c r="AU225" s="159"/>
      <c r="AV225" s="159"/>
      <c r="AW225" s="159"/>
      <c r="AX225" s="159"/>
      <c r="AY225" s="159"/>
      <c r="AZ225" s="159"/>
      <c r="BA225" s="159"/>
      <c r="BB225" s="159"/>
      <c r="BC225" s="159"/>
      <c r="BD225" s="159"/>
      <c r="BE225" s="159"/>
      <c r="BF225" s="159"/>
      <c r="BG225" s="159"/>
      <c r="BH225" s="159"/>
      <c r="BI225" s="159"/>
      <c r="BJ225" s="159"/>
      <c r="BK225" s="159"/>
      <c r="BL225" s="159"/>
      <c r="BM225" s="159"/>
      <c r="BN225" s="159"/>
    </row>
    <row r="226" spans="1:66" x14ac:dyDescent="0.25">
      <c r="A226" s="166"/>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c r="AA226" s="166"/>
      <c r="AB226" s="166"/>
      <c r="AC226" s="159"/>
      <c r="AD226" s="159"/>
      <c r="AE226" s="159"/>
      <c r="AF226" s="159"/>
      <c r="AG226" s="159"/>
      <c r="AH226" s="159"/>
      <c r="AI226" s="159"/>
      <c r="AJ226" s="159"/>
      <c r="AK226" s="159"/>
      <c r="AL226" s="159"/>
      <c r="AM226" s="159"/>
      <c r="AN226" s="159"/>
      <c r="AO226" s="159"/>
      <c r="AP226" s="159"/>
      <c r="AQ226" s="159"/>
      <c r="AR226" s="159"/>
      <c r="AS226" s="159"/>
      <c r="AT226" s="159"/>
      <c r="AU226" s="159"/>
      <c r="AV226" s="159"/>
      <c r="AW226" s="159"/>
      <c r="AX226" s="159"/>
      <c r="AY226" s="159"/>
      <c r="AZ226" s="159"/>
      <c r="BA226" s="159"/>
      <c r="BB226" s="159"/>
      <c r="BC226" s="159"/>
      <c r="BD226" s="159"/>
      <c r="BE226" s="159"/>
      <c r="BF226" s="159"/>
      <c r="BG226" s="159"/>
      <c r="BH226" s="159"/>
      <c r="BI226" s="159"/>
      <c r="BJ226" s="159"/>
      <c r="BK226" s="159"/>
      <c r="BL226" s="159"/>
      <c r="BM226" s="159"/>
      <c r="BN226" s="159"/>
    </row>
    <row r="227" spans="1:66" x14ac:dyDescent="0.25">
      <c r="A227" s="166"/>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c r="AA227" s="166"/>
      <c r="AB227" s="166"/>
      <c r="AC227" s="159"/>
      <c r="AD227" s="159"/>
      <c r="AE227" s="159"/>
      <c r="AF227" s="159"/>
      <c r="AG227" s="159"/>
      <c r="AH227" s="159"/>
      <c r="AI227" s="159"/>
      <c r="AJ227" s="159"/>
      <c r="AK227" s="159"/>
      <c r="AL227" s="159"/>
      <c r="AM227" s="159"/>
      <c r="AN227" s="159"/>
      <c r="AO227" s="159"/>
      <c r="AP227" s="159"/>
      <c r="AQ227" s="159"/>
      <c r="AR227" s="159"/>
      <c r="AS227" s="159"/>
      <c r="AT227" s="159"/>
      <c r="AU227" s="159"/>
      <c r="AV227" s="159"/>
      <c r="AW227" s="159"/>
      <c r="AX227" s="159"/>
      <c r="AY227" s="159"/>
      <c r="AZ227" s="159"/>
      <c r="BA227" s="159"/>
      <c r="BB227" s="159"/>
      <c r="BC227" s="159"/>
      <c r="BD227" s="159"/>
      <c r="BE227" s="159"/>
      <c r="BF227" s="159"/>
      <c r="BG227" s="159"/>
      <c r="BH227" s="159"/>
      <c r="BI227" s="159"/>
      <c r="BJ227" s="159"/>
      <c r="BK227" s="159"/>
      <c r="BL227" s="159"/>
      <c r="BM227" s="159"/>
      <c r="BN227" s="159"/>
    </row>
    <row r="228" spans="1:66" x14ac:dyDescent="0.25">
      <c r="A228" s="166"/>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c r="AA228" s="166"/>
      <c r="AB228" s="166"/>
      <c r="AC228" s="159"/>
      <c r="AD228" s="159"/>
      <c r="AE228" s="159"/>
      <c r="AF228" s="159"/>
      <c r="AG228" s="159"/>
      <c r="AH228" s="159"/>
      <c r="AI228" s="159"/>
      <c r="AJ228" s="159"/>
      <c r="AK228" s="159"/>
      <c r="AL228" s="159"/>
      <c r="AM228" s="159"/>
      <c r="AN228" s="159"/>
      <c r="AO228" s="159"/>
      <c r="AP228" s="159"/>
      <c r="AQ228" s="159"/>
      <c r="AR228" s="159"/>
      <c r="AS228" s="159"/>
      <c r="AT228" s="159"/>
      <c r="AU228" s="159"/>
      <c r="AV228" s="159"/>
      <c r="AW228" s="159"/>
      <c r="AX228" s="159"/>
      <c r="AY228" s="159"/>
      <c r="AZ228" s="159"/>
      <c r="BA228" s="159"/>
      <c r="BB228" s="159"/>
      <c r="BC228" s="159"/>
      <c r="BD228" s="159"/>
      <c r="BE228" s="159"/>
      <c r="BF228" s="159"/>
      <c r="BG228" s="159"/>
      <c r="BH228" s="159"/>
      <c r="BI228" s="159"/>
      <c r="BJ228" s="159"/>
      <c r="BK228" s="159"/>
      <c r="BL228" s="159"/>
      <c r="BM228" s="159"/>
      <c r="BN228" s="159"/>
    </row>
    <row r="229" spans="1:66" x14ac:dyDescent="0.25">
      <c r="A229" s="166"/>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c r="AA229" s="166"/>
      <c r="AB229" s="166"/>
      <c r="AC229" s="159"/>
      <c r="AD229" s="159"/>
      <c r="AE229" s="159"/>
      <c r="AF229" s="159"/>
      <c r="AG229" s="159"/>
      <c r="AH229" s="159"/>
      <c r="AI229" s="159"/>
      <c r="AJ229" s="159"/>
      <c r="AK229" s="159"/>
      <c r="AL229" s="159"/>
      <c r="AM229" s="159"/>
      <c r="AN229" s="159"/>
      <c r="AO229" s="159"/>
      <c r="AP229" s="159"/>
      <c r="AQ229" s="159"/>
      <c r="AR229" s="159"/>
      <c r="AS229" s="159"/>
      <c r="AT229" s="159"/>
      <c r="AU229" s="159"/>
      <c r="AV229" s="159"/>
      <c r="AW229" s="159"/>
      <c r="AX229" s="159"/>
      <c r="AY229" s="159"/>
      <c r="AZ229" s="159"/>
      <c r="BA229" s="159"/>
      <c r="BB229" s="159"/>
      <c r="BC229" s="159"/>
      <c r="BD229" s="159"/>
      <c r="BE229" s="159"/>
      <c r="BF229" s="159"/>
      <c r="BG229" s="159"/>
      <c r="BH229" s="159"/>
      <c r="BI229" s="159"/>
      <c r="BJ229" s="159"/>
      <c r="BK229" s="159"/>
      <c r="BL229" s="159"/>
      <c r="BM229" s="159"/>
      <c r="BN229" s="159"/>
    </row>
    <row r="230" spans="1:66" x14ac:dyDescent="0.25">
      <c r="A230" s="166"/>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c r="AA230" s="166"/>
      <c r="AB230" s="166"/>
      <c r="AC230" s="159"/>
      <c r="AD230" s="159"/>
      <c r="AE230" s="159"/>
      <c r="AF230" s="159"/>
      <c r="AG230" s="159"/>
      <c r="AH230" s="159"/>
      <c r="AI230" s="159"/>
      <c r="AJ230" s="159"/>
      <c r="AK230" s="159"/>
      <c r="AL230" s="159"/>
      <c r="AM230" s="159"/>
      <c r="AN230" s="159"/>
      <c r="AO230" s="159"/>
      <c r="AP230" s="159"/>
      <c r="AQ230" s="159"/>
      <c r="AR230" s="159"/>
      <c r="AS230" s="159"/>
      <c r="AT230" s="159"/>
      <c r="AU230" s="159"/>
      <c r="AV230" s="159"/>
      <c r="AW230" s="159"/>
      <c r="AX230" s="159"/>
      <c r="AY230" s="159"/>
      <c r="AZ230" s="159"/>
      <c r="BA230" s="159"/>
      <c r="BB230" s="159"/>
      <c r="BC230" s="159"/>
      <c r="BD230" s="159"/>
      <c r="BE230" s="159"/>
      <c r="BF230" s="159"/>
      <c r="BG230" s="159"/>
      <c r="BH230" s="159"/>
      <c r="BI230" s="159"/>
      <c r="BJ230" s="159"/>
      <c r="BK230" s="159"/>
      <c r="BL230" s="159"/>
      <c r="BM230" s="159"/>
      <c r="BN230" s="159"/>
    </row>
    <row r="231" spans="1:66" x14ac:dyDescent="0.25">
      <c r="A231" s="166"/>
      <c r="B231" s="159"/>
      <c r="C231" s="159"/>
      <c r="D231" s="159"/>
      <c r="E231" s="159"/>
      <c r="F231" s="159"/>
      <c r="G231" s="159"/>
      <c r="H231" s="159"/>
      <c r="I231" s="159"/>
      <c r="J231" s="159"/>
      <c r="K231" s="159"/>
      <c r="L231" s="159"/>
      <c r="M231" s="159"/>
      <c r="N231" s="159"/>
      <c r="O231" s="159"/>
      <c r="P231" s="159"/>
      <c r="Q231" s="159"/>
      <c r="R231" s="159"/>
      <c r="S231" s="159"/>
      <c r="T231" s="166"/>
      <c r="U231" s="166"/>
      <c r="V231" s="166"/>
      <c r="W231" s="166"/>
      <c r="X231" s="166"/>
      <c r="Y231" s="166"/>
      <c r="Z231" s="166"/>
      <c r="AA231" s="166"/>
      <c r="AB231" s="166"/>
      <c r="AC231" s="159"/>
      <c r="AD231" s="159"/>
      <c r="AE231" s="159"/>
      <c r="AF231" s="159"/>
      <c r="AG231" s="159"/>
      <c r="AH231" s="159"/>
      <c r="AI231" s="159"/>
      <c r="AJ231" s="159"/>
      <c r="AK231" s="159"/>
      <c r="AL231" s="159"/>
      <c r="AM231" s="159"/>
      <c r="AN231" s="159"/>
      <c r="AO231" s="159"/>
      <c r="AP231" s="159"/>
      <c r="AQ231" s="159"/>
      <c r="AR231" s="159"/>
      <c r="AS231" s="159"/>
      <c r="AT231" s="159"/>
      <c r="AU231" s="159"/>
      <c r="AV231" s="159"/>
      <c r="AW231" s="159"/>
      <c r="AX231" s="159"/>
      <c r="AY231" s="159"/>
      <c r="AZ231" s="159"/>
      <c r="BA231" s="159"/>
      <c r="BB231" s="159"/>
      <c r="BC231" s="159"/>
      <c r="BD231" s="159"/>
      <c r="BE231" s="159"/>
      <c r="BF231" s="159"/>
      <c r="BG231" s="159"/>
      <c r="BH231" s="159"/>
      <c r="BI231" s="159"/>
      <c r="BJ231" s="159"/>
      <c r="BK231" s="159"/>
      <c r="BL231" s="159"/>
      <c r="BM231" s="159"/>
      <c r="BN231" s="159"/>
    </row>
    <row r="232" spans="1:66" x14ac:dyDescent="0.25">
      <c r="A232" s="166"/>
      <c r="B232" s="159"/>
      <c r="C232" s="159"/>
      <c r="D232" s="159"/>
      <c r="E232" s="159"/>
      <c r="F232" s="159"/>
      <c r="G232" s="159"/>
      <c r="H232" s="159"/>
      <c r="I232" s="159"/>
      <c r="J232" s="159"/>
      <c r="K232" s="159"/>
      <c r="L232" s="159"/>
      <c r="M232" s="159"/>
      <c r="N232" s="159"/>
      <c r="O232" s="159"/>
      <c r="P232" s="159"/>
      <c r="Q232" s="159"/>
      <c r="R232" s="159"/>
      <c r="S232" s="159"/>
      <c r="T232" s="166"/>
      <c r="U232" s="166"/>
      <c r="V232" s="166"/>
      <c r="W232" s="166"/>
      <c r="X232" s="166"/>
      <c r="Y232" s="166"/>
      <c r="Z232" s="166"/>
      <c r="AA232" s="166"/>
      <c r="AB232" s="166"/>
      <c r="AC232" s="159"/>
      <c r="AD232" s="159"/>
      <c r="AE232" s="159"/>
      <c r="AF232" s="159"/>
      <c r="AG232" s="159"/>
      <c r="AH232" s="159"/>
      <c r="AI232" s="159"/>
      <c r="AJ232" s="159"/>
      <c r="AK232" s="159"/>
      <c r="AL232" s="159"/>
      <c r="AM232" s="159"/>
      <c r="AN232" s="159"/>
      <c r="AO232" s="159"/>
      <c r="AP232" s="159"/>
      <c r="AQ232" s="159"/>
      <c r="AR232" s="159"/>
      <c r="AS232" s="159"/>
      <c r="AT232" s="159"/>
      <c r="AU232" s="159"/>
      <c r="AV232" s="159"/>
      <c r="AW232" s="159"/>
      <c r="AX232" s="159"/>
      <c r="AY232" s="159"/>
      <c r="AZ232" s="159"/>
      <c r="BA232" s="159"/>
      <c r="BB232" s="159"/>
      <c r="BC232" s="159"/>
      <c r="BD232" s="159"/>
      <c r="BE232" s="159"/>
      <c r="BF232" s="159"/>
      <c r="BG232" s="159"/>
      <c r="BH232" s="159"/>
      <c r="BI232" s="159"/>
      <c r="BJ232" s="159"/>
      <c r="BK232" s="159"/>
      <c r="BL232" s="159"/>
      <c r="BM232" s="159"/>
      <c r="BN232" s="159"/>
    </row>
    <row r="233" spans="1:66" x14ac:dyDescent="0.25">
      <c r="A233" s="166"/>
      <c r="B233" s="159"/>
      <c r="C233" s="159"/>
      <c r="D233" s="159"/>
      <c r="E233" s="159"/>
      <c r="F233" s="159"/>
      <c r="G233" s="159"/>
      <c r="H233" s="159"/>
      <c r="I233" s="159"/>
      <c r="J233" s="159"/>
      <c r="K233" s="159"/>
      <c r="L233" s="159"/>
      <c r="M233" s="159"/>
      <c r="N233" s="159"/>
      <c r="O233" s="159"/>
      <c r="P233" s="159"/>
      <c r="Q233" s="159"/>
      <c r="R233" s="159"/>
      <c r="S233" s="159"/>
      <c r="T233" s="166"/>
      <c r="U233" s="166"/>
      <c r="V233" s="166"/>
      <c r="W233" s="166"/>
      <c r="X233" s="166"/>
      <c r="Y233" s="166"/>
      <c r="Z233" s="166"/>
      <c r="AA233" s="166"/>
      <c r="AB233" s="166"/>
      <c r="AC233" s="159"/>
      <c r="AD233" s="159"/>
      <c r="AE233" s="159"/>
      <c r="AF233" s="159"/>
      <c r="AG233" s="159"/>
      <c r="AH233" s="159"/>
      <c r="AI233" s="159"/>
      <c r="AJ233" s="159"/>
      <c r="AK233" s="159"/>
      <c r="AL233" s="159"/>
      <c r="AM233" s="159"/>
      <c r="AN233" s="159"/>
      <c r="AO233" s="159"/>
      <c r="AP233" s="159"/>
      <c r="AQ233" s="159"/>
      <c r="AR233" s="159"/>
      <c r="AS233" s="159"/>
      <c r="AT233" s="159"/>
      <c r="AU233" s="159"/>
      <c r="AV233" s="159"/>
      <c r="AW233" s="159"/>
      <c r="AX233" s="159"/>
      <c r="AY233" s="159"/>
      <c r="AZ233" s="159"/>
      <c r="BA233" s="159"/>
      <c r="BB233" s="159"/>
      <c r="BC233" s="159"/>
      <c r="BD233" s="159"/>
      <c r="BE233" s="159"/>
      <c r="BF233" s="159"/>
      <c r="BG233" s="159"/>
      <c r="BH233" s="159"/>
      <c r="BI233" s="159"/>
      <c r="BJ233" s="159"/>
      <c r="BK233" s="159"/>
      <c r="BL233" s="159"/>
      <c r="BM233" s="159"/>
      <c r="BN233" s="159"/>
    </row>
    <row r="234" spans="1:66" x14ac:dyDescent="0.25">
      <c r="A234" s="166"/>
      <c r="B234" s="159"/>
      <c r="C234" s="159"/>
      <c r="D234" s="159"/>
      <c r="E234" s="159"/>
      <c r="F234" s="159"/>
      <c r="G234" s="159"/>
      <c r="H234" s="159"/>
      <c r="I234" s="159"/>
      <c r="J234" s="159"/>
      <c r="K234" s="159"/>
      <c r="L234" s="159"/>
      <c r="M234" s="159"/>
      <c r="N234" s="159"/>
      <c r="O234" s="159"/>
      <c r="P234" s="159"/>
      <c r="Q234" s="159"/>
      <c r="R234" s="159"/>
      <c r="S234" s="159"/>
      <c r="T234" s="166"/>
      <c r="U234" s="166"/>
      <c r="V234" s="166"/>
      <c r="W234" s="166"/>
      <c r="X234" s="166"/>
      <c r="Y234" s="166"/>
      <c r="Z234" s="166"/>
      <c r="AA234" s="166"/>
      <c r="AB234" s="166"/>
      <c r="AC234" s="159"/>
      <c r="AD234" s="159"/>
      <c r="AE234" s="159"/>
      <c r="AF234" s="159"/>
      <c r="AG234" s="159"/>
      <c r="AH234" s="159"/>
      <c r="AI234" s="159"/>
      <c r="AJ234" s="159"/>
      <c r="AK234" s="159"/>
      <c r="AL234" s="159"/>
      <c r="AM234" s="159"/>
      <c r="AN234" s="159"/>
      <c r="AO234" s="159"/>
      <c r="AP234" s="159"/>
      <c r="AQ234" s="159"/>
      <c r="AR234" s="159"/>
      <c r="AS234" s="159"/>
      <c r="AT234" s="159"/>
      <c r="AU234" s="159"/>
      <c r="AV234" s="159"/>
      <c r="AW234" s="159"/>
      <c r="AX234" s="159"/>
      <c r="AY234" s="159"/>
      <c r="AZ234" s="159"/>
      <c r="BA234" s="159"/>
      <c r="BB234" s="159"/>
      <c r="BC234" s="159"/>
      <c r="BD234" s="159"/>
      <c r="BE234" s="159"/>
      <c r="BF234" s="159"/>
      <c r="BG234" s="159"/>
      <c r="BH234" s="159"/>
      <c r="BI234" s="159"/>
      <c r="BJ234" s="159"/>
      <c r="BK234" s="159"/>
      <c r="BL234" s="159"/>
      <c r="BM234" s="159"/>
      <c r="BN234" s="159"/>
    </row>
    <row r="235" spans="1:66" x14ac:dyDescent="0.25">
      <c r="A235" s="166"/>
      <c r="B235" s="159"/>
      <c r="C235" s="159"/>
      <c r="D235" s="159"/>
      <c r="E235" s="159"/>
      <c r="F235" s="159"/>
      <c r="G235" s="159"/>
      <c r="H235" s="159"/>
      <c r="I235" s="159"/>
      <c r="J235" s="159"/>
      <c r="K235" s="159"/>
      <c r="L235" s="159"/>
      <c r="M235" s="159"/>
      <c r="N235" s="159"/>
      <c r="O235" s="159"/>
      <c r="P235" s="159"/>
      <c r="Q235" s="159"/>
      <c r="R235" s="159"/>
      <c r="S235" s="159"/>
      <c r="T235" s="166"/>
      <c r="U235" s="166"/>
      <c r="V235" s="166"/>
      <c r="W235" s="166"/>
      <c r="X235" s="166"/>
      <c r="Y235" s="166"/>
      <c r="Z235" s="166"/>
      <c r="AA235" s="166"/>
      <c r="AB235" s="166"/>
      <c r="AC235" s="159"/>
      <c r="AD235" s="159"/>
      <c r="AE235" s="159"/>
      <c r="AF235" s="159"/>
      <c r="AG235" s="159"/>
      <c r="AH235" s="159"/>
      <c r="AI235" s="159"/>
      <c r="AJ235" s="159"/>
      <c r="AK235" s="159"/>
      <c r="AL235" s="159"/>
      <c r="AM235" s="159"/>
      <c r="AN235" s="159"/>
      <c r="AO235" s="159"/>
      <c r="AP235" s="159"/>
      <c r="AQ235" s="159"/>
      <c r="AR235" s="159"/>
      <c r="AS235" s="159"/>
      <c r="AT235" s="159"/>
      <c r="AU235" s="159"/>
      <c r="AV235" s="159"/>
      <c r="AW235" s="159"/>
      <c r="AX235" s="159"/>
      <c r="AY235" s="159"/>
      <c r="AZ235" s="159"/>
      <c r="BA235" s="159"/>
      <c r="BB235" s="159"/>
      <c r="BC235" s="159"/>
      <c r="BD235" s="159"/>
      <c r="BE235" s="159"/>
      <c r="BF235" s="159"/>
      <c r="BG235" s="159"/>
      <c r="BH235" s="159"/>
      <c r="BI235" s="159"/>
      <c r="BJ235" s="159"/>
      <c r="BK235" s="159"/>
      <c r="BL235" s="159"/>
      <c r="BM235" s="159"/>
      <c r="BN235" s="159"/>
    </row>
    <row r="236" spans="1:66" x14ac:dyDescent="0.25">
      <c r="A236" s="166"/>
      <c r="B236" s="159"/>
      <c r="C236" s="159"/>
      <c r="D236" s="159"/>
      <c r="E236" s="159"/>
      <c r="F236" s="159"/>
      <c r="G236" s="159"/>
      <c r="H236" s="159"/>
      <c r="I236" s="159"/>
      <c r="J236" s="159"/>
      <c r="K236" s="159"/>
      <c r="L236" s="159"/>
      <c r="M236" s="159"/>
      <c r="N236" s="159"/>
      <c r="O236" s="159"/>
      <c r="P236" s="159"/>
      <c r="Q236" s="159"/>
      <c r="R236" s="159"/>
      <c r="S236" s="159"/>
      <c r="T236" s="166"/>
      <c r="U236" s="166"/>
      <c r="V236" s="166"/>
      <c r="W236" s="166"/>
      <c r="X236" s="166"/>
      <c r="Y236" s="166"/>
      <c r="Z236" s="166"/>
      <c r="AA236" s="166"/>
      <c r="AB236" s="166"/>
      <c r="AC236" s="159"/>
      <c r="AD236" s="159"/>
      <c r="AE236" s="159"/>
      <c r="AF236" s="159"/>
      <c r="AG236" s="159"/>
      <c r="AH236" s="159"/>
      <c r="AI236" s="159"/>
      <c r="AJ236" s="159"/>
      <c r="AK236" s="159"/>
      <c r="AL236" s="159"/>
      <c r="AM236" s="159"/>
      <c r="AN236" s="159"/>
      <c r="AO236" s="159"/>
      <c r="AP236" s="159"/>
      <c r="AQ236" s="159"/>
      <c r="AR236" s="159"/>
      <c r="AS236" s="159"/>
      <c r="AT236" s="159"/>
      <c r="AU236" s="159"/>
      <c r="AV236" s="159"/>
      <c r="AW236" s="159"/>
      <c r="AX236" s="159"/>
      <c r="AY236" s="159"/>
      <c r="AZ236" s="159"/>
      <c r="BA236" s="159"/>
      <c r="BB236" s="159"/>
      <c r="BC236" s="159"/>
      <c r="BD236" s="159"/>
      <c r="BE236" s="159"/>
      <c r="BF236" s="159"/>
      <c r="BG236" s="159"/>
      <c r="BH236" s="159"/>
      <c r="BI236" s="159"/>
      <c r="BJ236" s="159"/>
      <c r="BK236" s="159"/>
      <c r="BL236" s="159"/>
      <c r="BM236" s="159"/>
      <c r="BN236" s="159"/>
    </row>
    <row r="237" spans="1:66" x14ac:dyDescent="0.25">
      <c r="A237" s="166"/>
      <c r="B237" s="159"/>
      <c r="C237" s="159"/>
      <c r="D237" s="159"/>
      <c r="E237" s="159"/>
      <c r="F237" s="159"/>
      <c r="G237" s="159"/>
      <c r="H237" s="159"/>
      <c r="I237" s="159"/>
      <c r="J237" s="159"/>
      <c r="K237" s="159"/>
      <c r="L237" s="159"/>
      <c r="M237" s="159"/>
      <c r="N237" s="159"/>
      <c r="O237" s="159"/>
      <c r="P237" s="159"/>
      <c r="Q237" s="159"/>
      <c r="R237" s="159"/>
      <c r="S237" s="159"/>
      <c r="T237" s="166"/>
      <c r="U237" s="166"/>
      <c r="V237" s="166"/>
      <c r="W237" s="166"/>
      <c r="X237" s="166"/>
      <c r="Y237" s="166"/>
      <c r="Z237" s="166"/>
      <c r="AA237" s="166"/>
      <c r="AB237" s="166"/>
      <c r="AC237" s="159"/>
      <c r="AD237" s="159"/>
      <c r="AE237" s="159"/>
      <c r="AF237" s="159"/>
      <c r="AG237" s="159"/>
      <c r="AH237" s="159"/>
      <c r="AI237" s="159"/>
      <c r="AJ237" s="159"/>
      <c r="AK237" s="159"/>
      <c r="AL237" s="159"/>
      <c r="AM237" s="159"/>
      <c r="AN237" s="159"/>
      <c r="AO237" s="159"/>
      <c r="AP237" s="159"/>
      <c r="AQ237" s="159"/>
      <c r="AR237" s="159"/>
      <c r="AS237" s="159"/>
      <c r="AT237" s="159"/>
      <c r="AU237" s="159"/>
      <c r="AV237" s="159"/>
      <c r="AW237" s="159"/>
      <c r="AX237" s="159"/>
      <c r="AY237" s="159"/>
      <c r="AZ237" s="159"/>
      <c r="BA237" s="159"/>
      <c r="BB237" s="159"/>
      <c r="BC237" s="159"/>
      <c r="BD237" s="159"/>
      <c r="BE237" s="159"/>
      <c r="BF237" s="159"/>
      <c r="BG237" s="159"/>
      <c r="BH237" s="159"/>
      <c r="BI237" s="159"/>
      <c r="BJ237" s="159"/>
      <c r="BK237" s="159"/>
      <c r="BL237" s="159"/>
      <c r="BM237" s="159"/>
      <c r="BN237" s="159"/>
    </row>
    <row r="238" spans="1:66" x14ac:dyDescent="0.25">
      <c r="A238" s="166"/>
      <c r="B238" s="159"/>
      <c r="C238" s="159"/>
      <c r="D238" s="159"/>
      <c r="E238" s="159"/>
      <c r="F238" s="159"/>
      <c r="G238" s="159"/>
      <c r="H238" s="159"/>
      <c r="I238" s="159"/>
      <c r="J238" s="159"/>
      <c r="K238" s="159"/>
      <c r="L238" s="159"/>
      <c r="M238" s="159"/>
      <c r="N238" s="159"/>
      <c r="O238" s="159"/>
      <c r="P238" s="159"/>
      <c r="Q238" s="159"/>
      <c r="R238" s="159"/>
      <c r="S238" s="159"/>
      <c r="T238" s="166"/>
      <c r="U238" s="166"/>
      <c r="V238" s="166"/>
      <c r="W238" s="166"/>
      <c r="X238" s="166"/>
      <c r="Y238" s="166"/>
      <c r="Z238" s="166"/>
      <c r="AA238" s="166"/>
      <c r="AB238" s="166"/>
      <c r="AC238" s="159"/>
      <c r="AD238" s="159"/>
      <c r="AE238" s="159"/>
      <c r="AF238" s="159"/>
      <c r="AG238" s="159"/>
      <c r="AH238" s="159"/>
      <c r="AI238" s="159"/>
      <c r="AJ238" s="159"/>
      <c r="AK238" s="159"/>
      <c r="AL238" s="159"/>
      <c r="AM238" s="159"/>
      <c r="AN238" s="159"/>
      <c r="AO238" s="159"/>
      <c r="AP238" s="159"/>
      <c r="AQ238" s="159"/>
      <c r="AR238" s="159"/>
      <c r="AS238" s="159"/>
      <c r="AT238" s="159"/>
      <c r="AU238" s="159"/>
      <c r="AV238" s="159"/>
      <c r="AW238" s="159"/>
      <c r="AX238" s="159"/>
      <c r="AY238" s="159"/>
      <c r="AZ238" s="159"/>
      <c r="BA238" s="159"/>
      <c r="BB238" s="159"/>
      <c r="BC238" s="159"/>
      <c r="BD238" s="159"/>
      <c r="BE238" s="159"/>
      <c r="BF238" s="159"/>
      <c r="BG238" s="159"/>
      <c r="BH238" s="159"/>
      <c r="BI238" s="159"/>
      <c r="BJ238" s="159"/>
      <c r="BK238" s="159"/>
      <c r="BL238" s="159"/>
      <c r="BM238" s="159"/>
      <c r="BN238" s="159"/>
    </row>
    <row r="239" spans="1:66" x14ac:dyDescent="0.25">
      <c r="A239" s="166"/>
      <c r="B239" s="159"/>
      <c r="C239" s="159"/>
      <c r="D239" s="159"/>
      <c r="E239" s="159"/>
      <c r="F239" s="159"/>
      <c r="G239" s="159"/>
      <c r="H239" s="159"/>
      <c r="I239" s="159"/>
      <c r="J239" s="159"/>
      <c r="K239" s="159"/>
      <c r="L239" s="159"/>
      <c r="M239" s="159"/>
      <c r="N239" s="159"/>
      <c r="O239" s="159"/>
      <c r="P239" s="159"/>
      <c r="Q239" s="159"/>
      <c r="R239" s="159"/>
      <c r="S239" s="159"/>
      <c r="T239" s="166"/>
      <c r="U239" s="166"/>
      <c r="V239" s="166"/>
      <c r="W239" s="166"/>
      <c r="X239" s="166"/>
      <c r="Y239" s="166"/>
      <c r="Z239" s="166"/>
      <c r="AA239" s="166"/>
      <c r="AB239" s="166"/>
      <c r="AC239" s="159"/>
      <c r="AD239" s="159"/>
      <c r="AE239" s="159"/>
      <c r="AF239" s="159"/>
      <c r="AG239" s="159"/>
      <c r="AH239" s="159"/>
      <c r="AI239" s="159"/>
      <c r="AJ239" s="159"/>
      <c r="AK239" s="159"/>
      <c r="AL239" s="159"/>
      <c r="AM239" s="159"/>
      <c r="AN239" s="159"/>
      <c r="AO239" s="159"/>
      <c r="AP239" s="159"/>
      <c r="AQ239" s="159"/>
      <c r="AR239" s="159"/>
      <c r="AS239" s="159"/>
      <c r="AT239" s="159"/>
      <c r="AU239" s="159"/>
      <c r="AV239" s="159"/>
      <c r="AW239" s="159"/>
      <c r="AX239" s="159"/>
      <c r="AY239" s="159"/>
      <c r="AZ239" s="159"/>
      <c r="BA239" s="159"/>
      <c r="BB239" s="159"/>
      <c r="BC239" s="159"/>
      <c r="BD239" s="159"/>
      <c r="BE239" s="159"/>
      <c r="BF239" s="159"/>
      <c r="BG239" s="159"/>
      <c r="BH239" s="159"/>
      <c r="BI239" s="159"/>
      <c r="BJ239" s="159"/>
      <c r="BK239" s="159"/>
      <c r="BL239" s="159"/>
      <c r="BM239" s="159"/>
      <c r="BN239" s="159"/>
    </row>
    <row r="240" spans="1:66" x14ac:dyDescent="0.25">
      <c r="A240" s="166"/>
      <c r="B240" s="159"/>
      <c r="C240" s="159"/>
      <c r="D240" s="159"/>
      <c r="E240" s="159"/>
      <c r="F240" s="159"/>
      <c r="G240" s="159"/>
      <c r="H240" s="159"/>
      <c r="I240" s="159"/>
      <c r="J240" s="159"/>
      <c r="K240" s="159"/>
      <c r="L240" s="159"/>
      <c r="M240" s="159"/>
      <c r="N240" s="159"/>
      <c r="O240" s="159"/>
      <c r="P240" s="159"/>
      <c r="Q240" s="159"/>
      <c r="R240" s="159"/>
      <c r="S240" s="159"/>
      <c r="T240" s="166"/>
      <c r="U240" s="166"/>
      <c r="V240" s="166"/>
      <c r="W240" s="166"/>
      <c r="X240" s="166"/>
      <c r="Y240" s="166"/>
      <c r="Z240" s="166"/>
      <c r="AA240" s="166"/>
      <c r="AB240" s="166"/>
      <c r="AC240" s="159"/>
      <c r="AD240" s="159"/>
      <c r="AE240" s="159"/>
      <c r="AF240" s="159"/>
      <c r="AG240" s="159"/>
      <c r="AH240" s="159"/>
      <c r="AI240" s="159"/>
      <c r="AJ240" s="159"/>
      <c r="AK240" s="159"/>
      <c r="AL240" s="159"/>
      <c r="AM240" s="159"/>
      <c r="AN240" s="159"/>
      <c r="AO240" s="159"/>
      <c r="AP240" s="159"/>
      <c r="AQ240" s="159"/>
      <c r="AR240" s="159"/>
      <c r="AS240" s="159"/>
      <c r="AT240" s="159"/>
      <c r="AU240" s="159"/>
      <c r="AV240" s="159"/>
      <c r="AW240" s="159"/>
      <c r="AX240" s="159"/>
      <c r="AY240" s="159"/>
      <c r="AZ240" s="159"/>
      <c r="BA240" s="159"/>
      <c r="BB240" s="159"/>
      <c r="BC240" s="159"/>
      <c r="BD240" s="159"/>
      <c r="BE240" s="159"/>
      <c r="BF240" s="159"/>
      <c r="BG240" s="159"/>
      <c r="BH240" s="159"/>
      <c r="BI240" s="159"/>
      <c r="BJ240" s="159"/>
      <c r="BK240" s="159"/>
      <c r="BL240" s="159"/>
      <c r="BM240" s="159"/>
      <c r="BN240" s="159"/>
    </row>
    <row r="241" spans="1:66" x14ac:dyDescent="0.25">
      <c r="A241" s="166"/>
      <c r="B241" s="159"/>
      <c r="C241" s="159"/>
      <c r="D241" s="159"/>
      <c r="E241" s="159"/>
      <c r="F241" s="159"/>
      <c r="G241" s="159"/>
      <c r="H241" s="159"/>
      <c r="I241" s="159"/>
      <c r="J241" s="159"/>
      <c r="K241" s="159"/>
      <c r="L241" s="159"/>
      <c r="M241" s="159"/>
      <c r="N241" s="159"/>
      <c r="O241" s="159"/>
      <c r="P241" s="159"/>
      <c r="Q241" s="159"/>
      <c r="R241" s="159"/>
      <c r="S241" s="159"/>
      <c r="T241" s="166"/>
      <c r="U241" s="166"/>
      <c r="V241" s="166"/>
      <c r="W241" s="166"/>
      <c r="X241" s="166"/>
      <c r="Y241" s="166"/>
      <c r="Z241" s="166"/>
      <c r="AA241" s="166"/>
      <c r="AB241" s="166"/>
      <c r="AC241" s="159"/>
      <c r="AD241" s="159"/>
      <c r="AE241" s="159"/>
      <c r="AF241" s="159"/>
      <c r="AG241" s="159"/>
      <c r="AH241" s="159"/>
      <c r="AI241" s="159"/>
      <c r="AJ241" s="159"/>
      <c r="AK241" s="159"/>
      <c r="AL241" s="159"/>
      <c r="AM241" s="159"/>
      <c r="AN241" s="159"/>
      <c r="AO241" s="159"/>
      <c r="AP241" s="159"/>
      <c r="AQ241" s="159"/>
      <c r="AR241" s="159"/>
      <c r="AS241" s="159"/>
      <c r="AT241" s="159"/>
      <c r="AU241" s="159"/>
      <c r="AV241" s="159"/>
      <c r="AW241" s="159"/>
      <c r="AX241" s="159"/>
      <c r="AY241" s="159"/>
      <c r="AZ241" s="159"/>
      <c r="BA241" s="159"/>
      <c r="BB241" s="159"/>
      <c r="BC241" s="159"/>
      <c r="BD241" s="159"/>
      <c r="BE241" s="159"/>
      <c r="BF241" s="159"/>
      <c r="BG241" s="159"/>
      <c r="BH241" s="159"/>
      <c r="BI241" s="159"/>
      <c r="BJ241" s="159"/>
      <c r="BK241" s="159"/>
      <c r="BL241" s="159"/>
      <c r="BM241" s="159"/>
      <c r="BN241" s="159"/>
    </row>
    <row r="242" spans="1:66" x14ac:dyDescent="0.25">
      <c r="A242" s="166"/>
      <c r="B242" s="159"/>
      <c r="C242" s="159"/>
      <c r="D242" s="159"/>
      <c r="E242" s="159"/>
      <c r="F242" s="159"/>
      <c r="G242" s="159"/>
      <c r="H242" s="159"/>
      <c r="I242" s="159"/>
      <c r="J242" s="159"/>
      <c r="K242" s="159"/>
      <c r="L242" s="159"/>
      <c r="M242" s="159"/>
      <c r="N242" s="159"/>
      <c r="O242" s="159"/>
      <c r="P242" s="159"/>
      <c r="Q242" s="159"/>
      <c r="R242" s="159"/>
      <c r="S242" s="159"/>
      <c r="T242" s="166"/>
      <c r="U242" s="166"/>
      <c r="V242" s="166"/>
      <c r="W242" s="166"/>
      <c r="X242" s="166"/>
      <c r="Y242" s="166"/>
      <c r="Z242" s="166"/>
      <c r="AA242" s="166"/>
      <c r="AB242" s="166"/>
      <c r="AC242" s="159"/>
      <c r="AD242" s="159"/>
      <c r="AE242" s="159"/>
      <c r="AF242" s="159"/>
      <c r="AG242" s="159"/>
      <c r="AH242" s="159"/>
      <c r="AI242" s="159"/>
      <c r="AJ242" s="159"/>
      <c r="AK242" s="159"/>
      <c r="AL242" s="159"/>
      <c r="AM242" s="159"/>
      <c r="AN242" s="159"/>
      <c r="AO242" s="159"/>
      <c r="AP242" s="159"/>
      <c r="AQ242" s="159"/>
      <c r="AR242" s="159"/>
      <c r="AS242" s="159"/>
      <c r="AT242" s="159"/>
      <c r="AU242" s="159"/>
      <c r="AV242" s="159"/>
      <c r="AW242" s="159"/>
      <c r="AX242" s="159"/>
      <c r="AY242" s="159"/>
      <c r="AZ242" s="159"/>
      <c r="BA242" s="159"/>
      <c r="BB242" s="159"/>
      <c r="BC242" s="159"/>
      <c r="BD242" s="159"/>
      <c r="BE242" s="159"/>
      <c r="BF242" s="159"/>
      <c r="BG242" s="159"/>
      <c r="BH242" s="159"/>
      <c r="BI242" s="159"/>
      <c r="BJ242" s="159"/>
      <c r="BK242" s="159"/>
      <c r="BL242" s="159"/>
      <c r="BM242" s="159"/>
      <c r="BN242" s="159"/>
    </row>
    <row r="243" spans="1:66" x14ac:dyDescent="0.25">
      <c r="A243" s="166"/>
      <c r="B243" s="159"/>
      <c r="C243" s="159"/>
      <c r="D243" s="159"/>
      <c r="E243" s="159"/>
      <c r="F243" s="159"/>
      <c r="G243" s="159"/>
      <c r="H243" s="159"/>
      <c r="I243" s="159"/>
      <c r="J243" s="159"/>
      <c r="K243" s="159"/>
      <c r="L243" s="159"/>
      <c r="M243" s="159"/>
      <c r="N243" s="159"/>
      <c r="O243" s="159"/>
      <c r="P243" s="159"/>
      <c r="Q243" s="159"/>
      <c r="R243" s="159"/>
      <c r="S243" s="159"/>
      <c r="T243" s="166"/>
      <c r="U243" s="166"/>
      <c r="V243" s="166"/>
      <c r="W243" s="166"/>
      <c r="X243" s="166"/>
      <c r="Y243" s="166"/>
      <c r="Z243" s="166"/>
      <c r="AA243" s="166"/>
      <c r="AB243" s="166"/>
      <c r="AC243" s="159"/>
      <c r="AD243" s="159"/>
      <c r="AE243" s="159"/>
      <c r="AF243" s="159"/>
      <c r="AG243" s="159"/>
      <c r="AH243" s="159"/>
      <c r="AI243" s="159"/>
      <c r="AJ243" s="159"/>
      <c r="AK243" s="159"/>
      <c r="AL243" s="159"/>
      <c r="AM243" s="159"/>
      <c r="AN243" s="159"/>
      <c r="AO243" s="159"/>
      <c r="AP243" s="159"/>
      <c r="AQ243" s="159"/>
      <c r="AR243" s="159"/>
      <c r="AS243" s="159"/>
      <c r="AT243" s="159"/>
      <c r="AU243" s="159"/>
      <c r="AV243" s="159"/>
      <c r="AW243" s="159"/>
      <c r="AX243" s="159"/>
      <c r="AY243" s="159"/>
      <c r="AZ243" s="159"/>
      <c r="BA243" s="159"/>
      <c r="BB243" s="159"/>
      <c r="BC243" s="159"/>
      <c r="BD243" s="159"/>
      <c r="BE243" s="159"/>
      <c r="BF243" s="159"/>
      <c r="BG243" s="159"/>
      <c r="BH243" s="159"/>
      <c r="BI243" s="159"/>
      <c r="BJ243" s="159"/>
      <c r="BK243" s="159"/>
      <c r="BL243" s="159"/>
      <c r="BM243" s="159"/>
      <c r="BN243" s="159"/>
    </row>
    <row r="244" spans="1:66" x14ac:dyDescent="0.25">
      <c r="A244" s="166"/>
      <c r="B244" s="159"/>
      <c r="C244" s="159"/>
      <c r="D244" s="159"/>
      <c r="E244" s="159"/>
      <c r="F244" s="159"/>
      <c r="G244" s="159"/>
      <c r="H244" s="159"/>
      <c r="I244" s="159"/>
      <c r="J244" s="159"/>
      <c r="K244" s="159"/>
      <c r="L244" s="159"/>
      <c r="M244" s="159"/>
      <c r="N244" s="159"/>
      <c r="O244" s="159"/>
      <c r="P244" s="159"/>
      <c r="Q244" s="159"/>
      <c r="R244" s="159"/>
      <c r="S244" s="159"/>
      <c r="T244" s="166"/>
      <c r="U244" s="166"/>
      <c r="V244" s="166"/>
      <c r="W244" s="166"/>
      <c r="X244" s="166"/>
      <c r="Y244" s="166"/>
      <c r="Z244" s="166"/>
      <c r="AA244" s="166"/>
      <c r="AB244" s="166"/>
      <c r="AC244" s="159"/>
      <c r="AD244" s="159"/>
      <c r="AE244" s="159"/>
      <c r="AF244" s="159"/>
      <c r="AG244" s="159"/>
      <c r="AH244" s="159"/>
      <c r="AI244" s="159"/>
      <c r="AJ244" s="159"/>
      <c r="AK244" s="159"/>
      <c r="AL244" s="159"/>
      <c r="AM244" s="159"/>
      <c r="AN244" s="159"/>
      <c r="AO244" s="159"/>
      <c r="AP244" s="159"/>
      <c r="AQ244" s="159"/>
      <c r="AR244" s="159"/>
      <c r="AS244" s="159"/>
      <c r="AT244" s="159"/>
      <c r="AU244" s="159"/>
      <c r="AV244" s="159"/>
      <c r="AW244" s="159"/>
      <c r="AX244" s="159"/>
      <c r="AY244" s="159"/>
      <c r="AZ244" s="159"/>
      <c r="BA244" s="159"/>
      <c r="BB244" s="159"/>
      <c r="BC244" s="159"/>
      <c r="BD244" s="159"/>
      <c r="BE244" s="159"/>
      <c r="BF244" s="159"/>
      <c r="BG244" s="159"/>
      <c r="BH244" s="159"/>
      <c r="BI244" s="159"/>
      <c r="BJ244" s="159"/>
      <c r="BK244" s="159"/>
      <c r="BL244" s="159"/>
      <c r="BM244" s="159"/>
      <c r="BN244" s="159"/>
    </row>
    <row r="245" spans="1:66" x14ac:dyDescent="0.25">
      <c r="A245" s="166"/>
      <c r="B245" s="159"/>
      <c r="C245" s="159"/>
      <c r="D245" s="159"/>
      <c r="E245" s="159"/>
      <c r="F245" s="159"/>
      <c r="G245" s="159"/>
      <c r="H245" s="159"/>
      <c r="I245" s="159"/>
      <c r="J245" s="159"/>
      <c r="K245" s="159"/>
      <c r="L245" s="159"/>
      <c r="M245" s="159"/>
      <c r="N245" s="159"/>
      <c r="O245" s="159"/>
      <c r="P245" s="159"/>
      <c r="Q245" s="159"/>
      <c r="R245" s="159"/>
      <c r="S245" s="159"/>
      <c r="T245" s="166"/>
      <c r="U245" s="166"/>
      <c r="V245" s="166"/>
      <c r="W245" s="166"/>
      <c r="X245" s="166"/>
      <c r="Y245" s="166"/>
      <c r="Z245" s="166"/>
      <c r="AA245" s="166"/>
      <c r="AB245" s="166"/>
      <c r="AC245" s="159"/>
      <c r="AD245" s="159"/>
      <c r="AE245" s="159"/>
      <c r="AF245" s="159"/>
      <c r="AG245" s="159"/>
      <c r="AH245" s="159"/>
      <c r="AI245" s="159"/>
      <c r="AJ245" s="159"/>
      <c r="AK245" s="159"/>
      <c r="AL245" s="159"/>
      <c r="AM245" s="159"/>
      <c r="AN245" s="159"/>
      <c r="AO245" s="159"/>
      <c r="AP245" s="159"/>
      <c r="AQ245" s="159"/>
      <c r="AR245" s="159"/>
      <c r="AS245" s="159"/>
      <c r="AT245" s="159"/>
      <c r="AU245" s="159"/>
      <c r="AV245" s="159"/>
      <c r="AW245" s="159"/>
      <c r="AX245" s="159"/>
      <c r="AY245" s="159"/>
      <c r="AZ245" s="159"/>
      <c r="BA245" s="159"/>
      <c r="BB245" s="159"/>
      <c r="BC245" s="159"/>
      <c r="BD245" s="159"/>
      <c r="BE245" s="159"/>
      <c r="BF245" s="159"/>
      <c r="BG245" s="159"/>
      <c r="BH245" s="159"/>
      <c r="BI245" s="159"/>
      <c r="BJ245" s="159"/>
      <c r="BK245" s="159"/>
      <c r="BL245" s="159"/>
      <c r="BM245" s="159"/>
      <c r="BN245" s="159"/>
    </row>
    <row r="246" spans="1:66" x14ac:dyDescent="0.25">
      <c r="A246" s="166"/>
      <c r="B246" s="159"/>
      <c r="C246" s="159"/>
      <c r="D246" s="159"/>
      <c r="E246" s="159"/>
      <c r="F246" s="159"/>
      <c r="G246" s="159"/>
      <c r="H246" s="159"/>
      <c r="I246" s="159"/>
      <c r="J246" s="159"/>
      <c r="K246" s="159"/>
      <c r="L246" s="159"/>
      <c r="M246" s="159"/>
      <c r="N246" s="159"/>
      <c r="O246" s="159"/>
      <c r="P246" s="159"/>
      <c r="Q246" s="159"/>
      <c r="R246" s="159"/>
      <c r="S246" s="159"/>
      <c r="T246" s="166"/>
      <c r="U246" s="166"/>
      <c r="V246" s="166"/>
      <c r="W246" s="166"/>
      <c r="X246" s="166"/>
      <c r="Y246" s="166"/>
      <c r="Z246" s="166"/>
      <c r="AA246" s="166"/>
      <c r="AB246" s="166"/>
      <c r="AC246" s="159"/>
      <c r="AD246" s="159"/>
      <c r="AE246" s="159"/>
      <c r="AF246" s="159"/>
      <c r="AG246" s="159"/>
      <c r="AH246" s="159"/>
      <c r="AI246" s="159"/>
      <c r="AJ246" s="159"/>
      <c r="AK246" s="159"/>
      <c r="AL246" s="159"/>
      <c r="AM246" s="159"/>
      <c r="AN246" s="159"/>
      <c r="AO246" s="159"/>
      <c r="AP246" s="159"/>
      <c r="AQ246" s="159"/>
      <c r="AR246" s="159"/>
      <c r="AS246" s="159"/>
      <c r="AT246" s="159"/>
      <c r="AU246" s="159"/>
      <c r="AV246" s="159"/>
      <c r="AW246" s="159"/>
      <c r="AX246" s="159"/>
      <c r="AY246" s="159"/>
      <c r="AZ246" s="159"/>
      <c r="BA246" s="159"/>
      <c r="BB246" s="159"/>
      <c r="BC246" s="159"/>
      <c r="BD246" s="159"/>
      <c r="BE246" s="159"/>
      <c r="BF246" s="159"/>
      <c r="BG246" s="159"/>
      <c r="BH246" s="159"/>
      <c r="BI246" s="159"/>
      <c r="BJ246" s="159"/>
      <c r="BK246" s="159"/>
      <c r="BL246" s="159"/>
      <c r="BM246" s="159"/>
      <c r="BN246" s="159"/>
    </row>
    <row r="247" spans="1:66" x14ac:dyDescent="0.25">
      <c r="A247" s="166"/>
      <c r="B247" s="159"/>
      <c r="C247" s="159"/>
      <c r="D247" s="159"/>
      <c r="E247" s="159"/>
      <c r="F247" s="159"/>
      <c r="G247" s="159"/>
      <c r="H247" s="159"/>
      <c r="I247" s="159"/>
      <c r="J247" s="159"/>
      <c r="K247" s="159"/>
      <c r="L247" s="159"/>
      <c r="M247" s="159"/>
      <c r="N247" s="159"/>
      <c r="O247" s="159"/>
      <c r="P247" s="159"/>
      <c r="Q247" s="159"/>
      <c r="R247" s="159"/>
      <c r="S247" s="159"/>
      <c r="T247" s="166"/>
      <c r="U247" s="166"/>
      <c r="V247" s="166"/>
      <c r="W247" s="166"/>
      <c r="X247" s="166"/>
      <c r="Y247" s="166"/>
      <c r="Z247" s="166"/>
      <c r="AA247" s="166"/>
      <c r="AB247" s="166"/>
      <c r="AC247" s="159"/>
      <c r="AD247" s="159"/>
      <c r="AE247" s="159"/>
      <c r="AF247" s="159"/>
      <c r="AG247" s="159"/>
      <c r="AH247" s="159"/>
      <c r="AI247" s="159"/>
      <c r="AJ247" s="159"/>
      <c r="AK247" s="159"/>
      <c r="AL247" s="159"/>
      <c r="AM247" s="159"/>
      <c r="AN247" s="159"/>
      <c r="AO247" s="159"/>
      <c r="AP247" s="159"/>
      <c r="AQ247" s="159"/>
      <c r="AR247" s="159"/>
      <c r="AS247" s="159"/>
      <c r="AT247" s="159"/>
      <c r="AU247" s="159"/>
      <c r="AV247" s="159"/>
      <c r="AW247" s="159"/>
      <c r="AX247" s="159"/>
      <c r="AY247" s="159"/>
      <c r="AZ247" s="159"/>
      <c r="BA247" s="159"/>
      <c r="BB247" s="159"/>
      <c r="BC247" s="159"/>
      <c r="BD247" s="159"/>
      <c r="BE247" s="159"/>
      <c r="BF247" s="159"/>
      <c r="BG247" s="159"/>
      <c r="BH247" s="159"/>
      <c r="BI247" s="159"/>
      <c r="BJ247" s="159"/>
      <c r="BK247" s="159"/>
      <c r="BL247" s="159"/>
      <c r="BM247" s="159"/>
      <c r="BN247" s="159"/>
    </row>
    <row r="248" spans="1:66" x14ac:dyDescent="0.25">
      <c r="A248" s="166"/>
      <c r="B248" s="159"/>
      <c r="C248" s="159"/>
      <c r="D248" s="159"/>
      <c r="E248" s="159"/>
      <c r="F248" s="159"/>
      <c r="G248" s="159"/>
      <c r="H248" s="159"/>
      <c r="I248" s="159"/>
      <c r="J248" s="159"/>
      <c r="K248" s="159"/>
      <c r="L248" s="159"/>
      <c r="M248" s="159"/>
      <c r="N248" s="159"/>
      <c r="O248" s="159"/>
      <c r="P248" s="159"/>
      <c r="Q248" s="159"/>
      <c r="R248" s="159"/>
      <c r="S248" s="159"/>
      <c r="T248" s="166"/>
      <c r="U248" s="166"/>
      <c r="V248" s="166"/>
      <c r="W248" s="166"/>
      <c r="X248" s="166"/>
      <c r="Y248" s="166"/>
      <c r="Z248" s="166"/>
      <c r="AA248" s="166"/>
      <c r="AB248" s="166"/>
      <c r="AC248" s="159"/>
      <c r="AD248" s="159"/>
      <c r="AE248" s="159"/>
      <c r="AF248" s="159"/>
      <c r="AG248" s="159"/>
      <c r="AH248" s="159"/>
      <c r="AI248" s="159"/>
      <c r="AJ248" s="159"/>
      <c r="AK248" s="159"/>
      <c r="AL248" s="159"/>
      <c r="AM248" s="159"/>
      <c r="AN248" s="159"/>
      <c r="AO248" s="159"/>
      <c r="AP248" s="159"/>
      <c r="AQ248" s="159"/>
      <c r="AR248" s="159"/>
      <c r="AS248" s="159"/>
      <c r="AT248" s="159"/>
      <c r="AU248" s="159"/>
      <c r="AV248" s="159"/>
      <c r="AW248" s="159"/>
      <c r="AX248" s="159"/>
      <c r="AY248" s="159"/>
      <c r="AZ248" s="159"/>
      <c r="BA248" s="159"/>
      <c r="BB248" s="159"/>
      <c r="BC248" s="159"/>
      <c r="BD248" s="159"/>
      <c r="BE248" s="159"/>
      <c r="BF248" s="159"/>
      <c r="BG248" s="159"/>
      <c r="BH248" s="159"/>
      <c r="BI248" s="159"/>
      <c r="BJ248" s="159"/>
      <c r="BK248" s="159"/>
      <c r="BL248" s="159"/>
      <c r="BM248" s="159"/>
      <c r="BN248" s="159"/>
    </row>
    <row r="249" spans="1:66" x14ac:dyDescent="0.25">
      <c r="A249" s="166"/>
      <c r="B249" s="159"/>
      <c r="C249" s="159"/>
      <c r="D249" s="159"/>
      <c r="E249" s="159"/>
      <c r="F249" s="159"/>
      <c r="G249" s="159"/>
      <c r="H249" s="159"/>
      <c r="I249" s="159"/>
      <c r="J249" s="159"/>
      <c r="K249" s="159"/>
      <c r="L249" s="159"/>
      <c r="M249" s="159"/>
      <c r="N249" s="159"/>
      <c r="O249" s="159"/>
      <c r="P249" s="159"/>
      <c r="Q249" s="159"/>
      <c r="R249" s="159"/>
      <c r="S249" s="159"/>
      <c r="T249" s="166"/>
      <c r="U249" s="166"/>
      <c r="V249" s="166"/>
      <c r="W249" s="166"/>
      <c r="X249" s="166"/>
      <c r="Y249" s="166"/>
      <c r="Z249" s="166"/>
      <c r="AA249" s="166"/>
      <c r="AB249" s="166"/>
      <c r="AC249" s="159"/>
      <c r="AD249" s="159"/>
      <c r="AE249" s="159"/>
      <c r="AF249" s="159"/>
      <c r="AG249" s="159"/>
      <c r="AH249" s="159"/>
      <c r="AI249" s="159"/>
      <c r="AJ249" s="159"/>
      <c r="AK249" s="159"/>
      <c r="AL249" s="159"/>
      <c r="AM249" s="159"/>
      <c r="AN249" s="159"/>
      <c r="AO249" s="159"/>
      <c r="AP249" s="159"/>
      <c r="AQ249" s="159"/>
      <c r="AR249" s="159"/>
      <c r="AS249" s="159"/>
      <c r="AT249" s="159"/>
      <c r="AU249" s="159"/>
      <c r="AV249" s="159"/>
      <c r="AW249" s="159"/>
      <c r="AX249" s="159"/>
      <c r="AY249" s="159"/>
      <c r="AZ249" s="159"/>
      <c r="BA249" s="159"/>
      <c r="BB249" s="159"/>
      <c r="BC249" s="159"/>
      <c r="BD249" s="159"/>
      <c r="BE249" s="159"/>
      <c r="BF249" s="159"/>
      <c r="BG249" s="159"/>
      <c r="BH249" s="159"/>
      <c r="BI249" s="159"/>
      <c r="BJ249" s="159"/>
      <c r="BK249" s="159"/>
      <c r="BL249" s="159"/>
      <c r="BM249" s="159"/>
      <c r="BN249" s="159"/>
    </row>
    <row r="250" spans="1:66" x14ac:dyDescent="0.25">
      <c r="A250" s="166"/>
      <c r="B250" s="159"/>
      <c r="C250" s="159"/>
      <c r="D250" s="159"/>
      <c r="E250" s="159"/>
      <c r="F250" s="159"/>
      <c r="G250" s="159"/>
      <c r="H250" s="159"/>
      <c r="I250" s="159"/>
      <c r="J250" s="159"/>
      <c r="K250" s="159"/>
      <c r="L250" s="159"/>
      <c r="M250" s="159"/>
      <c r="N250" s="159"/>
      <c r="O250" s="159"/>
      <c r="P250" s="159"/>
      <c r="Q250" s="159"/>
      <c r="R250" s="159"/>
      <c r="S250" s="159"/>
      <c r="T250" s="166"/>
      <c r="U250" s="166"/>
      <c r="V250" s="166"/>
      <c r="W250" s="166"/>
      <c r="X250" s="166"/>
      <c r="Y250" s="166"/>
      <c r="Z250" s="166"/>
      <c r="AA250" s="166"/>
      <c r="AB250" s="166"/>
      <c r="AC250" s="159"/>
      <c r="AD250" s="159"/>
      <c r="AE250" s="159"/>
      <c r="AF250" s="159"/>
      <c r="AG250" s="159"/>
      <c r="AH250" s="159"/>
      <c r="AI250" s="159"/>
      <c r="AJ250" s="159"/>
      <c r="AK250" s="159"/>
      <c r="AL250" s="159"/>
      <c r="AM250" s="159"/>
      <c r="AN250" s="159"/>
      <c r="AO250" s="159"/>
      <c r="AP250" s="159"/>
      <c r="AQ250" s="159"/>
      <c r="AR250" s="159"/>
      <c r="AS250" s="159"/>
      <c r="AT250" s="159"/>
      <c r="AU250" s="159"/>
      <c r="AV250" s="159"/>
      <c r="AW250" s="159"/>
      <c r="AX250" s="159"/>
      <c r="AY250" s="159"/>
      <c r="AZ250" s="159"/>
      <c r="BA250" s="159"/>
      <c r="BB250" s="159"/>
      <c r="BC250" s="159"/>
      <c r="BD250" s="159"/>
      <c r="BE250" s="159"/>
      <c r="BF250" s="159"/>
      <c r="BG250" s="159"/>
      <c r="BH250" s="159"/>
      <c r="BI250" s="159"/>
      <c r="BJ250" s="159"/>
      <c r="BK250" s="159"/>
      <c r="BL250" s="159"/>
      <c r="BM250" s="159"/>
      <c r="BN250" s="159"/>
    </row>
    <row r="251" spans="1:66" x14ac:dyDescent="0.25">
      <c r="A251" s="166"/>
      <c r="B251" s="159"/>
      <c r="C251" s="159"/>
      <c r="D251" s="159"/>
      <c r="E251" s="159"/>
      <c r="F251" s="159"/>
      <c r="G251" s="159"/>
      <c r="H251" s="159"/>
      <c r="I251" s="159"/>
      <c r="J251" s="159"/>
      <c r="K251" s="159"/>
      <c r="L251" s="159"/>
      <c r="M251" s="159"/>
      <c r="N251" s="159"/>
      <c r="O251" s="159"/>
      <c r="P251" s="159"/>
      <c r="Q251" s="159"/>
      <c r="R251" s="159"/>
      <c r="S251" s="159"/>
      <c r="T251" s="166"/>
      <c r="U251" s="166"/>
      <c r="V251" s="166"/>
      <c r="W251" s="166"/>
      <c r="X251" s="166"/>
      <c r="Y251" s="166"/>
      <c r="Z251" s="166"/>
      <c r="AA251" s="166"/>
      <c r="AB251" s="166"/>
      <c r="AC251" s="159"/>
      <c r="AD251" s="159"/>
      <c r="AE251" s="159"/>
      <c r="AF251" s="159"/>
      <c r="AG251" s="159"/>
      <c r="AH251" s="159"/>
      <c r="AI251" s="159"/>
      <c r="AJ251" s="159"/>
      <c r="AK251" s="159"/>
      <c r="AL251" s="159"/>
      <c r="AM251" s="159"/>
      <c r="AN251" s="159"/>
      <c r="AO251" s="159"/>
      <c r="AP251" s="159"/>
      <c r="AQ251" s="159"/>
      <c r="AR251" s="159"/>
      <c r="AS251" s="159"/>
      <c r="AT251" s="159"/>
      <c r="AU251" s="159"/>
      <c r="AV251" s="159"/>
      <c r="AW251" s="159"/>
      <c r="AX251" s="159"/>
      <c r="AY251" s="159"/>
      <c r="AZ251" s="159"/>
      <c r="BA251" s="159"/>
      <c r="BB251" s="159"/>
      <c r="BC251" s="159"/>
      <c r="BD251" s="159"/>
      <c r="BE251" s="159"/>
      <c r="BF251" s="159"/>
      <c r="BG251" s="159"/>
      <c r="BH251" s="159"/>
      <c r="BI251" s="159"/>
      <c r="BJ251" s="159"/>
      <c r="BK251" s="159"/>
      <c r="BL251" s="159"/>
      <c r="BM251" s="159"/>
      <c r="BN251" s="159"/>
    </row>
    <row r="252" spans="1:66" x14ac:dyDescent="0.25">
      <c r="A252" s="166"/>
      <c r="B252" s="159"/>
      <c r="C252" s="159"/>
      <c r="D252" s="159"/>
      <c r="E252" s="159"/>
      <c r="F252" s="159"/>
      <c r="G252" s="159"/>
      <c r="H252" s="159"/>
      <c r="I252" s="159"/>
      <c r="J252" s="159"/>
      <c r="K252" s="159"/>
      <c r="L252" s="159"/>
      <c r="M252" s="159"/>
      <c r="N252" s="159"/>
      <c r="O252" s="159"/>
      <c r="P252" s="159"/>
      <c r="Q252" s="159"/>
      <c r="R252" s="159"/>
      <c r="S252" s="159"/>
      <c r="T252" s="166"/>
      <c r="U252" s="166"/>
      <c r="V252" s="166"/>
      <c r="W252" s="166"/>
      <c r="X252" s="166"/>
      <c r="Y252" s="166"/>
      <c r="Z252" s="166"/>
      <c r="AA252" s="166"/>
      <c r="AB252" s="166"/>
      <c r="AC252" s="159"/>
      <c r="AD252" s="159"/>
      <c r="AE252" s="159"/>
      <c r="AF252" s="159"/>
      <c r="AG252" s="159"/>
      <c r="AH252" s="159"/>
      <c r="AI252" s="159"/>
      <c r="AJ252" s="159"/>
      <c r="AK252" s="159"/>
      <c r="AL252" s="159"/>
      <c r="AM252" s="159"/>
      <c r="AN252" s="159"/>
      <c r="AO252" s="159"/>
      <c r="AP252" s="159"/>
      <c r="AQ252" s="159"/>
      <c r="AR252" s="159"/>
      <c r="AS252" s="159"/>
      <c r="AT252" s="159"/>
      <c r="AU252" s="159"/>
      <c r="AV252" s="159"/>
      <c r="AW252" s="159"/>
      <c r="AX252" s="159"/>
      <c r="AY252" s="159"/>
      <c r="AZ252" s="159"/>
      <c r="BA252" s="159"/>
      <c r="BB252" s="159"/>
      <c r="BC252" s="159"/>
      <c r="BD252" s="159"/>
      <c r="BE252" s="159"/>
      <c r="BF252" s="159"/>
      <c r="BG252" s="159"/>
      <c r="BH252" s="159"/>
      <c r="BI252" s="159"/>
      <c r="BJ252" s="159"/>
      <c r="BK252" s="159"/>
      <c r="BL252" s="159"/>
      <c r="BM252" s="159"/>
      <c r="BN252" s="159"/>
    </row>
    <row r="253" spans="1:66" x14ac:dyDescent="0.25">
      <c r="A253" s="166"/>
      <c r="B253" s="159"/>
      <c r="C253" s="159"/>
      <c r="D253" s="159"/>
      <c r="E253" s="159"/>
      <c r="F253" s="159"/>
      <c r="G253" s="159"/>
      <c r="H253" s="159"/>
      <c r="I253" s="159"/>
      <c r="J253" s="159"/>
      <c r="K253" s="159"/>
      <c r="L253" s="159"/>
      <c r="M253" s="159"/>
      <c r="N253" s="159"/>
      <c r="O253" s="159"/>
      <c r="P253" s="159"/>
      <c r="Q253" s="159"/>
      <c r="R253" s="159"/>
      <c r="S253" s="159"/>
      <c r="T253" s="166"/>
      <c r="U253" s="166"/>
      <c r="V253" s="166"/>
      <c r="W253" s="166"/>
      <c r="X253" s="166"/>
      <c r="Y253" s="166"/>
      <c r="Z253" s="166"/>
      <c r="AA253" s="166"/>
      <c r="AB253" s="166"/>
      <c r="AC253" s="159"/>
      <c r="AD253" s="159"/>
      <c r="AE253" s="159"/>
      <c r="AF253" s="159"/>
      <c r="AG253" s="159"/>
      <c r="AH253" s="159"/>
      <c r="AI253" s="159"/>
      <c r="AJ253" s="159"/>
      <c r="AK253" s="159"/>
      <c r="AL253" s="159"/>
      <c r="AM253" s="159"/>
      <c r="AN253" s="159"/>
      <c r="AO253" s="159"/>
      <c r="AP253" s="159"/>
      <c r="AQ253" s="159"/>
      <c r="AR253" s="159"/>
      <c r="AS253" s="159"/>
      <c r="AT253" s="159"/>
      <c r="AU253" s="159"/>
      <c r="AV253" s="159"/>
      <c r="AW253" s="159"/>
      <c r="AX253" s="159"/>
      <c r="AY253" s="159"/>
      <c r="AZ253" s="159"/>
      <c r="BA253" s="159"/>
      <c r="BB253" s="159"/>
      <c r="BC253" s="159"/>
      <c r="BD253" s="159"/>
      <c r="BE253" s="159"/>
      <c r="BF253" s="159"/>
      <c r="BG253" s="159"/>
      <c r="BH253" s="159"/>
      <c r="BI253" s="159"/>
      <c r="BJ253" s="159"/>
      <c r="BK253" s="159"/>
      <c r="BL253" s="159"/>
      <c r="BM253" s="159"/>
      <c r="BN253" s="159"/>
    </row>
    <row r="254" spans="1:66" x14ac:dyDescent="0.25">
      <c r="A254" s="166"/>
      <c r="B254" s="159"/>
      <c r="C254" s="159"/>
      <c r="D254" s="159"/>
      <c r="E254" s="159"/>
      <c r="F254" s="159"/>
      <c r="G254" s="159"/>
      <c r="H254" s="159"/>
      <c r="I254" s="159"/>
      <c r="J254" s="159"/>
      <c r="K254" s="159"/>
      <c r="L254" s="159"/>
      <c r="M254" s="159"/>
      <c r="N254" s="159"/>
      <c r="O254" s="159"/>
      <c r="P254" s="159"/>
      <c r="Q254" s="159"/>
      <c r="R254" s="159"/>
      <c r="S254" s="159"/>
      <c r="T254" s="166"/>
      <c r="U254" s="166"/>
      <c r="V254" s="166"/>
      <c r="W254" s="166"/>
      <c r="X254" s="166"/>
      <c r="Y254" s="166"/>
      <c r="Z254" s="166"/>
      <c r="AA254" s="166"/>
      <c r="AB254" s="166"/>
      <c r="AC254" s="159"/>
      <c r="AD254" s="159"/>
      <c r="AE254" s="159"/>
      <c r="AF254" s="159"/>
      <c r="AG254" s="159"/>
      <c r="AH254" s="159"/>
      <c r="AI254" s="159"/>
      <c r="AJ254" s="159"/>
      <c r="AK254" s="159"/>
      <c r="AL254" s="159"/>
      <c r="AM254" s="159"/>
      <c r="AN254" s="159"/>
      <c r="AO254" s="159"/>
      <c r="AP254" s="159"/>
      <c r="AQ254" s="159"/>
      <c r="AR254" s="159"/>
      <c r="AS254" s="159"/>
      <c r="AT254" s="159"/>
      <c r="AU254" s="159"/>
      <c r="AV254" s="159"/>
      <c r="AW254" s="159"/>
      <c r="AX254" s="159"/>
      <c r="AY254" s="159"/>
      <c r="AZ254" s="159"/>
      <c r="BA254" s="159"/>
      <c r="BB254" s="159"/>
      <c r="BC254" s="159"/>
      <c r="BD254" s="159"/>
      <c r="BE254" s="159"/>
      <c r="BF254" s="159"/>
      <c r="BG254" s="159"/>
      <c r="BH254" s="159"/>
      <c r="BI254" s="159"/>
      <c r="BJ254" s="159"/>
      <c r="BK254" s="159"/>
      <c r="BL254" s="159"/>
      <c r="BM254" s="159"/>
      <c r="BN254" s="159"/>
    </row>
    <row r="255" spans="1:66" x14ac:dyDescent="0.25">
      <c r="A255" s="166"/>
      <c r="B255" s="159"/>
      <c r="C255" s="159"/>
      <c r="D255" s="159"/>
      <c r="E255" s="159"/>
      <c r="F255" s="159"/>
      <c r="G255" s="159"/>
      <c r="H255" s="159"/>
      <c r="I255" s="159"/>
      <c r="J255" s="159"/>
      <c r="K255" s="159"/>
      <c r="L255" s="159"/>
      <c r="M255" s="159"/>
      <c r="N255" s="159"/>
      <c r="O255" s="159"/>
      <c r="P255" s="159"/>
      <c r="Q255" s="159"/>
      <c r="R255" s="159"/>
      <c r="S255" s="159"/>
      <c r="T255" s="166"/>
      <c r="U255" s="166"/>
      <c r="V255" s="166"/>
      <c r="W255" s="166"/>
      <c r="X255" s="166"/>
      <c r="Y255" s="166"/>
      <c r="Z255" s="166"/>
      <c r="AA255" s="166"/>
      <c r="AB255" s="166"/>
      <c r="AC255" s="159"/>
      <c r="AD255" s="159"/>
      <c r="AE255" s="159"/>
      <c r="AF255" s="159"/>
      <c r="AG255" s="159"/>
      <c r="AH255" s="159"/>
      <c r="AI255" s="159"/>
      <c r="AJ255" s="159"/>
      <c r="AK255" s="159"/>
      <c r="AL255" s="159"/>
      <c r="AM255" s="159"/>
      <c r="AN255" s="159"/>
      <c r="AO255" s="159"/>
      <c r="AP255" s="159"/>
      <c r="AQ255" s="159"/>
      <c r="AR255" s="159"/>
      <c r="AS255" s="159"/>
      <c r="AT255" s="159"/>
      <c r="AU255" s="159"/>
      <c r="AV255" s="159"/>
      <c r="AW255" s="159"/>
      <c r="AX255" s="159"/>
      <c r="AY255" s="159"/>
      <c r="AZ255" s="159"/>
      <c r="BA255" s="159"/>
      <c r="BB255" s="159"/>
      <c r="BC255" s="159"/>
      <c r="BD255" s="159"/>
      <c r="BE255" s="159"/>
      <c r="BF255" s="159"/>
      <c r="BG255" s="159"/>
      <c r="BH255" s="159"/>
      <c r="BI255" s="159"/>
      <c r="BJ255" s="159"/>
      <c r="BK255" s="159"/>
      <c r="BL255" s="159"/>
      <c r="BM255" s="159"/>
      <c r="BN255" s="159"/>
    </row>
    <row r="256" spans="1:66" x14ac:dyDescent="0.25">
      <c r="A256" s="166"/>
      <c r="B256" s="159"/>
      <c r="C256" s="159"/>
      <c r="D256" s="159"/>
      <c r="E256" s="159"/>
      <c r="F256" s="159"/>
      <c r="G256" s="159"/>
      <c r="H256" s="159"/>
      <c r="I256" s="159"/>
      <c r="J256" s="159"/>
      <c r="K256" s="159"/>
      <c r="L256" s="159"/>
      <c r="M256" s="159"/>
      <c r="N256" s="159"/>
      <c r="O256" s="159"/>
      <c r="P256" s="159"/>
      <c r="Q256" s="159"/>
      <c r="R256" s="159"/>
      <c r="S256" s="159"/>
      <c r="T256" s="166"/>
      <c r="U256" s="166"/>
      <c r="V256" s="166"/>
      <c r="W256" s="166"/>
      <c r="X256" s="166"/>
      <c r="Y256" s="166"/>
      <c r="Z256" s="166"/>
      <c r="AA256" s="166"/>
      <c r="AB256" s="166"/>
      <c r="AC256" s="159"/>
      <c r="AD256" s="159"/>
      <c r="AE256" s="159"/>
      <c r="AF256" s="159"/>
      <c r="AG256" s="159"/>
      <c r="AH256" s="159"/>
      <c r="AI256" s="159"/>
      <c r="AJ256" s="159"/>
      <c r="AK256" s="159"/>
      <c r="AL256" s="159"/>
      <c r="AM256" s="159"/>
      <c r="AN256" s="159"/>
      <c r="AO256" s="159"/>
      <c r="AP256" s="159"/>
      <c r="AQ256" s="159"/>
      <c r="AR256" s="159"/>
      <c r="AS256" s="159"/>
      <c r="AT256" s="159"/>
      <c r="AU256" s="159"/>
      <c r="AV256" s="159"/>
      <c r="AW256" s="159"/>
      <c r="AX256" s="159"/>
      <c r="AY256" s="159"/>
      <c r="AZ256" s="159"/>
      <c r="BA256" s="159"/>
      <c r="BB256" s="159"/>
      <c r="BC256" s="159"/>
      <c r="BD256" s="159"/>
      <c r="BE256" s="159"/>
      <c r="BF256" s="159"/>
      <c r="BG256" s="159"/>
      <c r="BH256" s="159"/>
      <c r="BI256" s="159"/>
      <c r="BJ256" s="159"/>
      <c r="BK256" s="159"/>
      <c r="BL256" s="159"/>
      <c r="BM256" s="159"/>
      <c r="BN256" s="159"/>
    </row>
    <row r="257" spans="1:66" x14ac:dyDescent="0.25">
      <c r="A257" s="166"/>
      <c r="B257" s="159"/>
      <c r="C257" s="159"/>
      <c r="D257" s="159"/>
      <c r="E257" s="159"/>
      <c r="F257" s="159"/>
      <c r="G257" s="159"/>
      <c r="H257" s="159"/>
      <c r="I257" s="159"/>
      <c r="J257" s="159"/>
      <c r="K257" s="159"/>
      <c r="L257" s="159"/>
      <c r="M257" s="159"/>
      <c r="N257" s="159"/>
      <c r="O257" s="159"/>
      <c r="P257" s="159"/>
      <c r="Q257" s="159"/>
      <c r="R257" s="159"/>
      <c r="S257" s="159"/>
      <c r="T257" s="166"/>
      <c r="U257" s="166"/>
      <c r="V257" s="166"/>
      <c r="W257" s="166"/>
      <c r="X257" s="166"/>
      <c r="Y257" s="166"/>
      <c r="Z257" s="166"/>
      <c r="AA257" s="166"/>
      <c r="AB257" s="166"/>
      <c r="AC257" s="159"/>
      <c r="AD257" s="159"/>
      <c r="AE257" s="159"/>
      <c r="AF257" s="159"/>
      <c r="AG257" s="159"/>
      <c r="AH257" s="159"/>
      <c r="AI257" s="159"/>
      <c r="AJ257" s="159"/>
      <c r="AK257" s="159"/>
      <c r="AL257" s="159"/>
      <c r="AM257" s="159"/>
      <c r="AN257" s="159"/>
      <c r="AO257" s="159"/>
      <c r="AP257" s="159"/>
      <c r="AQ257" s="159"/>
      <c r="AR257" s="159"/>
      <c r="AS257" s="159"/>
      <c r="AT257" s="159"/>
      <c r="AU257" s="159"/>
      <c r="AV257" s="159"/>
      <c r="AW257" s="159"/>
      <c r="AX257" s="159"/>
      <c r="AY257" s="159"/>
      <c r="AZ257" s="159"/>
      <c r="BA257" s="159"/>
      <c r="BB257" s="159"/>
      <c r="BC257" s="159"/>
      <c r="BD257" s="159"/>
      <c r="BE257" s="159"/>
      <c r="BF257" s="159"/>
      <c r="BG257" s="159"/>
      <c r="BH257" s="159"/>
      <c r="BI257" s="159"/>
      <c r="BJ257" s="159"/>
      <c r="BK257" s="159"/>
      <c r="BL257" s="159"/>
      <c r="BM257" s="159"/>
      <c r="BN257" s="159"/>
    </row>
    <row r="258" spans="1:66" x14ac:dyDescent="0.25">
      <c r="A258" s="166"/>
      <c r="B258" s="159"/>
      <c r="C258" s="159"/>
      <c r="D258" s="159"/>
      <c r="E258" s="159"/>
      <c r="F258" s="159"/>
      <c r="G258" s="159"/>
      <c r="H258" s="159"/>
      <c r="I258" s="159"/>
      <c r="J258" s="159"/>
      <c r="K258" s="159"/>
      <c r="L258" s="159"/>
      <c r="M258" s="159"/>
      <c r="N258" s="159"/>
      <c r="O258" s="159"/>
      <c r="P258" s="159"/>
      <c r="Q258" s="159"/>
      <c r="R258" s="159"/>
      <c r="S258" s="159"/>
      <c r="T258" s="166"/>
      <c r="U258" s="166"/>
      <c r="V258" s="166"/>
      <c r="W258" s="166"/>
      <c r="X258" s="166"/>
      <c r="Y258" s="166"/>
      <c r="Z258" s="166"/>
      <c r="AA258" s="166"/>
      <c r="AB258" s="166"/>
      <c r="AC258" s="159"/>
      <c r="AD258" s="159"/>
      <c r="AE258" s="159"/>
      <c r="AF258" s="159"/>
      <c r="AG258" s="159"/>
      <c r="AH258" s="159"/>
      <c r="AI258" s="159"/>
      <c r="AJ258" s="159"/>
      <c r="AK258" s="159"/>
      <c r="AL258" s="159"/>
      <c r="AM258" s="159"/>
      <c r="AN258" s="159"/>
      <c r="AO258" s="159"/>
      <c r="AP258" s="159"/>
      <c r="AQ258" s="159"/>
      <c r="AR258" s="159"/>
      <c r="AS258" s="159"/>
      <c r="AT258" s="159"/>
      <c r="AU258" s="159"/>
      <c r="AV258" s="159"/>
      <c r="AW258" s="159"/>
      <c r="AX258" s="159"/>
      <c r="AY258" s="159"/>
      <c r="AZ258" s="159"/>
      <c r="BA258" s="159"/>
      <c r="BB258" s="159"/>
      <c r="BC258" s="159"/>
      <c r="BD258" s="159"/>
      <c r="BE258" s="159"/>
      <c r="BF258" s="159"/>
      <c r="BG258" s="159"/>
      <c r="BH258" s="159"/>
      <c r="BI258" s="159"/>
      <c r="BJ258" s="159"/>
      <c r="BK258" s="159"/>
      <c r="BL258" s="159"/>
      <c r="BM258" s="159"/>
      <c r="BN258" s="159"/>
    </row>
    <row r="259" spans="1:66" x14ac:dyDescent="0.25">
      <c r="A259" s="166"/>
      <c r="B259" s="159"/>
      <c r="C259" s="159"/>
      <c r="D259" s="159"/>
      <c r="E259" s="159"/>
      <c r="F259" s="159"/>
      <c r="G259" s="159"/>
      <c r="H259" s="159"/>
      <c r="I259" s="159"/>
      <c r="J259" s="159"/>
      <c r="K259" s="159"/>
      <c r="L259" s="159"/>
      <c r="M259" s="159"/>
      <c r="N259" s="159"/>
      <c r="O259" s="159"/>
      <c r="P259" s="159"/>
      <c r="Q259" s="159"/>
      <c r="R259" s="159"/>
      <c r="S259" s="159"/>
      <c r="T259" s="166"/>
      <c r="U259" s="166"/>
      <c r="V259" s="166"/>
      <c r="W259" s="166"/>
      <c r="X259" s="166"/>
      <c r="Y259" s="166"/>
      <c r="Z259" s="166"/>
      <c r="AA259" s="166"/>
      <c r="AB259" s="166"/>
      <c r="AC259" s="159"/>
      <c r="AD259" s="159"/>
      <c r="AE259" s="159"/>
      <c r="AF259" s="159"/>
      <c r="AG259" s="159"/>
      <c r="AH259" s="159"/>
      <c r="AI259" s="159"/>
      <c r="AJ259" s="159"/>
      <c r="AK259" s="159"/>
      <c r="AL259" s="159"/>
      <c r="AM259" s="159"/>
      <c r="AN259" s="159"/>
      <c r="AO259" s="159"/>
      <c r="AP259" s="159"/>
      <c r="AQ259" s="159"/>
      <c r="AR259" s="159"/>
      <c r="AS259" s="159"/>
      <c r="AT259" s="159"/>
      <c r="AU259" s="159"/>
      <c r="AV259" s="159"/>
      <c r="AW259" s="159"/>
      <c r="AX259" s="159"/>
      <c r="AY259" s="159"/>
      <c r="AZ259" s="159"/>
      <c r="BA259" s="159"/>
      <c r="BB259" s="159"/>
      <c r="BC259" s="159"/>
      <c r="BD259" s="159"/>
      <c r="BE259" s="159"/>
      <c r="BF259" s="159"/>
      <c r="BG259" s="159"/>
      <c r="BH259" s="159"/>
      <c r="BI259" s="159"/>
      <c r="BJ259" s="159"/>
      <c r="BK259" s="159"/>
      <c r="BL259" s="159"/>
      <c r="BM259" s="159"/>
      <c r="BN259" s="159"/>
    </row>
    <row r="260" spans="1:66" x14ac:dyDescent="0.25">
      <c r="A260" s="166"/>
      <c r="B260" s="159"/>
      <c r="C260" s="159"/>
      <c r="D260" s="159"/>
      <c r="E260" s="159"/>
      <c r="F260" s="159"/>
      <c r="G260" s="159"/>
      <c r="H260" s="159"/>
      <c r="I260" s="159"/>
      <c r="J260" s="159"/>
      <c r="K260" s="159"/>
      <c r="L260" s="159"/>
      <c r="M260" s="159"/>
      <c r="N260" s="159"/>
      <c r="O260" s="159"/>
      <c r="P260" s="159"/>
      <c r="Q260" s="159"/>
      <c r="R260" s="159"/>
      <c r="S260" s="159"/>
      <c r="T260" s="166"/>
      <c r="U260" s="166"/>
      <c r="V260" s="166"/>
      <c r="W260" s="166"/>
      <c r="X260" s="166"/>
      <c r="Y260" s="166"/>
      <c r="Z260" s="166"/>
      <c r="AA260" s="166"/>
      <c r="AB260" s="166"/>
      <c r="AC260" s="159"/>
      <c r="AD260" s="159"/>
      <c r="AE260" s="159"/>
      <c r="AF260" s="159"/>
      <c r="AG260" s="159"/>
      <c r="AH260" s="159"/>
      <c r="AI260" s="159"/>
      <c r="AJ260" s="159"/>
      <c r="AK260" s="159"/>
      <c r="AL260" s="159"/>
      <c r="AM260" s="159"/>
      <c r="AN260" s="159"/>
      <c r="AO260" s="159"/>
      <c r="AP260" s="159"/>
      <c r="AQ260" s="159"/>
      <c r="AR260" s="159"/>
      <c r="AS260" s="159"/>
      <c r="AT260" s="159"/>
      <c r="AU260" s="159"/>
      <c r="AV260" s="159"/>
      <c r="AW260" s="159"/>
      <c r="AX260" s="159"/>
      <c r="AY260" s="159"/>
      <c r="AZ260" s="159"/>
      <c r="BA260" s="159"/>
      <c r="BB260" s="159"/>
      <c r="BC260" s="159"/>
      <c r="BD260" s="159"/>
      <c r="BE260" s="159"/>
      <c r="BF260" s="159"/>
      <c r="BG260" s="159"/>
      <c r="BH260" s="159"/>
      <c r="BI260" s="159"/>
      <c r="BJ260" s="159"/>
      <c r="BK260" s="159"/>
      <c r="BL260" s="159"/>
      <c r="BM260" s="159"/>
      <c r="BN260" s="159"/>
    </row>
    <row r="261" spans="1:66" x14ac:dyDescent="0.25">
      <c r="A261" s="166"/>
      <c r="B261" s="159"/>
      <c r="C261" s="159"/>
      <c r="D261" s="159"/>
      <c r="E261" s="159"/>
      <c r="F261" s="159"/>
      <c r="G261" s="159"/>
      <c r="H261" s="159"/>
      <c r="I261" s="159"/>
      <c r="J261" s="159"/>
      <c r="K261" s="159"/>
      <c r="L261" s="159"/>
      <c r="M261" s="159"/>
      <c r="N261" s="159"/>
      <c r="O261" s="159"/>
      <c r="P261" s="159"/>
      <c r="Q261" s="159"/>
      <c r="R261" s="159"/>
      <c r="S261" s="159"/>
      <c r="T261" s="166"/>
      <c r="U261" s="166"/>
      <c r="V261" s="166"/>
      <c r="W261" s="166"/>
      <c r="X261" s="166"/>
      <c r="Y261" s="166"/>
      <c r="Z261" s="166"/>
      <c r="AA261" s="166"/>
      <c r="AB261" s="166"/>
      <c r="AC261" s="159"/>
      <c r="AD261" s="159"/>
      <c r="AE261" s="159"/>
      <c r="AF261" s="159"/>
      <c r="AG261" s="159"/>
      <c r="AH261" s="159"/>
      <c r="AI261" s="159"/>
      <c r="AJ261" s="159"/>
      <c r="AK261" s="159"/>
      <c r="AL261" s="159"/>
      <c r="AM261" s="159"/>
      <c r="AN261" s="159"/>
      <c r="AO261" s="159"/>
      <c r="AP261" s="159"/>
      <c r="AQ261" s="159"/>
      <c r="AR261" s="159"/>
      <c r="AS261" s="159"/>
      <c r="AT261" s="159"/>
      <c r="AU261" s="159"/>
      <c r="AV261" s="159"/>
      <c r="AW261" s="159"/>
      <c r="AX261" s="159"/>
      <c r="AY261" s="159"/>
      <c r="AZ261" s="159"/>
      <c r="BA261" s="159"/>
      <c r="BB261" s="159"/>
      <c r="BC261" s="159"/>
      <c r="BD261" s="159"/>
      <c r="BE261" s="159"/>
      <c r="BF261" s="159"/>
      <c r="BG261" s="159"/>
      <c r="BH261" s="159"/>
      <c r="BI261" s="159"/>
      <c r="BJ261" s="159"/>
      <c r="BK261" s="159"/>
      <c r="BL261" s="159"/>
      <c r="BM261" s="159"/>
      <c r="BN261" s="159"/>
    </row>
    <row r="262" spans="1:66" x14ac:dyDescent="0.25">
      <c r="A262" s="166"/>
      <c r="B262" s="159"/>
      <c r="C262" s="159"/>
      <c r="D262" s="159"/>
      <c r="E262" s="159"/>
      <c r="F262" s="159"/>
      <c r="G262" s="159"/>
      <c r="H262" s="159"/>
      <c r="I262" s="159"/>
      <c r="J262" s="159"/>
      <c r="K262" s="159"/>
      <c r="L262" s="159"/>
      <c r="M262" s="159"/>
      <c r="N262" s="159"/>
      <c r="O262" s="159"/>
      <c r="P262" s="159"/>
      <c r="Q262" s="159"/>
      <c r="R262" s="159"/>
      <c r="S262" s="159"/>
      <c r="T262" s="166"/>
      <c r="U262" s="166"/>
      <c r="V262" s="166"/>
      <c r="W262" s="166"/>
      <c r="X262" s="166"/>
      <c r="Y262" s="166"/>
      <c r="Z262" s="166"/>
      <c r="AA262" s="166"/>
      <c r="AB262" s="166"/>
      <c r="AC262" s="159"/>
      <c r="AD262" s="159"/>
      <c r="AE262" s="159"/>
      <c r="AF262" s="159"/>
      <c r="AG262" s="159"/>
      <c r="AH262" s="159"/>
      <c r="AI262" s="159"/>
      <c r="AJ262" s="159"/>
      <c r="AK262" s="159"/>
      <c r="AL262" s="159"/>
      <c r="AM262" s="159"/>
      <c r="AN262" s="159"/>
      <c r="AO262" s="159"/>
      <c r="AP262" s="159"/>
      <c r="AQ262" s="159"/>
      <c r="AR262" s="159"/>
      <c r="AS262" s="159"/>
      <c r="AT262" s="159"/>
      <c r="AU262" s="159"/>
      <c r="AV262" s="159"/>
      <c r="AW262" s="159"/>
      <c r="AX262" s="159"/>
      <c r="AY262" s="159"/>
      <c r="AZ262" s="159"/>
      <c r="BA262" s="159"/>
      <c r="BB262" s="159"/>
      <c r="BC262" s="159"/>
      <c r="BD262" s="159"/>
      <c r="BE262" s="159"/>
      <c r="BF262" s="159"/>
      <c r="BG262" s="159"/>
      <c r="BH262" s="159"/>
      <c r="BI262" s="159"/>
      <c r="BJ262" s="159"/>
      <c r="BK262" s="159"/>
      <c r="BL262" s="159"/>
      <c r="BM262" s="159"/>
      <c r="BN262" s="159"/>
    </row>
    <row r="263" spans="1:66" x14ac:dyDescent="0.25">
      <c r="A263" s="166"/>
      <c r="B263" s="159"/>
      <c r="C263" s="159"/>
      <c r="D263" s="159"/>
      <c r="E263" s="159"/>
      <c r="F263" s="159"/>
      <c r="G263" s="159"/>
      <c r="H263" s="159"/>
      <c r="I263" s="159"/>
      <c r="J263" s="159"/>
      <c r="K263" s="159"/>
      <c r="L263" s="159"/>
      <c r="M263" s="159"/>
      <c r="N263" s="159"/>
      <c r="O263" s="159"/>
      <c r="P263" s="159"/>
      <c r="Q263" s="159"/>
      <c r="R263" s="159"/>
      <c r="S263" s="159"/>
      <c r="T263" s="166"/>
      <c r="U263" s="166"/>
      <c r="V263" s="166"/>
      <c r="W263" s="166"/>
      <c r="X263" s="166"/>
      <c r="Y263" s="166"/>
      <c r="Z263" s="166"/>
      <c r="AA263" s="166"/>
      <c r="AB263" s="166"/>
      <c r="AC263" s="159"/>
      <c r="AD263" s="159"/>
      <c r="AE263" s="159"/>
      <c r="AF263" s="159"/>
      <c r="AG263" s="159"/>
      <c r="AH263" s="159"/>
      <c r="AI263" s="159"/>
      <c r="AJ263" s="159"/>
      <c r="AK263" s="159"/>
      <c r="AL263" s="159"/>
      <c r="AM263" s="159"/>
      <c r="AN263" s="159"/>
      <c r="AO263" s="159"/>
      <c r="AP263" s="159"/>
      <c r="AQ263" s="159"/>
      <c r="AR263" s="159"/>
      <c r="AS263" s="159"/>
      <c r="AT263" s="159"/>
      <c r="AU263" s="159"/>
      <c r="AV263" s="159"/>
      <c r="AW263" s="159"/>
      <c r="AX263" s="159"/>
      <c r="AY263" s="159"/>
      <c r="AZ263" s="159"/>
      <c r="BA263" s="159"/>
      <c r="BB263" s="159"/>
      <c r="BC263" s="159"/>
      <c r="BD263" s="159"/>
      <c r="BE263" s="159"/>
      <c r="BF263" s="159"/>
      <c r="BG263" s="159"/>
      <c r="BH263" s="159"/>
      <c r="BI263" s="159"/>
      <c r="BJ263" s="159"/>
      <c r="BK263" s="159"/>
      <c r="BL263" s="159"/>
      <c r="BM263" s="159"/>
      <c r="BN263" s="159"/>
    </row>
    <row r="264" spans="1:66" x14ac:dyDescent="0.25">
      <c r="A264" s="166"/>
      <c r="B264" s="159"/>
      <c r="C264" s="159"/>
      <c r="D264" s="159"/>
      <c r="E264" s="159"/>
      <c r="F264" s="159"/>
      <c r="G264" s="159"/>
      <c r="H264" s="159"/>
      <c r="I264" s="159"/>
      <c r="J264" s="159"/>
      <c r="K264" s="159"/>
      <c r="L264" s="159"/>
      <c r="M264" s="159"/>
      <c r="N264" s="159"/>
      <c r="O264" s="159"/>
      <c r="P264" s="159"/>
      <c r="Q264" s="159"/>
      <c r="R264" s="159"/>
      <c r="S264" s="159"/>
      <c r="T264" s="166"/>
      <c r="U264" s="166"/>
      <c r="V264" s="166"/>
      <c r="W264" s="166"/>
      <c r="X264" s="166"/>
      <c r="Y264" s="166"/>
      <c r="Z264" s="166"/>
      <c r="AA264" s="166"/>
      <c r="AB264" s="166"/>
      <c r="AC264" s="159"/>
      <c r="AD264" s="159"/>
      <c r="AE264" s="159"/>
      <c r="AF264" s="159"/>
      <c r="AG264" s="159"/>
      <c r="AH264" s="159"/>
      <c r="AI264" s="159"/>
      <c r="AJ264" s="159"/>
      <c r="AK264" s="159"/>
      <c r="AL264" s="159"/>
      <c r="AM264" s="159"/>
      <c r="AN264" s="159"/>
      <c r="AO264" s="159"/>
      <c r="AP264" s="159"/>
      <c r="AQ264" s="159"/>
      <c r="AR264" s="159"/>
      <c r="AS264" s="159"/>
      <c r="AT264" s="159"/>
      <c r="AU264" s="159"/>
      <c r="AV264" s="159"/>
      <c r="AW264" s="159"/>
      <c r="AX264" s="159"/>
      <c r="AY264" s="159"/>
      <c r="AZ264" s="159"/>
      <c r="BA264" s="159"/>
      <c r="BB264" s="159"/>
      <c r="BC264" s="159"/>
      <c r="BD264" s="159"/>
      <c r="BE264" s="159"/>
      <c r="BF264" s="159"/>
      <c r="BG264" s="159"/>
      <c r="BH264" s="159"/>
      <c r="BI264" s="159"/>
      <c r="BJ264" s="159"/>
      <c r="BK264" s="159"/>
      <c r="BL264" s="159"/>
      <c r="BM264" s="159"/>
      <c r="BN264" s="159"/>
    </row>
    <row r="265" spans="1:66" x14ac:dyDescent="0.25">
      <c r="A265" s="166"/>
      <c r="B265" s="159"/>
      <c r="C265" s="159"/>
      <c r="D265" s="159"/>
      <c r="E265" s="159"/>
      <c r="F265" s="159"/>
      <c r="G265" s="159"/>
      <c r="H265" s="159"/>
      <c r="I265" s="159"/>
      <c r="J265" s="159"/>
      <c r="K265" s="159"/>
      <c r="L265" s="159"/>
      <c r="M265" s="159"/>
      <c r="N265" s="159"/>
      <c r="O265" s="159"/>
      <c r="P265" s="159"/>
      <c r="Q265" s="159"/>
      <c r="R265" s="159"/>
      <c r="S265" s="159"/>
      <c r="T265" s="166"/>
      <c r="U265" s="166"/>
      <c r="V265" s="166"/>
      <c r="W265" s="166"/>
      <c r="X265" s="166"/>
      <c r="Y265" s="166"/>
      <c r="Z265" s="166"/>
      <c r="AA265" s="166"/>
      <c r="AB265" s="166"/>
      <c r="AC265" s="159"/>
      <c r="AD265" s="159"/>
      <c r="AE265" s="159"/>
      <c r="AF265" s="159"/>
      <c r="AG265" s="159"/>
      <c r="AH265" s="159"/>
      <c r="AI265" s="159"/>
      <c r="AJ265" s="159"/>
      <c r="AK265" s="159"/>
      <c r="AL265" s="159"/>
      <c r="AM265" s="159"/>
      <c r="AN265" s="159"/>
      <c r="AO265" s="159"/>
      <c r="AP265" s="159"/>
      <c r="AQ265" s="159"/>
      <c r="AR265" s="159"/>
      <c r="AS265" s="159"/>
      <c r="AT265" s="159"/>
      <c r="AU265" s="159"/>
      <c r="AV265" s="159"/>
      <c r="AW265" s="159"/>
      <c r="AX265" s="159"/>
      <c r="AY265" s="159"/>
      <c r="AZ265" s="159"/>
      <c r="BA265" s="159"/>
      <c r="BB265" s="159"/>
      <c r="BC265" s="159"/>
      <c r="BD265" s="159"/>
      <c r="BE265" s="159"/>
      <c r="BF265" s="159"/>
      <c r="BG265" s="159"/>
      <c r="BH265" s="159"/>
      <c r="BI265" s="159"/>
      <c r="BJ265" s="159"/>
      <c r="BK265" s="159"/>
      <c r="BL265" s="159"/>
      <c r="BM265" s="159"/>
      <c r="BN265" s="159"/>
    </row>
    <row r="266" spans="1:66" x14ac:dyDescent="0.25">
      <c r="A266" s="166"/>
      <c r="B266" s="159"/>
      <c r="C266" s="159"/>
      <c r="D266" s="159"/>
      <c r="E266" s="159"/>
      <c r="F266" s="159"/>
      <c r="G266" s="159"/>
      <c r="H266" s="159"/>
      <c r="I266" s="159"/>
      <c r="J266" s="159"/>
      <c r="K266" s="159"/>
      <c r="L266" s="159"/>
      <c r="M266" s="159"/>
      <c r="N266" s="159"/>
      <c r="O266" s="159"/>
      <c r="P266" s="159"/>
      <c r="Q266" s="159"/>
      <c r="R266" s="159"/>
      <c r="S266" s="159"/>
      <c r="T266" s="166"/>
      <c r="U266" s="166"/>
      <c r="V266" s="166"/>
      <c r="W266" s="166"/>
      <c r="X266" s="166"/>
      <c r="Y266" s="166"/>
      <c r="Z266" s="166"/>
      <c r="AA266" s="166"/>
      <c r="AB266" s="166"/>
      <c r="AC266" s="159"/>
      <c r="AD266" s="159"/>
      <c r="AE266" s="159"/>
      <c r="AF266" s="159"/>
      <c r="AG266" s="159"/>
      <c r="AH266" s="159"/>
      <c r="AI266" s="159"/>
      <c r="AJ266" s="159"/>
      <c r="AK266" s="159"/>
      <c r="AL266" s="159"/>
      <c r="AM266" s="159"/>
      <c r="AN266" s="159"/>
      <c r="AO266" s="159"/>
      <c r="AP266" s="159"/>
      <c r="AQ266" s="159"/>
      <c r="AR266" s="159"/>
      <c r="AS266" s="159"/>
      <c r="AT266" s="159"/>
      <c r="AU266" s="159"/>
      <c r="AV266" s="159"/>
      <c r="AW266" s="159"/>
      <c r="AX266" s="159"/>
      <c r="AY266" s="159"/>
      <c r="AZ266" s="159"/>
      <c r="BA266" s="159"/>
      <c r="BB266" s="159"/>
      <c r="BC266" s="159"/>
      <c r="BD266" s="159"/>
      <c r="BE266" s="159"/>
      <c r="BF266" s="159"/>
      <c r="BG266" s="159"/>
      <c r="BH266" s="159"/>
      <c r="BI266" s="159"/>
      <c r="BJ266" s="159"/>
      <c r="BK266" s="159"/>
      <c r="BL266" s="159"/>
      <c r="BM266" s="159"/>
      <c r="BN266" s="159"/>
    </row>
    <row r="267" spans="1:66" x14ac:dyDescent="0.25">
      <c r="A267" s="166"/>
      <c r="B267" s="159"/>
      <c r="C267" s="159" t="s">
        <v>866</v>
      </c>
      <c r="D267" s="159"/>
      <c r="E267" s="159"/>
      <c r="F267" s="159"/>
      <c r="G267" s="159"/>
      <c r="H267" s="159"/>
      <c r="I267" s="159"/>
      <c r="J267" s="159"/>
      <c r="K267" s="159"/>
      <c r="L267" s="159"/>
      <c r="M267" s="159"/>
      <c r="N267" s="159"/>
      <c r="O267" s="159"/>
      <c r="P267" s="159"/>
      <c r="Q267" s="159"/>
      <c r="R267" s="159"/>
      <c r="S267" s="159"/>
      <c r="T267" s="166"/>
      <c r="U267" s="166"/>
      <c r="V267" s="166"/>
      <c r="W267" s="166"/>
      <c r="X267" s="166"/>
      <c r="Y267" s="166"/>
      <c r="Z267" s="166"/>
      <c r="AA267" s="166"/>
      <c r="AB267" s="166"/>
      <c r="AC267" s="159"/>
      <c r="AD267" s="159"/>
      <c r="AE267" s="159"/>
      <c r="AF267" s="159"/>
      <c r="AG267" s="159"/>
      <c r="AH267" s="159"/>
      <c r="AI267" s="159"/>
      <c r="AJ267" s="159"/>
      <c r="AK267" s="159"/>
      <c r="AL267" s="159"/>
      <c r="AM267" s="159"/>
      <c r="AN267" s="159"/>
      <c r="AO267" s="159"/>
      <c r="AP267" s="159"/>
      <c r="AQ267" s="159"/>
      <c r="AR267" s="159"/>
      <c r="AS267" s="159"/>
      <c r="AT267" s="159"/>
      <c r="AU267" s="159"/>
      <c r="AV267" s="159"/>
      <c r="AW267" s="159"/>
      <c r="AX267" s="159"/>
      <c r="AY267" s="159"/>
      <c r="AZ267" s="159"/>
      <c r="BA267" s="159"/>
      <c r="BB267" s="159"/>
      <c r="BC267" s="159"/>
      <c r="BD267" s="159"/>
      <c r="BE267" s="159"/>
      <c r="BF267" s="159"/>
      <c r="BG267" s="159"/>
      <c r="BH267" s="159"/>
      <c r="BI267" s="159"/>
      <c r="BJ267" s="159"/>
      <c r="BK267" s="159"/>
      <c r="BL267" s="159"/>
      <c r="BM267" s="159"/>
      <c r="BN267" s="159"/>
    </row>
    <row r="268" spans="1:66" x14ac:dyDescent="0.25">
      <c r="A268" s="166"/>
      <c r="B268" s="159"/>
      <c r="C268" s="159" t="s">
        <v>1948</v>
      </c>
      <c r="D268" s="159" t="s">
        <v>1949</v>
      </c>
      <c r="E268" s="159" t="s">
        <v>867</v>
      </c>
      <c r="F268" s="159" t="s">
        <v>1428</v>
      </c>
      <c r="G268" s="159" t="s">
        <v>1950</v>
      </c>
      <c r="H268" s="159" t="s">
        <v>1360</v>
      </c>
      <c r="I268" s="159" t="s">
        <v>1014</v>
      </c>
      <c r="J268" s="159" t="s">
        <v>1160</v>
      </c>
      <c r="K268" s="159"/>
      <c r="L268" s="159"/>
      <c r="M268" s="159"/>
      <c r="N268" s="159"/>
      <c r="O268" s="159"/>
      <c r="P268" s="159"/>
      <c r="Q268" s="159"/>
      <c r="R268" s="159"/>
      <c r="S268" s="159"/>
      <c r="T268" s="166"/>
      <c r="U268" s="166"/>
      <c r="V268" s="166"/>
      <c r="W268" s="166"/>
      <c r="X268" s="166"/>
      <c r="Y268" s="166"/>
      <c r="Z268" s="166"/>
      <c r="AA268" s="166"/>
      <c r="AB268" s="166"/>
      <c r="AC268" s="159"/>
      <c r="AD268" s="159"/>
      <c r="AE268" s="159"/>
      <c r="AF268" s="159"/>
      <c r="AG268" s="159"/>
      <c r="AH268" s="159"/>
      <c r="AI268" s="159"/>
      <c r="AJ268" s="159"/>
      <c r="AK268" s="159"/>
      <c r="AL268" s="159"/>
      <c r="AM268" s="159"/>
      <c r="AN268" s="159"/>
      <c r="AO268" s="159"/>
      <c r="AP268" s="159"/>
      <c r="AQ268" s="159"/>
      <c r="AR268" s="159"/>
      <c r="AS268" s="159"/>
      <c r="AT268" s="159"/>
      <c r="AU268" s="159"/>
      <c r="AV268" s="159"/>
      <c r="AW268" s="159"/>
      <c r="AX268" s="159"/>
      <c r="AY268" s="159"/>
      <c r="AZ268" s="159"/>
      <c r="BA268" s="159"/>
      <c r="BB268" s="159"/>
      <c r="BC268" s="159"/>
      <c r="BD268" s="159"/>
      <c r="BE268" s="159"/>
      <c r="BF268" s="159"/>
      <c r="BG268" s="159"/>
      <c r="BH268" s="159"/>
      <c r="BI268" s="159"/>
      <c r="BJ268" s="159"/>
      <c r="BK268" s="159"/>
      <c r="BL268" s="159"/>
      <c r="BM268" s="159"/>
      <c r="BN268" s="159"/>
    </row>
    <row r="269" spans="1:66" x14ac:dyDescent="0.25">
      <c r="A269" s="166"/>
      <c r="B269" s="159"/>
      <c r="C269" s="159">
        <f t="shared" ref="C269:C289" si="24">F269*907.18474</f>
        <v>-9071.8474000000006</v>
      </c>
      <c r="D269" s="159">
        <f t="shared" ref="D269:D289" si="25">F269*0.90718474</f>
        <v>-9.0718474000000011</v>
      </c>
      <c r="E269" s="159">
        <f t="shared" ref="E269:E289" si="26">F269*2000</f>
        <v>-20000</v>
      </c>
      <c r="F269" s="159">
        <v>-10</v>
      </c>
      <c r="G269" s="159">
        <f t="shared" ref="G269:G289" si="27">C269*2.41</f>
        <v>-21863.152234000001</v>
      </c>
      <c r="H269" s="159">
        <f t="shared" ref="H269:J270" si="28">D269*2.471</f>
        <v>-22.416534925400004</v>
      </c>
      <c r="I269" s="159">
        <f t="shared" si="28"/>
        <v>-49420</v>
      </c>
      <c r="J269" s="159">
        <f t="shared" si="28"/>
        <v>-24.71</v>
      </c>
      <c r="K269" s="159"/>
      <c r="L269" s="159"/>
      <c r="M269" s="159"/>
      <c r="N269" s="159"/>
      <c r="O269" s="159"/>
      <c r="P269" s="159"/>
      <c r="Q269" s="159"/>
      <c r="R269" s="159"/>
      <c r="S269" s="159"/>
      <c r="T269" s="166"/>
      <c r="U269" s="166"/>
      <c r="V269" s="166"/>
      <c r="W269" s="166"/>
      <c r="X269" s="166"/>
      <c r="Y269" s="166"/>
      <c r="Z269" s="166"/>
      <c r="AA269" s="166"/>
      <c r="AB269" s="166"/>
      <c r="AC269" s="159"/>
      <c r="AD269" s="159"/>
      <c r="AE269" s="159"/>
      <c r="AF269" s="159"/>
      <c r="AG269" s="159"/>
      <c r="AH269" s="159"/>
      <c r="AI269" s="159"/>
      <c r="AJ269" s="159"/>
      <c r="AK269" s="159"/>
      <c r="AL269" s="159"/>
      <c r="AM269" s="159"/>
      <c r="AN269" s="159"/>
      <c r="AO269" s="159"/>
      <c r="AP269" s="159"/>
      <c r="AQ269" s="159"/>
      <c r="AR269" s="159"/>
      <c r="AS269" s="159"/>
      <c r="AT269" s="159"/>
      <c r="AU269" s="159"/>
      <c r="AV269" s="159"/>
      <c r="AW269" s="159"/>
      <c r="AX269" s="159"/>
      <c r="AY269" s="159"/>
      <c r="AZ269" s="159"/>
      <c r="BA269" s="159"/>
      <c r="BB269" s="159"/>
      <c r="BC269" s="159"/>
      <c r="BD269" s="159"/>
      <c r="BE269" s="159"/>
      <c r="BF269" s="159"/>
      <c r="BG269" s="159"/>
      <c r="BH269" s="159"/>
      <c r="BI269" s="159"/>
      <c r="BJ269" s="159"/>
      <c r="BK269" s="159"/>
      <c r="BL269" s="159"/>
      <c r="BM269" s="159"/>
      <c r="BN269" s="159"/>
    </row>
    <row r="270" spans="1:66" x14ac:dyDescent="0.25">
      <c r="A270" s="166"/>
      <c r="B270" s="159"/>
      <c r="C270" s="159">
        <f t="shared" si="24"/>
        <v>-8164.66266</v>
      </c>
      <c r="D270" s="159">
        <f t="shared" si="25"/>
        <v>-8.1646626600000012</v>
      </c>
      <c r="E270" s="159">
        <f t="shared" si="26"/>
        <v>-18000</v>
      </c>
      <c r="F270" s="159">
        <v>-9</v>
      </c>
      <c r="G270" s="159">
        <f t="shared" si="27"/>
        <v>-19676.8370106</v>
      </c>
      <c r="H270" s="159">
        <f t="shared" si="28"/>
        <v>-20.174881432860005</v>
      </c>
      <c r="I270" s="159">
        <f t="shared" si="28"/>
        <v>-44478</v>
      </c>
      <c r="J270" s="159">
        <f t="shared" si="28"/>
        <v>-22.239000000000001</v>
      </c>
      <c r="K270" s="159"/>
      <c r="L270" s="159"/>
      <c r="M270" s="159"/>
      <c r="N270" s="159"/>
      <c r="O270" s="159"/>
      <c r="P270" s="159"/>
      <c r="Q270" s="159"/>
      <c r="R270" s="159"/>
      <c r="S270" s="159"/>
      <c r="T270" s="166"/>
      <c r="U270" s="166"/>
      <c r="V270" s="166"/>
      <c r="W270" s="166"/>
      <c r="X270" s="166"/>
      <c r="Y270" s="166"/>
      <c r="Z270" s="166"/>
      <c r="AA270" s="166"/>
      <c r="AB270" s="166"/>
      <c r="AC270" s="159"/>
      <c r="AD270" s="159"/>
      <c r="AE270" s="159"/>
      <c r="AF270" s="159"/>
      <c r="AG270" s="159"/>
      <c r="AH270" s="159"/>
      <c r="AI270" s="159"/>
      <c r="AJ270" s="159"/>
      <c r="AK270" s="159"/>
      <c r="AL270" s="159"/>
      <c r="AM270" s="159"/>
      <c r="AN270" s="159"/>
      <c r="AO270" s="159"/>
      <c r="AP270" s="159"/>
      <c r="AQ270" s="159"/>
      <c r="AR270" s="159"/>
      <c r="AS270" s="159"/>
      <c r="AT270" s="159"/>
      <c r="AU270" s="159"/>
      <c r="AV270" s="159"/>
      <c r="AW270" s="159"/>
      <c r="AX270" s="159"/>
      <c r="AY270" s="159"/>
      <c r="AZ270" s="159"/>
      <c r="BA270" s="159"/>
      <c r="BB270" s="159"/>
      <c r="BC270" s="159"/>
      <c r="BD270" s="159"/>
      <c r="BE270" s="159"/>
      <c r="BF270" s="159"/>
      <c r="BG270" s="159"/>
      <c r="BH270" s="159"/>
      <c r="BI270" s="159"/>
      <c r="BJ270" s="159"/>
      <c r="BK270" s="159"/>
      <c r="BL270" s="159"/>
      <c r="BM270" s="159"/>
      <c r="BN270" s="159"/>
    </row>
    <row r="271" spans="1:66" x14ac:dyDescent="0.25">
      <c r="A271" s="166"/>
      <c r="B271" s="159"/>
      <c r="C271" s="159">
        <f t="shared" si="24"/>
        <v>-7257.4779200000003</v>
      </c>
      <c r="D271" s="159">
        <f t="shared" si="25"/>
        <v>-7.2574779200000004</v>
      </c>
      <c r="E271" s="159">
        <f t="shared" si="26"/>
        <v>-16000</v>
      </c>
      <c r="F271" s="159">
        <v>-8</v>
      </c>
      <c r="G271" s="159">
        <f t="shared" si="27"/>
        <v>-17490.521787200003</v>
      </c>
      <c r="H271" s="159">
        <f t="shared" ref="H271:H289" si="29">D271*2.471</f>
        <v>-17.933227940320002</v>
      </c>
      <c r="I271" s="159">
        <f>E271*2.471</f>
        <v>-39536</v>
      </c>
      <c r="J271" s="159">
        <f>F271*2.471</f>
        <v>-19.768000000000001</v>
      </c>
      <c r="K271" s="159"/>
      <c r="L271" s="159"/>
      <c r="M271" s="159"/>
      <c r="N271" s="159"/>
      <c r="O271" s="159"/>
      <c r="P271" s="159"/>
      <c r="Q271" s="159"/>
      <c r="R271" s="159"/>
      <c r="S271" s="159"/>
      <c r="T271" s="166"/>
      <c r="U271" s="166"/>
      <c r="V271" s="166"/>
      <c r="W271" s="166"/>
      <c r="X271" s="166"/>
      <c r="Y271" s="166"/>
      <c r="Z271" s="166"/>
      <c r="AA271" s="166"/>
      <c r="AB271" s="166"/>
      <c r="AC271" s="159"/>
      <c r="AD271" s="159"/>
      <c r="AE271" s="159"/>
      <c r="AF271" s="159"/>
      <c r="AG271" s="159"/>
      <c r="AH271" s="159"/>
      <c r="AI271" s="159"/>
      <c r="AJ271" s="159"/>
      <c r="AK271" s="159"/>
      <c r="AL271" s="159"/>
      <c r="AM271" s="159"/>
      <c r="AN271" s="159"/>
      <c r="AO271" s="159"/>
      <c r="AP271" s="159"/>
      <c r="AQ271" s="159"/>
      <c r="AR271" s="159"/>
      <c r="AS271" s="159"/>
      <c r="AT271" s="159"/>
      <c r="AU271" s="159"/>
      <c r="AV271" s="159"/>
      <c r="AW271" s="159"/>
      <c r="AX271" s="159"/>
      <c r="AY271" s="159"/>
      <c r="AZ271" s="159"/>
      <c r="BA271" s="159"/>
      <c r="BB271" s="159"/>
      <c r="BC271" s="159"/>
      <c r="BD271" s="159"/>
      <c r="BE271" s="159"/>
      <c r="BF271" s="159"/>
      <c r="BG271" s="159"/>
      <c r="BH271" s="159"/>
      <c r="BI271" s="159"/>
      <c r="BJ271" s="159"/>
      <c r="BK271" s="159"/>
      <c r="BL271" s="159"/>
      <c r="BM271" s="159"/>
      <c r="BN271" s="159"/>
    </row>
    <row r="272" spans="1:66" x14ac:dyDescent="0.25">
      <c r="A272" s="166"/>
      <c r="B272" s="159"/>
      <c r="C272" s="159">
        <f t="shared" si="24"/>
        <v>-6350.2931800000006</v>
      </c>
      <c r="D272" s="159">
        <f t="shared" si="25"/>
        <v>-6.3502931800000004</v>
      </c>
      <c r="E272" s="159">
        <f t="shared" si="26"/>
        <v>-14000</v>
      </c>
      <c r="F272" s="159">
        <v>-7</v>
      </c>
      <c r="G272" s="159">
        <f t="shared" si="27"/>
        <v>-15304.206563800002</v>
      </c>
      <c r="H272" s="159">
        <f t="shared" si="29"/>
        <v>-15.691574447780001</v>
      </c>
      <c r="I272" s="159">
        <f t="shared" ref="I272:I289" si="30">E272*2.471</f>
        <v>-34594</v>
      </c>
      <c r="J272" s="159">
        <f t="shared" ref="J272:J289" si="31">F272*2.471</f>
        <v>-17.297000000000001</v>
      </c>
      <c r="K272" s="159"/>
      <c r="L272" s="159"/>
      <c r="M272" s="159"/>
      <c r="N272" s="159"/>
      <c r="O272" s="159"/>
      <c r="P272" s="159"/>
      <c r="Q272" s="159"/>
      <c r="R272" s="159"/>
      <c r="S272" s="159"/>
      <c r="T272" s="166"/>
      <c r="U272" s="166"/>
      <c r="V272" s="166"/>
      <c r="W272" s="166"/>
      <c r="X272" s="166"/>
      <c r="Y272" s="166"/>
      <c r="Z272" s="166"/>
      <c r="AA272" s="166"/>
      <c r="AB272" s="166"/>
      <c r="AC272" s="159"/>
      <c r="AD272" s="159"/>
      <c r="AE272" s="159"/>
      <c r="AF272" s="159"/>
      <c r="AG272" s="159"/>
      <c r="AH272" s="159"/>
      <c r="AI272" s="159"/>
      <c r="AJ272" s="159"/>
      <c r="AK272" s="159"/>
      <c r="AL272" s="159"/>
      <c r="AM272" s="159"/>
      <c r="AN272" s="159"/>
      <c r="AO272" s="159"/>
      <c r="AP272" s="159"/>
      <c r="AQ272" s="159"/>
      <c r="AR272" s="159"/>
      <c r="AS272" s="159"/>
      <c r="AT272" s="159"/>
      <c r="AU272" s="159"/>
      <c r="AV272" s="159"/>
      <c r="AW272" s="159"/>
      <c r="AX272" s="159"/>
      <c r="AY272" s="159"/>
      <c r="AZ272" s="159"/>
      <c r="BA272" s="159"/>
      <c r="BB272" s="159"/>
      <c r="BC272" s="159"/>
      <c r="BD272" s="159"/>
      <c r="BE272" s="159"/>
      <c r="BF272" s="159"/>
      <c r="BG272" s="159"/>
      <c r="BH272" s="159"/>
      <c r="BI272" s="159"/>
      <c r="BJ272" s="159"/>
      <c r="BK272" s="159"/>
      <c r="BL272" s="159"/>
      <c r="BM272" s="159"/>
      <c r="BN272" s="159"/>
    </row>
    <row r="273" spans="1:66" x14ac:dyDescent="0.25">
      <c r="A273" s="166"/>
      <c r="B273" s="159"/>
      <c r="C273" s="159">
        <f t="shared" si="24"/>
        <v>-5443.10844</v>
      </c>
      <c r="D273" s="159">
        <f t="shared" si="25"/>
        <v>-5.4431084400000005</v>
      </c>
      <c r="E273" s="159">
        <f t="shared" si="26"/>
        <v>-12000</v>
      </c>
      <c r="F273" s="159">
        <v>-6</v>
      </c>
      <c r="G273" s="159">
        <f t="shared" si="27"/>
        <v>-13117.891340400001</v>
      </c>
      <c r="H273" s="159">
        <f t="shared" si="29"/>
        <v>-13.449920955240001</v>
      </c>
      <c r="I273" s="159">
        <f t="shared" si="30"/>
        <v>-29652</v>
      </c>
      <c r="J273" s="159">
        <f t="shared" si="31"/>
        <v>-14.826000000000001</v>
      </c>
      <c r="K273" s="159"/>
      <c r="L273" s="159"/>
      <c r="M273" s="159"/>
      <c r="N273" s="159"/>
      <c r="O273" s="159"/>
      <c r="P273" s="159"/>
      <c r="Q273" s="159"/>
      <c r="R273" s="159"/>
      <c r="S273" s="159"/>
      <c r="T273" s="166"/>
      <c r="U273" s="166"/>
      <c r="V273" s="166"/>
      <c r="W273" s="166"/>
      <c r="X273" s="166"/>
      <c r="Y273" s="166"/>
      <c r="Z273" s="166"/>
      <c r="AA273" s="166"/>
      <c r="AB273" s="166"/>
      <c r="AC273" s="159"/>
      <c r="AD273" s="159"/>
      <c r="AE273" s="159"/>
      <c r="AF273" s="159"/>
      <c r="AG273" s="159"/>
      <c r="AH273" s="159"/>
      <c r="AI273" s="159"/>
      <c r="AJ273" s="159"/>
      <c r="AK273" s="159"/>
      <c r="AL273" s="159"/>
      <c r="AM273" s="159"/>
      <c r="AN273" s="159"/>
      <c r="AO273" s="159"/>
      <c r="AP273" s="159"/>
      <c r="AQ273" s="159"/>
      <c r="AR273" s="159"/>
      <c r="AS273" s="159"/>
      <c r="AT273" s="159"/>
      <c r="AU273" s="159"/>
      <c r="AV273" s="159"/>
      <c r="AW273" s="159"/>
      <c r="AX273" s="159"/>
      <c r="AY273" s="159"/>
      <c r="AZ273" s="159"/>
      <c r="BA273" s="159"/>
      <c r="BB273" s="159"/>
      <c r="BC273" s="159"/>
      <c r="BD273" s="159"/>
      <c r="BE273" s="159"/>
      <c r="BF273" s="159"/>
      <c r="BG273" s="159"/>
      <c r="BH273" s="159"/>
      <c r="BI273" s="159"/>
      <c r="BJ273" s="159"/>
      <c r="BK273" s="159"/>
      <c r="BL273" s="159"/>
      <c r="BM273" s="159"/>
      <c r="BN273" s="159"/>
    </row>
    <row r="274" spans="1:66" x14ac:dyDescent="0.25">
      <c r="A274" s="166"/>
      <c r="B274" s="159"/>
      <c r="C274" s="159">
        <f t="shared" si="24"/>
        <v>-4535.9237000000003</v>
      </c>
      <c r="D274" s="159">
        <f t="shared" si="25"/>
        <v>-4.5359237000000006</v>
      </c>
      <c r="E274" s="159">
        <f t="shared" si="26"/>
        <v>-10000</v>
      </c>
      <c r="F274" s="159">
        <v>-5</v>
      </c>
      <c r="G274" s="159">
        <f t="shared" si="27"/>
        <v>-10931.576117000001</v>
      </c>
      <c r="H274" s="159">
        <f t="shared" si="29"/>
        <v>-11.208267462700002</v>
      </c>
      <c r="I274" s="159">
        <f t="shared" si="30"/>
        <v>-24710</v>
      </c>
      <c r="J274" s="159">
        <f t="shared" si="31"/>
        <v>-12.355</v>
      </c>
      <c r="K274" s="159"/>
      <c r="L274" s="159"/>
      <c r="M274" s="159"/>
      <c r="N274" s="159"/>
      <c r="O274" s="159"/>
      <c r="P274" s="159"/>
      <c r="Q274" s="159"/>
      <c r="R274" s="159"/>
      <c r="S274" s="159"/>
      <c r="T274" s="166"/>
      <c r="U274" s="166"/>
      <c r="V274" s="166"/>
      <c r="W274" s="166"/>
      <c r="X274" s="166"/>
      <c r="Y274" s="166"/>
      <c r="Z274" s="166"/>
      <c r="AA274" s="166"/>
      <c r="AB274" s="166"/>
      <c r="AC274" s="159"/>
      <c r="AD274" s="159"/>
      <c r="AE274" s="159"/>
      <c r="AF274" s="159"/>
      <c r="AG274" s="159"/>
      <c r="AH274" s="159"/>
      <c r="AI274" s="159"/>
      <c r="AJ274" s="159"/>
      <c r="AK274" s="159"/>
      <c r="AL274" s="159"/>
      <c r="AM274" s="159"/>
      <c r="AN274" s="159"/>
      <c r="AO274" s="159"/>
      <c r="AP274" s="159"/>
      <c r="AQ274" s="159"/>
      <c r="AR274" s="159"/>
      <c r="AS274" s="159"/>
      <c r="AT274" s="159"/>
      <c r="AU274" s="159"/>
      <c r="AV274" s="159"/>
      <c r="AW274" s="159"/>
      <c r="AX274" s="159"/>
      <c r="AY274" s="159"/>
      <c r="AZ274" s="159"/>
      <c r="BA274" s="159"/>
      <c r="BB274" s="159"/>
      <c r="BC274" s="159"/>
      <c r="BD274" s="159"/>
      <c r="BE274" s="159"/>
      <c r="BF274" s="159"/>
      <c r="BG274" s="159"/>
      <c r="BH274" s="159"/>
      <c r="BI274" s="159"/>
      <c r="BJ274" s="159"/>
      <c r="BK274" s="159"/>
      <c r="BL274" s="159"/>
      <c r="BM274" s="159"/>
      <c r="BN274" s="159"/>
    </row>
    <row r="275" spans="1:66" x14ac:dyDescent="0.25">
      <c r="A275" s="166"/>
      <c r="B275" s="159"/>
      <c r="C275" s="159">
        <f t="shared" si="24"/>
        <v>-3628.7389600000001</v>
      </c>
      <c r="D275" s="159">
        <f t="shared" si="25"/>
        <v>-3.6287389600000002</v>
      </c>
      <c r="E275" s="159">
        <f t="shared" si="26"/>
        <v>-8000</v>
      </c>
      <c r="F275" s="159">
        <v>-4</v>
      </c>
      <c r="G275" s="159">
        <f t="shared" si="27"/>
        <v>-8745.2608936000015</v>
      </c>
      <c r="H275" s="159">
        <f t="shared" si="29"/>
        <v>-8.9666139701600009</v>
      </c>
      <c r="I275" s="159">
        <f t="shared" si="30"/>
        <v>-19768</v>
      </c>
      <c r="J275" s="159">
        <f t="shared" si="31"/>
        <v>-9.8840000000000003</v>
      </c>
      <c r="K275" s="159"/>
      <c r="L275" s="159"/>
      <c r="M275" s="159"/>
      <c r="N275" s="159"/>
      <c r="O275" s="159"/>
      <c r="P275" s="159"/>
      <c r="Q275" s="159"/>
      <c r="R275" s="159"/>
      <c r="S275" s="159"/>
      <c r="T275" s="166"/>
      <c r="U275" s="166"/>
      <c r="V275" s="166"/>
      <c r="W275" s="166"/>
      <c r="X275" s="166"/>
      <c r="Y275" s="166"/>
      <c r="Z275" s="166"/>
      <c r="AA275" s="166"/>
      <c r="AB275" s="166"/>
      <c r="AC275" s="159"/>
      <c r="AD275" s="159"/>
      <c r="AE275" s="159"/>
      <c r="AF275" s="159"/>
      <c r="AG275" s="159"/>
      <c r="AH275" s="159"/>
      <c r="AI275" s="159"/>
      <c r="AJ275" s="159"/>
      <c r="AK275" s="159"/>
      <c r="AL275" s="159"/>
      <c r="AM275" s="159"/>
      <c r="AN275" s="159"/>
      <c r="AO275" s="159"/>
      <c r="AP275" s="159"/>
      <c r="AQ275" s="159"/>
      <c r="AR275" s="159"/>
      <c r="AS275" s="159"/>
      <c r="AT275" s="159"/>
      <c r="AU275" s="159"/>
      <c r="AV275" s="159"/>
      <c r="AW275" s="159"/>
      <c r="AX275" s="159"/>
      <c r="AY275" s="159"/>
      <c r="AZ275" s="159"/>
      <c r="BA275" s="159"/>
      <c r="BB275" s="159"/>
      <c r="BC275" s="159"/>
      <c r="BD275" s="159"/>
      <c r="BE275" s="159"/>
      <c r="BF275" s="159"/>
      <c r="BG275" s="159"/>
      <c r="BH275" s="159"/>
      <c r="BI275" s="159"/>
      <c r="BJ275" s="159"/>
      <c r="BK275" s="159"/>
      <c r="BL275" s="159"/>
      <c r="BM275" s="159"/>
      <c r="BN275" s="159"/>
    </row>
    <row r="276" spans="1:66" x14ac:dyDescent="0.25">
      <c r="A276" s="166"/>
      <c r="B276" s="159"/>
      <c r="C276" s="159">
        <f t="shared" si="24"/>
        <v>-2721.55422</v>
      </c>
      <c r="D276" s="159">
        <f t="shared" si="25"/>
        <v>-2.7215542200000002</v>
      </c>
      <c r="E276" s="159">
        <f t="shared" si="26"/>
        <v>-6000</v>
      </c>
      <c r="F276" s="159">
        <v>-3</v>
      </c>
      <c r="G276" s="159">
        <f t="shared" si="27"/>
        <v>-6558.9456702000007</v>
      </c>
      <c r="H276" s="159">
        <f t="shared" si="29"/>
        <v>-6.7249604776200007</v>
      </c>
      <c r="I276" s="159">
        <f t="shared" si="30"/>
        <v>-14826</v>
      </c>
      <c r="J276" s="159">
        <f t="shared" si="31"/>
        <v>-7.4130000000000003</v>
      </c>
      <c r="K276" s="159"/>
      <c r="L276" s="159"/>
      <c r="M276" s="159"/>
      <c r="N276" s="159"/>
      <c r="O276" s="159"/>
      <c r="P276" s="159"/>
      <c r="Q276" s="159"/>
      <c r="R276" s="159"/>
      <c r="S276" s="159"/>
      <c r="T276" s="166"/>
      <c r="U276" s="166"/>
      <c r="V276" s="166"/>
      <c r="W276" s="166"/>
      <c r="X276" s="166"/>
      <c r="Y276" s="166"/>
      <c r="Z276" s="166"/>
      <c r="AA276" s="166"/>
      <c r="AB276" s="166"/>
      <c r="AC276" s="159"/>
      <c r="AD276" s="159"/>
      <c r="AE276" s="159"/>
      <c r="AF276" s="159"/>
      <c r="AG276" s="159"/>
      <c r="AH276" s="159"/>
      <c r="AI276" s="159"/>
      <c r="AJ276" s="159"/>
      <c r="AK276" s="159"/>
      <c r="AL276" s="159"/>
      <c r="AM276" s="159"/>
      <c r="AN276" s="159"/>
      <c r="AO276" s="159"/>
      <c r="AP276" s="159"/>
      <c r="AQ276" s="159"/>
      <c r="AR276" s="159"/>
      <c r="AS276" s="159"/>
      <c r="AT276" s="159"/>
      <c r="AU276" s="159"/>
      <c r="AV276" s="159"/>
      <c r="AW276" s="159"/>
      <c r="AX276" s="159"/>
      <c r="AY276" s="159"/>
      <c r="AZ276" s="159"/>
      <c r="BA276" s="159"/>
      <c r="BB276" s="159"/>
      <c r="BC276" s="159"/>
      <c r="BD276" s="159"/>
      <c r="BE276" s="159"/>
      <c r="BF276" s="159"/>
      <c r="BG276" s="159"/>
      <c r="BH276" s="159"/>
      <c r="BI276" s="159"/>
      <c r="BJ276" s="159"/>
      <c r="BK276" s="159"/>
      <c r="BL276" s="159"/>
      <c r="BM276" s="159"/>
      <c r="BN276" s="159"/>
    </row>
    <row r="277" spans="1:66" x14ac:dyDescent="0.25">
      <c r="A277" s="166"/>
      <c r="B277" s="159"/>
      <c r="C277" s="159">
        <f t="shared" si="24"/>
        <v>-1814.3694800000001</v>
      </c>
      <c r="D277" s="159">
        <f t="shared" si="25"/>
        <v>-1.8143694800000001</v>
      </c>
      <c r="E277" s="159">
        <f t="shared" si="26"/>
        <v>-4000</v>
      </c>
      <c r="F277" s="159">
        <v>-2</v>
      </c>
      <c r="G277" s="159">
        <f t="shared" si="27"/>
        <v>-4372.6304468000008</v>
      </c>
      <c r="H277" s="159">
        <f t="shared" si="29"/>
        <v>-4.4833069850800005</v>
      </c>
      <c r="I277" s="159">
        <f t="shared" si="30"/>
        <v>-9884</v>
      </c>
      <c r="J277" s="159">
        <f t="shared" si="31"/>
        <v>-4.9420000000000002</v>
      </c>
      <c r="K277" s="159"/>
      <c r="L277" s="159"/>
      <c r="M277" s="159"/>
      <c r="N277" s="159"/>
      <c r="O277" s="159"/>
      <c r="P277" s="159"/>
      <c r="Q277" s="159"/>
      <c r="R277" s="159"/>
      <c r="S277" s="159"/>
      <c r="T277" s="166"/>
      <c r="U277" s="166"/>
      <c r="V277" s="166"/>
      <c r="W277" s="166"/>
      <c r="X277" s="166"/>
      <c r="Y277" s="166"/>
      <c r="Z277" s="166"/>
      <c r="AA277" s="166"/>
      <c r="AB277" s="166"/>
      <c r="AC277" s="159"/>
      <c r="AD277" s="159"/>
      <c r="AE277" s="159"/>
      <c r="AF277" s="159"/>
      <c r="AG277" s="159"/>
      <c r="AH277" s="159"/>
      <c r="AI277" s="159"/>
      <c r="AJ277" s="159"/>
      <c r="AK277" s="159"/>
      <c r="AL277" s="159"/>
      <c r="AM277" s="159"/>
      <c r="AN277" s="159"/>
      <c r="AO277" s="159"/>
      <c r="AP277" s="159"/>
      <c r="AQ277" s="159"/>
      <c r="AR277" s="159"/>
      <c r="AS277" s="159"/>
      <c r="AT277" s="159"/>
      <c r="AU277" s="159"/>
      <c r="AV277" s="159"/>
      <c r="AW277" s="159"/>
      <c r="AX277" s="159"/>
      <c r="AY277" s="159"/>
      <c r="AZ277" s="159"/>
      <c r="BA277" s="159"/>
      <c r="BB277" s="159"/>
      <c r="BC277" s="159"/>
      <c r="BD277" s="159"/>
      <c r="BE277" s="159"/>
      <c r="BF277" s="159"/>
      <c r="BG277" s="159"/>
      <c r="BH277" s="159"/>
      <c r="BI277" s="159"/>
      <c r="BJ277" s="159"/>
      <c r="BK277" s="159"/>
      <c r="BL277" s="159"/>
      <c r="BM277" s="159"/>
      <c r="BN277" s="159"/>
    </row>
    <row r="278" spans="1:66" x14ac:dyDescent="0.25">
      <c r="A278" s="166"/>
      <c r="B278" s="159"/>
      <c r="C278" s="159">
        <f t="shared" si="24"/>
        <v>-907.18474000000003</v>
      </c>
      <c r="D278" s="159">
        <f t="shared" si="25"/>
        <v>-0.90718474000000004</v>
      </c>
      <c r="E278" s="159">
        <f t="shared" si="26"/>
        <v>-2000</v>
      </c>
      <c r="F278" s="159">
        <v>-1</v>
      </c>
      <c r="G278" s="159">
        <f t="shared" si="27"/>
        <v>-2186.3152234000004</v>
      </c>
      <c r="H278" s="159">
        <f t="shared" si="29"/>
        <v>-2.2416534925400002</v>
      </c>
      <c r="I278" s="159">
        <f t="shared" si="30"/>
        <v>-4942</v>
      </c>
      <c r="J278" s="159">
        <f t="shared" si="31"/>
        <v>-2.4710000000000001</v>
      </c>
      <c r="K278" s="159"/>
      <c r="L278" s="159"/>
      <c r="M278" s="159"/>
      <c r="N278" s="159"/>
      <c r="O278" s="159"/>
      <c r="P278" s="159"/>
      <c r="Q278" s="159"/>
      <c r="R278" s="159"/>
      <c r="S278" s="159"/>
      <c r="T278" s="166"/>
      <c r="U278" s="166"/>
      <c r="V278" s="166"/>
      <c r="W278" s="166"/>
      <c r="X278" s="166"/>
      <c r="Y278" s="166"/>
      <c r="Z278" s="166"/>
      <c r="AA278" s="166"/>
      <c r="AB278" s="166"/>
      <c r="AC278" s="159"/>
      <c r="AD278" s="159"/>
      <c r="AE278" s="159"/>
      <c r="AF278" s="159"/>
      <c r="AG278" s="159"/>
      <c r="AH278" s="159"/>
      <c r="AI278" s="159"/>
      <c r="AJ278" s="159"/>
      <c r="AK278" s="159"/>
      <c r="AL278" s="159"/>
      <c r="AM278" s="159"/>
      <c r="AN278" s="159"/>
      <c r="AO278" s="159"/>
      <c r="AP278" s="159"/>
      <c r="AQ278" s="159"/>
      <c r="AR278" s="159"/>
      <c r="AS278" s="159"/>
      <c r="AT278" s="159"/>
      <c r="AU278" s="159"/>
      <c r="AV278" s="159"/>
      <c r="AW278" s="159"/>
      <c r="AX278" s="159"/>
      <c r="AY278" s="159"/>
      <c r="AZ278" s="159"/>
      <c r="BA278" s="159"/>
      <c r="BB278" s="159"/>
      <c r="BC278" s="159"/>
      <c r="BD278" s="159"/>
      <c r="BE278" s="159"/>
      <c r="BF278" s="159"/>
      <c r="BG278" s="159"/>
      <c r="BH278" s="159"/>
      <c r="BI278" s="159"/>
      <c r="BJ278" s="159"/>
      <c r="BK278" s="159"/>
      <c r="BL278" s="159"/>
      <c r="BM278" s="159"/>
      <c r="BN278" s="159"/>
    </row>
    <row r="279" spans="1:66" x14ac:dyDescent="0.25">
      <c r="A279" s="166"/>
      <c r="B279" s="159"/>
      <c r="C279" s="159">
        <f t="shared" si="24"/>
        <v>0</v>
      </c>
      <c r="D279" s="159">
        <f t="shared" si="25"/>
        <v>0</v>
      </c>
      <c r="E279" s="159">
        <f t="shared" si="26"/>
        <v>0</v>
      </c>
      <c r="F279" s="159">
        <v>0</v>
      </c>
      <c r="G279" s="159">
        <f t="shared" si="27"/>
        <v>0</v>
      </c>
      <c r="H279" s="159">
        <f t="shared" si="29"/>
        <v>0</v>
      </c>
      <c r="I279" s="159">
        <f t="shared" si="30"/>
        <v>0</v>
      </c>
      <c r="J279" s="159">
        <f t="shared" si="31"/>
        <v>0</v>
      </c>
      <c r="K279" s="159"/>
      <c r="L279" s="159"/>
      <c r="M279" s="159"/>
      <c r="N279" s="159"/>
      <c r="O279" s="159"/>
      <c r="P279" s="159"/>
      <c r="Q279" s="159"/>
      <c r="R279" s="159"/>
      <c r="S279" s="159"/>
      <c r="T279" s="166"/>
      <c r="U279" s="166"/>
      <c r="V279" s="166"/>
      <c r="W279" s="166"/>
      <c r="X279" s="166"/>
      <c r="Y279" s="166"/>
      <c r="Z279" s="166"/>
      <c r="AA279" s="166"/>
      <c r="AB279" s="166"/>
      <c r="AC279" s="159"/>
      <c r="AD279" s="159"/>
      <c r="AE279" s="159"/>
      <c r="AF279" s="159"/>
      <c r="AG279" s="159"/>
      <c r="AH279" s="159"/>
      <c r="AI279" s="159"/>
      <c r="AJ279" s="159"/>
      <c r="AK279" s="159"/>
      <c r="AL279" s="159"/>
      <c r="AM279" s="159"/>
      <c r="AN279" s="159"/>
      <c r="AO279" s="159"/>
      <c r="AP279" s="159"/>
      <c r="AQ279" s="159"/>
      <c r="AR279" s="159"/>
      <c r="AS279" s="159"/>
      <c r="AT279" s="159"/>
      <c r="AU279" s="159"/>
      <c r="AV279" s="159"/>
      <c r="AW279" s="159"/>
      <c r="AX279" s="159"/>
      <c r="AY279" s="159"/>
      <c r="AZ279" s="159"/>
      <c r="BA279" s="159"/>
      <c r="BB279" s="159"/>
      <c r="BC279" s="159"/>
      <c r="BD279" s="159"/>
      <c r="BE279" s="159"/>
      <c r="BF279" s="159"/>
      <c r="BG279" s="159"/>
      <c r="BH279" s="159"/>
      <c r="BI279" s="159"/>
      <c r="BJ279" s="159"/>
      <c r="BK279" s="159"/>
      <c r="BL279" s="159"/>
      <c r="BM279" s="159"/>
      <c r="BN279" s="159"/>
    </row>
    <row r="280" spans="1:66" x14ac:dyDescent="0.25">
      <c r="A280" s="166"/>
      <c r="B280" s="159"/>
      <c r="C280" s="159">
        <f t="shared" si="24"/>
        <v>907.18474000000003</v>
      </c>
      <c r="D280" s="159">
        <f t="shared" si="25"/>
        <v>0.90718474000000004</v>
      </c>
      <c r="E280" s="159">
        <f t="shared" si="26"/>
        <v>2000</v>
      </c>
      <c r="F280" s="159">
        <v>1</v>
      </c>
      <c r="G280" s="159">
        <f t="shared" si="27"/>
        <v>2186.3152234000004</v>
      </c>
      <c r="H280" s="159">
        <f t="shared" si="29"/>
        <v>2.2416534925400002</v>
      </c>
      <c r="I280" s="159">
        <f t="shared" si="30"/>
        <v>4942</v>
      </c>
      <c r="J280" s="159">
        <f t="shared" si="31"/>
        <v>2.4710000000000001</v>
      </c>
      <c r="K280" s="159"/>
      <c r="L280" s="159"/>
      <c r="M280" s="159"/>
      <c r="N280" s="159"/>
      <c r="O280" s="159"/>
      <c r="P280" s="159"/>
      <c r="Q280" s="159"/>
      <c r="R280" s="159"/>
      <c r="S280" s="159"/>
      <c r="T280" s="166"/>
      <c r="U280" s="166"/>
      <c r="V280" s="166"/>
      <c r="W280" s="166"/>
      <c r="X280" s="166"/>
      <c r="Y280" s="166"/>
      <c r="Z280" s="166"/>
      <c r="AA280" s="166"/>
      <c r="AB280" s="166"/>
      <c r="AC280" s="159"/>
      <c r="AD280" s="159"/>
      <c r="AE280" s="159"/>
      <c r="AF280" s="159"/>
      <c r="AG280" s="159"/>
      <c r="AH280" s="159"/>
      <c r="AI280" s="159"/>
      <c r="AJ280" s="159"/>
      <c r="AK280" s="159"/>
      <c r="AL280" s="159"/>
      <c r="AM280" s="159"/>
      <c r="AN280" s="159"/>
      <c r="AO280" s="159"/>
      <c r="AP280" s="159"/>
      <c r="AQ280" s="159"/>
      <c r="AR280" s="159"/>
      <c r="AS280" s="159"/>
      <c r="AT280" s="159"/>
      <c r="AU280" s="159"/>
      <c r="AV280" s="159"/>
      <c r="AW280" s="159"/>
      <c r="AX280" s="159"/>
      <c r="AY280" s="159"/>
      <c r="AZ280" s="159"/>
      <c r="BA280" s="159"/>
      <c r="BB280" s="159"/>
      <c r="BC280" s="159"/>
      <c r="BD280" s="159"/>
      <c r="BE280" s="159"/>
      <c r="BF280" s="159"/>
      <c r="BG280" s="159"/>
      <c r="BH280" s="159"/>
      <c r="BI280" s="159"/>
      <c r="BJ280" s="159"/>
      <c r="BK280" s="159"/>
      <c r="BL280" s="159"/>
      <c r="BM280" s="159"/>
      <c r="BN280" s="159"/>
    </row>
    <row r="281" spans="1:66" x14ac:dyDescent="0.25">
      <c r="A281" s="166"/>
      <c r="B281" s="159"/>
      <c r="C281" s="159">
        <f t="shared" si="24"/>
        <v>1814.3694800000001</v>
      </c>
      <c r="D281" s="159">
        <f t="shared" si="25"/>
        <v>1.8143694800000001</v>
      </c>
      <c r="E281" s="159">
        <f t="shared" si="26"/>
        <v>4000</v>
      </c>
      <c r="F281" s="159">
        <v>2</v>
      </c>
      <c r="G281" s="159">
        <f t="shared" si="27"/>
        <v>4372.6304468000008</v>
      </c>
      <c r="H281" s="159">
        <f t="shared" si="29"/>
        <v>4.4833069850800005</v>
      </c>
      <c r="I281" s="159">
        <f t="shared" si="30"/>
        <v>9884</v>
      </c>
      <c r="J281" s="159">
        <f t="shared" si="31"/>
        <v>4.9420000000000002</v>
      </c>
      <c r="K281" s="159"/>
      <c r="L281" s="159"/>
      <c r="M281" s="159"/>
      <c r="N281" s="159"/>
      <c r="O281" s="159"/>
      <c r="P281" s="159"/>
      <c r="Q281" s="159"/>
      <c r="R281" s="159"/>
      <c r="S281" s="159"/>
      <c r="T281" s="166"/>
      <c r="U281" s="166"/>
      <c r="V281" s="166"/>
      <c r="W281" s="166"/>
      <c r="X281" s="166"/>
      <c r="Y281" s="166"/>
      <c r="Z281" s="166"/>
      <c r="AA281" s="166"/>
      <c r="AB281" s="166"/>
      <c r="AC281" s="159"/>
      <c r="AD281" s="159"/>
      <c r="AE281" s="159"/>
      <c r="AF281" s="159"/>
      <c r="AG281" s="159"/>
      <c r="AH281" s="159"/>
      <c r="AI281" s="159"/>
      <c r="AJ281" s="159"/>
      <c r="AK281" s="159"/>
      <c r="AL281" s="159"/>
      <c r="AM281" s="159"/>
      <c r="AN281" s="159"/>
      <c r="AO281" s="159"/>
      <c r="AP281" s="159"/>
      <c r="AQ281" s="159"/>
      <c r="AR281" s="159"/>
      <c r="AS281" s="159"/>
      <c r="AT281" s="159"/>
      <c r="AU281" s="159"/>
      <c r="AV281" s="159"/>
      <c r="AW281" s="159"/>
      <c r="AX281" s="159"/>
      <c r="AY281" s="159"/>
      <c r="AZ281" s="159"/>
      <c r="BA281" s="159"/>
      <c r="BB281" s="159"/>
      <c r="BC281" s="159"/>
      <c r="BD281" s="159"/>
      <c r="BE281" s="159"/>
      <c r="BF281" s="159"/>
      <c r="BG281" s="159"/>
      <c r="BH281" s="159"/>
      <c r="BI281" s="159"/>
      <c r="BJ281" s="159"/>
      <c r="BK281" s="159"/>
      <c r="BL281" s="159"/>
      <c r="BM281" s="159"/>
      <c r="BN281" s="159"/>
    </row>
    <row r="282" spans="1:66" x14ac:dyDescent="0.25">
      <c r="A282" s="166"/>
      <c r="B282" s="159"/>
      <c r="C282" s="159">
        <f t="shared" si="24"/>
        <v>2721.55422</v>
      </c>
      <c r="D282" s="159">
        <f t="shared" si="25"/>
        <v>2.7215542200000002</v>
      </c>
      <c r="E282" s="159">
        <f t="shared" si="26"/>
        <v>6000</v>
      </c>
      <c r="F282" s="159">
        <v>3</v>
      </c>
      <c r="G282" s="159">
        <f t="shared" si="27"/>
        <v>6558.9456702000007</v>
      </c>
      <c r="H282" s="159">
        <f t="shared" si="29"/>
        <v>6.7249604776200007</v>
      </c>
      <c r="I282" s="159">
        <f t="shared" si="30"/>
        <v>14826</v>
      </c>
      <c r="J282" s="159">
        <f t="shared" si="31"/>
        <v>7.4130000000000003</v>
      </c>
      <c r="K282" s="159"/>
      <c r="L282" s="159"/>
      <c r="M282" s="159"/>
      <c r="N282" s="159"/>
      <c r="O282" s="159"/>
      <c r="P282" s="159"/>
      <c r="Q282" s="159"/>
      <c r="R282" s="159"/>
      <c r="S282" s="159"/>
      <c r="T282" s="166"/>
      <c r="U282" s="166"/>
      <c r="V282" s="166"/>
      <c r="W282" s="166"/>
      <c r="X282" s="166"/>
      <c r="Y282" s="166"/>
      <c r="Z282" s="166"/>
      <c r="AA282" s="166"/>
      <c r="AB282" s="166"/>
      <c r="AC282" s="159"/>
      <c r="AD282" s="159"/>
      <c r="AE282" s="159"/>
      <c r="AF282" s="159"/>
      <c r="AG282" s="159"/>
      <c r="AH282" s="159"/>
      <c r="AI282" s="159"/>
      <c r="AJ282" s="159"/>
      <c r="AK282" s="159"/>
      <c r="AL282" s="159"/>
      <c r="AM282" s="159"/>
      <c r="AN282" s="159"/>
      <c r="AO282" s="159"/>
      <c r="AP282" s="159"/>
      <c r="AQ282" s="159"/>
      <c r="AR282" s="159"/>
      <c r="AS282" s="159"/>
      <c r="AT282" s="159"/>
      <c r="AU282" s="159"/>
      <c r="AV282" s="159"/>
      <c r="AW282" s="159"/>
      <c r="AX282" s="159"/>
      <c r="AY282" s="159"/>
      <c r="AZ282" s="159"/>
      <c r="BA282" s="159"/>
      <c r="BB282" s="159"/>
      <c r="BC282" s="159"/>
      <c r="BD282" s="159"/>
      <c r="BE282" s="159"/>
      <c r="BF282" s="159"/>
      <c r="BG282" s="159"/>
      <c r="BH282" s="159"/>
      <c r="BI282" s="159"/>
      <c r="BJ282" s="159"/>
      <c r="BK282" s="159"/>
      <c r="BL282" s="159"/>
      <c r="BM282" s="159"/>
      <c r="BN282" s="159"/>
    </row>
    <row r="283" spans="1:66" x14ac:dyDescent="0.25">
      <c r="A283" s="166"/>
      <c r="B283" s="159"/>
      <c r="C283" s="159">
        <f t="shared" si="24"/>
        <v>3628.7389600000001</v>
      </c>
      <c r="D283" s="159">
        <f t="shared" si="25"/>
        <v>3.6287389600000002</v>
      </c>
      <c r="E283" s="159">
        <f t="shared" si="26"/>
        <v>8000</v>
      </c>
      <c r="F283" s="159">
        <v>4</v>
      </c>
      <c r="G283" s="159">
        <f t="shared" si="27"/>
        <v>8745.2608936000015</v>
      </c>
      <c r="H283" s="159">
        <f t="shared" si="29"/>
        <v>8.9666139701600009</v>
      </c>
      <c r="I283" s="159">
        <f t="shared" si="30"/>
        <v>19768</v>
      </c>
      <c r="J283" s="159">
        <f t="shared" si="31"/>
        <v>9.8840000000000003</v>
      </c>
      <c r="K283" s="159"/>
      <c r="L283" s="159"/>
      <c r="M283" s="159"/>
      <c r="N283" s="159"/>
      <c r="O283" s="159"/>
      <c r="P283" s="159"/>
      <c r="Q283" s="159"/>
      <c r="R283" s="159"/>
      <c r="S283" s="159"/>
      <c r="T283" s="166"/>
      <c r="U283" s="166"/>
      <c r="V283" s="166"/>
      <c r="W283" s="166"/>
      <c r="X283" s="166"/>
      <c r="Y283" s="166"/>
      <c r="Z283" s="166"/>
      <c r="AA283" s="166"/>
      <c r="AB283" s="166"/>
      <c r="AC283" s="159"/>
      <c r="AD283" s="159"/>
      <c r="AE283" s="159"/>
      <c r="AF283" s="159"/>
      <c r="AG283" s="159"/>
      <c r="AH283" s="159"/>
      <c r="AI283" s="159"/>
      <c r="AJ283" s="159"/>
      <c r="AK283" s="159"/>
      <c r="AL283" s="159"/>
      <c r="AM283" s="159"/>
      <c r="AN283" s="159"/>
      <c r="AO283" s="159"/>
      <c r="AP283" s="159"/>
      <c r="AQ283" s="159"/>
      <c r="AR283" s="159"/>
      <c r="AS283" s="159"/>
      <c r="AT283" s="159"/>
      <c r="AU283" s="159"/>
      <c r="AV283" s="159"/>
      <c r="AW283" s="159"/>
      <c r="AX283" s="159"/>
      <c r="AY283" s="159"/>
      <c r="AZ283" s="159"/>
      <c r="BA283" s="159"/>
      <c r="BB283" s="159"/>
      <c r="BC283" s="159"/>
      <c r="BD283" s="159"/>
      <c r="BE283" s="159"/>
      <c r="BF283" s="159"/>
      <c r="BG283" s="159"/>
      <c r="BH283" s="159"/>
      <c r="BI283" s="159"/>
      <c r="BJ283" s="159"/>
      <c r="BK283" s="159"/>
      <c r="BL283" s="159"/>
      <c r="BM283" s="159"/>
      <c r="BN283" s="159"/>
    </row>
    <row r="284" spans="1:66" x14ac:dyDescent="0.25">
      <c r="A284" s="166"/>
      <c r="B284" s="159"/>
      <c r="C284" s="159">
        <f t="shared" si="24"/>
        <v>4535.9237000000003</v>
      </c>
      <c r="D284" s="159">
        <f t="shared" si="25"/>
        <v>4.5359237000000006</v>
      </c>
      <c r="E284" s="159">
        <f t="shared" si="26"/>
        <v>10000</v>
      </c>
      <c r="F284" s="159">
        <v>5</v>
      </c>
      <c r="G284" s="159">
        <f t="shared" si="27"/>
        <v>10931.576117000001</v>
      </c>
      <c r="H284" s="159">
        <f t="shared" si="29"/>
        <v>11.208267462700002</v>
      </c>
      <c r="I284" s="159">
        <f t="shared" si="30"/>
        <v>24710</v>
      </c>
      <c r="J284" s="159">
        <f t="shared" si="31"/>
        <v>12.355</v>
      </c>
      <c r="K284" s="159"/>
      <c r="L284" s="159"/>
      <c r="M284" s="159"/>
      <c r="N284" s="159"/>
      <c r="O284" s="159"/>
      <c r="P284" s="159"/>
      <c r="Q284" s="159"/>
      <c r="R284" s="159"/>
      <c r="S284" s="159"/>
      <c r="T284" s="166"/>
      <c r="U284" s="166"/>
      <c r="V284" s="166"/>
      <c r="W284" s="166"/>
      <c r="X284" s="166"/>
      <c r="Y284" s="166"/>
      <c r="Z284" s="166"/>
      <c r="AA284" s="166"/>
      <c r="AB284" s="166"/>
      <c r="AC284" s="159"/>
      <c r="AD284" s="159"/>
      <c r="AE284" s="159"/>
      <c r="AF284" s="159"/>
      <c r="AG284" s="159"/>
      <c r="AH284" s="159"/>
      <c r="AI284" s="159"/>
      <c r="AJ284" s="159"/>
      <c r="AK284" s="159"/>
      <c r="AL284" s="159"/>
      <c r="AM284" s="159"/>
      <c r="AN284" s="159"/>
      <c r="AO284" s="159"/>
      <c r="AP284" s="159"/>
      <c r="AQ284" s="159"/>
      <c r="AR284" s="159"/>
      <c r="AS284" s="159"/>
      <c r="AT284" s="159"/>
      <c r="AU284" s="159"/>
      <c r="AV284" s="159"/>
      <c r="AW284" s="159"/>
      <c r="AX284" s="159"/>
      <c r="AY284" s="159"/>
      <c r="AZ284" s="159"/>
      <c r="BA284" s="159"/>
      <c r="BB284" s="159"/>
      <c r="BC284" s="159"/>
      <c r="BD284" s="159"/>
      <c r="BE284" s="159"/>
      <c r="BF284" s="159"/>
      <c r="BG284" s="159"/>
      <c r="BH284" s="159"/>
      <c r="BI284" s="159"/>
      <c r="BJ284" s="159"/>
      <c r="BK284" s="159"/>
      <c r="BL284" s="159"/>
      <c r="BM284" s="159"/>
      <c r="BN284" s="159"/>
    </row>
    <row r="285" spans="1:66" x14ac:dyDescent="0.25">
      <c r="A285" s="166"/>
      <c r="B285" s="159"/>
      <c r="C285" s="159">
        <f t="shared" si="24"/>
        <v>5443.10844</v>
      </c>
      <c r="D285" s="159">
        <f t="shared" si="25"/>
        <v>5.4431084400000005</v>
      </c>
      <c r="E285" s="159">
        <f t="shared" si="26"/>
        <v>12000</v>
      </c>
      <c r="F285" s="159">
        <v>6</v>
      </c>
      <c r="G285" s="159">
        <f t="shared" si="27"/>
        <v>13117.891340400001</v>
      </c>
      <c r="H285" s="159">
        <f t="shared" si="29"/>
        <v>13.449920955240001</v>
      </c>
      <c r="I285" s="159">
        <f t="shared" si="30"/>
        <v>29652</v>
      </c>
      <c r="J285" s="159">
        <f t="shared" si="31"/>
        <v>14.826000000000001</v>
      </c>
      <c r="K285" s="159"/>
      <c r="L285" s="159"/>
      <c r="M285" s="159"/>
      <c r="N285" s="159"/>
      <c r="O285" s="159"/>
      <c r="P285" s="159"/>
      <c r="Q285" s="159"/>
      <c r="R285" s="159"/>
      <c r="S285" s="159"/>
      <c r="T285" s="166"/>
      <c r="U285" s="166"/>
      <c r="V285" s="166"/>
      <c r="W285" s="166"/>
      <c r="X285" s="166"/>
      <c r="Y285" s="166"/>
      <c r="Z285" s="166"/>
      <c r="AA285" s="166"/>
      <c r="AB285" s="166"/>
      <c r="AC285" s="159"/>
      <c r="AD285" s="159"/>
      <c r="AE285" s="159"/>
      <c r="AF285" s="159"/>
      <c r="AG285" s="159"/>
      <c r="AH285" s="159"/>
      <c r="AI285" s="159"/>
      <c r="AJ285" s="159"/>
      <c r="AK285" s="159"/>
      <c r="AL285" s="159"/>
      <c r="AM285" s="159"/>
      <c r="AN285" s="159"/>
      <c r="AO285" s="159"/>
      <c r="AP285" s="159"/>
      <c r="AQ285" s="159"/>
      <c r="AR285" s="159"/>
      <c r="AS285" s="159"/>
      <c r="AT285" s="159"/>
      <c r="AU285" s="159"/>
      <c r="AV285" s="159"/>
      <c r="AW285" s="159"/>
      <c r="AX285" s="159"/>
      <c r="AY285" s="159"/>
      <c r="AZ285" s="159"/>
      <c r="BA285" s="159"/>
      <c r="BB285" s="159"/>
      <c r="BC285" s="159"/>
      <c r="BD285" s="159"/>
      <c r="BE285" s="159"/>
      <c r="BF285" s="159"/>
      <c r="BG285" s="159"/>
      <c r="BH285" s="159"/>
      <c r="BI285" s="159"/>
      <c r="BJ285" s="159"/>
      <c r="BK285" s="159"/>
      <c r="BL285" s="159"/>
      <c r="BM285" s="159"/>
      <c r="BN285" s="159"/>
    </row>
    <row r="286" spans="1:66" x14ac:dyDescent="0.25">
      <c r="A286" s="166"/>
      <c r="B286" s="159"/>
      <c r="C286" s="159">
        <f t="shared" si="24"/>
        <v>6350.2931800000006</v>
      </c>
      <c r="D286" s="159">
        <f t="shared" si="25"/>
        <v>6.3502931800000004</v>
      </c>
      <c r="E286" s="159">
        <f t="shared" si="26"/>
        <v>14000</v>
      </c>
      <c r="F286" s="159">
        <v>7</v>
      </c>
      <c r="G286" s="159">
        <f t="shared" si="27"/>
        <v>15304.206563800002</v>
      </c>
      <c r="H286" s="159">
        <f t="shared" si="29"/>
        <v>15.691574447780001</v>
      </c>
      <c r="I286" s="159">
        <f t="shared" si="30"/>
        <v>34594</v>
      </c>
      <c r="J286" s="159">
        <f t="shared" si="31"/>
        <v>17.297000000000001</v>
      </c>
      <c r="K286" s="159"/>
      <c r="L286" s="159"/>
      <c r="M286" s="159"/>
      <c r="N286" s="159"/>
      <c r="O286" s="159"/>
      <c r="P286" s="159"/>
      <c r="Q286" s="159"/>
      <c r="R286" s="159"/>
      <c r="S286" s="159"/>
      <c r="T286" s="166"/>
      <c r="U286" s="166"/>
      <c r="V286" s="166"/>
      <c r="W286" s="166"/>
      <c r="X286" s="166"/>
      <c r="Y286" s="166"/>
      <c r="Z286" s="166"/>
      <c r="AA286" s="166"/>
      <c r="AB286" s="166"/>
      <c r="AC286" s="159"/>
      <c r="AD286" s="159"/>
      <c r="AE286" s="159"/>
      <c r="AF286" s="159"/>
      <c r="AG286" s="159"/>
      <c r="AH286" s="159"/>
      <c r="AI286" s="159"/>
      <c r="AJ286" s="159"/>
      <c r="AK286" s="159"/>
      <c r="AL286" s="159"/>
      <c r="AM286" s="159"/>
      <c r="AN286" s="159"/>
      <c r="AO286" s="159"/>
      <c r="AP286" s="159"/>
      <c r="AQ286" s="159"/>
      <c r="AR286" s="159"/>
      <c r="AS286" s="159"/>
      <c r="AT286" s="159"/>
      <c r="AU286" s="159"/>
      <c r="AV286" s="159"/>
      <c r="AW286" s="159"/>
      <c r="AX286" s="159"/>
      <c r="AY286" s="159"/>
      <c r="AZ286" s="159"/>
      <c r="BA286" s="159"/>
      <c r="BB286" s="159"/>
      <c r="BC286" s="159"/>
      <c r="BD286" s="159"/>
      <c r="BE286" s="159"/>
      <c r="BF286" s="159"/>
      <c r="BG286" s="159"/>
      <c r="BH286" s="159"/>
      <c r="BI286" s="159"/>
      <c r="BJ286" s="159"/>
      <c r="BK286" s="159"/>
      <c r="BL286" s="159"/>
      <c r="BM286" s="159"/>
      <c r="BN286" s="159"/>
    </row>
    <row r="287" spans="1:66" x14ac:dyDescent="0.25">
      <c r="A287" s="166"/>
      <c r="B287" s="159"/>
      <c r="C287" s="159">
        <f t="shared" si="24"/>
        <v>7257.4779200000003</v>
      </c>
      <c r="D287" s="159">
        <f t="shared" si="25"/>
        <v>7.2574779200000004</v>
      </c>
      <c r="E287" s="159">
        <f t="shared" si="26"/>
        <v>16000</v>
      </c>
      <c r="F287" s="159">
        <v>8</v>
      </c>
      <c r="G287" s="159">
        <f t="shared" si="27"/>
        <v>17490.521787200003</v>
      </c>
      <c r="H287" s="159">
        <f t="shared" si="29"/>
        <v>17.933227940320002</v>
      </c>
      <c r="I287" s="159">
        <f t="shared" si="30"/>
        <v>39536</v>
      </c>
      <c r="J287" s="159">
        <f t="shared" si="31"/>
        <v>19.768000000000001</v>
      </c>
      <c r="K287" s="159"/>
      <c r="L287" s="159"/>
      <c r="M287" s="159"/>
      <c r="N287" s="159"/>
      <c r="O287" s="159"/>
      <c r="P287" s="159"/>
      <c r="Q287" s="159"/>
      <c r="R287" s="159"/>
      <c r="S287" s="159"/>
      <c r="T287" s="166"/>
      <c r="U287" s="166"/>
      <c r="V287" s="166"/>
      <c r="W287" s="166"/>
      <c r="X287" s="166"/>
      <c r="Y287" s="166"/>
      <c r="Z287" s="166"/>
      <c r="AA287" s="166"/>
      <c r="AB287" s="166"/>
      <c r="AC287" s="159"/>
      <c r="AD287" s="159"/>
      <c r="AE287" s="159"/>
      <c r="AF287" s="159"/>
      <c r="AG287" s="159"/>
      <c r="AH287" s="159"/>
      <c r="AI287" s="159"/>
      <c r="AJ287" s="159"/>
      <c r="AK287" s="159"/>
      <c r="AL287" s="159"/>
      <c r="AM287" s="159"/>
      <c r="AN287" s="159"/>
      <c r="AO287" s="159"/>
      <c r="AP287" s="159"/>
      <c r="AQ287" s="159"/>
      <c r="AR287" s="159"/>
      <c r="AS287" s="159"/>
      <c r="AT287" s="159"/>
      <c r="AU287" s="159"/>
      <c r="AV287" s="159"/>
      <c r="AW287" s="159"/>
      <c r="AX287" s="159"/>
      <c r="AY287" s="159"/>
      <c r="AZ287" s="159"/>
      <c r="BA287" s="159"/>
      <c r="BB287" s="159"/>
      <c r="BC287" s="159"/>
      <c r="BD287" s="159"/>
      <c r="BE287" s="159"/>
      <c r="BF287" s="159"/>
      <c r="BG287" s="159"/>
      <c r="BH287" s="159"/>
      <c r="BI287" s="159"/>
      <c r="BJ287" s="159"/>
      <c r="BK287" s="159"/>
      <c r="BL287" s="159"/>
      <c r="BM287" s="159"/>
      <c r="BN287" s="159"/>
    </row>
    <row r="288" spans="1:66" x14ac:dyDescent="0.25">
      <c r="A288" s="166"/>
      <c r="B288" s="159"/>
      <c r="C288" s="159">
        <f t="shared" si="24"/>
        <v>8164.66266</v>
      </c>
      <c r="D288" s="159">
        <f t="shared" si="25"/>
        <v>8.1646626600000012</v>
      </c>
      <c r="E288" s="159">
        <f t="shared" si="26"/>
        <v>18000</v>
      </c>
      <c r="F288" s="159">
        <v>9</v>
      </c>
      <c r="G288" s="159">
        <f t="shared" si="27"/>
        <v>19676.8370106</v>
      </c>
      <c r="H288" s="159">
        <f t="shared" si="29"/>
        <v>20.174881432860005</v>
      </c>
      <c r="I288" s="159">
        <f t="shared" si="30"/>
        <v>44478</v>
      </c>
      <c r="J288" s="159">
        <f t="shared" si="31"/>
        <v>22.239000000000001</v>
      </c>
      <c r="K288" s="159"/>
      <c r="L288" s="159"/>
      <c r="M288" s="159"/>
      <c r="N288" s="159"/>
      <c r="O288" s="159"/>
      <c r="P288" s="159"/>
      <c r="Q288" s="159"/>
      <c r="R288" s="159"/>
      <c r="S288" s="159"/>
      <c r="T288" s="166"/>
      <c r="U288" s="166"/>
      <c r="V288" s="166"/>
      <c r="W288" s="166"/>
      <c r="X288" s="166"/>
      <c r="Y288" s="166"/>
      <c r="Z288" s="166"/>
      <c r="AA288" s="166"/>
      <c r="AB288" s="166"/>
      <c r="AC288" s="159"/>
      <c r="AD288" s="159"/>
      <c r="AE288" s="159"/>
      <c r="AF288" s="159"/>
      <c r="AG288" s="159"/>
      <c r="AH288" s="159"/>
      <c r="AI288" s="159"/>
      <c r="AJ288" s="159"/>
      <c r="AK288" s="159"/>
      <c r="AL288" s="159"/>
      <c r="AM288" s="159"/>
      <c r="AN288" s="159"/>
      <c r="AO288" s="159"/>
      <c r="AP288" s="159"/>
      <c r="AQ288" s="159"/>
      <c r="AR288" s="159"/>
      <c r="AS288" s="159"/>
      <c r="AT288" s="159"/>
      <c r="AU288" s="159"/>
      <c r="AV288" s="159"/>
      <c r="AW288" s="159"/>
      <c r="AX288" s="159"/>
      <c r="AY288" s="159"/>
      <c r="AZ288" s="159"/>
      <c r="BA288" s="159"/>
      <c r="BB288" s="159"/>
      <c r="BC288" s="159"/>
      <c r="BD288" s="159"/>
      <c r="BE288" s="159"/>
      <c r="BF288" s="159"/>
      <c r="BG288" s="159"/>
      <c r="BH288" s="159"/>
      <c r="BI288" s="159"/>
      <c r="BJ288" s="159"/>
      <c r="BK288" s="159"/>
      <c r="BL288" s="159"/>
      <c r="BM288" s="159"/>
      <c r="BN288" s="159"/>
    </row>
    <row r="289" spans="1:66" x14ac:dyDescent="0.25">
      <c r="A289" s="166"/>
      <c r="B289" s="159"/>
      <c r="C289" s="159">
        <f t="shared" si="24"/>
        <v>9071.8474000000006</v>
      </c>
      <c r="D289" s="159">
        <f t="shared" si="25"/>
        <v>9.0718474000000011</v>
      </c>
      <c r="E289" s="159">
        <f t="shared" si="26"/>
        <v>20000</v>
      </c>
      <c r="F289" s="159">
        <v>10</v>
      </c>
      <c r="G289" s="159">
        <f t="shared" si="27"/>
        <v>21863.152234000001</v>
      </c>
      <c r="H289" s="159">
        <f t="shared" si="29"/>
        <v>22.416534925400004</v>
      </c>
      <c r="I289" s="159">
        <f t="shared" si="30"/>
        <v>49420</v>
      </c>
      <c r="J289" s="159">
        <f t="shared" si="31"/>
        <v>24.71</v>
      </c>
      <c r="K289" s="159"/>
      <c r="L289" s="159"/>
      <c r="M289" s="159"/>
      <c r="N289" s="159"/>
      <c r="O289" s="159"/>
      <c r="P289" s="159"/>
      <c r="Q289" s="159"/>
      <c r="R289" s="159"/>
      <c r="S289" s="159"/>
      <c r="T289" s="166"/>
      <c r="U289" s="166"/>
      <c r="V289" s="166"/>
      <c r="W289" s="166"/>
      <c r="X289" s="166"/>
      <c r="Y289" s="166"/>
      <c r="Z289" s="166"/>
      <c r="AA289" s="166"/>
      <c r="AB289" s="166"/>
      <c r="AC289" s="159"/>
      <c r="AD289" s="159"/>
      <c r="AE289" s="159"/>
      <c r="AF289" s="159"/>
      <c r="AG289" s="159"/>
      <c r="AH289" s="159"/>
      <c r="AI289" s="159"/>
      <c r="AJ289" s="159"/>
      <c r="AK289" s="159"/>
      <c r="AL289" s="159"/>
      <c r="AM289" s="159"/>
      <c r="AN289" s="159"/>
      <c r="AO289" s="159"/>
      <c r="AP289" s="159"/>
      <c r="AQ289" s="159"/>
      <c r="AR289" s="159"/>
      <c r="AS289" s="159"/>
      <c r="AT289" s="159"/>
      <c r="AU289" s="159"/>
      <c r="AV289" s="159"/>
      <c r="AW289" s="159"/>
      <c r="AX289" s="159"/>
      <c r="AY289" s="159"/>
      <c r="AZ289" s="159"/>
      <c r="BA289" s="159"/>
      <c r="BB289" s="159"/>
      <c r="BC289" s="159"/>
      <c r="BD289" s="159"/>
      <c r="BE289" s="159"/>
      <c r="BF289" s="159"/>
      <c r="BG289" s="159"/>
      <c r="BH289" s="159"/>
      <c r="BI289" s="159"/>
      <c r="BJ289" s="159"/>
      <c r="BK289" s="159"/>
      <c r="BL289" s="159"/>
      <c r="BM289" s="159"/>
      <c r="BN289" s="159"/>
    </row>
    <row r="290" spans="1:66" x14ac:dyDescent="0.25">
      <c r="A290" s="166"/>
      <c r="B290" s="159"/>
      <c r="C290" s="159"/>
      <c r="D290" s="159"/>
      <c r="E290" s="159"/>
      <c r="F290" s="159"/>
      <c r="G290" s="159"/>
      <c r="H290" s="159"/>
      <c r="I290" s="159"/>
      <c r="J290" s="159"/>
      <c r="K290" s="159"/>
      <c r="L290" s="159"/>
      <c r="M290" s="159"/>
      <c r="N290" s="159"/>
      <c r="O290" s="159"/>
      <c r="P290" s="159"/>
      <c r="Q290" s="159"/>
      <c r="R290" s="159"/>
      <c r="S290" s="159"/>
      <c r="T290" s="166"/>
      <c r="U290" s="166"/>
      <c r="V290" s="166"/>
      <c r="W290" s="166"/>
      <c r="X290" s="166"/>
      <c r="Y290" s="166"/>
      <c r="Z290" s="166"/>
      <c r="AA290" s="166"/>
      <c r="AB290" s="166"/>
      <c r="AC290" s="159"/>
      <c r="AD290" s="159"/>
      <c r="AE290" s="159"/>
      <c r="AF290" s="159"/>
      <c r="AG290" s="159"/>
      <c r="AH290" s="159"/>
      <c r="AI290" s="159"/>
      <c r="AJ290" s="159"/>
      <c r="AK290" s="159"/>
      <c r="AL290" s="159"/>
      <c r="AM290" s="159"/>
      <c r="AN290" s="159"/>
      <c r="AO290" s="159"/>
      <c r="AP290" s="159"/>
      <c r="AQ290" s="159"/>
      <c r="AR290" s="159"/>
      <c r="AS290" s="159"/>
      <c r="AT290" s="159"/>
      <c r="AU290" s="159"/>
      <c r="AV290" s="159"/>
      <c r="AW290" s="159"/>
      <c r="AX290" s="159"/>
      <c r="AY290" s="159"/>
      <c r="AZ290" s="159"/>
      <c r="BA290" s="159"/>
      <c r="BB290" s="159"/>
      <c r="BC290" s="159"/>
      <c r="BD290" s="159"/>
      <c r="BE290" s="159"/>
      <c r="BF290" s="159"/>
      <c r="BG290" s="159"/>
      <c r="BH290" s="159"/>
      <c r="BI290" s="159"/>
      <c r="BJ290" s="159"/>
      <c r="BK290" s="159"/>
      <c r="BL290" s="159"/>
      <c r="BM290" s="159"/>
      <c r="BN290" s="159"/>
    </row>
    <row r="291" spans="1:66" x14ac:dyDescent="0.25">
      <c r="A291" s="166"/>
      <c r="B291" s="159"/>
      <c r="C291" s="159"/>
      <c r="D291" s="159"/>
      <c r="E291" s="159"/>
      <c r="F291" s="159"/>
      <c r="G291" s="159"/>
      <c r="H291" s="159"/>
      <c r="I291" s="159"/>
      <c r="J291" s="159"/>
      <c r="K291" s="159"/>
      <c r="L291" s="159"/>
      <c r="M291" s="159"/>
      <c r="N291" s="159"/>
      <c r="O291" s="159"/>
      <c r="P291" s="159"/>
      <c r="Q291" s="159"/>
      <c r="R291" s="159"/>
      <c r="S291" s="159"/>
      <c r="T291" s="166"/>
      <c r="U291" s="166"/>
      <c r="V291" s="166"/>
      <c r="W291" s="166"/>
      <c r="X291" s="166"/>
      <c r="Y291" s="166"/>
      <c r="Z291" s="166"/>
      <c r="AA291" s="166"/>
      <c r="AB291" s="166"/>
      <c r="AC291" s="159"/>
      <c r="AD291" s="159"/>
      <c r="AE291" s="159"/>
      <c r="AF291" s="159"/>
      <c r="AG291" s="159"/>
      <c r="AH291" s="159"/>
      <c r="AI291" s="159"/>
      <c r="AJ291" s="159"/>
      <c r="AK291" s="159"/>
      <c r="AL291" s="159"/>
      <c r="AM291" s="159"/>
      <c r="AN291" s="159"/>
      <c r="AO291" s="159"/>
      <c r="AP291" s="159"/>
      <c r="AQ291" s="159"/>
      <c r="AR291" s="159"/>
      <c r="AS291" s="159"/>
      <c r="AT291" s="159"/>
      <c r="AU291" s="159"/>
      <c r="AV291" s="159"/>
      <c r="AW291" s="159"/>
      <c r="AX291" s="159"/>
      <c r="AY291" s="159"/>
      <c r="AZ291" s="159"/>
      <c r="BA291" s="159"/>
      <c r="BB291" s="159"/>
      <c r="BC291" s="159"/>
      <c r="BD291" s="159"/>
      <c r="BE291" s="159"/>
      <c r="BF291" s="159"/>
      <c r="BG291" s="159"/>
      <c r="BH291" s="159"/>
      <c r="BI291" s="159"/>
      <c r="BJ291" s="159"/>
      <c r="BK291" s="159"/>
      <c r="BL291" s="159"/>
      <c r="BM291" s="159"/>
      <c r="BN291" s="159"/>
    </row>
    <row r="292" spans="1:66" x14ac:dyDescent="0.25">
      <c r="A292" s="166"/>
      <c r="B292" s="159"/>
      <c r="C292" s="159"/>
      <c r="D292" s="159"/>
      <c r="E292" s="159"/>
      <c r="F292" s="159"/>
      <c r="G292" s="159"/>
      <c r="H292" s="159"/>
      <c r="I292" s="159"/>
      <c r="J292" s="159"/>
      <c r="K292" s="159"/>
      <c r="L292" s="159"/>
      <c r="M292" s="159"/>
      <c r="N292" s="159"/>
      <c r="O292" s="159"/>
      <c r="P292" s="159"/>
      <c r="Q292" s="159"/>
      <c r="R292" s="159"/>
      <c r="S292" s="159"/>
      <c r="T292" s="166"/>
      <c r="U292" s="166"/>
      <c r="V292" s="166"/>
      <c r="W292" s="166"/>
      <c r="X292" s="166"/>
      <c r="Y292" s="166"/>
      <c r="Z292" s="166"/>
      <c r="AA292" s="166"/>
      <c r="AB292" s="166"/>
      <c r="AC292" s="159"/>
      <c r="AD292" s="159"/>
      <c r="AE292" s="159"/>
      <c r="AF292" s="159"/>
      <c r="AG292" s="159"/>
      <c r="AH292" s="159"/>
      <c r="AI292" s="159"/>
      <c r="AJ292" s="159"/>
      <c r="AK292" s="159"/>
      <c r="AL292" s="159"/>
      <c r="AM292" s="159"/>
      <c r="AN292" s="159"/>
      <c r="AO292" s="159"/>
      <c r="AP292" s="159"/>
      <c r="AQ292" s="159"/>
      <c r="AR292" s="159"/>
      <c r="AS292" s="159"/>
      <c r="AT292" s="159"/>
      <c r="AU292" s="159"/>
      <c r="AV292" s="159"/>
      <c r="AW292" s="159"/>
      <c r="AX292" s="159"/>
      <c r="AY292" s="159"/>
      <c r="AZ292" s="159"/>
      <c r="BA292" s="159"/>
      <c r="BB292" s="159"/>
      <c r="BC292" s="159"/>
      <c r="BD292" s="159"/>
      <c r="BE292" s="159"/>
      <c r="BF292" s="159"/>
      <c r="BG292" s="159"/>
      <c r="BH292" s="159"/>
      <c r="BI292" s="159"/>
      <c r="BJ292" s="159"/>
      <c r="BK292" s="159"/>
      <c r="BL292" s="159"/>
      <c r="BM292" s="159"/>
      <c r="BN292" s="159"/>
    </row>
    <row r="293" spans="1:66" x14ac:dyDescent="0.25">
      <c r="A293" s="166"/>
      <c r="B293" s="159"/>
      <c r="C293" s="159"/>
      <c r="D293" s="159"/>
      <c r="E293" s="159"/>
      <c r="F293" s="159"/>
      <c r="G293" s="159"/>
      <c r="H293" s="159"/>
      <c r="I293" s="159"/>
      <c r="J293" s="159"/>
      <c r="K293" s="159"/>
      <c r="L293" s="159"/>
      <c r="M293" s="159"/>
      <c r="N293" s="159"/>
      <c r="O293" s="159"/>
      <c r="P293" s="159"/>
      <c r="Q293" s="159"/>
      <c r="R293" s="159"/>
      <c r="S293" s="159"/>
      <c r="T293" s="166"/>
      <c r="U293" s="166"/>
      <c r="V293" s="166"/>
      <c r="W293" s="166"/>
      <c r="X293" s="166"/>
      <c r="Y293" s="166"/>
      <c r="Z293" s="166"/>
      <c r="AA293" s="166"/>
      <c r="AB293" s="166"/>
      <c r="AC293" s="159"/>
      <c r="AD293" s="159"/>
      <c r="AE293" s="159"/>
      <c r="AF293" s="159"/>
      <c r="AG293" s="159"/>
      <c r="AH293" s="159"/>
      <c r="AI293" s="159"/>
      <c r="AJ293" s="159"/>
      <c r="AK293" s="159"/>
      <c r="AL293" s="159"/>
      <c r="AM293" s="159"/>
      <c r="AN293" s="159"/>
      <c r="AO293" s="159"/>
      <c r="AP293" s="159"/>
      <c r="AQ293" s="159"/>
      <c r="AR293" s="159"/>
      <c r="AS293" s="159"/>
      <c r="AT293" s="159"/>
      <c r="AU293" s="159"/>
      <c r="AV293" s="159"/>
      <c r="AW293" s="159"/>
      <c r="AX293" s="159"/>
      <c r="AY293" s="159"/>
      <c r="AZ293" s="159"/>
      <c r="BA293" s="159"/>
      <c r="BB293" s="159"/>
      <c r="BC293" s="159"/>
      <c r="BD293" s="159"/>
      <c r="BE293" s="159"/>
      <c r="BF293" s="159"/>
      <c r="BG293" s="159"/>
      <c r="BH293" s="159"/>
      <c r="BI293" s="159"/>
      <c r="BJ293" s="159"/>
      <c r="BK293" s="159"/>
      <c r="BL293" s="159"/>
      <c r="BM293" s="159"/>
      <c r="BN293" s="159"/>
    </row>
    <row r="294" spans="1:66" x14ac:dyDescent="0.25">
      <c r="A294" s="166"/>
      <c r="B294" s="159"/>
      <c r="C294" s="159"/>
      <c r="D294" s="159"/>
      <c r="E294" s="159"/>
      <c r="F294" s="159"/>
      <c r="G294" s="159"/>
      <c r="H294" s="159"/>
      <c r="I294" s="159"/>
      <c r="J294" s="159"/>
      <c r="K294" s="159"/>
      <c r="L294" s="159"/>
      <c r="M294" s="159"/>
      <c r="N294" s="159"/>
      <c r="O294" s="159"/>
      <c r="P294" s="159"/>
      <c r="Q294" s="159"/>
      <c r="R294" s="159"/>
      <c r="S294" s="159"/>
      <c r="T294" s="166"/>
      <c r="U294" s="166"/>
      <c r="V294" s="166"/>
      <c r="W294" s="166"/>
      <c r="X294" s="166"/>
      <c r="Y294" s="166"/>
      <c r="Z294" s="166"/>
      <c r="AA294" s="166"/>
      <c r="AB294" s="166"/>
      <c r="AC294" s="159"/>
      <c r="AD294" s="159"/>
      <c r="AE294" s="159"/>
      <c r="AF294" s="159"/>
      <c r="AG294" s="159"/>
      <c r="AH294" s="159"/>
      <c r="AI294" s="159"/>
      <c r="AJ294" s="159"/>
      <c r="AK294" s="159"/>
      <c r="AL294" s="159"/>
      <c r="AM294" s="159"/>
      <c r="AN294" s="159"/>
      <c r="AO294" s="159"/>
      <c r="AP294" s="159"/>
      <c r="AQ294" s="159"/>
      <c r="AR294" s="159"/>
      <c r="AS294" s="159"/>
      <c r="AT294" s="159"/>
      <c r="AU294" s="159"/>
      <c r="AV294" s="159"/>
      <c r="AW294" s="159"/>
      <c r="AX294" s="159"/>
      <c r="AY294" s="159"/>
      <c r="AZ294" s="159"/>
      <c r="BA294" s="159"/>
      <c r="BB294" s="159"/>
      <c r="BC294" s="159"/>
      <c r="BD294" s="159"/>
      <c r="BE294" s="159"/>
      <c r="BF294" s="159"/>
      <c r="BG294" s="159"/>
      <c r="BH294" s="159"/>
      <c r="BI294" s="159"/>
      <c r="BJ294" s="159"/>
      <c r="BK294" s="159"/>
      <c r="BL294" s="159"/>
      <c r="BM294" s="159"/>
      <c r="BN294" s="159"/>
    </row>
  </sheetData>
  <sheetProtection password="838D" sheet="1" objects="1" scenarios="1"/>
  <mergeCells count="20">
    <mergeCell ref="E103:F103"/>
    <mergeCell ref="E102:F102"/>
    <mergeCell ref="E98:F98"/>
    <mergeCell ref="E99:F99"/>
    <mergeCell ref="E100:F100"/>
    <mergeCell ref="E101:F101"/>
    <mergeCell ref="C73:I73"/>
    <mergeCell ref="C72:I72"/>
    <mergeCell ref="AP6:AS6"/>
    <mergeCell ref="C3:O3"/>
    <mergeCell ref="H5:I5"/>
    <mergeCell ref="C46:G46"/>
    <mergeCell ref="C8:H8"/>
    <mergeCell ref="J11:K11"/>
    <mergeCell ref="AT6:AW6"/>
    <mergeCell ref="AX6:BA6"/>
    <mergeCell ref="C9:H9"/>
    <mergeCell ref="C71:I71"/>
    <mergeCell ref="C67:E67"/>
    <mergeCell ref="C47:E47"/>
  </mergeCells>
  <phoneticPr fontId="0" type="noConversion"/>
  <conditionalFormatting sqref="E56:F59 D56:D58">
    <cfRule type="cellIs" dxfId="2" priority="2" stopIfTrue="1" operator="equal">
      <formula>0</formula>
    </cfRule>
  </conditionalFormatting>
  <conditionalFormatting sqref="C73:I73">
    <cfRule type="cellIs" dxfId="1" priority="3" stopIfTrue="1" operator="equal">
      <formula>0</formula>
    </cfRule>
  </conditionalFormatting>
  <conditionalFormatting sqref="J5">
    <cfRule type="cellIs" dxfId="0" priority="1" stopIfTrue="1" operator="equal">
      <formula>$AO$4</formula>
    </cfRule>
  </conditionalFormatting>
  <dataValidations xWindow="247" yWindow="580" count="4">
    <dataValidation type="list" allowBlank="1" showInputMessage="1" showErrorMessage="1" sqref="D5" xr:uid="{00000000-0002-0000-0900-000000000000}">
      <formula1>$AK$4:$AK$7</formula1>
    </dataValidation>
    <dataValidation type="list" allowBlank="1" showInputMessage="1" showErrorMessage="1" sqref="AP10" xr:uid="{00000000-0002-0000-0900-000001000000}">
      <formula1>"TRUE,FALSE"</formula1>
    </dataValidation>
    <dataValidation type="list" allowBlank="1" showInputMessage="1" sqref="J5" xr:uid="{00000000-0002-0000-09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46" xr:uid="{00000000-0002-0000-0900-000003000000}"/>
  </dataValidations>
  <pageMargins left="0.75" right="0.75" top="1" bottom="1" header="0.5" footer="0.5"/>
  <pageSetup paperSize="9" orientation="portrait" horizontalDpi="4294967293" verticalDpi="429496729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5:Y172"/>
  <sheetViews>
    <sheetView workbookViewId="0">
      <selection activeCell="F22" sqref="F22"/>
    </sheetView>
  </sheetViews>
  <sheetFormatPr defaultColWidth="9.21875" defaultRowHeight="12.7" x14ac:dyDescent="0.25"/>
  <cols>
    <col min="1" max="1" width="30.77734375" style="652" customWidth="1" collapsed="1"/>
    <col min="2" max="2" width="4.33203125" style="652" customWidth="1" collapsed="1"/>
    <col min="3" max="3" width="31.6640625" style="652" customWidth="1" collapsed="1"/>
    <col min="4" max="4" width="32.33203125" style="652" customWidth="1" collapsed="1"/>
    <col min="5" max="5" width="27.6640625" style="652" customWidth="1" collapsed="1"/>
    <col min="6" max="6" width="11.21875" style="652" customWidth="1" collapsed="1"/>
    <col min="7" max="7" width="12.44140625" style="652" customWidth="1" collapsed="1"/>
    <col min="8" max="9" width="10.33203125" style="652" customWidth="1" collapsed="1"/>
    <col min="10" max="16" width="9.21875" style="652" collapsed="1"/>
    <col min="17" max="17" width="17.77734375" style="652" customWidth="1" collapsed="1"/>
    <col min="18" max="16384" width="9.21875" style="652" collapsed="1"/>
  </cols>
  <sheetData>
    <row r="5" spans="1:25" x14ac:dyDescent="0.25">
      <c r="C5" s="653"/>
      <c r="D5" s="653"/>
      <c r="E5" s="653"/>
      <c r="F5" s="653"/>
      <c r="G5" s="653"/>
      <c r="H5" s="653"/>
      <c r="I5" s="653"/>
      <c r="J5" s="653"/>
      <c r="K5" s="653"/>
    </row>
    <row r="6" spans="1:25" ht="13.25" thickBot="1" x14ac:dyDescent="0.3">
      <c r="C6" s="653"/>
      <c r="D6" s="653"/>
      <c r="E6" s="653"/>
      <c r="F6" s="653"/>
      <c r="G6" s="653"/>
      <c r="H6" s="653"/>
      <c r="I6" s="653"/>
      <c r="J6" s="653"/>
      <c r="K6" s="653"/>
    </row>
    <row r="7" spans="1:25" ht="13.25" thickBot="1" x14ac:dyDescent="0.3">
      <c r="A7" s="20"/>
      <c r="B7" s="22"/>
      <c r="C7" s="2557" t="s">
        <v>1010</v>
      </c>
      <c r="D7" s="2558"/>
      <c r="E7" s="49" t="s">
        <v>1264</v>
      </c>
      <c r="F7" s="50" t="s">
        <v>1011</v>
      </c>
      <c r="G7" s="51" t="s">
        <v>585</v>
      </c>
      <c r="H7" s="20"/>
      <c r="I7" s="20"/>
      <c r="J7" s="653"/>
      <c r="K7" s="653"/>
      <c r="R7" s="652" t="s">
        <v>1431</v>
      </c>
      <c r="S7" s="652" t="s">
        <v>1430</v>
      </c>
    </row>
    <row r="8" spans="1:25" x14ac:dyDescent="0.25">
      <c r="A8" s="21" t="s">
        <v>1189</v>
      </c>
      <c r="B8" s="654"/>
      <c r="C8" s="719" t="s">
        <v>1337</v>
      </c>
      <c r="D8" s="720" t="s">
        <v>617</v>
      </c>
      <c r="E8" s="655" t="s">
        <v>618</v>
      </c>
      <c r="F8" s="1213">
        <f ca="1">G8</f>
        <v>20.5</v>
      </c>
      <c r="G8" s="656">
        <f ca="1">S8*W8</f>
        <v>20.5</v>
      </c>
      <c r="H8" s="657" t="s">
        <v>447</v>
      </c>
      <c r="I8" s="653"/>
      <c r="J8" s="653"/>
      <c r="K8" s="653"/>
      <c r="R8" s="398">
        <f ca="1">F8/W8</f>
        <v>20.5</v>
      </c>
      <c r="S8" s="658">
        <v>20.5</v>
      </c>
      <c r="V8" s="652" t="str">
        <f ca="1">OFFSET('2.CropManagement'!Y$182,SUMIF('2.CropManagement'!W$183:W$184,'1.GeneralInfo'!E$8,'2.CropManagement'!X$183:X$184),0)</f>
        <v>hectares</v>
      </c>
      <c r="W8" s="652">
        <f ca="1">IF(V8="acres",0.405,1)</f>
        <v>1</v>
      </c>
      <c r="Y8" s="652" t="str">
        <f ca="1">OFFSET('2.CropManagement'!AD$182,SUMIF('2.CropManagement'!W$183:W$184,'1.GeneralInfo'!E$8,'2.CropManagement'!X$183:X$184),0)</f>
        <v>hectare</v>
      </c>
    </row>
    <row r="9" spans="1:25" x14ac:dyDescent="0.25">
      <c r="A9" s="2562" t="s">
        <v>54</v>
      </c>
      <c r="B9" s="659"/>
      <c r="C9" s="721" t="s">
        <v>23</v>
      </c>
      <c r="D9" s="722" t="s">
        <v>1053</v>
      </c>
      <c r="E9" s="660" t="str">
        <f ca="1">"kg CO2-eq/" &amp; Y9</f>
        <v>kg CO2-eq/litre</v>
      </c>
      <c r="F9" s="1214">
        <f t="shared" ref="F9:F16" ca="1" si="0">G9</f>
        <v>2.68</v>
      </c>
      <c r="G9" s="661">
        <f ca="1">S9*W9</f>
        <v>2.68</v>
      </c>
      <c r="H9" s="662" t="s">
        <v>1280</v>
      </c>
      <c r="I9" s="653"/>
      <c r="J9" s="653"/>
      <c r="K9" s="653"/>
      <c r="R9" s="398">
        <f t="shared" ref="R9:R16" ca="1" si="1">F9/W9</f>
        <v>2.68</v>
      </c>
      <c r="S9" s="663">
        <v>2.68</v>
      </c>
      <c r="V9" s="652" t="str">
        <f ca="1">OFFSET('2.CropManagement'!AE$182,SUMIF('2.CropManagement'!W$183:W$184,'1.GeneralInfo'!E$8,'2.CropManagement'!X$183:X$184),0)</f>
        <v>litres</v>
      </c>
      <c r="W9" s="652">
        <f ca="1">SUMIF('5.FieldEnergyUse'!O$148:O$150,'9.DefaultFactors'!V9,'5.FieldEnergyUse'!P$148:P$150)</f>
        <v>1</v>
      </c>
      <c r="Y9" s="652" t="str">
        <f ca="1">OFFSET('2.CropManagement'!AJ$182,SUMIF('2.CropManagement'!W$183:W$184,'1.GeneralInfo'!E$8,'2.CropManagement'!X$183:X$184),0)</f>
        <v>litre</v>
      </c>
    </row>
    <row r="10" spans="1:25" ht="13.25" thickBot="1" x14ac:dyDescent="0.3">
      <c r="A10" s="2563"/>
      <c r="B10" s="664"/>
      <c r="C10" s="665" t="s">
        <v>1788</v>
      </c>
      <c r="D10" s="723" t="s">
        <v>1053</v>
      </c>
      <c r="E10" s="660" t="str">
        <f ca="1">"kg CO2-eq/" &amp; Y10</f>
        <v>kg CO2-eq/litre</v>
      </c>
      <c r="F10" s="1215">
        <f t="shared" ca="1" si="0"/>
        <v>2.3199999999999998</v>
      </c>
      <c r="G10" s="661">
        <f ca="1">S10*W10</f>
        <v>2.3199999999999998</v>
      </c>
      <c r="H10" s="662" t="s">
        <v>1280</v>
      </c>
      <c r="I10" s="653"/>
      <c r="J10" s="653"/>
      <c r="K10" s="653"/>
      <c r="R10" s="398">
        <f t="shared" ca="1" si="1"/>
        <v>2.3199999999999998</v>
      </c>
      <c r="S10" s="666">
        <v>2.3199999999999998</v>
      </c>
      <c r="V10" s="652" t="str">
        <f ca="1">OFFSET('2.CropManagement'!AE$182,SUMIF('2.CropManagement'!W$183:W$184,'1.GeneralInfo'!E$8,'2.CropManagement'!X$183:X$184),0)</f>
        <v>litres</v>
      </c>
      <c r="W10" s="652">
        <f ca="1">SUMIF('5.FieldEnergyUse'!O$148:O$150,'9.DefaultFactors'!V10,'5.FieldEnergyUse'!P$148:P$150)</f>
        <v>1</v>
      </c>
      <c r="Y10" s="652" t="str">
        <f ca="1">OFFSET('2.CropManagement'!AJ$182,SUMIF('2.CropManagement'!W$183:W$184,'1.GeneralInfo'!E$8,'2.CropManagement'!X$183:X$184),0)</f>
        <v>litre</v>
      </c>
    </row>
    <row r="11" spans="1:25" x14ac:dyDescent="0.25">
      <c r="A11" s="2559" t="s">
        <v>1288</v>
      </c>
      <c r="B11" s="667"/>
      <c r="C11" s="668" t="s">
        <v>1543</v>
      </c>
      <c r="D11" s="724" t="s">
        <v>1053</v>
      </c>
      <c r="E11" s="660" t="str">
        <f ca="1">"kg CO2-eq/" &amp; Y11</f>
        <v>kg CO2-eq/litre</v>
      </c>
      <c r="F11" s="1213">
        <f t="shared" ca="1" si="0"/>
        <v>2.3199999999999998</v>
      </c>
      <c r="G11" s="669">
        <f t="shared" ref="G11:G16" ca="1" si="2">S11*W11</f>
        <v>2.3199999999999998</v>
      </c>
      <c r="H11" s="653" t="s">
        <v>76</v>
      </c>
      <c r="I11" s="653"/>
      <c r="J11" s="653"/>
      <c r="K11" s="653"/>
      <c r="R11" s="398">
        <f t="shared" ca="1" si="1"/>
        <v>2.3199999999999998</v>
      </c>
      <c r="S11" s="670">
        <f>S10</f>
        <v>2.3199999999999998</v>
      </c>
      <c r="V11" s="652" t="str">
        <f ca="1">OFFSET('2.CropManagement'!AE$182,SUMIF('2.CropManagement'!W$183:W$184,'1.GeneralInfo'!E$8,'2.CropManagement'!X$183:X$184),0)</f>
        <v>litres</v>
      </c>
      <c r="W11" s="652">
        <f ca="1">SUMIF('5.FieldEnergyUse'!O$148:O$150,'9.DefaultFactors'!V11,'5.FieldEnergyUse'!P$148:P$150)</f>
        <v>1</v>
      </c>
      <c r="Y11" s="652" t="str">
        <f ca="1">OFFSET('2.CropManagement'!AJ$182,SUMIF('2.CropManagement'!W$183:W$184,'1.GeneralInfo'!E$8,'2.CropManagement'!X$183:X$184),0)</f>
        <v>litre</v>
      </c>
    </row>
    <row r="12" spans="1:25" ht="13.25" thickBot="1" x14ac:dyDescent="0.3">
      <c r="A12" s="2560"/>
      <c r="B12" s="664"/>
      <c r="C12" s="671" t="s">
        <v>1789</v>
      </c>
      <c r="D12" s="723" t="s">
        <v>1053</v>
      </c>
      <c r="E12" s="660" t="str">
        <f ca="1">"kg CO2-eq/" &amp; Y12</f>
        <v>kg CO2-eq/litre</v>
      </c>
      <c r="F12" s="1215">
        <f t="shared" ca="1" si="0"/>
        <v>2.68</v>
      </c>
      <c r="G12" s="672">
        <f t="shared" ca="1" si="2"/>
        <v>2.68</v>
      </c>
      <c r="H12" s="653" t="s">
        <v>77</v>
      </c>
      <c r="I12" s="653"/>
      <c r="J12" s="653"/>
      <c r="K12" s="653"/>
      <c r="R12" s="398">
        <f t="shared" ca="1" si="1"/>
        <v>2.68</v>
      </c>
      <c r="S12" s="666">
        <f>S9</f>
        <v>2.68</v>
      </c>
      <c r="V12" s="652" t="str">
        <f ca="1">OFFSET('2.CropManagement'!AE$182,SUMIF('2.CropManagement'!W$183:W$184,'1.GeneralInfo'!E$8,'2.CropManagement'!X$183:X$184),0)</f>
        <v>litres</v>
      </c>
      <c r="W12" s="652">
        <f ca="1">SUMIF('5.FieldEnergyUse'!O$148:O$150,'9.DefaultFactors'!V12,'5.FieldEnergyUse'!P$148:P$150)</f>
        <v>1</v>
      </c>
      <c r="Y12" s="652" t="str">
        <f ca="1">OFFSET('2.CropManagement'!AJ$182,SUMIF('2.CropManagement'!W$183:W$184,'1.GeneralInfo'!E$8,'2.CropManagement'!X$183:X$184),0)</f>
        <v>litre</v>
      </c>
    </row>
    <row r="13" spans="1:25" x14ac:dyDescent="0.25">
      <c r="A13" s="2559" t="s">
        <v>52</v>
      </c>
      <c r="B13" s="667"/>
      <c r="C13" s="673" t="s">
        <v>811</v>
      </c>
      <c r="D13" s="674" t="s">
        <v>1052</v>
      </c>
      <c r="E13" s="675" t="s">
        <v>1796</v>
      </c>
      <c r="F13" s="1213">
        <f t="shared" si="0"/>
        <v>31.5</v>
      </c>
      <c r="G13" s="656">
        <f t="shared" si="2"/>
        <v>31.5</v>
      </c>
      <c r="H13" s="676" t="s">
        <v>1339</v>
      </c>
      <c r="I13" s="677"/>
      <c r="J13" s="653"/>
      <c r="K13" s="653"/>
      <c r="R13" s="398">
        <f t="shared" si="1"/>
        <v>31.5</v>
      </c>
      <c r="S13" s="678">
        <f>AVERAGE(26,36,36,28)</f>
        <v>31.5</v>
      </c>
      <c r="W13" s="652">
        <v>1</v>
      </c>
    </row>
    <row r="14" spans="1:25" x14ac:dyDescent="0.25">
      <c r="A14" s="2561"/>
      <c r="B14" s="659"/>
      <c r="C14" s="679" t="s">
        <v>1500</v>
      </c>
      <c r="D14" s="680" t="s">
        <v>1052</v>
      </c>
      <c r="E14" s="681" t="s">
        <v>1796</v>
      </c>
      <c r="F14" s="1214">
        <f t="shared" ca="1" si="0"/>
        <v>47.5</v>
      </c>
      <c r="G14" s="661">
        <f t="shared" ca="1" si="2"/>
        <v>47.5</v>
      </c>
      <c r="H14" s="676" t="s">
        <v>1487</v>
      </c>
      <c r="I14" s="677"/>
      <c r="J14" s="653"/>
      <c r="K14" s="653"/>
      <c r="R14" s="398">
        <f t="shared" ca="1" si="1"/>
        <v>47.5</v>
      </c>
      <c r="S14" s="682">
        <f>AVERAGE(46,49)</f>
        <v>47.5</v>
      </c>
      <c r="V14" s="652" t="str">
        <f ca="1">OFFSET('2.CropManagement'!AE$182,SUMIF('2.CropManagement'!W$183:W$184,'1.GeneralInfo'!E$8,'2.CropManagement'!X$183:X$184),0)</f>
        <v>litres</v>
      </c>
      <c r="W14" s="652">
        <f ca="1">SUMIF('5.FieldEnergyUse'!O$148:O$150,'9.DefaultFactors'!V14,'5.FieldEnergyUse'!P$148:P$150)</f>
        <v>1</v>
      </c>
      <c r="Y14" s="652" t="str">
        <f ca="1">OFFSET('2.CropManagement'!AJ$182,SUMIF('2.CropManagement'!W$183:W$184,'1.GeneralInfo'!E$8,'2.CropManagement'!X$183:X$184),0)</f>
        <v>litre</v>
      </c>
    </row>
    <row r="15" spans="1:25" ht="11.95" customHeight="1" x14ac:dyDescent="0.25">
      <c r="A15" s="2561"/>
      <c r="B15" s="659"/>
      <c r="C15" s="679" t="s">
        <v>1851</v>
      </c>
      <c r="D15" s="680" t="s">
        <v>1052</v>
      </c>
      <c r="E15" s="681" t="str">
        <f ca="1">"MJ/" &amp; Y15</f>
        <v>MJ/litre</v>
      </c>
      <c r="F15" s="1214">
        <f t="shared" ca="1" si="0"/>
        <v>40.333333333333336</v>
      </c>
      <c r="G15" s="661">
        <f t="shared" ca="1" si="2"/>
        <v>40.333333333333336</v>
      </c>
      <c r="H15" s="676" t="s">
        <v>1852</v>
      </c>
      <c r="I15" s="677"/>
      <c r="J15" s="653"/>
      <c r="K15" s="653"/>
      <c r="R15" s="398">
        <f t="shared" ca="1" si="1"/>
        <v>40.333333333333336</v>
      </c>
      <c r="S15" s="682">
        <f>AVERAGE(42,40,39)</f>
        <v>40.333333333333336</v>
      </c>
      <c r="V15" s="652" t="str">
        <f ca="1">OFFSET('2.CropManagement'!AE$182,SUMIF('2.CropManagement'!W$183:W$184,'1.GeneralInfo'!E$8,'2.CropManagement'!X$183:X$184),0)</f>
        <v>litres</v>
      </c>
      <c r="W15" s="652">
        <f ca="1">SUMIF('5.FieldEnergyUse'!O$148:O$150,'9.DefaultFactors'!V15,'5.FieldEnergyUse'!P$148:P$150)</f>
        <v>1</v>
      </c>
      <c r="Y15" s="652" t="str">
        <f ca="1">OFFSET('2.CropManagement'!AJ$182,SUMIF('2.CropManagement'!W$183:W$184,'1.GeneralInfo'!E$8,'2.CropManagement'!X$183:X$184),0)</f>
        <v>litre</v>
      </c>
    </row>
    <row r="16" spans="1:25" ht="13.25" thickBot="1" x14ac:dyDescent="0.3">
      <c r="A16" s="2560"/>
      <c r="B16" s="664"/>
      <c r="C16" s="683" t="s">
        <v>2072</v>
      </c>
      <c r="D16" s="684" t="s">
        <v>1052</v>
      </c>
      <c r="E16" s="685" t="s">
        <v>1796</v>
      </c>
      <c r="F16" s="1215">
        <f t="shared" si="0"/>
        <v>0</v>
      </c>
      <c r="G16" s="686">
        <f t="shared" si="2"/>
        <v>0</v>
      </c>
      <c r="H16" s="677" t="e">
        <f>NA()</f>
        <v>#N/A</v>
      </c>
      <c r="I16" s="677"/>
      <c r="J16" s="653"/>
      <c r="K16" s="662"/>
      <c r="R16" s="398">
        <f t="shared" si="1"/>
        <v>0</v>
      </c>
      <c r="S16" s="687">
        <v>0</v>
      </c>
      <c r="W16" s="652">
        <v>1</v>
      </c>
    </row>
    <row r="17" spans="1:23" x14ac:dyDescent="0.25">
      <c r="A17" s="2553" t="s">
        <v>55</v>
      </c>
      <c r="B17" s="667"/>
      <c r="C17" s="725" t="s">
        <v>674</v>
      </c>
      <c r="D17" s="674" t="s">
        <v>1052</v>
      </c>
      <c r="E17" s="675" t="s">
        <v>1796</v>
      </c>
      <c r="F17" s="1213">
        <f>G17</f>
        <v>20.084045618247298</v>
      </c>
      <c r="G17" s="656">
        <f>S17*W17</f>
        <v>20.084045618247298</v>
      </c>
      <c r="H17" s="662" t="s">
        <v>1188</v>
      </c>
      <c r="I17" s="688"/>
      <c r="J17" s="653"/>
      <c r="K17" s="653"/>
      <c r="R17" s="398">
        <f>F17/W17</f>
        <v>20.084045618247298</v>
      </c>
      <c r="S17" s="689">
        <f>AVERAGE('A1. Submodels &amp; data'!H142:H144)</f>
        <v>20.084045618247298</v>
      </c>
      <c r="W17" s="652">
        <v>1</v>
      </c>
    </row>
    <row r="18" spans="1:23" ht="13.25" thickBot="1" x14ac:dyDescent="0.3">
      <c r="A18" s="2556"/>
      <c r="B18" s="664"/>
      <c r="C18" s="726" t="s">
        <v>788</v>
      </c>
      <c r="D18" s="684" t="s">
        <v>1052</v>
      </c>
      <c r="E18" s="685" t="s">
        <v>1796</v>
      </c>
      <c r="F18" s="1215">
        <f>G18</f>
        <v>12.993399999999999</v>
      </c>
      <c r="G18" s="686">
        <f>S18*W18</f>
        <v>12.993399999999999</v>
      </c>
      <c r="H18" s="662" t="s">
        <v>1188</v>
      </c>
      <c r="I18" s="688"/>
      <c r="J18" s="653"/>
      <c r="K18" s="653"/>
      <c r="R18" s="398">
        <f>F18/W18</f>
        <v>12.993399999999999</v>
      </c>
      <c r="S18" s="690">
        <f>AVERAGE('A1. Submodels &amp; data'!H145:H147)</f>
        <v>12.993399999999999</v>
      </c>
      <c r="W18" s="652">
        <v>1</v>
      </c>
    </row>
    <row r="19" spans="1:23" x14ac:dyDescent="0.25">
      <c r="A19" s="2553" t="s">
        <v>53</v>
      </c>
      <c r="B19" s="667"/>
      <c r="C19" s="673" t="s">
        <v>811</v>
      </c>
      <c r="D19" s="674" t="s">
        <v>750</v>
      </c>
      <c r="E19" s="691" t="s">
        <v>1232</v>
      </c>
      <c r="F19" s="1216">
        <v>9.2700000000000005E-2</v>
      </c>
      <c r="G19" s="692">
        <v>9.2700000000000005E-2</v>
      </c>
      <c r="H19" s="653" t="s">
        <v>1497</v>
      </c>
      <c r="I19" s="688"/>
      <c r="J19" s="653"/>
      <c r="K19" s="662"/>
    </row>
    <row r="20" spans="1:23" x14ac:dyDescent="0.25">
      <c r="A20" s="2554"/>
      <c r="B20" s="659"/>
      <c r="C20" s="679" t="s">
        <v>677</v>
      </c>
      <c r="D20" s="680" t="s">
        <v>750</v>
      </c>
      <c r="E20" s="693" t="s">
        <v>1232</v>
      </c>
      <c r="F20" s="1217">
        <v>6.2799999999999995E-2</v>
      </c>
      <c r="G20" s="694">
        <v>6.2799999999999995E-2</v>
      </c>
      <c r="H20" s="693" t="s">
        <v>1501</v>
      </c>
      <c r="I20" s="688"/>
      <c r="J20" s="653"/>
      <c r="K20" s="662"/>
    </row>
    <row r="21" spans="1:23" x14ac:dyDescent="0.25">
      <c r="A21" s="2554"/>
      <c r="B21" s="659"/>
      <c r="C21" s="679" t="s">
        <v>678</v>
      </c>
      <c r="D21" s="680" t="s">
        <v>750</v>
      </c>
      <c r="E21" s="693" t="s">
        <v>1232</v>
      </c>
      <c r="F21" s="1217">
        <v>7.8400000000000011E-2</v>
      </c>
      <c r="G21" s="694">
        <f>AVERAGE(0.0784,0.0784,0.0751)</f>
        <v>7.7299999999999994E-2</v>
      </c>
      <c r="H21" s="693" t="s">
        <v>275</v>
      </c>
      <c r="I21" s="688"/>
      <c r="J21" s="653"/>
      <c r="K21" s="662"/>
    </row>
    <row r="22" spans="1:23" ht="13.25" thickBot="1" x14ac:dyDescent="0.3">
      <c r="A22" s="2555"/>
      <c r="B22" s="664"/>
      <c r="C22" s="683" t="s">
        <v>2072</v>
      </c>
      <c r="D22" s="684" t="s">
        <v>750</v>
      </c>
      <c r="E22" s="695" t="s">
        <v>1232</v>
      </c>
      <c r="F22" s="1218">
        <v>0</v>
      </c>
      <c r="G22" s="696">
        <v>0</v>
      </c>
      <c r="H22" s="677" t="e">
        <f>NA()</f>
        <v>#N/A</v>
      </c>
      <c r="I22" s="688"/>
      <c r="J22" s="653"/>
      <c r="K22" s="662"/>
    </row>
    <row r="23" spans="1:23" x14ac:dyDescent="0.25">
      <c r="A23" s="2553" t="s">
        <v>56</v>
      </c>
      <c r="B23" s="667"/>
      <c r="C23" s="725" t="s">
        <v>674</v>
      </c>
      <c r="D23" s="674" t="s">
        <v>750</v>
      </c>
      <c r="E23" s="691" t="s">
        <v>1232</v>
      </c>
      <c r="F23" s="1216">
        <v>0</v>
      </c>
      <c r="G23" s="692">
        <v>0</v>
      </c>
      <c r="H23" s="653" t="s">
        <v>1338</v>
      </c>
      <c r="I23" s="688"/>
      <c r="J23" s="653"/>
      <c r="K23" s="662"/>
    </row>
    <row r="24" spans="1:23" ht="13.25" thickBot="1" x14ac:dyDescent="0.3">
      <c r="A24" s="2555"/>
      <c r="B24" s="659"/>
      <c r="C24" s="727" t="s">
        <v>788</v>
      </c>
      <c r="D24" s="680" t="s">
        <v>750</v>
      </c>
      <c r="E24" s="693" t="s">
        <v>1232</v>
      </c>
      <c r="F24" s="1219">
        <v>0</v>
      </c>
      <c r="G24" s="697">
        <v>0</v>
      </c>
      <c r="H24" s="653" t="s">
        <v>1338</v>
      </c>
      <c r="I24" s="653"/>
      <c r="J24" s="653"/>
      <c r="K24" s="653"/>
    </row>
    <row r="25" spans="1:23" x14ac:dyDescent="0.25">
      <c r="A25" s="2553" t="s">
        <v>792</v>
      </c>
      <c r="B25" s="667"/>
      <c r="C25" s="698" t="s">
        <v>1207</v>
      </c>
      <c r="D25" s="674" t="s">
        <v>750</v>
      </c>
      <c r="E25" s="691" t="s">
        <v>1232</v>
      </c>
      <c r="F25" s="1220">
        <f>G25</f>
        <v>0.124511777</v>
      </c>
      <c r="G25" s="699">
        <f>SUMIF('A1. Submodels &amp; data'!$B$144:$B$337,'1.GeneralInfo'!$E$7,'A1. Submodels &amp; data'!$C$144:$C$337)</f>
        <v>0.124511777</v>
      </c>
      <c r="H25" s="652" t="s">
        <v>74</v>
      </c>
      <c r="I25" s="653"/>
      <c r="J25" s="653"/>
    </row>
    <row r="26" spans="1:23" x14ac:dyDescent="0.25">
      <c r="A26" s="2554"/>
      <c r="B26" s="659"/>
      <c r="C26" s="700" t="s">
        <v>764</v>
      </c>
      <c r="D26" s="680" t="s">
        <v>750</v>
      </c>
      <c r="E26" s="693" t="s">
        <v>1232</v>
      </c>
      <c r="F26" s="1219">
        <v>1.6666999999999999E-3</v>
      </c>
      <c r="G26" s="697">
        <v>1.6666666666666666E-3</v>
      </c>
      <c r="H26" s="693" t="s">
        <v>912</v>
      </c>
      <c r="I26" s="653"/>
      <c r="J26" s="653"/>
    </row>
    <row r="27" spans="1:23" x14ac:dyDescent="0.25">
      <c r="A27" s="2554"/>
      <c r="B27" s="659"/>
      <c r="C27" s="700" t="s">
        <v>793</v>
      </c>
      <c r="D27" s="680" t="s">
        <v>750</v>
      </c>
      <c r="E27" s="693" t="s">
        <v>1232</v>
      </c>
      <c r="F27" s="1219">
        <v>3.3333000000000002E-2</v>
      </c>
      <c r="G27" s="697">
        <v>3.3333333333333331E-3</v>
      </c>
      <c r="H27" s="693" t="s">
        <v>914</v>
      </c>
      <c r="I27" s="653"/>
      <c r="J27" s="653"/>
    </row>
    <row r="28" spans="1:23" ht="13.25" thickBot="1" x14ac:dyDescent="0.3">
      <c r="A28" s="2555"/>
      <c r="B28" s="664"/>
      <c r="C28" s="671" t="s">
        <v>763</v>
      </c>
      <c r="D28" s="684" t="s">
        <v>750</v>
      </c>
      <c r="E28" s="695" t="s">
        <v>1232</v>
      </c>
      <c r="F28" s="1221">
        <v>1.9722199999999999E-2</v>
      </c>
      <c r="G28" s="701">
        <v>1.9722222222222221E-2</v>
      </c>
      <c r="H28" s="693" t="s">
        <v>765</v>
      </c>
      <c r="I28" s="653"/>
      <c r="J28" s="653"/>
    </row>
    <row r="29" spans="1:23" x14ac:dyDescent="0.25">
      <c r="C29" s="702"/>
      <c r="D29" s="702"/>
      <c r="E29" s="653"/>
      <c r="F29" s="653"/>
      <c r="G29" s="653"/>
      <c r="H29" s="653"/>
      <c r="I29" s="653"/>
      <c r="J29" s="653"/>
      <c r="K29" s="653"/>
    </row>
    <row r="30" spans="1:23" x14ac:dyDescent="0.25">
      <c r="A30" s="703"/>
      <c r="B30" s="703"/>
      <c r="C30" s="704"/>
      <c r="D30" s="704"/>
      <c r="E30" s="703"/>
      <c r="F30" s="703"/>
      <c r="G30" s="703"/>
      <c r="H30" s="703"/>
      <c r="I30" s="703"/>
      <c r="J30" s="703"/>
      <c r="K30" s="703"/>
      <c r="L30" s="703"/>
      <c r="M30" s="703"/>
    </row>
    <row r="31" spans="1:23" x14ac:dyDescent="0.25">
      <c r="A31" s="703"/>
      <c r="B31" s="703"/>
      <c r="C31" s="704"/>
      <c r="D31" s="704"/>
      <c r="E31" s="703"/>
      <c r="F31" s="703"/>
      <c r="G31" s="703"/>
      <c r="H31" s="703"/>
      <c r="I31" s="703"/>
      <c r="J31" s="703"/>
      <c r="K31" s="703"/>
      <c r="L31" s="703"/>
      <c r="M31" s="703"/>
    </row>
    <row r="32" spans="1:23" x14ac:dyDescent="0.25">
      <c r="A32" s="703"/>
      <c r="B32" s="703"/>
      <c r="C32" s="693"/>
      <c r="D32" s="705"/>
      <c r="E32" s="693"/>
      <c r="F32" s="706"/>
      <c r="G32" s="706"/>
      <c r="H32" s="703"/>
      <c r="I32" s="703"/>
      <c r="J32" s="703"/>
      <c r="K32" s="703"/>
      <c r="L32" s="703"/>
      <c r="M32" s="703"/>
    </row>
    <row r="33" spans="1:13" x14ac:dyDescent="0.25">
      <c r="A33" s="703"/>
      <c r="B33" s="703"/>
      <c r="C33" s="704"/>
      <c r="D33" s="704"/>
      <c r="E33" s="703"/>
      <c r="F33" s="703"/>
      <c r="G33" s="703"/>
      <c r="H33" s="703"/>
      <c r="I33" s="703"/>
      <c r="J33" s="703"/>
      <c r="K33" s="703"/>
      <c r="L33" s="703"/>
      <c r="M33" s="703"/>
    </row>
    <row r="34" spans="1:13" x14ac:dyDescent="0.25">
      <c r="A34" s="703"/>
      <c r="B34" s="703"/>
      <c r="C34" s="704"/>
      <c r="D34" s="704"/>
      <c r="E34" s="703"/>
      <c r="F34" s="703"/>
      <c r="G34" s="703"/>
      <c r="H34" s="703"/>
      <c r="I34" s="703"/>
      <c r="J34" s="703"/>
      <c r="K34" s="703"/>
      <c r="L34" s="703"/>
      <c r="M34" s="703"/>
    </row>
    <row r="35" spans="1:13" x14ac:dyDescent="0.25">
      <c r="A35" s="703"/>
      <c r="B35" s="703"/>
      <c r="C35" s="704"/>
      <c r="D35" s="704"/>
      <c r="E35" s="703"/>
      <c r="F35" s="703"/>
      <c r="G35" s="703"/>
      <c r="H35" s="703"/>
      <c r="I35" s="703"/>
      <c r="J35" s="703"/>
      <c r="K35" s="703"/>
      <c r="L35" s="703"/>
      <c r="M35" s="703"/>
    </row>
    <row r="36" spans="1:13" x14ac:dyDescent="0.25">
      <c r="A36" s="703"/>
      <c r="B36" s="703"/>
      <c r="C36" s="728"/>
      <c r="D36" s="728"/>
      <c r="E36" s="703"/>
      <c r="F36" s="703"/>
      <c r="G36" s="703"/>
      <c r="H36" s="703"/>
      <c r="I36" s="703"/>
      <c r="J36" s="703"/>
      <c r="K36" s="703"/>
      <c r="L36" s="703"/>
      <c r="M36" s="703"/>
    </row>
    <row r="37" spans="1:13" x14ac:dyDescent="0.25">
      <c r="A37" s="703"/>
      <c r="B37" s="703"/>
      <c r="C37" s="728"/>
      <c r="D37" s="728"/>
      <c r="E37" s="707"/>
      <c r="F37" s="707"/>
      <c r="G37" s="693"/>
      <c r="H37" s="693"/>
      <c r="I37" s="693"/>
      <c r="J37" s="708"/>
      <c r="K37" s="693"/>
      <c r="L37" s="693"/>
      <c r="M37" s="703"/>
    </row>
    <row r="38" spans="1:13" x14ac:dyDescent="0.25">
      <c r="A38" s="703"/>
      <c r="B38" s="703"/>
      <c r="C38" s="703"/>
      <c r="D38" s="703"/>
      <c r="E38" s="709"/>
      <c r="F38" s="709"/>
      <c r="G38" s="693"/>
      <c r="H38" s="693"/>
      <c r="I38" s="693"/>
      <c r="J38" s="708"/>
      <c r="K38" s="693"/>
      <c r="L38" s="693"/>
      <c r="M38" s="703"/>
    </row>
    <row r="39" spans="1:13" x14ac:dyDescent="0.25">
      <c r="A39" s="703"/>
      <c r="B39" s="703"/>
      <c r="C39" s="703"/>
      <c r="D39" s="703"/>
      <c r="E39" s="703"/>
      <c r="F39" s="703"/>
      <c r="G39" s="693"/>
      <c r="H39" s="693"/>
      <c r="I39" s="693"/>
      <c r="J39" s="703"/>
      <c r="K39" s="693"/>
      <c r="L39" s="693"/>
      <c r="M39" s="703"/>
    </row>
    <row r="40" spans="1:13" x14ac:dyDescent="0.25">
      <c r="A40" s="703"/>
      <c r="B40" s="703"/>
      <c r="C40" s="703"/>
      <c r="D40" s="703"/>
      <c r="E40" s="703"/>
      <c r="F40" s="703"/>
      <c r="G40" s="693"/>
      <c r="H40" s="693"/>
      <c r="I40" s="693"/>
      <c r="J40" s="703"/>
      <c r="K40" s="693"/>
      <c r="L40" s="693"/>
      <c r="M40" s="703"/>
    </row>
    <row r="41" spans="1:13" x14ac:dyDescent="0.25">
      <c r="A41" s="703"/>
      <c r="B41" s="703"/>
      <c r="C41" s="703"/>
      <c r="D41" s="703"/>
      <c r="E41" s="703"/>
      <c r="F41" s="703"/>
      <c r="G41" s="693"/>
      <c r="H41" s="693"/>
      <c r="I41" s="693"/>
      <c r="J41" s="703"/>
      <c r="K41" s="693"/>
      <c r="L41" s="693"/>
      <c r="M41" s="703"/>
    </row>
    <row r="42" spans="1:13" x14ac:dyDescent="0.25">
      <c r="A42" s="703"/>
      <c r="B42" s="703"/>
      <c r="C42" s="703"/>
      <c r="D42" s="703"/>
      <c r="E42" s="703"/>
      <c r="F42" s="703"/>
      <c r="G42" s="693"/>
      <c r="H42" s="693"/>
      <c r="I42" s="693"/>
      <c r="J42" s="703"/>
      <c r="K42" s="693"/>
      <c r="L42" s="693"/>
      <c r="M42" s="703"/>
    </row>
    <row r="43" spans="1:13" x14ac:dyDescent="0.25">
      <c r="A43" s="703"/>
      <c r="B43" s="703"/>
      <c r="C43" s="703"/>
      <c r="D43" s="703"/>
      <c r="E43" s="703"/>
      <c r="F43" s="703"/>
      <c r="G43" s="693"/>
      <c r="H43" s="693"/>
      <c r="I43" s="693"/>
      <c r="J43" s="703"/>
      <c r="K43" s="693"/>
      <c r="L43" s="693"/>
      <c r="M43" s="703"/>
    </row>
    <row r="44" spans="1:13" x14ac:dyDescent="0.25">
      <c r="A44" s="703"/>
      <c r="B44" s="703"/>
      <c r="C44" s="703"/>
      <c r="D44" s="703"/>
      <c r="E44" s="703"/>
      <c r="F44" s="703"/>
      <c r="G44" s="693"/>
      <c r="H44" s="693"/>
      <c r="I44" s="693"/>
      <c r="J44" s="703"/>
      <c r="K44" s="710"/>
      <c r="L44" s="693"/>
      <c r="M44" s="703"/>
    </row>
    <row r="45" spans="1:13" x14ac:dyDescent="0.25">
      <c r="A45" s="703"/>
      <c r="B45" s="703"/>
      <c r="C45" s="703"/>
      <c r="D45" s="703"/>
      <c r="E45" s="703"/>
      <c r="F45" s="703"/>
      <c r="G45" s="693"/>
      <c r="H45" s="693"/>
      <c r="I45" s="693"/>
      <c r="J45" s="703"/>
      <c r="K45" s="693"/>
      <c r="L45" s="693"/>
      <c r="M45" s="703"/>
    </row>
    <row r="46" spans="1:13" x14ac:dyDescent="0.25">
      <c r="A46" s="703"/>
      <c r="B46" s="703"/>
      <c r="C46" s="703"/>
      <c r="D46" s="703"/>
      <c r="E46" s="703"/>
      <c r="F46" s="703"/>
      <c r="G46" s="693"/>
      <c r="H46" s="693"/>
      <c r="I46" s="693"/>
      <c r="J46" s="703"/>
      <c r="K46" s="710"/>
      <c r="L46" s="693"/>
      <c r="M46" s="703"/>
    </row>
    <row r="47" spans="1:13" x14ac:dyDescent="0.25">
      <c r="A47" s="703"/>
      <c r="B47" s="703"/>
      <c r="C47" s="703"/>
      <c r="D47" s="703"/>
      <c r="E47" s="703"/>
      <c r="F47" s="703"/>
      <c r="G47" s="693"/>
      <c r="H47" s="693"/>
      <c r="I47" s="693"/>
      <c r="J47" s="703"/>
      <c r="K47" s="693"/>
      <c r="L47" s="693"/>
      <c r="M47" s="703"/>
    </row>
    <row r="48" spans="1:13" x14ac:dyDescent="0.25">
      <c r="A48" s="703"/>
      <c r="B48" s="703"/>
      <c r="C48" s="703"/>
      <c r="D48" s="703"/>
      <c r="E48" s="703"/>
      <c r="F48" s="703"/>
      <c r="G48" s="693"/>
      <c r="H48" s="693"/>
      <c r="I48" s="693"/>
      <c r="J48" s="711"/>
      <c r="K48" s="710"/>
      <c r="L48" s="693"/>
      <c r="M48" s="703"/>
    </row>
    <row r="49" spans="1:13" x14ac:dyDescent="0.25">
      <c r="A49" s="703"/>
      <c r="B49" s="703"/>
      <c r="C49" s="703"/>
      <c r="D49" s="703"/>
      <c r="E49" s="703"/>
      <c r="F49" s="703"/>
      <c r="G49" s="703"/>
      <c r="H49" s="703"/>
      <c r="I49" s="703"/>
      <c r="J49" s="703"/>
      <c r="K49" s="703"/>
      <c r="L49" s="703"/>
      <c r="M49" s="703"/>
    </row>
    <row r="50" spans="1:13" x14ac:dyDescent="0.25">
      <c r="A50" s="703"/>
      <c r="B50" s="703"/>
      <c r="C50" s="703"/>
      <c r="D50" s="703"/>
      <c r="E50" s="703"/>
      <c r="F50" s="703"/>
      <c r="G50" s="703"/>
      <c r="H50" s="703"/>
      <c r="I50" s="703"/>
      <c r="J50" s="703"/>
      <c r="K50" s="703"/>
      <c r="L50" s="703"/>
      <c r="M50" s="703"/>
    </row>
    <row r="51" spans="1:13" x14ac:dyDescent="0.25">
      <c r="A51" s="703"/>
      <c r="B51" s="703"/>
      <c r="C51" s="703"/>
      <c r="D51" s="703"/>
      <c r="E51" s="703"/>
      <c r="F51" s="703"/>
      <c r="G51" s="703"/>
      <c r="H51" s="703"/>
      <c r="I51" s="703"/>
      <c r="J51" s="703"/>
      <c r="K51" s="703"/>
      <c r="L51" s="703"/>
      <c r="M51" s="703"/>
    </row>
    <row r="52" spans="1:13" x14ac:dyDescent="0.25">
      <c r="A52" s="703"/>
      <c r="B52" s="703"/>
      <c r="C52" s="703"/>
      <c r="D52" s="703"/>
      <c r="E52" s="703"/>
      <c r="F52" s="703"/>
      <c r="G52" s="703"/>
      <c r="H52" s="703"/>
      <c r="I52" s="703"/>
      <c r="J52" s="703"/>
      <c r="K52" s="703"/>
      <c r="L52" s="703"/>
      <c r="M52" s="703"/>
    </row>
    <row r="53" spans="1:13" x14ac:dyDescent="0.25">
      <c r="A53" s="703"/>
      <c r="B53" s="703"/>
      <c r="C53" s="703"/>
      <c r="D53" s="703"/>
      <c r="E53" s="703"/>
      <c r="F53" s="703"/>
      <c r="G53" s="703"/>
      <c r="H53" s="703"/>
      <c r="I53" s="703"/>
      <c r="J53" s="703"/>
      <c r="K53" s="703"/>
      <c r="L53" s="703"/>
      <c r="M53" s="703"/>
    </row>
    <row r="54" spans="1:13" x14ac:dyDescent="0.25">
      <c r="A54" s="703"/>
      <c r="B54" s="703"/>
      <c r="C54" s="703"/>
      <c r="D54" s="703"/>
      <c r="E54" s="703"/>
      <c r="F54" s="703"/>
      <c r="G54" s="703"/>
      <c r="H54" s="703"/>
      <c r="I54" s="703"/>
      <c r="J54" s="703"/>
      <c r="K54" s="703"/>
      <c r="L54" s="703"/>
      <c r="M54" s="703"/>
    </row>
    <row r="55" spans="1:13" x14ac:dyDescent="0.25">
      <c r="A55" s="703"/>
      <c r="B55" s="703"/>
      <c r="C55" s="703"/>
      <c r="D55" s="703"/>
      <c r="E55" s="703"/>
      <c r="F55" s="703"/>
      <c r="G55" s="703"/>
      <c r="H55" s="703"/>
      <c r="I55" s="703"/>
      <c r="J55" s="703"/>
      <c r="K55" s="703"/>
      <c r="L55" s="703"/>
      <c r="M55" s="703"/>
    </row>
    <row r="56" spans="1:13" x14ac:dyDescent="0.25">
      <c r="A56" s="703"/>
      <c r="B56" s="703"/>
      <c r="C56" s="703"/>
      <c r="D56" s="703"/>
      <c r="E56" s="703"/>
      <c r="F56" s="703"/>
      <c r="G56" s="703"/>
      <c r="H56" s="703"/>
      <c r="I56" s="703"/>
      <c r="J56" s="703"/>
      <c r="K56" s="703"/>
      <c r="L56" s="703"/>
      <c r="M56" s="703"/>
    </row>
    <row r="57" spans="1:13" x14ac:dyDescent="0.25">
      <c r="A57" s="703"/>
      <c r="B57" s="703"/>
      <c r="C57" s="703"/>
      <c r="D57" s="703"/>
      <c r="E57" s="703"/>
      <c r="F57" s="703"/>
      <c r="G57" s="703"/>
      <c r="H57" s="703"/>
      <c r="I57" s="703"/>
      <c r="J57" s="703"/>
      <c r="K57" s="703"/>
      <c r="L57" s="703"/>
      <c r="M57" s="703"/>
    </row>
    <row r="58" spans="1:13" x14ac:dyDescent="0.25">
      <c r="A58" s="703"/>
      <c r="B58" s="703"/>
      <c r="C58" s="703"/>
      <c r="D58" s="703"/>
      <c r="E58" s="703"/>
      <c r="F58" s="703"/>
      <c r="G58" s="703"/>
      <c r="H58" s="703"/>
      <c r="I58" s="703"/>
      <c r="J58" s="703"/>
      <c r="K58" s="703"/>
      <c r="L58" s="703"/>
      <c r="M58" s="703"/>
    </row>
    <row r="59" spans="1:13" x14ac:dyDescent="0.25">
      <c r="A59" s="703"/>
      <c r="B59" s="703"/>
      <c r="C59" s="703"/>
      <c r="D59" s="703"/>
      <c r="E59" s="703"/>
      <c r="F59" s="703"/>
      <c r="G59" s="703"/>
      <c r="H59" s="703"/>
      <c r="I59" s="703"/>
      <c r="J59" s="703"/>
      <c r="K59" s="703"/>
      <c r="L59" s="703"/>
      <c r="M59" s="703"/>
    </row>
    <row r="60" spans="1:13" x14ac:dyDescent="0.25">
      <c r="A60" s="703"/>
      <c r="B60" s="703"/>
      <c r="C60" s="703"/>
      <c r="D60" s="703"/>
      <c r="E60" s="703"/>
      <c r="F60" s="703"/>
      <c r="G60" s="703"/>
      <c r="H60" s="703"/>
      <c r="I60" s="703"/>
      <c r="J60" s="703"/>
      <c r="K60" s="703"/>
      <c r="L60" s="703"/>
      <c r="M60" s="703"/>
    </row>
    <row r="61" spans="1:13" x14ac:dyDescent="0.25">
      <c r="A61" s="703"/>
      <c r="B61" s="703"/>
      <c r="C61" s="703"/>
      <c r="D61" s="703"/>
      <c r="E61" s="703"/>
      <c r="F61" s="703"/>
      <c r="G61" s="703"/>
      <c r="H61" s="703"/>
      <c r="I61" s="703"/>
      <c r="J61" s="703"/>
      <c r="K61" s="703"/>
      <c r="L61" s="703"/>
      <c r="M61" s="703"/>
    </row>
    <row r="62" spans="1:13" x14ac:dyDescent="0.25">
      <c r="A62" s="703"/>
      <c r="B62" s="703"/>
      <c r="C62" s="703"/>
      <c r="D62" s="703"/>
      <c r="E62" s="703"/>
      <c r="F62" s="703"/>
      <c r="G62" s="703"/>
      <c r="H62" s="703"/>
      <c r="I62" s="703"/>
      <c r="J62" s="712"/>
      <c r="K62" s="703"/>
      <c r="L62" s="703"/>
      <c r="M62" s="703"/>
    </row>
    <row r="63" spans="1:13" x14ac:dyDescent="0.25">
      <c r="A63" s="703"/>
      <c r="B63" s="703"/>
      <c r="C63" s="703"/>
      <c r="D63" s="703"/>
      <c r="E63" s="703"/>
      <c r="F63" s="703"/>
      <c r="G63" s="703"/>
      <c r="H63" s="703"/>
      <c r="I63" s="703"/>
      <c r="J63" s="703"/>
      <c r="K63" s="703"/>
      <c r="L63" s="703"/>
      <c r="M63" s="703"/>
    </row>
    <row r="64" spans="1:13" x14ac:dyDescent="0.25">
      <c r="A64" s="703"/>
      <c r="B64" s="703"/>
      <c r="C64" s="703"/>
      <c r="D64" s="703"/>
      <c r="E64" s="703"/>
      <c r="F64" s="703"/>
      <c r="G64" s="703"/>
      <c r="H64" s="703"/>
      <c r="I64" s="703"/>
      <c r="J64" s="703"/>
      <c r="K64" s="703"/>
      <c r="L64" s="703"/>
      <c r="M64" s="703"/>
    </row>
    <row r="65" spans="1:13" x14ac:dyDescent="0.25">
      <c r="A65" s="703"/>
      <c r="B65" s="703"/>
      <c r="C65" s="703"/>
      <c r="D65" s="703"/>
      <c r="E65" s="703"/>
      <c r="F65" s="703"/>
      <c r="G65" s="703"/>
      <c r="H65" s="703"/>
      <c r="I65" s="703"/>
      <c r="J65" s="703"/>
      <c r="K65" s="703"/>
      <c r="L65" s="703"/>
      <c r="M65" s="703"/>
    </row>
    <row r="66" spans="1:13" x14ac:dyDescent="0.25">
      <c r="A66" s="703"/>
      <c r="B66" s="703"/>
      <c r="C66" s="703"/>
      <c r="D66" s="703"/>
      <c r="E66" s="703"/>
      <c r="F66" s="703"/>
      <c r="G66" s="703"/>
      <c r="H66" s="703"/>
      <c r="I66" s="703"/>
      <c r="J66" s="703"/>
      <c r="K66" s="703"/>
      <c r="L66" s="703"/>
      <c r="M66" s="703"/>
    </row>
    <row r="67" spans="1:13" x14ac:dyDescent="0.25">
      <c r="A67" s="703"/>
      <c r="B67" s="703"/>
      <c r="C67" s="703"/>
      <c r="D67" s="703"/>
      <c r="E67" s="703"/>
      <c r="F67" s="703"/>
      <c r="G67" s="703"/>
      <c r="H67" s="703"/>
      <c r="I67" s="703"/>
      <c r="J67" s="703"/>
      <c r="K67" s="703"/>
      <c r="L67" s="703"/>
      <c r="M67" s="703"/>
    </row>
    <row r="68" spans="1:13" x14ac:dyDescent="0.25">
      <c r="A68" s="703"/>
      <c r="B68" s="703"/>
      <c r="C68" s="19"/>
      <c r="D68" s="19"/>
      <c r="E68" s="703"/>
      <c r="F68" s="703"/>
      <c r="G68" s="703"/>
      <c r="H68" s="703"/>
      <c r="I68" s="703"/>
      <c r="J68" s="703"/>
      <c r="K68" s="703"/>
      <c r="L68" s="703"/>
      <c r="M68" s="703"/>
    </row>
    <row r="69" spans="1:13" x14ac:dyDescent="0.25">
      <c r="A69" s="703"/>
      <c r="B69" s="703"/>
      <c r="C69" s="662"/>
      <c r="D69" s="662"/>
      <c r="E69" s="713"/>
      <c r="F69" s="713"/>
      <c r="G69" s="713"/>
      <c r="H69" s="713"/>
      <c r="I69" s="713"/>
      <c r="J69" s="703"/>
      <c r="K69" s="703"/>
      <c r="L69" s="703"/>
      <c r="M69" s="703"/>
    </row>
    <row r="70" spans="1:13" x14ac:dyDescent="0.25">
      <c r="A70" s="703"/>
      <c r="B70" s="703"/>
      <c r="C70" s="714"/>
      <c r="D70" s="714"/>
      <c r="E70" s="715"/>
      <c r="F70" s="715"/>
      <c r="G70" s="715"/>
      <c r="H70" s="715"/>
      <c r="I70" s="715"/>
      <c r="J70" s="703"/>
      <c r="K70" s="703"/>
      <c r="L70" s="703"/>
      <c r="M70" s="703"/>
    </row>
    <row r="71" spans="1:13" x14ac:dyDescent="0.25">
      <c r="A71" s="703"/>
      <c r="B71" s="703"/>
      <c r="C71" s="704"/>
      <c r="D71" s="704"/>
      <c r="E71" s="716"/>
      <c r="F71" s="713"/>
      <c r="G71" s="713"/>
      <c r="H71" s="713"/>
      <c r="I71" s="713"/>
      <c r="J71" s="703"/>
      <c r="K71" s="703"/>
      <c r="L71" s="703"/>
      <c r="M71" s="703"/>
    </row>
    <row r="72" spans="1:13" x14ac:dyDescent="0.25">
      <c r="A72" s="703"/>
      <c r="B72" s="703"/>
      <c r="C72" s="704"/>
      <c r="D72" s="704"/>
      <c r="E72" s="716"/>
      <c r="F72" s="713"/>
      <c r="G72" s="713"/>
      <c r="H72" s="713"/>
      <c r="I72" s="713"/>
      <c r="J72" s="703"/>
      <c r="K72" s="703"/>
      <c r="L72" s="703"/>
      <c r="M72" s="703"/>
    </row>
    <row r="73" spans="1:13" x14ac:dyDescent="0.25">
      <c r="A73" s="703"/>
      <c r="B73" s="703"/>
      <c r="C73" s="704"/>
      <c r="D73" s="704"/>
      <c r="E73" s="703"/>
      <c r="F73" s="713"/>
      <c r="G73" s="713"/>
      <c r="H73" s="713"/>
      <c r="I73" s="713"/>
      <c r="J73" s="703"/>
      <c r="K73" s="703"/>
      <c r="L73" s="703"/>
      <c r="M73" s="703"/>
    </row>
    <row r="74" spans="1:13" x14ac:dyDescent="0.25">
      <c r="A74" s="703"/>
      <c r="B74" s="703"/>
      <c r="C74" s="704"/>
      <c r="D74" s="704"/>
      <c r="E74" s="716"/>
      <c r="F74" s="713"/>
      <c r="G74" s="713"/>
      <c r="H74" s="713"/>
      <c r="I74" s="713"/>
      <c r="J74" s="703"/>
      <c r="K74" s="703"/>
      <c r="L74" s="703"/>
      <c r="M74" s="703"/>
    </row>
    <row r="75" spans="1:13" x14ac:dyDescent="0.25">
      <c r="A75" s="703"/>
      <c r="B75" s="703"/>
      <c r="C75" s="704"/>
      <c r="D75" s="704"/>
      <c r="E75" s="716"/>
      <c r="F75" s="713"/>
      <c r="G75" s="713"/>
      <c r="H75" s="713"/>
      <c r="I75" s="713"/>
      <c r="J75" s="703"/>
      <c r="K75" s="703"/>
      <c r="L75" s="703"/>
      <c r="M75" s="703"/>
    </row>
    <row r="76" spans="1:13" x14ac:dyDescent="0.25">
      <c r="A76" s="703"/>
      <c r="B76" s="703"/>
      <c r="C76" s="704"/>
      <c r="D76" s="704"/>
      <c r="E76" s="716"/>
      <c r="F76" s="713"/>
      <c r="G76" s="713"/>
      <c r="H76" s="713"/>
      <c r="I76" s="713"/>
      <c r="J76" s="703"/>
      <c r="K76" s="703"/>
      <c r="L76" s="703"/>
      <c r="M76" s="703"/>
    </row>
    <row r="77" spans="1:13" ht="15" customHeight="1" x14ac:dyDescent="0.25">
      <c r="A77" s="703"/>
      <c r="B77" s="703"/>
      <c r="C77" s="702"/>
      <c r="D77" s="702"/>
      <c r="E77" s="702"/>
      <c r="F77" s="702"/>
      <c r="G77" s="702"/>
      <c r="H77" s="702"/>
      <c r="I77" s="702"/>
      <c r="J77" s="702"/>
      <c r="K77" s="703"/>
      <c r="L77" s="703"/>
      <c r="M77" s="703"/>
    </row>
    <row r="78" spans="1:13" x14ac:dyDescent="0.25">
      <c r="A78" s="703"/>
      <c r="B78" s="703"/>
      <c r="C78" s="717"/>
      <c r="D78" s="717"/>
      <c r="E78" s="702"/>
      <c r="F78" s="702"/>
      <c r="G78" s="702"/>
      <c r="H78" s="702"/>
      <c r="I78" s="702"/>
      <c r="J78" s="702"/>
      <c r="K78" s="703"/>
      <c r="L78" s="703"/>
      <c r="M78" s="703"/>
    </row>
    <row r="79" spans="1:13" x14ac:dyDescent="0.25">
      <c r="A79" s="703"/>
      <c r="B79" s="703"/>
      <c r="C79" s="718"/>
      <c r="D79" s="718"/>
      <c r="E79" s="702"/>
      <c r="F79" s="702"/>
      <c r="G79" s="702"/>
      <c r="H79" s="702"/>
      <c r="I79" s="702"/>
      <c r="J79" s="702"/>
      <c r="K79" s="703"/>
      <c r="L79" s="703"/>
      <c r="M79" s="703"/>
    </row>
    <row r="80" spans="1:13" x14ac:dyDescent="0.25">
      <c r="A80" s="703"/>
      <c r="B80" s="703"/>
      <c r="C80" s="703"/>
      <c r="D80" s="703"/>
      <c r="E80" s="703"/>
      <c r="F80" s="703"/>
      <c r="G80" s="703"/>
      <c r="H80" s="703"/>
      <c r="I80" s="703"/>
      <c r="J80" s="703"/>
      <c r="K80" s="703"/>
      <c r="L80" s="703"/>
      <c r="M80" s="703"/>
    </row>
    <row r="81" spans="1:13" x14ac:dyDescent="0.25">
      <c r="A81" s="703"/>
      <c r="B81" s="703"/>
      <c r="C81" s="703"/>
      <c r="D81" s="703"/>
      <c r="E81" s="703"/>
      <c r="F81" s="703"/>
      <c r="G81" s="703"/>
      <c r="H81" s="703"/>
      <c r="I81" s="703"/>
      <c r="J81" s="703"/>
      <c r="K81" s="703"/>
      <c r="L81" s="703"/>
      <c r="M81" s="703"/>
    </row>
    <row r="82" spans="1:13" x14ac:dyDescent="0.25">
      <c r="A82" s="703"/>
      <c r="B82" s="703"/>
      <c r="C82" s="703"/>
      <c r="D82" s="703"/>
      <c r="E82" s="703"/>
      <c r="F82" s="703"/>
      <c r="G82" s="703"/>
      <c r="H82" s="703"/>
      <c r="I82" s="703"/>
      <c r="J82" s="703"/>
      <c r="K82" s="703"/>
      <c r="L82" s="703"/>
      <c r="M82" s="703"/>
    </row>
    <row r="83" spans="1:13" x14ac:dyDescent="0.25">
      <c r="A83" s="703"/>
      <c r="B83" s="703"/>
      <c r="C83" s="703"/>
      <c r="D83" s="703"/>
      <c r="E83" s="703"/>
      <c r="F83" s="703"/>
      <c r="G83" s="703"/>
      <c r="H83" s="703"/>
      <c r="I83" s="703"/>
      <c r="J83" s="703"/>
      <c r="K83" s="703"/>
      <c r="L83" s="703"/>
      <c r="M83" s="703"/>
    </row>
    <row r="84" spans="1:13" x14ac:dyDescent="0.25">
      <c r="A84" s="703"/>
      <c r="B84" s="703"/>
      <c r="C84" s="703"/>
      <c r="D84" s="703"/>
      <c r="E84" s="703"/>
      <c r="F84" s="703"/>
      <c r="G84" s="703"/>
      <c r="H84" s="703"/>
      <c r="I84" s="703"/>
      <c r="J84" s="703"/>
      <c r="K84" s="703"/>
      <c r="L84" s="703"/>
      <c r="M84" s="703"/>
    </row>
    <row r="85" spans="1:13" x14ac:dyDescent="0.25">
      <c r="A85" s="703"/>
      <c r="B85" s="703"/>
      <c r="C85" s="703"/>
      <c r="D85" s="703"/>
      <c r="E85" s="703"/>
      <c r="F85" s="703"/>
      <c r="G85" s="703"/>
      <c r="H85" s="703"/>
      <c r="I85" s="703"/>
      <c r="J85" s="703"/>
      <c r="K85" s="703"/>
      <c r="L85" s="703"/>
      <c r="M85" s="703"/>
    </row>
    <row r="86" spans="1:13" x14ac:dyDescent="0.25">
      <c r="A86" s="703"/>
      <c r="B86" s="703"/>
      <c r="C86" s="703"/>
      <c r="D86" s="703"/>
      <c r="E86" s="703"/>
      <c r="F86" s="703"/>
      <c r="G86" s="703"/>
      <c r="H86" s="703"/>
      <c r="I86" s="703"/>
      <c r="J86" s="703"/>
      <c r="K86" s="703"/>
      <c r="L86" s="703"/>
      <c r="M86" s="703"/>
    </row>
    <row r="87" spans="1:13" x14ac:dyDescent="0.25">
      <c r="A87" s="703"/>
      <c r="B87" s="703"/>
      <c r="C87" s="703"/>
      <c r="D87" s="703"/>
      <c r="E87" s="703"/>
      <c r="F87" s="703"/>
      <c r="G87" s="703"/>
      <c r="H87" s="703"/>
      <c r="I87" s="703"/>
      <c r="J87" s="703"/>
      <c r="K87" s="703"/>
      <c r="L87" s="703"/>
      <c r="M87" s="703"/>
    </row>
    <row r="88" spans="1:13" x14ac:dyDescent="0.25">
      <c r="A88" s="703"/>
      <c r="B88" s="703"/>
      <c r="C88" s="703"/>
      <c r="D88" s="703"/>
      <c r="E88" s="703"/>
      <c r="F88" s="703"/>
      <c r="G88" s="703"/>
      <c r="H88" s="703"/>
      <c r="I88" s="703"/>
      <c r="J88" s="703"/>
      <c r="K88" s="703"/>
      <c r="L88" s="703"/>
      <c r="M88" s="703"/>
    </row>
    <row r="89" spans="1:13" x14ac:dyDescent="0.25">
      <c r="A89" s="703"/>
      <c r="B89" s="703"/>
      <c r="C89" s="703"/>
      <c r="D89" s="703"/>
      <c r="E89" s="703"/>
      <c r="F89" s="703"/>
      <c r="G89" s="703"/>
      <c r="H89" s="703"/>
      <c r="I89" s="703"/>
      <c r="J89" s="703"/>
      <c r="K89" s="703"/>
      <c r="L89" s="703"/>
      <c r="M89" s="703"/>
    </row>
    <row r="90" spans="1:13" x14ac:dyDescent="0.25">
      <c r="A90" s="703"/>
      <c r="B90" s="703"/>
      <c r="C90" s="703"/>
      <c r="D90" s="703"/>
      <c r="E90" s="703"/>
      <c r="F90" s="703"/>
      <c r="G90" s="703"/>
      <c r="H90" s="703"/>
      <c r="I90" s="703"/>
      <c r="J90" s="703"/>
      <c r="K90" s="703"/>
      <c r="L90" s="703"/>
      <c r="M90" s="703"/>
    </row>
    <row r="91" spans="1:13" x14ac:dyDescent="0.25">
      <c r="A91" s="703"/>
      <c r="B91" s="703"/>
      <c r="C91" s="703"/>
      <c r="D91" s="703"/>
      <c r="E91" s="703"/>
      <c r="F91" s="703"/>
      <c r="G91" s="703"/>
      <c r="H91" s="703"/>
      <c r="I91" s="703"/>
      <c r="J91" s="703"/>
      <c r="K91" s="703"/>
      <c r="L91" s="703"/>
      <c r="M91" s="703"/>
    </row>
    <row r="92" spans="1:13" x14ac:dyDescent="0.25">
      <c r="A92" s="703"/>
      <c r="B92" s="703"/>
      <c r="C92" s="703"/>
      <c r="D92" s="703"/>
      <c r="E92" s="703"/>
      <c r="F92" s="703"/>
      <c r="G92" s="703"/>
      <c r="H92" s="703"/>
      <c r="I92" s="703"/>
      <c r="J92" s="703"/>
      <c r="K92" s="703"/>
      <c r="L92" s="703"/>
      <c r="M92" s="703"/>
    </row>
    <row r="93" spans="1:13" x14ac:dyDescent="0.25">
      <c r="A93" s="703"/>
      <c r="B93" s="703"/>
      <c r="C93" s="703"/>
      <c r="D93" s="703"/>
      <c r="E93" s="703"/>
      <c r="F93" s="703"/>
      <c r="G93" s="703"/>
      <c r="H93" s="703"/>
      <c r="I93" s="703"/>
      <c r="J93" s="703"/>
      <c r="K93" s="703"/>
      <c r="L93" s="703"/>
      <c r="M93" s="703"/>
    </row>
    <row r="94" spans="1:13" x14ac:dyDescent="0.25">
      <c r="A94" s="703"/>
      <c r="B94" s="703"/>
      <c r="C94" s="703"/>
      <c r="D94" s="703"/>
      <c r="E94" s="703"/>
      <c r="F94" s="703"/>
      <c r="G94" s="703"/>
      <c r="H94" s="703"/>
      <c r="I94" s="703"/>
      <c r="J94" s="703"/>
      <c r="K94" s="703"/>
      <c r="L94" s="703"/>
      <c r="M94" s="703"/>
    </row>
    <row r="95" spans="1:13" x14ac:dyDescent="0.25">
      <c r="A95" s="703"/>
      <c r="B95" s="703"/>
      <c r="C95" s="703"/>
      <c r="D95" s="703"/>
      <c r="E95" s="703"/>
      <c r="F95" s="703"/>
      <c r="G95" s="703"/>
      <c r="H95" s="703"/>
      <c r="I95" s="703"/>
      <c r="J95" s="703"/>
      <c r="K95" s="703"/>
      <c r="L95" s="703"/>
      <c r="M95" s="703"/>
    </row>
    <row r="96" spans="1:13" x14ac:dyDescent="0.25">
      <c r="A96" s="703"/>
      <c r="B96" s="703"/>
      <c r="C96" s="703"/>
      <c r="D96" s="703"/>
      <c r="E96" s="703"/>
      <c r="F96" s="703"/>
      <c r="G96" s="703"/>
      <c r="H96" s="703"/>
      <c r="I96" s="703"/>
      <c r="J96" s="703"/>
      <c r="K96" s="703"/>
      <c r="L96" s="703"/>
      <c r="M96" s="703"/>
    </row>
    <row r="97" spans="1:13" x14ac:dyDescent="0.25">
      <c r="A97" s="703"/>
      <c r="B97" s="703"/>
      <c r="C97" s="703"/>
      <c r="D97" s="703"/>
      <c r="E97" s="703"/>
      <c r="F97" s="703"/>
      <c r="G97" s="703"/>
      <c r="H97" s="703"/>
      <c r="I97" s="703"/>
      <c r="J97" s="703"/>
      <c r="K97" s="703"/>
      <c r="L97" s="703"/>
      <c r="M97" s="703"/>
    </row>
    <row r="98" spans="1:13" x14ac:dyDescent="0.25">
      <c r="A98" s="703"/>
      <c r="B98" s="703"/>
      <c r="C98" s="703"/>
      <c r="D98" s="703"/>
      <c r="E98" s="703"/>
      <c r="F98" s="703"/>
      <c r="G98" s="703"/>
      <c r="H98" s="703"/>
      <c r="I98" s="703"/>
      <c r="J98" s="703"/>
      <c r="K98" s="703"/>
      <c r="L98" s="703"/>
      <c r="M98" s="703"/>
    </row>
    <row r="99" spans="1:13" x14ac:dyDescent="0.25">
      <c r="A99" s="703"/>
      <c r="B99" s="703"/>
      <c r="C99" s="703"/>
      <c r="D99" s="703"/>
      <c r="E99" s="703"/>
      <c r="F99" s="703"/>
      <c r="G99" s="703"/>
      <c r="H99" s="703"/>
      <c r="I99" s="703"/>
      <c r="J99" s="703"/>
      <c r="K99" s="703"/>
      <c r="L99" s="703"/>
      <c r="M99" s="703"/>
    </row>
    <row r="100" spans="1:13" x14ac:dyDescent="0.25">
      <c r="A100" s="703"/>
      <c r="B100" s="703"/>
      <c r="C100" s="703"/>
      <c r="D100" s="703"/>
      <c r="E100" s="703"/>
      <c r="F100" s="703"/>
      <c r="G100" s="703"/>
      <c r="H100" s="703"/>
      <c r="I100" s="703"/>
      <c r="J100" s="703"/>
      <c r="K100" s="703"/>
      <c r="L100" s="703"/>
      <c r="M100" s="703"/>
    </row>
    <row r="101" spans="1:13" x14ac:dyDescent="0.25">
      <c r="A101" s="703"/>
      <c r="B101" s="703"/>
      <c r="C101" s="703"/>
      <c r="D101" s="703"/>
      <c r="E101" s="703"/>
      <c r="F101" s="703"/>
      <c r="G101" s="703"/>
      <c r="H101" s="703"/>
      <c r="I101" s="703"/>
      <c r="J101" s="703"/>
      <c r="K101" s="703"/>
      <c r="L101" s="703"/>
      <c r="M101" s="703"/>
    </row>
    <row r="102" spans="1:13" x14ac:dyDescent="0.25">
      <c r="A102" s="703"/>
      <c r="B102" s="703"/>
      <c r="C102" s="703"/>
      <c r="D102" s="703"/>
      <c r="E102" s="703"/>
      <c r="F102" s="703"/>
      <c r="G102" s="703"/>
      <c r="H102" s="703"/>
      <c r="I102" s="703"/>
      <c r="J102" s="703"/>
      <c r="K102" s="703"/>
      <c r="L102" s="703"/>
      <c r="M102" s="703"/>
    </row>
    <row r="103" spans="1:13" x14ac:dyDescent="0.25">
      <c r="A103" s="703"/>
      <c r="B103" s="703"/>
      <c r="C103" s="703"/>
      <c r="D103" s="703"/>
      <c r="E103" s="703"/>
      <c r="F103" s="703"/>
      <c r="G103" s="703"/>
      <c r="H103" s="703"/>
      <c r="I103" s="703"/>
      <c r="J103" s="703"/>
      <c r="K103" s="703"/>
      <c r="L103" s="703"/>
      <c r="M103" s="703"/>
    </row>
    <row r="104" spans="1:13" x14ac:dyDescent="0.25">
      <c r="A104" s="703"/>
      <c r="B104" s="703"/>
      <c r="C104" s="703"/>
      <c r="D104" s="703"/>
      <c r="E104" s="703"/>
      <c r="F104" s="703"/>
      <c r="G104" s="703"/>
      <c r="H104" s="703"/>
      <c r="I104" s="703"/>
      <c r="J104" s="703"/>
      <c r="K104" s="703"/>
      <c r="L104" s="703"/>
      <c r="M104" s="703"/>
    </row>
    <row r="105" spans="1:13" x14ac:dyDescent="0.25">
      <c r="A105" s="703"/>
      <c r="B105" s="703"/>
      <c r="C105" s="703"/>
      <c r="D105" s="703"/>
      <c r="E105" s="703"/>
      <c r="F105" s="703"/>
      <c r="G105" s="703"/>
      <c r="H105" s="703"/>
      <c r="I105" s="703"/>
      <c r="J105" s="703"/>
      <c r="K105" s="703"/>
      <c r="L105" s="703"/>
      <c r="M105" s="703"/>
    </row>
    <row r="106" spans="1:13" x14ac:dyDescent="0.25">
      <c r="A106" s="703"/>
      <c r="B106" s="703"/>
      <c r="C106" s="703"/>
      <c r="D106" s="703"/>
      <c r="E106" s="703"/>
      <c r="F106" s="703"/>
      <c r="G106" s="703"/>
      <c r="H106" s="703"/>
      <c r="I106" s="703"/>
      <c r="J106" s="703"/>
      <c r="K106" s="703"/>
      <c r="L106" s="703"/>
      <c r="M106" s="703"/>
    </row>
    <row r="107" spans="1:13" x14ac:dyDescent="0.25">
      <c r="A107" s="703"/>
      <c r="B107" s="703"/>
      <c r="C107" s="703"/>
      <c r="D107" s="703"/>
      <c r="E107" s="703"/>
      <c r="F107" s="703"/>
      <c r="G107" s="703"/>
      <c r="H107" s="703"/>
      <c r="I107" s="703"/>
      <c r="J107" s="703"/>
      <c r="K107" s="703"/>
      <c r="L107" s="703"/>
      <c r="M107" s="703"/>
    </row>
    <row r="108" spans="1:13" x14ac:dyDescent="0.25">
      <c r="A108" s="703"/>
      <c r="B108" s="703"/>
      <c r="C108" s="703"/>
      <c r="D108" s="703"/>
      <c r="E108" s="703"/>
      <c r="F108" s="703"/>
      <c r="G108" s="703"/>
      <c r="H108" s="703"/>
      <c r="I108" s="703"/>
      <c r="J108" s="703"/>
      <c r="K108" s="703"/>
      <c r="L108" s="703"/>
      <c r="M108" s="703"/>
    </row>
    <row r="109" spans="1:13" x14ac:dyDescent="0.25">
      <c r="A109" s="703"/>
      <c r="B109" s="703"/>
      <c r="C109" s="703"/>
      <c r="D109" s="703"/>
      <c r="E109" s="703"/>
      <c r="F109" s="703"/>
      <c r="G109" s="703"/>
      <c r="H109" s="703"/>
      <c r="I109" s="703"/>
      <c r="J109" s="703"/>
      <c r="K109" s="703"/>
      <c r="L109" s="703"/>
      <c r="M109" s="703"/>
    </row>
    <row r="110" spans="1:13" x14ac:dyDescent="0.25">
      <c r="A110" s="703"/>
      <c r="B110" s="703"/>
      <c r="C110" s="703"/>
      <c r="D110" s="703"/>
      <c r="E110" s="703"/>
      <c r="F110" s="703"/>
      <c r="G110" s="703"/>
      <c r="H110" s="703"/>
      <c r="I110" s="703"/>
      <c r="J110" s="703"/>
      <c r="K110" s="703"/>
      <c r="L110" s="703"/>
      <c r="M110" s="703"/>
    </row>
    <row r="111" spans="1:13" x14ac:dyDescent="0.25">
      <c r="A111" s="703"/>
      <c r="B111" s="703"/>
      <c r="C111" s="703"/>
      <c r="D111" s="703"/>
      <c r="E111" s="703"/>
      <c r="F111" s="703"/>
      <c r="G111" s="703"/>
      <c r="H111" s="703"/>
      <c r="I111" s="703"/>
      <c r="J111" s="703"/>
      <c r="K111" s="703"/>
      <c r="L111" s="703"/>
      <c r="M111" s="703"/>
    </row>
    <row r="112" spans="1:13" x14ac:dyDescent="0.25">
      <c r="A112" s="703"/>
      <c r="B112" s="703"/>
      <c r="C112" s="703"/>
      <c r="D112" s="703"/>
      <c r="E112" s="703"/>
      <c r="F112" s="703"/>
      <c r="G112" s="703"/>
      <c r="H112" s="703"/>
      <c r="I112" s="703"/>
      <c r="J112" s="703"/>
      <c r="K112" s="703"/>
      <c r="L112" s="703"/>
      <c r="M112" s="703"/>
    </row>
    <row r="113" spans="1:13" x14ac:dyDescent="0.25">
      <c r="A113" s="703"/>
      <c r="B113" s="703"/>
      <c r="C113" s="703"/>
      <c r="D113" s="703"/>
      <c r="E113" s="703"/>
      <c r="F113" s="703"/>
      <c r="G113" s="703"/>
      <c r="H113" s="703"/>
      <c r="I113" s="703"/>
      <c r="J113" s="703"/>
      <c r="K113" s="703"/>
      <c r="L113" s="703"/>
      <c r="M113" s="703"/>
    </row>
    <row r="114" spans="1:13" x14ac:dyDescent="0.25">
      <c r="A114" s="703"/>
      <c r="B114" s="703"/>
      <c r="C114" s="703"/>
      <c r="D114" s="703"/>
      <c r="E114" s="703"/>
      <c r="F114" s="703"/>
      <c r="G114" s="703"/>
      <c r="H114" s="703"/>
      <c r="I114" s="703"/>
      <c r="J114" s="703"/>
      <c r="K114" s="703"/>
      <c r="L114" s="703"/>
      <c r="M114" s="703"/>
    </row>
    <row r="115" spans="1:13" x14ac:dyDescent="0.25">
      <c r="A115" s="703"/>
      <c r="B115" s="703"/>
      <c r="C115" s="703"/>
      <c r="D115" s="703"/>
      <c r="E115" s="703"/>
      <c r="F115" s="703"/>
      <c r="G115" s="703"/>
      <c r="H115" s="703"/>
      <c r="I115" s="703"/>
      <c r="J115" s="703"/>
      <c r="K115" s="703"/>
      <c r="L115" s="703"/>
      <c r="M115" s="703"/>
    </row>
    <row r="116" spans="1:13" x14ac:dyDescent="0.25">
      <c r="A116" s="703"/>
      <c r="B116" s="703"/>
      <c r="C116" s="703"/>
      <c r="D116" s="703"/>
      <c r="E116" s="703"/>
      <c r="F116" s="703"/>
      <c r="G116" s="703"/>
      <c r="H116" s="703"/>
      <c r="I116" s="703"/>
      <c r="J116" s="703"/>
      <c r="K116" s="703"/>
      <c r="L116" s="703"/>
      <c r="M116" s="703"/>
    </row>
    <row r="117" spans="1:13" x14ac:dyDescent="0.25">
      <c r="A117" s="703"/>
      <c r="B117" s="703"/>
      <c r="C117" s="703"/>
      <c r="D117" s="703"/>
      <c r="E117" s="703"/>
      <c r="F117" s="703"/>
      <c r="G117" s="703"/>
      <c r="H117" s="703"/>
      <c r="I117" s="703"/>
      <c r="J117" s="703"/>
      <c r="K117" s="703"/>
      <c r="L117" s="703"/>
      <c r="M117" s="703"/>
    </row>
    <row r="118" spans="1:13" x14ac:dyDescent="0.25">
      <c r="A118" s="703"/>
      <c r="B118" s="703"/>
      <c r="C118" s="703"/>
      <c r="D118" s="703"/>
      <c r="E118" s="703"/>
      <c r="F118" s="703"/>
      <c r="G118" s="703"/>
      <c r="H118" s="703"/>
      <c r="I118" s="703"/>
      <c r="J118" s="703"/>
      <c r="K118" s="703"/>
      <c r="L118" s="703"/>
      <c r="M118" s="703"/>
    </row>
    <row r="119" spans="1:13" x14ac:dyDescent="0.25">
      <c r="A119" s="703"/>
      <c r="B119" s="703"/>
      <c r="C119" s="703"/>
      <c r="D119" s="703"/>
      <c r="E119" s="703"/>
      <c r="F119" s="703"/>
      <c r="G119" s="703"/>
      <c r="H119" s="703"/>
      <c r="I119" s="703"/>
      <c r="J119" s="703"/>
      <c r="K119" s="703"/>
      <c r="L119" s="703"/>
      <c r="M119" s="703"/>
    </row>
    <row r="120" spans="1:13" x14ac:dyDescent="0.25">
      <c r="A120" s="703"/>
      <c r="B120" s="703"/>
      <c r="C120" s="703"/>
      <c r="D120" s="703"/>
      <c r="E120" s="703"/>
      <c r="F120" s="703"/>
      <c r="G120" s="703"/>
      <c r="H120" s="703"/>
      <c r="I120" s="703"/>
      <c r="J120" s="703"/>
      <c r="K120" s="703"/>
      <c r="L120" s="703"/>
      <c r="M120" s="703"/>
    </row>
    <row r="121" spans="1:13" x14ac:dyDescent="0.25">
      <c r="A121" s="703"/>
      <c r="B121" s="703"/>
      <c r="C121" s="703"/>
      <c r="D121" s="703"/>
      <c r="E121" s="703"/>
      <c r="F121" s="703"/>
      <c r="G121" s="703"/>
      <c r="H121" s="703"/>
      <c r="I121" s="703"/>
      <c r="J121" s="703"/>
      <c r="K121" s="703"/>
      <c r="L121" s="703"/>
      <c r="M121" s="703"/>
    </row>
    <row r="122" spans="1:13" x14ac:dyDescent="0.25">
      <c r="A122" s="703"/>
      <c r="B122" s="703"/>
      <c r="C122" s="703"/>
      <c r="D122" s="703"/>
      <c r="E122" s="703"/>
      <c r="F122" s="703"/>
      <c r="G122" s="703"/>
      <c r="H122" s="703"/>
      <c r="I122" s="703"/>
      <c r="J122" s="703"/>
      <c r="K122" s="703"/>
      <c r="L122" s="703"/>
      <c r="M122" s="703"/>
    </row>
    <row r="123" spans="1:13" x14ac:dyDescent="0.25">
      <c r="A123" s="703"/>
      <c r="B123" s="703"/>
      <c r="C123" s="703"/>
      <c r="D123" s="703"/>
      <c r="E123" s="703"/>
      <c r="F123" s="703"/>
      <c r="G123" s="703"/>
      <c r="H123" s="703"/>
      <c r="I123" s="703"/>
      <c r="J123" s="703"/>
      <c r="K123" s="703"/>
      <c r="L123" s="703"/>
      <c r="M123" s="703"/>
    </row>
    <row r="124" spans="1:13" x14ac:dyDescent="0.25">
      <c r="A124" s="703"/>
      <c r="B124" s="703"/>
      <c r="C124" s="703"/>
      <c r="D124" s="703"/>
      <c r="E124" s="703"/>
      <c r="F124" s="703"/>
      <c r="G124" s="703"/>
      <c r="H124" s="703"/>
      <c r="I124" s="703"/>
      <c r="J124" s="703"/>
      <c r="K124" s="703"/>
      <c r="L124" s="703"/>
      <c r="M124" s="703"/>
    </row>
    <row r="125" spans="1:13" x14ac:dyDescent="0.25">
      <c r="A125" s="703"/>
      <c r="B125" s="703"/>
      <c r="C125" s="703"/>
      <c r="D125" s="703"/>
      <c r="E125" s="703"/>
      <c r="F125" s="703"/>
      <c r="G125" s="703"/>
      <c r="H125" s="703"/>
      <c r="I125" s="703"/>
      <c r="J125" s="703"/>
      <c r="K125" s="703"/>
      <c r="L125" s="703"/>
      <c r="M125" s="703"/>
    </row>
    <row r="126" spans="1:13" x14ac:dyDescent="0.25">
      <c r="A126" s="703"/>
      <c r="B126" s="703"/>
      <c r="C126" s="703"/>
      <c r="D126" s="703"/>
      <c r="E126" s="703"/>
      <c r="F126" s="703"/>
      <c r="G126" s="703"/>
      <c r="H126" s="703"/>
      <c r="I126" s="703"/>
      <c r="J126" s="703"/>
      <c r="K126" s="703"/>
      <c r="L126" s="703"/>
      <c r="M126" s="703"/>
    </row>
    <row r="127" spans="1:13" x14ac:dyDescent="0.25">
      <c r="A127" s="703"/>
      <c r="B127" s="703"/>
      <c r="C127" s="703"/>
      <c r="D127" s="703"/>
      <c r="E127" s="703"/>
      <c r="F127" s="703"/>
      <c r="G127" s="703"/>
      <c r="H127" s="703"/>
      <c r="I127" s="703"/>
      <c r="J127" s="703"/>
      <c r="K127" s="703"/>
      <c r="L127" s="703"/>
      <c r="M127" s="703"/>
    </row>
    <row r="128" spans="1:13" x14ac:dyDescent="0.25">
      <c r="A128" s="703"/>
      <c r="B128" s="703"/>
      <c r="C128" s="703"/>
      <c r="D128" s="703"/>
      <c r="E128" s="703"/>
      <c r="F128" s="703"/>
      <c r="G128" s="703"/>
      <c r="H128" s="703"/>
      <c r="I128" s="703"/>
      <c r="J128" s="703"/>
      <c r="K128" s="703"/>
      <c r="L128" s="703"/>
      <c r="M128" s="703"/>
    </row>
    <row r="129" spans="1:13" x14ac:dyDescent="0.25">
      <c r="A129" s="703"/>
      <c r="B129" s="703"/>
      <c r="C129" s="703"/>
      <c r="D129" s="703"/>
      <c r="E129" s="703"/>
      <c r="F129" s="703"/>
      <c r="G129" s="703"/>
      <c r="H129" s="703"/>
      <c r="I129" s="703"/>
      <c r="J129" s="703"/>
      <c r="K129" s="703"/>
      <c r="L129" s="703"/>
      <c r="M129" s="703"/>
    </row>
    <row r="130" spans="1:13" x14ac:dyDescent="0.25">
      <c r="A130" s="703"/>
      <c r="B130" s="703"/>
      <c r="C130" s="703"/>
      <c r="D130" s="703"/>
      <c r="E130" s="703"/>
      <c r="F130" s="703"/>
      <c r="G130" s="703"/>
      <c r="H130" s="703"/>
      <c r="I130" s="703"/>
      <c r="J130" s="703"/>
      <c r="K130" s="703"/>
      <c r="L130" s="703"/>
      <c r="M130" s="703"/>
    </row>
    <row r="131" spans="1:13" x14ac:dyDescent="0.25">
      <c r="A131" s="703"/>
      <c r="B131" s="703"/>
      <c r="C131" s="703"/>
      <c r="D131" s="703"/>
      <c r="E131" s="703"/>
      <c r="F131" s="703"/>
      <c r="G131" s="703"/>
      <c r="H131" s="703"/>
      <c r="I131" s="703"/>
      <c r="J131" s="703"/>
      <c r="K131" s="703"/>
      <c r="L131" s="703"/>
      <c r="M131" s="703"/>
    </row>
    <row r="132" spans="1:13" x14ac:dyDescent="0.25">
      <c r="A132" s="703"/>
      <c r="B132" s="703"/>
      <c r="C132" s="703"/>
      <c r="D132" s="703"/>
      <c r="E132" s="703"/>
      <c r="F132" s="703"/>
      <c r="G132" s="703"/>
      <c r="H132" s="703"/>
      <c r="I132" s="703"/>
      <c r="J132" s="703"/>
      <c r="K132" s="703"/>
      <c r="L132" s="703"/>
      <c r="M132" s="703"/>
    </row>
    <row r="133" spans="1:13" x14ac:dyDescent="0.25">
      <c r="A133" s="703"/>
      <c r="B133" s="703"/>
      <c r="C133" s="703"/>
      <c r="D133" s="703"/>
      <c r="E133" s="703"/>
      <c r="F133" s="703"/>
      <c r="G133" s="703"/>
      <c r="H133" s="703"/>
      <c r="I133" s="703"/>
      <c r="J133" s="703"/>
      <c r="K133" s="703"/>
      <c r="L133" s="703"/>
      <c r="M133" s="703"/>
    </row>
    <row r="134" spans="1:13" x14ac:dyDescent="0.25">
      <c r="A134" s="703"/>
      <c r="B134" s="703"/>
      <c r="C134" s="703"/>
      <c r="D134" s="703"/>
      <c r="E134" s="703"/>
      <c r="F134" s="703"/>
      <c r="G134" s="703"/>
      <c r="H134" s="703"/>
      <c r="I134" s="703"/>
      <c r="J134" s="703"/>
      <c r="K134" s="703"/>
      <c r="L134" s="703"/>
      <c r="M134" s="703"/>
    </row>
    <row r="135" spans="1:13" x14ac:dyDescent="0.25">
      <c r="A135" s="703"/>
      <c r="B135" s="703"/>
      <c r="C135" s="703"/>
      <c r="D135" s="703"/>
      <c r="E135" s="703"/>
      <c r="F135" s="703"/>
      <c r="G135" s="703"/>
      <c r="H135" s="703"/>
      <c r="I135" s="703"/>
      <c r="J135" s="703"/>
      <c r="K135" s="703"/>
      <c r="L135" s="703"/>
      <c r="M135" s="703"/>
    </row>
    <row r="136" spans="1:13" x14ac:dyDescent="0.25">
      <c r="A136" s="703"/>
      <c r="B136" s="703"/>
      <c r="C136" s="703"/>
      <c r="D136" s="703"/>
      <c r="E136" s="703"/>
      <c r="F136" s="703"/>
      <c r="G136" s="703"/>
      <c r="H136" s="703"/>
      <c r="I136" s="703"/>
      <c r="J136" s="703"/>
      <c r="K136" s="703"/>
      <c r="L136" s="703"/>
      <c r="M136" s="703"/>
    </row>
    <row r="137" spans="1:13" x14ac:dyDescent="0.25">
      <c r="A137" s="703"/>
      <c r="B137" s="703"/>
      <c r="C137" s="703"/>
      <c r="D137" s="703"/>
      <c r="E137" s="703"/>
      <c r="F137" s="703"/>
      <c r="G137" s="703"/>
      <c r="H137" s="703"/>
      <c r="I137" s="703"/>
      <c r="J137" s="703"/>
      <c r="K137" s="703"/>
      <c r="L137" s="703"/>
      <c r="M137" s="703"/>
    </row>
    <row r="138" spans="1:13" x14ac:dyDescent="0.25">
      <c r="A138" s="703"/>
      <c r="B138" s="703"/>
      <c r="C138" s="703"/>
      <c r="D138" s="703"/>
      <c r="E138" s="703"/>
      <c r="F138" s="703"/>
      <c r="G138" s="703"/>
      <c r="H138" s="703"/>
      <c r="I138" s="703"/>
      <c r="J138" s="703"/>
      <c r="K138" s="703"/>
      <c r="L138" s="703"/>
      <c r="M138" s="703"/>
    </row>
    <row r="139" spans="1:13" x14ac:dyDescent="0.25">
      <c r="A139" s="703"/>
      <c r="B139" s="703"/>
      <c r="C139" s="703"/>
      <c r="D139" s="703"/>
      <c r="E139" s="703"/>
      <c r="F139" s="703"/>
      <c r="G139" s="703"/>
      <c r="H139" s="703"/>
      <c r="I139" s="703"/>
      <c r="J139" s="703"/>
      <c r="K139" s="703"/>
      <c r="L139" s="703"/>
      <c r="M139" s="703"/>
    </row>
    <row r="140" spans="1:13" x14ac:dyDescent="0.25">
      <c r="A140" s="703"/>
      <c r="B140" s="703"/>
      <c r="C140" s="703"/>
      <c r="D140" s="703"/>
      <c r="E140" s="703"/>
      <c r="F140" s="703"/>
      <c r="G140" s="703"/>
      <c r="H140" s="703"/>
      <c r="I140" s="703"/>
      <c r="J140" s="703"/>
      <c r="K140" s="703"/>
      <c r="L140" s="703"/>
      <c r="M140" s="703"/>
    </row>
    <row r="141" spans="1:13" x14ac:dyDescent="0.25">
      <c r="A141" s="703"/>
      <c r="B141" s="703"/>
      <c r="C141" s="703"/>
      <c r="D141" s="703"/>
      <c r="E141" s="703"/>
      <c r="F141" s="703"/>
      <c r="G141" s="703"/>
      <c r="H141" s="703"/>
      <c r="I141" s="703"/>
      <c r="J141" s="703"/>
      <c r="K141" s="703"/>
      <c r="L141" s="703"/>
      <c r="M141" s="703"/>
    </row>
    <row r="142" spans="1:13" x14ac:dyDescent="0.25">
      <c r="A142" s="703"/>
      <c r="B142" s="703"/>
      <c r="C142" s="703"/>
      <c r="D142" s="703"/>
      <c r="E142" s="703"/>
      <c r="F142" s="703"/>
      <c r="G142" s="703"/>
      <c r="H142" s="703"/>
      <c r="I142" s="703"/>
      <c r="J142" s="703"/>
      <c r="K142" s="703"/>
      <c r="L142" s="703"/>
      <c r="M142" s="703"/>
    </row>
    <row r="143" spans="1:13" x14ac:dyDescent="0.25">
      <c r="A143" s="703"/>
      <c r="B143" s="703"/>
      <c r="C143" s="703"/>
      <c r="D143" s="703"/>
      <c r="E143" s="703"/>
      <c r="F143" s="703"/>
      <c r="G143" s="703"/>
      <c r="H143" s="703"/>
      <c r="I143" s="703"/>
      <c r="J143" s="703"/>
      <c r="K143" s="703"/>
      <c r="L143" s="703"/>
      <c r="M143" s="703"/>
    </row>
    <row r="144" spans="1:13" x14ac:dyDescent="0.25">
      <c r="A144" s="703"/>
      <c r="B144" s="703"/>
      <c r="C144" s="703"/>
      <c r="D144" s="703"/>
      <c r="E144" s="703"/>
      <c r="F144" s="703"/>
      <c r="G144" s="703"/>
      <c r="H144" s="703"/>
      <c r="I144" s="703"/>
      <c r="J144" s="703"/>
      <c r="K144" s="703"/>
      <c r="L144" s="703"/>
      <c r="M144" s="703"/>
    </row>
    <row r="145" spans="1:13" x14ac:dyDescent="0.25">
      <c r="A145" s="703"/>
      <c r="B145" s="703"/>
      <c r="C145" s="703"/>
      <c r="D145" s="703"/>
      <c r="E145" s="703"/>
      <c r="F145" s="703"/>
      <c r="G145" s="703"/>
      <c r="H145" s="703"/>
      <c r="I145" s="703"/>
      <c r="J145" s="703"/>
      <c r="K145" s="703"/>
      <c r="L145" s="703"/>
      <c r="M145" s="703"/>
    </row>
    <row r="146" spans="1:13" x14ac:dyDescent="0.25">
      <c r="A146" s="703"/>
      <c r="B146" s="703"/>
      <c r="C146" s="703"/>
      <c r="D146" s="703"/>
      <c r="E146" s="703"/>
      <c r="F146" s="703"/>
      <c r="G146" s="703"/>
      <c r="H146" s="703"/>
      <c r="I146" s="703"/>
      <c r="J146" s="703"/>
      <c r="K146" s="703"/>
      <c r="L146" s="703"/>
      <c r="M146" s="703"/>
    </row>
    <row r="147" spans="1:13" x14ac:dyDescent="0.25">
      <c r="A147" s="703"/>
      <c r="B147" s="703"/>
      <c r="C147" s="703"/>
      <c r="D147" s="703"/>
      <c r="E147" s="703"/>
      <c r="F147" s="703"/>
      <c r="G147" s="703"/>
      <c r="H147" s="703"/>
      <c r="I147" s="703"/>
      <c r="J147" s="703"/>
      <c r="K147" s="703"/>
      <c r="L147" s="703"/>
      <c r="M147" s="703"/>
    </row>
    <row r="148" spans="1:13" x14ac:dyDescent="0.25">
      <c r="A148" s="703"/>
      <c r="B148" s="703"/>
      <c r="C148" s="703"/>
      <c r="D148" s="703"/>
      <c r="E148" s="703"/>
      <c r="F148" s="703"/>
      <c r="G148" s="703"/>
      <c r="H148" s="703"/>
      <c r="I148" s="703"/>
      <c r="J148" s="703"/>
      <c r="K148" s="703"/>
      <c r="L148" s="703"/>
      <c r="M148" s="703"/>
    </row>
    <row r="149" spans="1:13" x14ac:dyDescent="0.25">
      <c r="A149" s="703"/>
      <c r="B149" s="703"/>
      <c r="C149" s="703"/>
      <c r="D149" s="703"/>
      <c r="E149" s="703"/>
      <c r="F149" s="703"/>
      <c r="G149" s="703"/>
      <c r="H149" s="703"/>
      <c r="I149" s="703"/>
      <c r="J149" s="703"/>
      <c r="K149" s="703"/>
      <c r="L149" s="703"/>
      <c r="M149" s="703"/>
    </row>
    <row r="150" spans="1:13" x14ac:dyDescent="0.25">
      <c r="A150" s="703"/>
      <c r="B150" s="703"/>
      <c r="C150" s="703"/>
      <c r="D150" s="703"/>
      <c r="E150" s="703"/>
      <c r="F150" s="703"/>
      <c r="G150" s="703"/>
      <c r="H150" s="703"/>
      <c r="I150" s="703"/>
      <c r="J150" s="703"/>
      <c r="K150" s="703"/>
      <c r="L150" s="703"/>
      <c r="M150" s="703"/>
    </row>
    <row r="151" spans="1:13" x14ac:dyDescent="0.25">
      <c r="A151" s="703"/>
      <c r="B151" s="703"/>
      <c r="C151" s="703"/>
      <c r="D151" s="703"/>
      <c r="E151" s="703"/>
      <c r="F151" s="703"/>
      <c r="G151" s="703"/>
      <c r="H151" s="703"/>
      <c r="I151" s="703"/>
      <c r="J151" s="703"/>
      <c r="K151" s="703"/>
      <c r="L151" s="703"/>
      <c r="M151" s="703"/>
    </row>
    <row r="152" spans="1:13" x14ac:dyDescent="0.25">
      <c r="A152" s="703"/>
      <c r="B152" s="703"/>
      <c r="C152" s="703"/>
      <c r="D152" s="703"/>
      <c r="E152" s="703"/>
      <c r="F152" s="703"/>
      <c r="G152" s="703"/>
      <c r="H152" s="703"/>
      <c r="I152" s="703"/>
      <c r="J152" s="703"/>
      <c r="K152" s="703"/>
      <c r="L152" s="703"/>
      <c r="M152" s="703"/>
    </row>
    <row r="153" spans="1:13" x14ac:dyDescent="0.25">
      <c r="A153" s="703"/>
      <c r="B153" s="703"/>
      <c r="C153" s="703"/>
      <c r="D153" s="703"/>
      <c r="E153" s="703"/>
      <c r="F153" s="703"/>
      <c r="G153" s="703"/>
      <c r="H153" s="703"/>
      <c r="I153" s="703"/>
      <c r="J153" s="703"/>
      <c r="K153" s="703"/>
      <c r="L153" s="703"/>
      <c r="M153" s="703"/>
    </row>
    <row r="154" spans="1:13" x14ac:dyDescent="0.25">
      <c r="A154" s="703"/>
      <c r="B154" s="703"/>
      <c r="C154" s="703"/>
      <c r="D154" s="703"/>
      <c r="E154" s="703"/>
      <c r="F154" s="703"/>
      <c r="G154" s="703"/>
      <c r="H154" s="703"/>
      <c r="I154" s="703"/>
      <c r="J154" s="703"/>
      <c r="K154" s="703"/>
      <c r="L154" s="703"/>
      <c r="M154" s="703"/>
    </row>
    <row r="155" spans="1:13" x14ac:dyDescent="0.25">
      <c r="A155" s="703"/>
      <c r="B155" s="703"/>
      <c r="C155" s="703"/>
      <c r="D155" s="703"/>
      <c r="E155" s="703"/>
      <c r="F155" s="703"/>
      <c r="G155" s="703"/>
      <c r="H155" s="703"/>
      <c r="I155" s="703"/>
      <c r="J155" s="703"/>
      <c r="K155" s="703"/>
      <c r="L155" s="703"/>
      <c r="M155" s="703"/>
    </row>
    <row r="156" spans="1:13" x14ac:dyDescent="0.25">
      <c r="A156" s="703"/>
      <c r="B156" s="703"/>
      <c r="C156" s="703"/>
      <c r="D156" s="703"/>
      <c r="E156" s="703"/>
      <c r="F156" s="703"/>
      <c r="G156" s="703"/>
      <c r="H156" s="703"/>
      <c r="I156" s="703"/>
      <c r="J156" s="703"/>
      <c r="K156" s="703"/>
      <c r="L156" s="703"/>
      <c r="M156" s="703"/>
    </row>
    <row r="157" spans="1:13" x14ac:dyDescent="0.25">
      <c r="A157" s="703"/>
      <c r="B157" s="703"/>
      <c r="C157" s="703"/>
      <c r="D157" s="703"/>
      <c r="E157" s="703"/>
      <c r="F157" s="703"/>
      <c r="G157" s="703"/>
      <c r="H157" s="703"/>
      <c r="I157" s="703"/>
      <c r="J157" s="703"/>
      <c r="K157" s="703"/>
      <c r="L157" s="703"/>
      <c r="M157" s="703"/>
    </row>
    <row r="158" spans="1:13" x14ac:dyDescent="0.25">
      <c r="A158" s="703"/>
      <c r="B158" s="703"/>
      <c r="C158" s="703"/>
      <c r="D158" s="703"/>
      <c r="E158" s="703"/>
      <c r="F158" s="703"/>
      <c r="G158" s="703"/>
      <c r="H158" s="703"/>
      <c r="I158" s="703"/>
      <c r="J158" s="703"/>
      <c r="K158" s="703"/>
      <c r="L158" s="703"/>
      <c r="M158" s="703"/>
    </row>
    <row r="159" spans="1:13" x14ac:dyDescent="0.25">
      <c r="A159" s="703"/>
      <c r="B159" s="703"/>
      <c r="C159" s="703"/>
      <c r="D159" s="703"/>
      <c r="E159" s="703"/>
      <c r="F159" s="703"/>
      <c r="G159" s="703"/>
      <c r="H159" s="703"/>
      <c r="I159" s="703"/>
      <c r="J159" s="703"/>
      <c r="K159" s="703"/>
      <c r="L159" s="703"/>
      <c r="M159" s="703"/>
    </row>
    <row r="160" spans="1:13" x14ac:dyDescent="0.25">
      <c r="A160" s="703"/>
      <c r="B160" s="703"/>
      <c r="C160" s="703"/>
      <c r="D160" s="703"/>
      <c r="E160" s="703"/>
      <c r="F160" s="703"/>
      <c r="G160" s="703"/>
      <c r="H160" s="703"/>
      <c r="I160" s="703"/>
      <c r="J160" s="703"/>
      <c r="K160" s="703"/>
      <c r="L160" s="703"/>
      <c r="M160" s="703"/>
    </row>
    <row r="161" spans="1:13" x14ac:dyDescent="0.25">
      <c r="A161" s="703"/>
      <c r="B161" s="703"/>
      <c r="C161" s="703"/>
      <c r="D161" s="703"/>
      <c r="E161" s="703"/>
      <c r="F161" s="703"/>
      <c r="G161" s="703"/>
      <c r="H161" s="703"/>
      <c r="I161" s="703"/>
      <c r="J161" s="703"/>
      <c r="K161" s="703"/>
      <c r="L161" s="703"/>
      <c r="M161" s="703"/>
    </row>
    <row r="162" spans="1:13" x14ac:dyDescent="0.25">
      <c r="A162" s="703"/>
      <c r="B162" s="703"/>
      <c r="C162" s="703"/>
      <c r="D162" s="703"/>
      <c r="E162" s="703"/>
      <c r="F162" s="703"/>
      <c r="G162" s="703"/>
      <c r="H162" s="703"/>
      <c r="I162" s="703"/>
      <c r="J162" s="703"/>
      <c r="K162" s="703"/>
      <c r="L162" s="703"/>
      <c r="M162" s="703"/>
    </row>
    <row r="163" spans="1:13" x14ac:dyDescent="0.25">
      <c r="A163" s="703"/>
      <c r="B163" s="703"/>
      <c r="C163" s="703"/>
      <c r="D163" s="703"/>
      <c r="E163" s="703"/>
      <c r="F163" s="703"/>
      <c r="G163" s="703"/>
      <c r="H163" s="703"/>
      <c r="I163" s="703"/>
      <c r="J163" s="703"/>
      <c r="K163" s="703"/>
      <c r="L163" s="703"/>
      <c r="M163" s="703"/>
    </row>
    <row r="164" spans="1:13" x14ac:dyDescent="0.25">
      <c r="A164" s="703"/>
      <c r="B164" s="703"/>
      <c r="C164" s="703"/>
      <c r="D164" s="703"/>
      <c r="E164" s="703"/>
      <c r="F164" s="703"/>
      <c r="G164" s="703"/>
      <c r="H164" s="703"/>
      <c r="I164" s="703"/>
      <c r="J164" s="703"/>
      <c r="K164" s="703"/>
      <c r="L164" s="703"/>
      <c r="M164" s="703"/>
    </row>
    <row r="165" spans="1:13" x14ac:dyDescent="0.25">
      <c r="A165" s="703"/>
      <c r="B165" s="703"/>
      <c r="C165" s="703"/>
      <c r="D165" s="703"/>
      <c r="E165" s="703"/>
      <c r="F165" s="703"/>
      <c r="G165" s="703"/>
      <c r="H165" s="703"/>
      <c r="I165" s="703"/>
      <c r="J165" s="703"/>
      <c r="K165" s="703"/>
      <c r="L165" s="703"/>
      <c r="M165" s="703"/>
    </row>
    <row r="166" spans="1:13" x14ac:dyDescent="0.25">
      <c r="A166" s="703"/>
      <c r="B166" s="703"/>
      <c r="C166" s="703"/>
      <c r="D166" s="703"/>
      <c r="E166" s="703"/>
      <c r="F166" s="703"/>
      <c r="G166" s="703"/>
      <c r="H166" s="703"/>
      <c r="I166" s="703"/>
      <c r="J166" s="703"/>
      <c r="K166" s="703"/>
      <c r="L166" s="703"/>
      <c r="M166" s="703"/>
    </row>
    <row r="167" spans="1:13" x14ac:dyDescent="0.25">
      <c r="A167" s="703"/>
      <c r="B167" s="703"/>
      <c r="C167" s="703"/>
      <c r="D167" s="703"/>
      <c r="E167" s="703"/>
      <c r="F167" s="703"/>
      <c r="G167" s="703"/>
      <c r="H167" s="703"/>
      <c r="I167" s="703"/>
      <c r="J167" s="703"/>
      <c r="K167" s="703"/>
      <c r="L167" s="703"/>
      <c r="M167" s="703"/>
    </row>
    <row r="168" spans="1:13" x14ac:dyDescent="0.25">
      <c r="A168" s="703"/>
      <c r="B168" s="703"/>
      <c r="C168" s="703"/>
      <c r="D168" s="703"/>
      <c r="E168" s="703"/>
      <c r="F168" s="703"/>
      <c r="G168" s="703"/>
      <c r="H168" s="703"/>
      <c r="I168" s="703"/>
      <c r="J168" s="703"/>
      <c r="K168" s="703"/>
      <c r="L168" s="703"/>
      <c r="M168" s="703"/>
    </row>
    <row r="169" spans="1:13" x14ac:dyDescent="0.25">
      <c r="A169" s="703"/>
      <c r="B169" s="703"/>
      <c r="C169" s="703"/>
      <c r="D169" s="703"/>
      <c r="E169" s="703"/>
      <c r="F169" s="703"/>
      <c r="G169" s="703"/>
      <c r="H169" s="703"/>
      <c r="I169" s="703"/>
      <c r="J169" s="703"/>
      <c r="K169" s="703"/>
      <c r="L169" s="703"/>
      <c r="M169" s="703"/>
    </row>
    <row r="170" spans="1:13" x14ac:dyDescent="0.25">
      <c r="A170" s="703"/>
      <c r="B170" s="703"/>
      <c r="C170" s="703"/>
      <c r="D170" s="703"/>
      <c r="E170" s="703"/>
      <c r="F170" s="703"/>
      <c r="G170" s="703"/>
      <c r="H170" s="703"/>
      <c r="I170" s="703"/>
      <c r="J170" s="703"/>
      <c r="K170" s="703"/>
      <c r="L170" s="703"/>
      <c r="M170" s="703"/>
    </row>
    <row r="171" spans="1:13" x14ac:dyDescent="0.25">
      <c r="A171" s="703"/>
      <c r="B171" s="703"/>
      <c r="C171" s="703"/>
      <c r="D171" s="703"/>
      <c r="E171" s="703"/>
      <c r="F171" s="703"/>
      <c r="G171" s="703"/>
      <c r="H171" s="703"/>
      <c r="I171" s="703"/>
      <c r="J171" s="703"/>
      <c r="K171" s="703"/>
      <c r="L171" s="703"/>
      <c r="M171" s="703"/>
    </row>
    <row r="172" spans="1:13" x14ac:dyDescent="0.25">
      <c r="A172" s="703"/>
      <c r="B172" s="703"/>
      <c r="C172" s="703"/>
      <c r="D172" s="703"/>
      <c r="E172" s="703"/>
      <c r="F172" s="703"/>
      <c r="G172" s="703"/>
      <c r="H172" s="703"/>
      <c r="I172" s="703"/>
      <c r="J172" s="703"/>
      <c r="K172" s="703"/>
      <c r="L172" s="703"/>
      <c r="M172" s="703"/>
    </row>
  </sheetData>
  <sheetProtection password="838D" sheet="1" objects="1" scenarios="1"/>
  <mergeCells count="8">
    <mergeCell ref="A25:A28"/>
    <mergeCell ref="A17:A18"/>
    <mergeCell ref="C7:D7"/>
    <mergeCell ref="A11:A12"/>
    <mergeCell ref="A13:A16"/>
    <mergeCell ref="A9:A10"/>
    <mergeCell ref="A23:A24"/>
    <mergeCell ref="A19:A22"/>
  </mergeCells>
  <phoneticPr fontId="3" type="noConversion"/>
  <dataValidations count="2">
    <dataValidation allowBlank="1" showInputMessage="1" showErrorMessage="1" promptTitle="Calorific Value for other fuels" prompt="If the calorific value is known please enter in this box.  " sqref="H16:I16 H22 S16" xr:uid="{00000000-0002-0000-0A00-000000000000}"/>
    <dataValidation allowBlank="1" showInputMessage="1" showErrorMessage="1" promptTitle="Calorific Value" prompt="If your calorific value differs from the one shown, contact Helen Bentley-Fox" sqref="I13:I15 S13:S15" xr:uid="{00000000-0002-0000-0A00-000001000000}"/>
  </dataValidations>
  <hyperlinks>
    <hyperlink ref="H13" r:id="rId1" xr:uid="{00000000-0004-0000-0A00-000000000000}"/>
    <hyperlink ref="H14" r:id="rId2" xr:uid="{00000000-0004-0000-0A00-000001000000}"/>
    <hyperlink ref="H15" r:id="rId3" xr:uid="{00000000-0004-0000-0A00-00000200000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1"/>
  <dimension ref="A1:AR467"/>
  <sheetViews>
    <sheetView topLeftCell="A347" zoomScale="65" zoomScaleNormal="80" zoomScalePageLayoutView="80" workbookViewId="0">
      <selection activeCell="B380" sqref="B380"/>
    </sheetView>
  </sheetViews>
  <sheetFormatPr defaultColWidth="8.77734375" defaultRowHeight="12.7" x14ac:dyDescent="0.25"/>
  <cols>
    <col min="1" max="1" width="50.44140625" style="60" customWidth="1" collapsed="1"/>
    <col min="2" max="2" width="58.77734375" style="60" customWidth="1" collapsed="1"/>
    <col min="3" max="3" width="51.21875" style="60" customWidth="1" collapsed="1"/>
    <col min="4" max="4" width="22.21875" style="60" customWidth="1" collapsed="1"/>
    <col min="5" max="5" width="23.77734375" style="60" customWidth="1" collapsed="1"/>
    <col min="6" max="6" width="23" style="60" customWidth="1" collapsed="1"/>
    <col min="7" max="7" width="26.44140625" style="60" customWidth="1" collapsed="1"/>
    <col min="8" max="8" width="8.77734375" style="60" collapsed="1"/>
    <col min="9" max="9" width="13.33203125" style="60" bestFit="1" customWidth="1" collapsed="1"/>
    <col min="10" max="10" width="9" style="60" bestFit="1" customWidth="1" collapsed="1"/>
    <col min="11" max="11" width="13.77734375" style="769" customWidth="1" collapsed="1"/>
    <col min="12" max="12" width="12.44140625" style="60" bestFit="1" customWidth="1" collapsed="1"/>
    <col min="13" max="13" width="9.21875" style="159" customWidth="1" collapsed="1"/>
    <col min="14" max="14" width="13.6640625" style="60" bestFit="1" customWidth="1" collapsed="1"/>
    <col min="15" max="15" width="9" style="60" bestFit="1" customWidth="1" collapsed="1"/>
    <col min="16" max="16" width="8.77734375" style="60" collapsed="1"/>
    <col min="17" max="17" width="13" style="60" bestFit="1" customWidth="1" collapsed="1"/>
    <col min="18" max="18" width="13.33203125" style="60" bestFit="1" customWidth="1" collapsed="1"/>
    <col min="19" max="20" width="11.6640625" style="60" customWidth="1" collapsed="1"/>
    <col min="21" max="21" width="13.44140625" style="60" customWidth="1" collapsed="1"/>
    <col min="22" max="22" width="11.6640625" style="60" customWidth="1" collapsed="1"/>
    <col min="23" max="23" width="13.33203125" style="60" customWidth="1" collapsed="1"/>
    <col min="24" max="27" width="11.6640625" style="60" customWidth="1" collapsed="1"/>
    <col min="28" max="38" width="8.77734375" style="60" collapsed="1"/>
    <col min="39" max="39" width="58.77734375" style="60" customWidth="1" collapsed="1"/>
    <col min="40" max="16384" width="8.77734375" style="60" collapsed="1"/>
  </cols>
  <sheetData>
    <row r="1" spans="1:31" x14ac:dyDescent="0.25">
      <c r="A1" s="729"/>
      <c r="B1" s="207"/>
      <c r="C1" s="207"/>
      <c r="D1" s="207"/>
      <c r="E1" s="207"/>
      <c r="F1" s="207"/>
      <c r="G1" s="207"/>
      <c r="H1" s="207"/>
      <c r="I1" s="207"/>
      <c r="J1" s="207"/>
      <c r="K1" s="730"/>
      <c r="L1" s="207"/>
      <c r="M1" s="731"/>
      <c r="N1" s="207"/>
      <c r="O1" s="207"/>
      <c r="P1" s="732"/>
      <c r="Q1" s="181"/>
    </row>
    <row r="2" spans="1:31" ht="12.85" customHeight="1" x14ac:dyDescent="0.25">
      <c r="A2" s="2565" t="s">
        <v>320</v>
      </c>
      <c r="B2" s="2566"/>
      <c r="C2" s="2566"/>
      <c r="D2" s="2566"/>
      <c r="E2" s="2566"/>
      <c r="F2" s="2566"/>
      <c r="G2" s="2566"/>
      <c r="H2" s="2566"/>
      <c r="I2" s="2566"/>
      <c r="J2" s="2566"/>
      <c r="K2" s="2566"/>
      <c r="L2" s="181"/>
      <c r="M2" s="291"/>
      <c r="N2" s="181"/>
      <c r="O2" s="181"/>
      <c r="P2" s="227"/>
      <c r="Q2" s="181"/>
    </row>
    <row r="3" spans="1:31" x14ac:dyDescent="0.25">
      <c r="A3" s="2565"/>
      <c r="B3" s="2566"/>
      <c r="C3" s="2566"/>
      <c r="D3" s="2566"/>
      <c r="E3" s="2566"/>
      <c r="F3" s="2566"/>
      <c r="G3" s="2566"/>
      <c r="H3" s="2566"/>
      <c r="I3" s="2566"/>
      <c r="J3" s="2566"/>
      <c r="K3" s="2566"/>
      <c r="L3" s="181"/>
      <c r="M3" s="291"/>
      <c r="N3" s="181"/>
      <c r="O3" s="181"/>
      <c r="P3" s="227"/>
      <c r="Q3" s="181"/>
    </row>
    <row r="4" spans="1:31" x14ac:dyDescent="0.25">
      <c r="A4" s="820"/>
      <c r="B4" s="821"/>
      <c r="C4" s="821"/>
      <c r="D4" s="821"/>
      <c r="E4" s="821"/>
      <c r="F4" s="821"/>
      <c r="G4" s="821"/>
      <c r="H4" s="821"/>
      <c r="I4" s="821"/>
      <c r="J4" s="821"/>
      <c r="K4" s="821"/>
      <c r="L4" s="181"/>
      <c r="M4" s="291"/>
      <c r="N4" s="181"/>
      <c r="O4" s="181"/>
      <c r="P4" s="227"/>
      <c r="Q4" s="181"/>
      <c r="X4" s="733" t="s">
        <v>756</v>
      </c>
    </row>
    <row r="5" spans="1:31" x14ac:dyDescent="0.25">
      <c r="A5" s="820"/>
      <c r="B5" s="821"/>
      <c r="C5" s="821"/>
      <c r="D5" s="821"/>
      <c r="E5" s="821"/>
      <c r="F5" s="821"/>
      <c r="G5" s="821"/>
      <c r="H5" s="821"/>
      <c r="I5" s="821"/>
      <c r="J5" s="821"/>
      <c r="K5" s="821"/>
      <c r="L5" s="181"/>
      <c r="M5" s="291"/>
      <c r="N5" s="181"/>
      <c r="O5" s="181"/>
      <c r="P5" s="227"/>
      <c r="Q5" s="181"/>
    </row>
    <row r="6" spans="1:31" x14ac:dyDescent="0.25">
      <c r="A6" s="820"/>
      <c r="B6" s="821"/>
      <c r="C6" s="821"/>
      <c r="D6" s="821"/>
      <c r="E6" s="821"/>
      <c r="F6" s="821"/>
      <c r="G6" s="821"/>
      <c r="H6" s="821"/>
      <c r="I6" s="821"/>
      <c r="J6" s="821"/>
      <c r="K6" s="821"/>
      <c r="L6" s="181"/>
      <c r="M6" s="291"/>
      <c r="N6" s="181"/>
      <c r="O6" s="181"/>
      <c r="P6" s="227"/>
      <c r="Q6" s="181"/>
    </row>
    <row r="7" spans="1:31" x14ac:dyDescent="0.25">
      <c r="A7" s="820"/>
      <c r="B7" s="821"/>
      <c r="C7" s="821"/>
      <c r="D7" s="821"/>
      <c r="E7" s="821"/>
      <c r="F7" s="821"/>
      <c r="G7" s="821"/>
      <c r="H7" s="821"/>
      <c r="I7" s="821"/>
      <c r="J7" s="821"/>
      <c r="K7" s="821"/>
      <c r="L7" s="181"/>
      <c r="M7" s="291"/>
      <c r="N7" s="181"/>
      <c r="O7" s="181"/>
      <c r="P7" s="227"/>
      <c r="Q7" s="181"/>
    </row>
    <row r="8" spans="1:31" x14ac:dyDescent="0.25">
      <c r="A8" s="820"/>
      <c r="B8" s="821"/>
      <c r="C8" s="821"/>
      <c r="D8" s="821"/>
      <c r="E8" s="821"/>
      <c r="F8" s="821"/>
      <c r="G8" s="821"/>
      <c r="H8" s="821"/>
      <c r="I8" s="821"/>
      <c r="J8" s="821"/>
      <c r="K8" s="821"/>
      <c r="L8" s="181"/>
      <c r="M8" s="291"/>
      <c r="N8" s="181"/>
      <c r="O8" s="181"/>
      <c r="P8" s="227"/>
      <c r="Q8" s="181"/>
    </row>
    <row r="9" spans="1:31" x14ac:dyDescent="0.25">
      <c r="A9" s="820"/>
      <c r="B9" s="821"/>
      <c r="C9" s="821"/>
      <c r="D9" s="821"/>
      <c r="E9" s="821"/>
      <c r="F9" s="821"/>
      <c r="G9" s="821"/>
      <c r="H9" s="821"/>
      <c r="I9" s="821"/>
      <c r="J9" s="821"/>
      <c r="K9" s="821"/>
      <c r="L9" s="181"/>
      <c r="M9" s="291"/>
      <c r="N9" s="181"/>
      <c r="O9" s="181"/>
      <c r="P9" s="227"/>
      <c r="Q9" s="181"/>
    </row>
    <row r="10" spans="1:31" x14ac:dyDescent="0.25">
      <c r="A10" s="195"/>
      <c r="B10" s="821"/>
      <c r="C10" s="181"/>
      <c r="D10" s="181"/>
      <c r="E10" s="181"/>
      <c r="F10" s="181"/>
      <c r="G10" s="181"/>
      <c r="H10" s="181"/>
      <c r="I10" s="181"/>
      <c r="J10" s="181"/>
      <c r="K10" s="734"/>
      <c r="L10" s="181"/>
      <c r="M10" s="291"/>
      <c r="N10" s="181"/>
      <c r="O10" s="181"/>
      <c r="P10" s="227"/>
      <c r="Q10" s="181"/>
      <c r="Y10" s="291"/>
      <c r="Z10" s="291"/>
      <c r="AA10" s="291"/>
      <c r="AB10" s="291"/>
      <c r="AC10" s="291"/>
      <c r="AD10" s="291"/>
      <c r="AE10" s="291"/>
    </row>
    <row r="11" spans="1:31" x14ac:dyDescent="0.25">
      <c r="A11" s="195"/>
      <c r="B11" s="821"/>
      <c r="C11" s="181"/>
      <c r="D11" s="181"/>
      <c r="E11" s="181"/>
      <c r="F11" s="181"/>
      <c r="G11" s="181"/>
      <c r="H11" s="181"/>
      <c r="I11" s="181"/>
      <c r="J11" s="181"/>
      <c r="K11" s="734"/>
      <c r="L11" s="181"/>
      <c r="M11" s="291"/>
      <c r="N11" s="181"/>
      <c r="O11" s="181"/>
      <c r="P11" s="227"/>
      <c r="Q11" s="181"/>
      <c r="Y11" s="291"/>
      <c r="AD11" s="60" t="s">
        <v>1467</v>
      </c>
      <c r="AE11" s="291"/>
    </row>
    <row r="12" spans="1:31" x14ac:dyDescent="0.25">
      <c r="A12" s="195"/>
      <c r="B12" s="821"/>
      <c r="C12" s="181"/>
      <c r="D12" s="181"/>
      <c r="E12" s="181"/>
      <c r="F12" s="181"/>
      <c r="G12" s="181"/>
      <c r="H12" s="181"/>
      <c r="I12" s="181"/>
      <c r="J12" s="181"/>
      <c r="K12" s="734"/>
      <c r="L12" s="181"/>
      <c r="M12" s="291"/>
      <c r="N12" s="181"/>
      <c r="O12" s="181"/>
      <c r="P12" s="227"/>
      <c r="Q12" s="181"/>
      <c r="Y12" s="291"/>
      <c r="AA12" s="60" t="s">
        <v>1477</v>
      </c>
      <c r="AD12" s="735">
        <f>AVERAGE('A1. Submodels &amp; data'!H44:H47)</f>
        <v>0.13350000000000001</v>
      </c>
      <c r="AE12" s="291"/>
    </row>
    <row r="13" spans="1:31" x14ac:dyDescent="0.25">
      <c r="A13" s="195"/>
      <c r="B13" s="821"/>
      <c r="C13" s="181"/>
      <c r="D13" s="181"/>
      <c r="E13" s="181"/>
      <c r="F13" s="181"/>
      <c r="G13" s="181"/>
      <c r="H13" s="181"/>
      <c r="I13" s="181"/>
      <c r="J13" s="181"/>
      <c r="K13" s="734"/>
      <c r="L13" s="181"/>
      <c r="M13" s="291"/>
      <c r="N13" s="181"/>
      <c r="O13" s="181"/>
      <c r="P13" s="227"/>
      <c r="Q13" s="181"/>
    </row>
    <row r="14" spans="1:31" ht="13.25" thickBot="1" x14ac:dyDescent="0.3">
      <c r="A14" s="264"/>
      <c r="B14" s="202"/>
      <c r="C14" s="202"/>
      <c r="D14" s="202"/>
      <c r="E14" s="202"/>
      <c r="F14" s="202"/>
      <c r="G14" s="202"/>
      <c r="H14" s="202"/>
      <c r="I14" s="202"/>
      <c r="J14" s="202"/>
      <c r="K14" s="736"/>
      <c r="L14" s="202"/>
      <c r="M14" s="737"/>
      <c r="N14" s="202"/>
      <c r="O14" s="202"/>
      <c r="P14" s="203"/>
      <c r="Q14" s="181"/>
    </row>
    <row r="15" spans="1:31" ht="13.25" thickBot="1" x14ac:dyDescent="0.3">
      <c r="A15" s="181"/>
      <c r="B15" s="181"/>
      <c r="C15" s="181"/>
      <c r="D15" s="181"/>
      <c r="E15" s="181"/>
      <c r="F15" s="181"/>
      <c r="G15" s="181"/>
      <c r="H15" s="181"/>
      <c r="I15" s="181"/>
      <c r="J15" s="181"/>
      <c r="K15" s="734"/>
      <c r="L15" s="181"/>
      <c r="M15" s="291"/>
      <c r="N15" s="181"/>
      <c r="O15" s="181"/>
      <c r="P15" s="181"/>
      <c r="Q15" s="181"/>
      <c r="T15" s="60" t="s">
        <v>1219</v>
      </c>
      <c r="U15" s="60" t="s">
        <v>1218</v>
      </c>
      <c r="V15" s="60" t="s">
        <v>1217</v>
      </c>
      <c r="W15" s="60" t="s">
        <v>79</v>
      </c>
    </row>
    <row r="16" spans="1:31" ht="51.3" thickBot="1" x14ac:dyDescent="0.3">
      <c r="A16" s="738"/>
      <c r="B16" s="63" t="s">
        <v>1108</v>
      </c>
      <c r="C16" s="388"/>
      <c r="D16" s="387"/>
      <c r="E16" s="387"/>
      <c r="F16" s="68"/>
      <c r="G16" s="7"/>
      <c r="H16" s="68"/>
      <c r="I16" s="5"/>
      <c r="J16" s="155"/>
      <c r="K16" s="63"/>
      <c r="L16" s="155"/>
      <c r="M16" s="7"/>
      <c r="N16" s="7"/>
      <c r="O16" s="2564"/>
      <c r="P16" s="2564"/>
      <c r="Q16" s="7"/>
      <c r="R16" s="7"/>
      <c r="S16" s="388"/>
      <c r="T16" s="64" t="s">
        <v>1730</v>
      </c>
      <c r="U16" s="64" t="s">
        <v>1731</v>
      </c>
      <c r="V16" s="64" t="s">
        <v>1732</v>
      </c>
      <c r="W16" s="64" t="s">
        <v>1216</v>
      </c>
      <c r="X16" s="71" t="s">
        <v>1346</v>
      </c>
      <c r="Y16" s="72" t="s">
        <v>1347</v>
      </c>
      <c r="Z16" s="64" t="s">
        <v>1348</v>
      </c>
      <c r="AA16" s="73" t="s">
        <v>1349</v>
      </c>
      <c r="AB16" s="388" t="s">
        <v>1355</v>
      </c>
      <c r="AC16" s="152" t="s">
        <v>1340</v>
      </c>
    </row>
    <row r="17" spans="1:40" ht="13.25" thickBot="1" x14ac:dyDescent="0.3">
      <c r="A17" s="372"/>
      <c r="B17" s="1212" t="s">
        <v>1730</v>
      </c>
      <c r="C17" s="374"/>
      <c r="D17" s="373" t="s">
        <v>906</v>
      </c>
      <c r="E17" s="373" t="s">
        <v>1483</v>
      </c>
      <c r="F17" s="739" t="s">
        <v>890</v>
      </c>
      <c r="G17" s="66" t="s">
        <v>891</v>
      </c>
      <c r="H17" s="69" t="s">
        <v>892</v>
      </c>
      <c r="I17" s="23" t="s">
        <v>488</v>
      </c>
      <c r="J17" s="66" t="s">
        <v>489</v>
      </c>
      <c r="K17" s="67" t="s">
        <v>490</v>
      </c>
      <c r="L17" s="66" t="s">
        <v>426</v>
      </c>
      <c r="M17" s="66" t="s">
        <v>427</v>
      </c>
      <c r="N17" s="66" t="s">
        <v>428</v>
      </c>
      <c r="O17" s="66" t="s">
        <v>586</v>
      </c>
      <c r="P17" s="66" t="s">
        <v>587</v>
      </c>
      <c r="Q17" s="66" t="s">
        <v>588</v>
      </c>
      <c r="R17" s="66" t="s">
        <v>589</v>
      </c>
      <c r="S17" s="67" t="s">
        <v>590</v>
      </c>
      <c r="T17" s="66">
        <v>1</v>
      </c>
      <c r="U17" s="66">
        <v>2</v>
      </c>
      <c r="V17" s="66">
        <v>3</v>
      </c>
      <c r="W17" s="66">
        <v>4</v>
      </c>
      <c r="X17" s="739"/>
      <c r="Y17" s="372"/>
      <c r="Z17" s="373"/>
      <c r="AA17" s="374"/>
      <c r="AB17" s="374">
        <f>SUMIF(T16:W16,'A1. Submodels &amp; data'!B17,T17:W17)</f>
        <v>1</v>
      </c>
    </row>
    <row r="18" spans="1:40" ht="50.25" customHeight="1" x14ac:dyDescent="0.25">
      <c r="A18" s="738"/>
      <c r="B18" s="387"/>
      <c r="C18" s="388"/>
      <c r="D18" s="150"/>
      <c r="E18" s="150"/>
      <c r="F18" s="740"/>
      <c r="G18" s="9"/>
      <c r="H18" s="70"/>
      <c r="I18" s="6"/>
      <c r="J18" s="9"/>
      <c r="K18" s="8"/>
      <c r="L18" s="9"/>
      <c r="M18" s="9"/>
      <c r="N18" s="9"/>
      <c r="O18" s="9"/>
      <c r="P18" s="9"/>
      <c r="Q18" s="9"/>
      <c r="R18" s="9"/>
      <c r="S18" s="8"/>
      <c r="T18" s="9"/>
      <c r="U18" s="9"/>
      <c r="V18" s="9"/>
      <c r="W18" s="150"/>
      <c r="X18" s="363"/>
      <c r="Y18" s="1355"/>
      <c r="Z18" s="1356"/>
      <c r="AA18" s="1357"/>
      <c r="AB18" s="357"/>
      <c r="AM18" s="5" t="s">
        <v>488</v>
      </c>
      <c r="AN18" s="732">
        <v>1</v>
      </c>
    </row>
    <row r="19" spans="1:40" x14ac:dyDescent="0.25">
      <c r="A19" s="363" t="str">
        <f t="shared" ref="A19:A26" si="0">C19</f>
        <v>Ammonium Bicarbonate - 30% N</v>
      </c>
      <c r="B19" s="741" t="s">
        <v>753</v>
      </c>
      <c r="C19" s="742" t="s">
        <v>1007</v>
      </c>
      <c r="D19" s="743">
        <v>1</v>
      </c>
      <c r="E19" s="743">
        <v>1</v>
      </c>
      <c r="F19" s="740" t="e">
        <f>NA()</f>
        <v>#N/A</v>
      </c>
      <c r="G19" s="744" t="s">
        <v>488</v>
      </c>
      <c r="H19" s="745">
        <v>0</v>
      </c>
      <c r="I19" s="65">
        <v>0.3</v>
      </c>
      <c r="J19" s="62">
        <f t="shared" ref="J19:J53" si="1">0.436*L19</f>
        <v>0</v>
      </c>
      <c r="K19" s="156">
        <f t="shared" ref="K19:K26" si="2">38/46*M19</f>
        <v>0</v>
      </c>
      <c r="L19" s="62">
        <v>0</v>
      </c>
      <c r="M19" s="62">
        <v>0</v>
      </c>
      <c r="N19" s="62">
        <v>0</v>
      </c>
      <c r="O19" s="62">
        <v>0</v>
      </c>
      <c r="P19" s="62">
        <v>0</v>
      </c>
      <c r="Q19" s="62">
        <v>0</v>
      </c>
      <c r="R19" s="62">
        <v>0</v>
      </c>
      <c r="S19" s="156">
        <v>0</v>
      </c>
      <c r="T19" s="2192">
        <f>V19</f>
        <v>1.236</v>
      </c>
      <c r="U19" s="2192">
        <f>V19</f>
        <v>1.236</v>
      </c>
      <c r="V19" s="2191">
        <v>1.236</v>
      </c>
      <c r="W19" s="2194">
        <f>V19</f>
        <v>1.236</v>
      </c>
      <c r="X19" s="363"/>
      <c r="Y19" s="1358">
        <v>5.1000000000000004E-3</v>
      </c>
      <c r="Z19" s="1359">
        <v>5.5999999999999999E-3</v>
      </c>
      <c r="AA19" s="1360">
        <v>0.38700000000000001</v>
      </c>
      <c r="AB19" s="750">
        <f t="shared" ref="AB19:AB41" ca="1" si="3">OFFSET(T19,0,$AB$17-1)</f>
        <v>1.236</v>
      </c>
      <c r="AC19" s="187">
        <v>0</v>
      </c>
      <c r="AM19" s="6" t="s">
        <v>489</v>
      </c>
      <c r="AN19" s="227">
        <v>2</v>
      </c>
    </row>
    <row r="20" spans="1:40" x14ac:dyDescent="0.25">
      <c r="A20" s="363" t="str">
        <f t="shared" si="0"/>
        <v>Ammonium nitrate - 35% N</v>
      </c>
      <c r="B20" s="741" t="s">
        <v>757</v>
      </c>
      <c r="C20" s="742" t="s">
        <v>1182</v>
      </c>
      <c r="D20" s="743">
        <v>2</v>
      </c>
      <c r="E20" s="743">
        <v>2</v>
      </c>
      <c r="F20" s="740" t="e">
        <f>NA()</f>
        <v>#N/A</v>
      </c>
      <c r="G20" s="744" t="s">
        <v>488</v>
      </c>
      <c r="H20" s="745">
        <v>0</v>
      </c>
      <c r="I20" s="65">
        <v>0.35</v>
      </c>
      <c r="J20" s="62">
        <f t="shared" si="1"/>
        <v>0</v>
      </c>
      <c r="K20" s="156">
        <f t="shared" si="2"/>
        <v>0</v>
      </c>
      <c r="L20" s="62">
        <v>0</v>
      </c>
      <c r="M20" s="62">
        <v>0</v>
      </c>
      <c r="N20" s="62">
        <v>0</v>
      </c>
      <c r="O20" s="62">
        <v>0</v>
      </c>
      <c r="P20" s="62">
        <v>0</v>
      </c>
      <c r="Q20" s="62">
        <v>0</v>
      </c>
      <c r="R20" s="62">
        <v>0</v>
      </c>
      <c r="S20" s="156">
        <v>0</v>
      </c>
      <c r="T20" s="2191">
        <v>2.14</v>
      </c>
      <c r="U20" s="2191">
        <v>0.96</v>
      </c>
      <c r="V20" s="2191">
        <v>3.0418500000000002</v>
      </c>
      <c r="W20" s="2191">
        <v>2.38</v>
      </c>
      <c r="X20" s="363"/>
      <c r="Y20" s="1358">
        <v>6.1000000000000004E-3</v>
      </c>
      <c r="Z20" s="1359">
        <v>4.0000000000000001E-3</v>
      </c>
      <c r="AA20" s="1360">
        <v>-0.35</v>
      </c>
      <c r="AB20" s="750">
        <f t="shared" ca="1" si="3"/>
        <v>2.14</v>
      </c>
      <c r="AC20" s="187">
        <v>0</v>
      </c>
      <c r="AM20" s="6" t="s">
        <v>490</v>
      </c>
      <c r="AN20" s="227">
        <v>3</v>
      </c>
    </row>
    <row r="21" spans="1:40" x14ac:dyDescent="0.25">
      <c r="A21" s="363" t="str">
        <f t="shared" si="0"/>
        <v>Ammonium sulphate - 21% N</v>
      </c>
      <c r="B21" s="741" t="s">
        <v>758</v>
      </c>
      <c r="C21" s="742" t="s">
        <v>1183</v>
      </c>
      <c r="D21" s="743">
        <v>3</v>
      </c>
      <c r="E21" s="743">
        <v>3</v>
      </c>
      <c r="F21" s="740" t="e">
        <f>NA()</f>
        <v>#N/A</v>
      </c>
      <c r="G21" s="744" t="s">
        <v>488</v>
      </c>
      <c r="H21" s="745">
        <v>0</v>
      </c>
      <c r="I21" s="65">
        <v>0.21</v>
      </c>
      <c r="J21" s="62">
        <f t="shared" si="1"/>
        <v>0</v>
      </c>
      <c r="K21" s="156">
        <f t="shared" si="2"/>
        <v>0</v>
      </c>
      <c r="L21" s="62">
        <v>0</v>
      </c>
      <c r="M21" s="62">
        <v>0</v>
      </c>
      <c r="N21" s="62">
        <v>0</v>
      </c>
      <c r="O21" s="62">
        <v>0</v>
      </c>
      <c r="P21" s="62">
        <v>0</v>
      </c>
      <c r="Q21" s="62">
        <v>0</v>
      </c>
      <c r="R21" s="62">
        <v>0</v>
      </c>
      <c r="S21" s="156">
        <f>S22*14/9</f>
        <v>0.50555555555555554</v>
      </c>
      <c r="T21" s="2192">
        <f>V21</f>
        <v>0.58674000000000004</v>
      </c>
      <c r="U21" s="2192">
        <f>V21</f>
        <v>0.58674000000000004</v>
      </c>
      <c r="V21" s="2191">
        <v>0.58674000000000004</v>
      </c>
      <c r="W21" s="2192">
        <f>V21</f>
        <v>0.58674000000000004</v>
      </c>
      <c r="X21" s="363"/>
      <c r="Y21" s="1358">
        <v>5.1000000000000004E-3</v>
      </c>
      <c r="Z21" s="1359">
        <v>5.5999999999999999E-3</v>
      </c>
      <c r="AA21" s="1360">
        <v>0.42899999999999999</v>
      </c>
      <c r="AB21" s="750">
        <f t="shared" ca="1" si="3"/>
        <v>0.58674000000000004</v>
      </c>
      <c r="AC21" s="187">
        <v>0</v>
      </c>
      <c r="AM21" s="6" t="s">
        <v>426</v>
      </c>
      <c r="AN21" s="227">
        <v>4</v>
      </c>
    </row>
    <row r="22" spans="1:40" x14ac:dyDescent="0.25">
      <c r="A22" s="363" t="s">
        <v>1890</v>
      </c>
      <c r="B22" s="741" t="s">
        <v>1891</v>
      </c>
      <c r="C22" s="150" t="s">
        <v>1890</v>
      </c>
      <c r="D22" s="743">
        <v>4</v>
      </c>
      <c r="E22" s="743">
        <v>4</v>
      </c>
      <c r="F22" s="740" t="e">
        <f>NA()</f>
        <v>#N/A</v>
      </c>
      <c r="G22" s="744" t="s">
        <v>488</v>
      </c>
      <c r="H22" s="745">
        <v>0</v>
      </c>
      <c r="I22" s="65">
        <v>0.26</v>
      </c>
      <c r="J22" s="62">
        <f t="shared" si="1"/>
        <v>0</v>
      </c>
      <c r="K22" s="156">
        <v>0</v>
      </c>
      <c r="L22" s="62">
        <v>0</v>
      </c>
      <c r="M22" s="62">
        <v>0</v>
      </c>
      <c r="N22" s="62">
        <v>0</v>
      </c>
      <c r="O22" s="62">
        <v>0</v>
      </c>
      <c r="P22" s="62">
        <v>0</v>
      </c>
      <c r="Q22" s="62">
        <v>0</v>
      </c>
      <c r="R22" s="62">
        <v>0</v>
      </c>
      <c r="S22" s="156">
        <f>0.13*5/2</f>
        <v>0.32500000000000001</v>
      </c>
      <c r="T22" s="2192">
        <f>(9/14)*T21+(5/14)*T20</f>
        <v>1.1414757142857144</v>
      </c>
      <c r="U22" s="2192">
        <f>(9/14)*U21+(5/14)*U20</f>
        <v>0.72004714285714289</v>
      </c>
      <c r="V22" s="2196">
        <f>(9/14)*V21+(5/14)*V20</f>
        <v>1.4635650000000002</v>
      </c>
      <c r="W22" s="2192">
        <f>(9/14)*W21+(5/14)*W20</f>
        <v>1.22719</v>
      </c>
      <c r="X22" s="363"/>
      <c r="Y22" s="1358">
        <f>(9/14)*Y21+(5/14)*Y20</f>
        <v>5.4571428571428575E-3</v>
      </c>
      <c r="Z22" s="1359">
        <f>(9/14)*Z21+(5/14)*Z20</f>
        <v>5.0285714285714291E-3</v>
      </c>
      <c r="AA22" s="1360">
        <f>(9/14)*AA21+(5/14)*AA20</f>
        <v>0.1507857142857143</v>
      </c>
      <c r="AB22" s="750">
        <f t="shared" ca="1" si="3"/>
        <v>1.1414757142857144</v>
      </c>
      <c r="AC22" s="187">
        <v>0</v>
      </c>
      <c r="AM22" s="6" t="s">
        <v>427</v>
      </c>
      <c r="AN22" s="227">
        <v>5</v>
      </c>
    </row>
    <row r="23" spans="1:40" x14ac:dyDescent="0.25">
      <c r="A23" s="363" t="str">
        <f t="shared" si="0"/>
        <v>Anhydrous ammonia - 82% N</v>
      </c>
      <c r="B23" s="741" t="s">
        <v>759</v>
      </c>
      <c r="C23" s="742" t="s">
        <v>1184</v>
      </c>
      <c r="D23" s="743">
        <v>5</v>
      </c>
      <c r="E23" s="743">
        <v>5</v>
      </c>
      <c r="F23" s="740" t="e">
        <f>NA()</f>
        <v>#N/A</v>
      </c>
      <c r="G23" s="744" t="s">
        <v>488</v>
      </c>
      <c r="H23" s="745">
        <v>0</v>
      </c>
      <c r="I23" s="65">
        <v>0.82</v>
      </c>
      <c r="J23" s="62">
        <f t="shared" si="1"/>
        <v>0</v>
      </c>
      <c r="K23" s="156">
        <f t="shared" si="2"/>
        <v>0</v>
      </c>
      <c r="L23" s="62">
        <v>0</v>
      </c>
      <c r="M23" s="62">
        <v>0</v>
      </c>
      <c r="N23" s="62">
        <v>0</v>
      </c>
      <c r="O23" s="62">
        <v>0</v>
      </c>
      <c r="P23" s="62">
        <v>0</v>
      </c>
      <c r="Q23" s="62">
        <v>0</v>
      </c>
      <c r="R23" s="62">
        <v>0</v>
      </c>
      <c r="S23" s="156">
        <v>0</v>
      </c>
      <c r="T23" s="2192">
        <f>V23</f>
        <v>1.7374159999999996</v>
      </c>
      <c r="U23" s="2192">
        <f>V23</f>
        <v>1.7374159999999996</v>
      </c>
      <c r="V23" s="2191">
        <v>1.7374159999999996</v>
      </c>
      <c r="W23" s="2191">
        <v>1.91</v>
      </c>
      <c r="X23" s="363"/>
      <c r="Y23" s="1358">
        <v>5.5999999999999999E-3</v>
      </c>
      <c r="Z23" s="1359">
        <v>5.1000000000000004E-3</v>
      </c>
      <c r="AA23" s="1360">
        <v>-1.151</v>
      </c>
      <c r="AB23" s="750">
        <f t="shared" ca="1" si="3"/>
        <v>1.7374159999999996</v>
      </c>
      <c r="AC23" s="187">
        <v>0</v>
      </c>
      <c r="AM23" s="6" t="s">
        <v>428</v>
      </c>
      <c r="AN23" s="227">
        <v>6</v>
      </c>
    </row>
    <row r="24" spans="1:40" x14ac:dyDescent="0.25">
      <c r="A24" s="363" t="str">
        <f t="shared" si="0"/>
        <v>Calcium ammonium nitrate -27% N</v>
      </c>
      <c r="B24" s="741" t="s">
        <v>760</v>
      </c>
      <c r="C24" s="742" t="s">
        <v>1185</v>
      </c>
      <c r="D24" s="743">
        <v>6</v>
      </c>
      <c r="E24" s="743">
        <v>6</v>
      </c>
      <c r="F24" s="740" t="e">
        <f>NA()</f>
        <v>#N/A</v>
      </c>
      <c r="G24" s="744" t="s">
        <v>488</v>
      </c>
      <c r="H24" s="745">
        <v>0</v>
      </c>
      <c r="I24" s="65">
        <v>0.27</v>
      </c>
      <c r="J24" s="62">
        <f t="shared" si="1"/>
        <v>0</v>
      </c>
      <c r="K24" s="156">
        <f t="shared" si="2"/>
        <v>0</v>
      </c>
      <c r="L24" s="62">
        <v>0</v>
      </c>
      <c r="M24" s="62">
        <v>0</v>
      </c>
      <c r="N24" s="62">
        <v>0</v>
      </c>
      <c r="O24" s="62">
        <v>0</v>
      </c>
      <c r="P24" s="62">
        <v>0.1</v>
      </c>
      <c r="Q24" s="62">
        <v>0</v>
      </c>
      <c r="R24" s="62">
        <v>0</v>
      </c>
      <c r="S24" s="156">
        <v>0</v>
      </c>
      <c r="T24" s="2191">
        <v>1.66</v>
      </c>
      <c r="U24" s="2191">
        <v>0.75</v>
      </c>
      <c r="V24" s="2191">
        <v>2.3797800000000002</v>
      </c>
      <c r="W24" s="2195">
        <v>1.82</v>
      </c>
      <c r="X24" s="363"/>
      <c r="Y24" s="1358">
        <v>3.7000000000000002E-3</v>
      </c>
      <c r="Z24" s="1359">
        <v>6.1999999999999998E-3</v>
      </c>
      <c r="AA24" s="1360">
        <v>-1.0640000000000001</v>
      </c>
      <c r="AB24" s="750">
        <f t="shared" ca="1" si="3"/>
        <v>1.66</v>
      </c>
      <c r="AC24" s="187">
        <v>0</v>
      </c>
      <c r="AM24" s="6" t="s">
        <v>586</v>
      </c>
      <c r="AN24" s="227">
        <v>7</v>
      </c>
    </row>
    <row r="25" spans="1:40" x14ac:dyDescent="0.25">
      <c r="A25" s="363" t="str">
        <f t="shared" si="0"/>
        <v>Calcium nitrate - 15% N</v>
      </c>
      <c r="B25" s="741" t="s">
        <v>761</v>
      </c>
      <c r="C25" s="742" t="s">
        <v>1239</v>
      </c>
      <c r="D25" s="743">
        <v>7</v>
      </c>
      <c r="E25" s="743">
        <v>7</v>
      </c>
      <c r="F25" s="740" t="e">
        <f>NA()</f>
        <v>#N/A</v>
      </c>
      <c r="G25" s="744" t="s">
        <v>488</v>
      </c>
      <c r="H25" s="745">
        <v>0</v>
      </c>
      <c r="I25" s="65">
        <v>0.15</v>
      </c>
      <c r="J25" s="62">
        <f t="shared" si="1"/>
        <v>0</v>
      </c>
      <c r="K25" s="156">
        <f t="shared" si="2"/>
        <v>0</v>
      </c>
      <c r="L25" s="62">
        <v>0</v>
      </c>
      <c r="M25" s="62">
        <v>0</v>
      </c>
      <c r="N25" s="62">
        <v>0</v>
      </c>
      <c r="O25" s="62">
        <v>0</v>
      </c>
      <c r="P25" s="62">
        <v>0</v>
      </c>
      <c r="Q25" s="62">
        <v>0</v>
      </c>
      <c r="R25" s="62">
        <v>0</v>
      </c>
      <c r="S25" s="156">
        <v>0</v>
      </c>
      <c r="T25" s="2191">
        <v>1.49</v>
      </c>
      <c r="U25" s="2191">
        <v>0.56000000000000005</v>
      </c>
      <c r="V25" s="2191">
        <v>0.59819999999999995</v>
      </c>
      <c r="W25" s="2195">
        <v>1.69</v>
      </c>
      <c r="X25" s="363"/>
      <c r="Y25" s="1358">
        <v>3.3999999999999998E-3</v>
      </c>
      <c r="Z25" s="1359">
        <v>5.4000000000000003E-3</v>
      </c>
      <c r="AA25" s="1360">
        <v>-1.585</v>
      </c>
      <c r="AB25" s="750">
        <f t="shared" ca="1" si="3"/>
        <v>1.49</v>
      </c>
      <c r="AC25" s="187">
        <v>0</v>
      </c>
      <c r="AM25" s="6" t="s">
        <v>587</v>
      </c>
      <c r="AN25" s="227">
        <v>8</v>
      </c>
    </row>
    <row r="26" spans="1:40" x14ac:dyDescent="0.25">
      <c r="A26" s="363" t="str">
        <f t="shared" si="0"/>
        <v>Compound NK - 14% N; 44% K2O</v>
      </c>
      <c r="B26" s="741" t="s">
        <v>908</v>
      </c>
      <c r="C26" s="742" t="s">
        <v>1856</v>
      </c>
      <c r="D26" s="743">
        <v>8</v>
      </c>
      <c r="E26" s="743">
        <v>8</v>
      </c>
      <c r="F26" s="740" t="e">
        <f>NA()</f>
        <v>#N/A</v>
      </c>
      <c r="G26" s="744" t="s">
        <v>488</v>
      </c>
      <c r="H26" s="745">
        <v>0</v>
      </c>
      <c r="I26" s="65">
        <v>0.14000000000000001</v>
      </c>
      <c r="J26" s="62">
        <f t="shared" si="1"/>
        <v>0</v>
      </c>
      <c r="K26" s="156">
        <f t="shared" si="2"/>
        <v>0.3634782608695652</v>
      </c>
      <c r="L26" s="62">
        <v>0</v>
      </c>
      <c r="M26" s="62">
        <v>0.44</v>
      </c>
      <c r="N26" s="62">
        <v>0</v>
      </c>
      <c r="O26" s="62">
        <v>0</v>
      </c>
      <c r="P26" s="62">
        <v>0</v>
      </c>
      <c r="Q26" s="62">
        <v>0</v>
      </c>
      <c r="R26" s="62">
        <v>0</v>
      </c>
      <c r="S26" s="156">
        <v>0</v>
      </c>
      <c r="T26" s="2192">
        <f>V26</f>
        <v>2.67</v>
      </c>
      <c r="U26" s="2192">
        <f>V26</f>
        <v>2.67</v>
      </c>
      <c r="V26" s="2191">
        <v>2.67</v>
      </c>
      <c r="W26" s="2194">
        <f>V26</f>
        <v>2.67</v>
      </c>
      <c r="X26" s="363"/>
      <c r="Y26" s="1358">
        <v>3.3999999999999998E-3</v>
      </c>
      <c r="Z26" s="1359">
        <v>5.4000000000000003E-3</v>
      </c>
      <c r="AA26" s="1360">
        <f>AA25</f>
        <v>-1.585</v>
      </c>
      <c r="AB26" s="750">
        <f t="shared" ca="1" si="3"/>
        <v>2.67</v>
      </c>
      <c r="AC26" s="187">
        <v>0</v>
      </c>
      <c r="AM26" s="6" t="s">
        <v>588</v>
      </c>
      <c r="AN26" s="227">
        <v>9</v>
      </c>
    </row>
    <row r="27" spans="1:40" x14ac:dyDescent="0.25">
      <c r="A27" s="363" t="s">
        <v>1205</v>
      </c>
      <c r="B27" s="150" t="s">
        <v>1204</v>
      </c>
      <c r="C27" s="357" t="s">
        <v>1205</v>
      </c>
      <c r="D27" s="743">
        <v>9</v>
      </c>
      <c r="E27" s="743">
        <v>9</v>
      </c>
      <c r="F27" s="740" t="e">
        <f>NA()</f>
        <v>#N/A</v>
      </c>
      <c r="G27" s="744" t="s">
        <v>488</v>
      </c>
      <c r="H27" s="745">
        <v>0</v>
      </c>
      <c r="I27" s="65">
        <v>0.15</v>
      </c>
      <c r="J27" s="62">
        <f t="shared" si="1"/>
        <v>6.54E-2</v>
      </c>
      <c r="K27" s="156">
        <f t="shared" ref="K27:K53" si="4">38/46*M27</f>
        <v>0.12391304347826086</v>
      </c>
      <c r="L27" s="62">
        <v>0.15</v>
      </c>
      <c r="M27" s="62">
        <v>0.15</v>
      </c>
      <c r="N27" s="62">
        <v>0</v>
      </c>
      <c r="O27" s="62">
        <v>0</v>
      </c>
      <c r="P27" s="62">
        <v>0</v>
      </c>
      <c r="Q27" s="62">
        <v>0</v>
      </c>
      <c r="R27" s="62">
        <v>0</v>
      </c>
      <c r="S27" s="156">
        <v>0</v>
      </c>
      <c r="T27" s="2191">
        <v>0.96</v>
      </c>
      <c r="U27" s="2191">
        <v>0.96</v>
      </c>
      <c r="V27" s="2194">
        <f>T27</f>
        <v>0.96</v>
      </c>
      <c r="W27" s="2194">
        <f>AVERAGE(0.8,0.36,0.3,0.93)</f>
        <v>0.59750000000000003</v>
      </c>
      <c r="X27" s="753"/>
      <c r="Y27" s="1361">
        <v>3.8999999999999998E-3</v>
      </c>
      <c r="Z27" s="1362">
        <v>5.4999999999999997E-3</v>
      </c>
      <c r="AA27" s="1360">
        <f>AA26</f>
        <v>-1.585</v>
      </c>
      <c r="AB27" s="750">
        <f t="shared" ca="1" si="3"/>
        <v>0.96</v>
      </c>
      <c r="AC27" s="187">
        <v>0</v>
      </c>
      <c r="AM27" s="6" t="s">
        <v>589</v>
      </c>
      <c r="AN27" s="227">
        <v>10</v>
      </c>
    </row>
    <row r="28" spans="1:40" ht="13.25" thickBot="1" x14ac:dyDescent="0.3">
      <c r="A28" s="363" t="str">
        <f t="shared" ref="A28:A40" si="5">C28</f>
        <v>Diammonium phosphate - 18% N; 46% P2O5</v>
      </c>
      <c r="B28" s="741" t="s">
        <v>1330</v>
      </c>
      <c r="C28" s="742" t="s">
        <v>1857</v>
      </c>
      <c r="D28" s="743">
        <v>10</v>
      </c>
      <c r="E28" s="743">
        <v>10</v>
      </c>
      <c r="F28" s="740" t="e">
        <f>NA()</f>
        <v>#N/A</v>
      </c>
      <c r="G28" s="744" t="s">
        <v>488</v>
      </c>
      <c r="H28" s="745">
        <v>0</v>
      </c>
      <c r="I28" s="65">
        <v>0.18</v>
      </c>
      <c r="J28" s="62">
        <f t="shared" si="1"/>
        <v>0.20056000000000002</v>
      </c>
      <c r="K28" s="156">
        <f t="shared" si="4"/>
        <v>0</v>
      </c>
      <c r="L28" s="62">
        <v>0.46</v>
      </c>
      <c r="M28" s="62">
        <v>0</v>
      </c>
      <c r="N28" s="62">
        <v>0</v>
      </c>
      <c r="O28" s="62">
        <v>0</v>
      </c>
      <c r="P28" s="62">
        <v>0</v>
      </c>
      <c r="Q28" s="62">
        <v>0</v>
      </c>
      <c r="R28" s="62">
        <v>0</v>
      </c>
      <c r="S28" s="156">
        <v>0</v>
      </c>
      <c r="T28" s="2192">
        <v>0.7</v>
      </c>
      <c r="U28" s="2192">
        <f>T28</f>
        <v>0.7</v>
      </c>
      <c r="V28" s="2191">
        <v>1.27</v>
      </c>
      <c r="W28" s="2191">
        <v>0.46</v>
      </c>
      <c r="X28" s="363"/>
      <c r="Y28" s="1358">
        <v>3.8999999999999998E-3</v>
      </c>
      <c r="Z28" s="1359">
        <v>5.4999999999999997E-3</v>
      </c>
      <c r="AA28" s="1360">
        <v>0.182</v>
      </c>
      <c r="AB28" s="750">
        <f t="shared" ca="1" si="3"/>
        <v>0.7</v>
      </c>
      <c r="AC28" s="187">
        <v>0</v>
      </c>
      <c r="AM28" s="23" t="s">
        <v>590</v>
      </c>
      <c r="AN28" s="203">
        <v>11</v>
      </c>
    </row>
    <row r="29" spans="1:40" x14ac:dyDescent="0.25">
      <c r="A29" s="363" t="str">
        <f t="shared" si="5"/>
        <v>Kainit / Magnesium Sulphate - 11% K2O; 5% MgO</v>
      </c>
      <c r="B29" s="741" t="s">
        <v>1331</v>
      </c>
      <c r="C29" s="742" t="s">
        <v>1276</v>
      </c>
      <c r="D29" s="743">
        <v>11</v>
      </c>
      <c r="E29" s="743">
        <v>11</v>
      </c>
      <c r="F29" s="740" t="e">
        <f>NA()</f>
        <v>#N/A</v>
      </c>
      <c r="G29" s="744" t="s">
        <v>490</v>
      </c>
      <c r="H29" s="745">
        <v>0</v>
      </c>
      <c r="I29" s="65">
        <v>0</v>
      </c>
      <c r="J29" s="62">
        <f t="shared" si="1"/>
        <v>0</v>
      </c>
      <c r="K29" s="156">
        <f t="shared" si="4"/>
        <v>9.0869565217391299E-2</v>
      </c>
      <c r="L29" s="62">
        <v>0</v>
      </c>
      <c r="M29" s="62">
        <v>0.11</v>
      </c>
      <c r="N29" s="62">
        <v>0.05</v>
      </c>
      <c r="O29" s="62">
        <v>0.26</v>
      </c>
      <c r="P29" s="62">
        <v>0</v>
      </c>
      <c r="Q29" s="62">
        <v>0</v>
      </c>
      <c r="R29" s="62">
        <v>0</v>
      </c>
      <c r="S29" s="156">
        <v>0.1</v>
      </c>
      <c r="T29" s="2192">
        <f>V29</f>
        <v>0</v>
      </c>
      <c r="U29" s="2192">
        <f>V29</f>
        <v>0</v>
      </c>
      <c r="V29" s="2191">
        <v>0</v>
      </c>
      <c r="W29" s="2194">
        <v>0</v>
      </c>
      <c r="X29" s="363"/>
      <c r="Y29" s="1358">
        <v>0</v>
      </c>
      <c r="Z29" s="1359">
        <v>0</v>
      </c>
      <c r="AA29" s="1360">
        <v>0</v>
      </c>
      <c r="AB29" s="750">
        <f t="shared" ca="1" si="3"/>
        <v>0</v>
      </c>
      <c r="AC29" s="187">
        <v>0</v>
      </c>
    </row>
    <row r="30" spans="1:40" x14ac:dyDescent="0.25">
      <c r="A30" s="363" t="str">
        <f t="shared" si="5"/>
        <v>Lime - 52% CaO</v>
      </c>
      <c r="B30" s="741" t="s">
        <v>1332</v>
      </c>
      <c r="C30" s="742" t="s">
        <v>1277</v>
      </c>
      <c r="D30" s="743">
        <v>12</v>
      </c>
      <c r="E30" s="743">
        <v>12</v>
      </c>
      <c r="F30" s="740" t="e">
        <f>NA()</f>
        <v>#N/A</v>
      </c>
      <c r="G30" s="744" t="s">
        <v>588</v>
      </c>
      <c r="H30" s="745">
        <v>0</v>
      </c>
      <c r="I30" s="65">
        <v>0</v>
      </c>
      <c r="J30" s="62">
        <f t="shared" si="1"/>
        <v>0</v>
      </c>
      <c r="K30" s="156">
        <f t="shared" si="4"/>
        <v>0</v>
      </c>
      <c r="L30" s="62">
        <v>0</v>
      </c>
      <c r="M30" s="62">
        <v>0</v>
      </c>
      <c r="N30" s="62">
        <v>0</v>
      </c>
      <c r="O30" s="62">
        <v>0</v>
      </c>
      <c r="P30" s="62">
        <v>0</v>
      </c>
      <c r="Q30" s="62">
        <v>0.52</v>
      </c>
      <c r="R30" s="62">
        <v>0</v>
      </c>
      <c r="S30" s="156">
        <v>0</v>
      </c>
      <c r="T30" s="2192">
        <f>V30</f>
        <v>0.1</v>
      </c>
      <c r="U30" s="2192">
        <f>V30</f>
        <v>0.1</v>
      </c>
      <c r="V30" s="2191">
        <v>0.1</v>
      </c>
      <c r="W30" s="2194">
        <f>V30</f>
        <v>0.1</v>
      </c>
      <c r="X30" s="363"/>
      <c r="Y30" s="1358">
        <v>0</v>
      </c>
      <c r="Z30" s="1359">
        <v>0</v>
      </c>
      <c r="AA30" s="1360">
        <v>0</v>
      </c>
      <c r="AB30" s="750">
        <f t="shared" ca="1" si="3"/>
        <v>0.1</v>
      </c>
      <c r="AC30" s="187">
        <v>3</v>
      </c>
    </row>
    <row r="31" spans="1:40" x14ac:dyDescent="0.25">
      <c r="A31" s="363" t="str">
        <f t="shared" si="5"/>
        <v>Limestone - 55% CaCO3 / 29%CaO</v>
      </c>
      <c r="B31" s="741" t="s">
        <v>1159</v>
      </c>
      <c r="C31" s="742" t="s">
        <v>749</v>
      </c>
      <c r="D31" s="743">
        <v>13</v>
      </c>
      <c r="E31" s="743">
        <v>13</v>
      </c>
      <c r="F31" s="740" t="e">
        <f>NA()</f>
        <v>#N/A</v>
      </c>
      <c r="G31" s="744" t="s">
        <v>588</v>
      </c>
      <c r="H31" s="745">
        <v>0</v>
      </c>
      <c r="I31" s="65">
        <v>0</v>
      </c>
      <c r="J31" s="62">
        <f t="shared" si="1"/>
        <v>0</v>
      </c>
      <c r="K31" s="156">
        <f t="shared" si="4"/>
        <v>0</v>
      </c>
      <c r="L31" s="62">
        <v>0</v>
      </c>
      <c r="M31" s="62">
        <v>0</v>
      </c>
      <c r="N31" s="62">
        <v>0</v>
      </c>
      <c r="O31" s="62">
        <v>0</v>
      </c>
      <c r="P31" s="62">
        <v>0</v>
      </c>
      <c r="Q31" s="62">
        <v>0.28999999999999998</v>
      </c>
      <c r="R31" s="62">
        <v>0.55000000000000004</v>
      </c>
      <c r="S31" s="156">
        <v>0</v>
      </c>
      <c r="T31" s="2192">
        <f>V31</f>
        <v>5.5099999999999993E-3</v>
      </c>
      <c r="U31" s="2192">
        <f>V31</f>
        <v>5.5099999999999993E-3</v>
      </c>
      <c r="V31" s="2191">
        <v>5.5099999999999993E-3</v>
      </c>
      <c r="W31" s="2194">
        <f>V31</f>
        <v>5.5099999999999993E-3</v>
      </c>
      <c r="X31" s="363"/>
      <c r="Y31" s="747">
        <v>0</v>
      </c>
      <c r="Z31" s="748">
        <v>0</v>
      </c>
      <c r="AA31" s="749">
        <v>0</v>
      </c>
      <c r="AB31" s="750">
        <f t="shared" ca="1" si="3"/>
        <v>5.5099999999999993E-3</v>
      </c>
      <c r="AC31" s="187">
        <v>3</v>
      </c>
    </row>
    <row r="32" spans="1:40" x14ac:dyDescent="0.25">
      <c r="A32" s="363" t="str">
        <f t="shared" si="5"/>
        <v>Lime, algal - 30% CaO</v>
      </c>
      <c r="B32" s="741" t="s">
        <v>1333</v>
      </c>
      <c r="C32" s="742" t="s">
        <v>1050</v>
      </c>
      <c r="D32" s="743">
        <v>14</v>
      </c>
      <c r="E32" s="743">
        <v>14</v>
      </c>
      <c r="F32" s="740" t="e">
        <f>NA()</f>
        <v>#N/A</v>
      </c>
      <c r="G32" s="744" t="s">
        <v>588</v>
      </c>
      <c r="H32" s="745">
        <v>0</v>
      </c>
      <c r="I32" s="65">
        <v>0</v>
      </c>
      <c r="J32" s="62">
        <f t="shared" si="1"/>
        <v>0</v>
      </c>
      <c r="K32" s="156">
        <f t="shared" si="4"/>
        <v>0</v>
      </c>
      <c r="L32" s="62">
        <v>0</v>
      </c>
      <c r="M32" s="62">
        <v>0</v>
      </c>
      <c r="N32" s="62">
        <v>0</v>
      </c>
      <c r="O32" s="62">
        <v>0</v>
      </c>
      <c r="P32" s="62">
        <v>0</v>
      </c>
      <c r="Q32" s="62">
        <v>0.3</v>
      </c>
      <c r="R32" s="62">
        <v>0</v>
      </c>
      <c r="S32" s="156">
        <v>0</v>
      </c>
      <c r="T32" s="2192">
        <f>V32</f>
        <v>6.8099999999999994E-2</v>
      </c>
      <c r="U32" s="2192">
        <f>V32</f>
        <v>6.8099999999999994E-2</v>
      </c>
      <c r="V32" s="2191">
        <v>6.8099999999999994E-2</v>
      </c>
      <c r="W32" s="2194">
        <f>V32</f>
        <v>6.8099999999999994E-2</v>
      </c>
      <c r="X32" s="363"/>
      <c r="Y32" s="747">
        <v>0</v>
      </c>
      <c r="Z32" s="748">
        <v>0</v>
      </c>
      <c r="AA32" s="749">
        <v>0</v>
      </c>
      <c r="AB32" s="750">
        <f t="shared" ca="1" si="3"/>
        <v>6.8099999999999994E-2</v>
      </c>
      <c r="AC32" s="187">
        <v>3</v>
      </c>
    </row>
    <row r="33" spans="1:29" x14ac:dyDescent="0.25">
      <c r="A33" s="363" t="str">
        <f t="shared" si="5"/>
        <v>Monoammonium phosphate - 11% N; 52% P2O5</v>
      </c>
      <c r="B33" s="741" t="s">
        <v>1386</v>
      </c>
      <c r="C33" s="742" t="s">
        <v>1051</v>
      </c>
      <c r="D33" s="743">
        <v>15</v>
      </c>
      <c r="E33" s="743">
        <v>15</v>
      </c>
      <c r="F33" s="740" t="e">
        <f>NA()</f>
        <v>#N/A</v>
      </c>
      <c r="G33" s="744" t="s">
        <v>488</v>
      </c>
      <c r="H33" s="745">
        <v>0</v>
      </c>
      <c r="I33" s="65">
        <v>0.11</v>
      </c>
      <c r="J33" s="62">
        <f t="shared" si="1"/>
        <v>0.22672</v>
      </c>
      <c r="K33" s="156">
        <f t="shared" si="4"/>
        <v>0</v>
      </c>
      <c r="L33" s="62">
        <v>0.52</v>
      </c>
      <c r="M33" s="62">
        <v>0</v>
      </c>
      <c r="N33" s="62">
        <v>0</v>
      </c>
      <c r="O33" s="62">
        <v>0</v>
      </c>
      <c r="P33" s="62">
        <v>0</v>
      </c>
      <c r="Q33" s="62">
        <v>0</v>
      </c>
      <c r="R33" s="62">
        <v>0</v>
      </c>
      <c r="S33" s="156">
        <v>0</v>
      </c>
      <c r="T33" s="2192">
        <f>V33</f>
        <v>1.18</v>
      </c>
      <c r="U33" s="2192">
        <f>V33</f>
        <v>1.18</v>
      </c>
      <c r="V33" s="2191">
        <v>1.18</v>
      </c>
      <c r="W33" s="2191">
        <v>0.31</v>
      </c>
      <c r="X33" s="363"/>
      <c r="Y33" s="747">
        <v>3.8999999999999998E-3</v>
      </c>
      <c r="Z33" s="748">
        <v>5.4999999999999997E-3</v>
      </c>
      <c r="AA33" s="749">
        <v>-0.622</v>
      </c>
      <c r="AB33" s="750">
        <f t="shared" ca="1" si="3"/>
        <v>1.18</v>
      </c>
      <c r="AC33" s="187">
        <v>0</v>
      </c>
    </row>
    <row r="34" spans="1:29" x14ac:dyDescent="0.25">
      <c r="A34" s="363" t="str">
        <f t="shared" si="5"/>
        <v>Muriate of potash / Potassium Chloride - 60% K2O</v>
      </c>
      <c r="B34" s="741" t="s">
        <v>1387</v>
      </c>
      <c r="C34" s="742" t="s">
        <v>1660</v>
      </c>
      <c r="D34" s="743">
        <v>16</v>
      </c>
      <c r="E34" s="743">
        <v>16</v>
      </c>
      <c r="F34" s="740" t="e">
        <f>NA()</f>
        <v>#N/A</v>
      </c>
      <c r="G34" s="744" t="s">
        <v>490</v>
      </c>
      <c r="H34" s="745">
        <v>0</v>
      </c>
      <c r="I34" s="65">
        <v>0</v>
      </c>
      <c r="J34" s="62">
        <f t="shared" si="1"/>
        <v>0</v>
      </c>
      <c r="K34" s="156">
        <f t="shared" si="4"/>
        <v>0.49565217391304345</v>
      </c>
      <c r="L34" s="62">
        <v>0</v>
      </c>
      <c r="M34" s="62">
        <v>0.6</v>
      </c>
      <c r="N34" s="62">
        <v>0</v>
      </c>
      <c r="O34" s="62">
        <v>0</v>
      </c>
      <c r="P34" s="62">
        <v>0</v>
      </c>
      <c r="Q34" s="62">
        <v>0</v>
      </c>
      <c r="R34" s="62">
        <v>0</v>
      </c>
      <c r="S34" s="156">
        <v>0</v>
      </c>
      <c r="T34" s="2191">
        <v>0.36</v>
      </c>
      <c r="U34" s="2191">
        <v>0.36</v>
      </c>
      <c r="V34" s="2191">
        <v>0.32</v>
      </c>
      <c r="W34" s="2195">
        <v>0.2</v>
      </c>
      <c r="X34" s="363"/>
      <c r="Y34" s="747">
        <v>0</v>
      </c>
      <c r="Z34" s="748">
        <v>0</v>
      </c>
      <c r="AA34" s="749">
        <v>0</v>
      </c>
      <c r="AB34" s="750">
        <f t="shared" ca="1" si="3"/>
        <v>0.36</v>
      </c>
      <c r="AC34" s="187">
        <v>0</v>
      </c>
    </row>
    <row r="35" spans="1:29" x14ac:dyDescent="0.25">
      <c r="A35" s="363" t="str">
        <f t="shared" si="5"/>
        <v>Phosphate/Rock Phosphate - 25% P2O5</v>
      </c>
      <c r="B35" s="741" t="s">
        <v>1661</v>
      </c>
      <c r="C35" s="742" t="s">
        <v>907</v>
      </c>
      <c r="D35" s="743">
        <v>17</v>
      </c>
      <c r="E35" s="743">
        <v>17</v>
      </c>
      <c r="F35" s="740" t="e">
        <f>NA()</f>
        <v>#N/A</v>
      </c>
      <c r="G35" s="744" t="s">
        <v>426</v>
      </c>
      <c r="H35" s="745">
        <v>0</v>
      </c>
      <c r="I35" s="65">
        <v>0</v>
      </c>
      <c r="J35" s="62">
        <f t="shared" si="1"/>
        <v>0.109</v>
      </c>
      <c r="K35" s="156">
        <f t="shared" si="4"/>
        <v>0</v>
      </c>
      <c r="L35" s="62">
        <v>0.25</v>
      </c>
      <c r="M35" s="62">
        <v>0</v>
      </c>
      <c r="N35" s="62">
        <v>0</v>
      </c>
      <c r="O35" s="62">
        <v>0</v>
      </c>
      <c r="P35" s="62">
        <v>0</v>
      </c>
      <c r="Q35" s="62">
        <v>0</v>
      </c>
      <c r="R35" s="62">
        <v>0</v>
      </c>
      <c r="S35" s="156">
        <v>0</v>
      </c>
      <c r="T35" s="2192">
        <f>V35</f>
        <v>0.33337499999999998</v>
      </c>
      <c r="U35" s="2192">
        <f>V35</f>
        <v>0.33337499999999998</v>
      </c>
      <c r="V35" s="2191">
        <v>0.33337499999999998</v>
      </c>
      <c r="W35" s="2194">
        <f>V35</f>
        <v>0.33337499999999998</v>
      </c>
      <c r="X35" s="363"/>
      <c r="Y35" s="747">
        <v>0</v>
      </c>
      <c r="Z35" s="748">
        <v>0</v>
      </c>
      <c r="AA35" s="749">
        <v>0</v>
      </c>
      <c r="AB35" s="750">
        <f t="shared" ca="1" si="3"/>
        <v>0.33337499999999998</v>
      </c>
      <c r="AC35" s="187">
        <v>0</v>
      </c>
    </row>
    <row r="36" spans="1:29" x14ac:dyDescent="0.25">
      <c r="A36" s="363" t="str">
        <f t="shared" si="5"/>
        <v>Potassium sulphate - 50% K2O; 45% SO3</v>
      </c>
      <c r="B36" s="741" t="s">
        <v>1662</v>
      </c>
      <c r="C36" s="742" t="s">
        <v>1286</v>
      </c>
      <c r="D36" s="743">
        <v>18</v>
      </c>
      <c r="E36" s="743">
        <v>18</v>
      </c>
      <c r="F36" s="740" t="e">
        <f>NA()</f>
        <v>#N/A</v>
      </c>
      <c r="G36" s="744" t="s">
        <v>427</v>
      </c>
      <c r="H36" s="745">
        <v>0</v>
      </c>
      <c r="I36" s="65">
        <v>0</v>
      </c>
      <c r="J36" s="62">
        <f t="shared" si="1"/>
        <v>0</v>
      </c>
      <c r="K36" s="156">
        <f t="shared" si="4"/>
        <v>0.41304347826086957</v>
      </c>
      <c r="L36" s="62">
        <v>0</v>
      </c>
      <c r="M36" s="62">
        <v>0.5</v>
      </c>
      <c r="N36" s="62">
        <v>0</v>
      </c>
      <c r="O36" s="62">
        <v>0</v>
      </c>
      <c r="P36" s="62">
        <v>0</v>
      </c>
      <c r="Q36" s="62">
        <v>0</v>
      </c>
      <c r="R36" s="62">
        <v>0</v>
      </c>
      <c r="S36" s="156">
        <v>0.45</v>
      </c>
      <c r="T36" s="2192">
        <f>V36</f>
        <v>0.76600000000000001</v>
      </c>
      <c r="U36" s="2192">
        <f>V36</f>
        <v>0.76600000000000001</v>
      </c>
      <c r="V36" s="2191">
        <v>0.76600000000000001</v>
      </c>
      <c r="W36" s="2195">
        <v>0.13</v>
      </c>
      <c r="X36" s="363"/>
      <c r="Y36" s="747">
        <v>0</v>
      </c>
      <c r="Z36" s="748">
        <v>0</v>
      </c>
      <c r="AA36" s="749">
        <v>0</v>
      </c>
      <c r="AB36" s="750">
        <f t="shared" ca="1" si="3"/>
        <v>0.76600000000000001</v>
      </c>
      <c r="AC36" s="187">
        <v>0</v>
      </c>
    </row>
    <row r="37" spans="1:29" x14ac:dyDescent="0.25">
      <c r="A37" s="363" t="str">
        <f t="shared" si="5"/>
        <v>Super phosphate - 21% P2O5</v>
      </c>
      <c r="B37" s="741" t="s">
        <v>1287</v>
      </c>
      <c r="C37" s="742" t="s">
        <v>860</v>
      </c>
      <c r="D37" s="743">
        <v>19</v>
      </c>
      <c r="E37" s="743">
        <v>19</v>
      </c>
      <c r="F37" s="740" t="e">
        <f>NA()</f>
        <v>#N/A</v>
      </c>
      <c r="G37" s="744" t="s">
        <v>426</v>
      </c>
      <c r="H37" s="745">
        <v>0</v>
      </c>
      <c r="I37" s="65">
        <v>0</v>
      </c>
      <c r="J37" s="62">
        <f t="shared" si="1"/>
        <v>9.1560000000000002E-2</v>
      </c>
      <c r="K37" s="156">
        <f t="shared" si="4"/>
        <v>0</v>
      </c>
      <c r="L37" s="62">
        <v>0.21</v>
      </c>
      <c r="M37" s="62">
        <v>0</v>
      </c>
      <c r="N37" s="62">
        <v>0</v>
      </c>
      <c r="O37" s="62">
        <v>0</v>
      </c>
      <c r="P37" s="62">
        <v>0</v>
      </c>
      <c r="Q37" s="62">
        <v>0</v>
      </c>
      <c r="R37" s="62">
        <v>0</v>
      </c>
      <c r="S37" s="156">
        <v>0</v>
      </c>
      <c r="T37" s="2192">
        <v>0.56999999999999995</v>
      </c>
      <c r="U37" s="2192">
        <f>T37</f>
        <v>0.56999999999999995</v>
      </c>
      <c r="V37" s="2191">
        <v>0.56972999999999996</v>
      </c>
      <c r="W37" s="2195">
        <v>0.02</v>
      </c>
      <c r="X37" s="363"/>
      <c r="Y37" s="754">
        <v>0</v>
      </c>
      <c r="Z37" s="755">
        <v>0</v>
      </c>
      <c r="AA37" s="756">
        <v>0</v>
      </c>
      <c r="AB37" s="750">
        <f t="shared" ca="1" si="3"/>
        <v>0.56999999999999995</v>
      </c>
      <c r="AC37" s="187">
        <v>0</v>
      </c>
    </row>
    <row r="38" spans="1:29" x14ac:dyDescent="0.25">
      <c r="A38" s="363" t="str">
        <f t="shared" si="5"/>
        <v>Triple super phosphate - 48% P2O5</v>
      </c>
      <c r="B38" s="741" t="s">
        <v>1471</v>
      </c>
      <c r="C38" s="742" t="s">
        <v>1208</v>
      </c>
      <c r="D38" s="743">
        <v>20</v>
      </c>
      <c r="E38" s="743">
        <v>20</v>
      </c>
      <c r="F38" s="740" t="e">
        <f>NA()</f>
        <v>#N/A</v>
      </c>
      <c r="G38" s="744" t="s">
        <v>426</v>
      </c>
      <c r="H38" s="745">
        <v>0</v>
      </c>
      <c r="I38" s="65">
        <v>0</v>
      </c>
      <c r="J38" s="62">
        <f t="shared" si="1"/>
        <v>0.20927999999999999</v>
      </c>
      <c r="K38" s="156">
        <f t="shared" si="4"/>
        <v>0</v>
      </c>
      <c r="L38" s="62">
        <v>0.48</v>
      </c>
      <c r="M38" s="62">
        <v>0</v>
      </c>
      <c r="N38" s="62">
        <v>0</v>
      </c>
      <c r="O38" s="62">
        <v>0</v>
      </c>
      <c r="P38" s="62">
        <v>0</v>
      </c>
      <c r="Q38" s="62">
        <v>0</v>
      </c>
      <c r="R38" s="62">
        <v>0</v>
      </c>
      <c r="S38" s="156">
        <v>0</v>
      </c>
      <c r="T38" s="2192">
        <v>0.35</v>
      </c>
      <c r="U38" s="2192">
        <v>0.35</v>
      </c>
      <c r="V38" s="2191">
        <v>0.997</v>
      </c>
      <c r="W38" s="2195">
        <v>0.17</v>
      </c>
      <c r="X38" s="363"/>
      <c r="Y38" s="754">
        <v>0</v>
      </c>
      <c r="Z38" s="755">
        <v>0</v>
      </c>
      <c r="AA38" s="756">
        <v>0</v>
      </c>
      <c r="AB38" s="750">
        <f t="shared" ca="1" si="3"/>
        <v>0.35</v>
      </c>
      <c r="AC38" s="187">
        <v>0</v>
      </c>
    </row>
    <row r="39" spans="1:29" x14ac:dyDescent="0.25">
      <c r="A39" s="363" t="str">
        <f t="shared" si="5"/>
        <v>Urea - 46.4% N</v>
      </c>
      <c r="B39" s="741" t="s">
        <v>1158</v>
      </c>
      <c r="C39" s="742" t="s">
        <v>861</v>
      </c>
      <c r="D39" s="743">
        <v>21</v>
      </c>
      <c r="E39" s="743">
        <v>21</v>
      </c>
      <c r="F39" s="740" t="e">
        <f>NA()</f>
        <v>#N/A</v>
      </c>
      <c r="G39" s="744" t="s">
        <v>488</v>
      </c>
      <c r="H39" s="745">
        <v>0</v>
      </c>
      <c r="I39" s="65">
        <v>0.46399999999999997</v>
      </c>
      <c r="J39" s="62">
        <f t="shared" si="1"/>
        <v>0</v>
      </c>
      <c r="K39" s="156">
        <f t="shared" si="4"/>
        <v>0</v>
      </c>
      <c r="L39" s="62">
        <v>0</v>
      </c>
      <c r="M39" s="62">
        <v>0</v>
      </c>
      <c r="N39" s="62">
        <v>0</v>
      </c>
      <c r="O39" s="62">
        <v>0</v>
      </c>
      <c r="P39" s="62">
        <v>0</v>
      </c>
      <c r="Q39" s="62">
        <v>0</v>
      </c>
      <c r="R39" s="62">
        <v>0</v>
      </c>
      <c r="S39" s="156">
        <v>0</v>
      </c>
      <c r="T39" s="2191">
        <v>0.73</v>
      </c>
      <c r="U39" s="2191">
        <v>0.52</v>
      </c>
      <c r="V39" s="2191">
        <v>2.5505616</v>
      </c>
      <c r="W39" s="2195">
        <v>0.61</v>
      </c>
      <c r="X39" s="363"/>
      <c r="Y39" s="747">
        <v>5.1000000000000004E-3</v>
      </c>
      <c r="Z39" s="748">
        <v>6.1000000000000004E-3</v>
      </c>
      <c r="AA39" s="749">
        <v>0.66600000000000004</v>
      </c>
      <c r="AB39" s="750">
        <f t="shared" ca="1" si="3"/>
        <v>0.73</v>
      </c>
      <c r="AC39" s="187">
        <v>0</v>
      </c>
    </row>
    <row r="40" spans="1:29" x14ac:dyDescent="0.25">
      <c r="A40" s="363" t="str">
        <f t="shared" si="5"/>
        <v>Urea ammonium nitrate solution - 32% N</v>
      </c>
      <c r="B40" s="741" t="s">
        <v>1472</v>
      </c>
      <c r="C40" s="742" t="s">
        <v>862</v>
      </c>
      <c r="D40" s="743">
        <v>22</v>
      </c>
      <c r="E40" s="743">
        <v>22</v>
      </c>
      <c r="F40" s="740" t="e">
        <f>NA()</f>
        <v>#N/A</v>
      </c>
      <c r="G40" s="744" t="s">
        <v>488</v>
      </c>
      <c r="H40" s="745">
        <v>0</v>
      </c>
      <c r="I40" s="65">
        <v>0.32</v>
      </c>
      <c r="J40" s="62">
        <f t="shared" si="1"/>
        <v>0</v>
      </c>
      <c r="K40" s="156">
        <f t="shared" si="4"/>
        <v>0</v>
      </c>
      <c r="L40" s="62">
        <v>0</v>
      </c>
      <c r="M40" s="62">
        <v>0</v>
      </c>
      <c r="N40" s="62">
        <v>0</v>
      </c>
      <c r="O40" s="62">
        <v>0</v>
      </c>
      <c r="P40" s="62">
        <v>0</v>
      </c>
      <c r="Q40" s="62">
        <v>0</v>
      </c>
      <c r="R40" s="62">
        <v>0</v>
      </c>
      <c r="S40" s="156">
        <v>0</v>
      </c>
      <c r="T40" s="2191">
        <v>1.26</v>
      </c>
      <c r="U40" s="2191">
        <v>0.64</v>
      </c>
      <c r="V40" s="2191">
        <v>1.9068799999999999</v>
      </c>
      <c r="W40" s="2195">
        <v>1.31</v>
      </c>
      <c r="X40" s="363"/>
      <c r="Y40" s="747">
        <v>5.3E-3</v>
      </c>
      <c r="Z40" s="748">
        <v>4.0000000000000002E-4</v>
      </c>
      <c r="AA40" s="749">
        <v>0</v>
      </c>
      <c r="AB40" s="750">
        <f t="shared" ca="1" si="3"/>
        <v>1.26</v>
      </c>
      <c r="AC40" s="187">
        <v>0</v>
      </c>
    </row>
    <row r="41" spans="1:29" x14ac:dyDescent="0.25">
      <c r="A41" s="363" t="str">
        <f t="shared" ref="A41:A53" si="6">C41 &amp; " - " &amp; I41*100 &amp; "% N"</f>
        <v>Compost (zero emissions) - 1% N</v>
      </c>
      <c r="B41" s="150" t="s">
        <v>1008</v>
      </c>
      <c r="C41" s="357" t="str">
        <f>B41</f>
        <v>Compost (zero emissions)</v>
      </c>
      <c r="D41" s="743">
        <v>23</v>
      </c>
      <c r="E41" s="743">
        <v>23</v>
      </c>
      <c r="F41" s="740">
        <v>60</v>
      </c>
      <c r="G41" s="744" t="s">
        <v>488</v>
      </c>
      <c r="H41" s="745">
        <f t="shared" ref="H41:H53" si="7">I41*X41</f>
        <v>0.15</v>
      </c>
      <c r="I41" s="65">
        <v>0.01</v>
      </c>
      <c r="J41" s="62">
        <f t="shared" si="1"/>
        <v>0</v>
      </c>
      <c r="K41" s="156">
        <f t="shared" si="4"/>
        <v>0</v>
      </c>
      <c r="L41" s="62">
        <v>0</v>
      </c>
      <c r="M41" s="62">
        <v>0</v>
      </c>
      <c r="N41" s="62">
        <v>0</v>
      </c>
      <c r="O41" s="62">
        <v>0</v>
      </c>
      <c r="P41" s="62">
        <v>0</v>
      </c>
      <c r="Q41" s="62">
        <v>0</v>
      </c>
      <c r="R41" s="62">
        <v>0</v>
      </c>
      <c r="S41" s="156">
        <v>0</v>
      </c>
      <c r="T41" s="2193">
        <f ca="1">OFFSET(L41,0,$AB$17-1)</f>
        <v>0</v>
      </c>
      <c r="U41" s="2193">
        <f ca="1">OFFSET(M41,0,$AB$17-1)</f>
        <v>0</v>
      </c>
      <c r="V41" s="2193">
        <f ca="1">OFFSET(N41,0,$AB$17-1)</f>
        <v>0</v>
      </c>
      <c r="W41" s="2193">
        <f ca="1">OFFSET(O41,0,$AB$17-1)</f>
        <v>0</v>
      </c>
      <c r="X41" s="1575">
        <v>15</v>
      </c>
      <c r="Y41" s="747">
        <v>2.0999999999999999E-3</v>
      </c>
      <c r="Z41" s="748">
        <v>1.6000000000000001E-3</v>
      </c>
      <c r="AA41" s="749">
        <v>0.995</v>
      </c>
      <c r="AB41" s="750">
        <f t="shared" ca="1" si="3"/>
        <v>0</v>
      </c>
      <c r="AC41" s="187">
        <v>2</v>
      </c>
    </row>
    <row r="42" spans="1:29" x14ac:dyDescent="0.25">
      <c r="A42" s="363" t="str">
        <f t="shared" si="6"/>
        <v>Compost (fully aerated production) - 1% N</v>
      </c>
      <c r="B42" s="150" t="s">
        <v>1664</v>
      </c>
      <c r="C42" s="357" t="str">
        <f>B42</f>
        <v>Compost (fully aerated production)</v>
      </c>
      <c r="D42" s="743">
        <v>24</v>
      </c>
      <c r="E42" s="743">
        <v>24</v>
      </c>
      <c r="F42" s="740">
        <v>60</v>
      </c>
      <c r="G42" s="744" t="s">
        <v>488</v>
      </c>
      <c r="H42" s="745">
        <f t="shared" si="7"/>
        <v>0.15</v>
      </c>
      <c r="I42" s="65">
        <v>0.01</v>
      </c>
      <c r="J42" s="62">
        <f t="shared" si="1"/>
        <v>0</v>
      </c>
      <c r="K42" s="156">
        <f t="shared" si="4"/>
        <v>0</v>
      </c>
      <c r="L42" s="62">
        <v>0</v>
      </c>
      <c r="M42" s="62">
        <v>0</v>
      </c>
      <c r="N42" s="62">
        <v>0</v>
      </c>
      <c r="O42" s="62">
        <v>0</v>
      </c>
      <c r="P42" s="62">
        <v>0</v>
      </c>
      <c r="Q42" s="62">
        <v>0</v>
      </c>
      <c r="R42" s="62">
        <v>0</v>
      </c>
      <c r="S42" s="156">
        <v>0</v>
      </c>
      <c r="T42" s="2193">
        <v>0.24199999999999999</v>
      </c>
      <c r="U42" s="2193">
        <v>0.24199999999999999</v>
      </c>
      <c r="V42" s="2193">
        <v>0.24199999999999999</v>
      </c>
      <c r="W42" s="2193">
        <v>0.24199999999999999</v>
      </c>
      <c r="X42" s="1575">
        <v>15</v>
      </c>
      <c r="Y42" s="747">
        <v>2.0999999999999999E-3</v>
      </c>
      <c r="Z42" s="748">
        <v>1.6000000000000001E-3</v>
      </c>
      <c r="AA42" s="749">
        <v>0.995</v>
      </c>
      <c r="AB42" s="750">
        <v>0.24199999999999999</v>
      </c>
      <c r="AC42" s="187">
        <v>2</v>
      </c>
    </row>
    <row r="43" spans="1:29" x14ac:dyDescent="0.25">
      <c r="A43" s="363" t="str">
        <f t="shared" si="6"/>
        <v>Compost (non-fully aerated production) - 1% N</v>
      </c>
      <c r="B43" s="150" t="s">
        <v>1173</v>
      </c>
      <c r="C43" s="357" t="str">
        <f>B43</f>
        <v>Compost (non-fully aerated production)</v>
      </c>
      <c r="D43" s="743">
        <v>25</v>
      </c>
      <c r="E43" s="743">
        <v>25</v>
      </c>
      <c r="F43" s="740">
        <v>60</v>
      </c>
      <c r="G43" s="744" t="s">
        <v>488</v>
      </c>
      <c r="H43" s="745">
        <f t="shared" si="7"/>
        <v>0.15</v>
      </c>
      <c r="I43" s="65">
        <v>0.01</v>
      </c>
      <c r="J43" s="62">
        <f t="shared" si="1"/>
        <v>0</v>
      </c>
      <c r="K43" s="156">
        <f t="shared" si="4"/>
        <v>0</v>
      </c>
      <c r="L43" s="62">
        <v>0</v>
      </c>
      <c r="M43" s="62">
        <v>0</v>
      </c>
      <c r="N43" s="62">
        <v>0</v>
      </c>
      <c r="O43" s="62">
        <v>0</v>
      </c>
      <c r="P43" s="62">
        <v>0</v>
      </c>
      <c r="Q43" s="62">
        <v>0</v>
      </c>
      <c r="R43" s="62">
        <v>0</v>
      </c>
      <c r="S43" s="156">
        <v>0</v>
      </c>
      <c r="T43" s="2193">
        <v>0.36199999999999999</v>
      </c>
      <c r="U43" s="2193">
        <v>0.36199999999999999</v>
      </c>
      <c r="V43" s="2193">
        <v>0.36199999999999999</v>
      </c>
      <c r="W43" s="2193">
        <v>0.36199999999999999</v>
      </c>
      <c r="X43" s="1575">
        <v>15</v>
      </c>
      <c r="Y43" s="747">
        <v>2.0999999999999999E-3</v>
      </c>
      <c r="Z43" s="748">
        <v>1.6000000000000001E-3</v>
      </c>
      <c r="AA43" s="749">
        <v>0.995</v>
      </c>
      <c r="AB43" s="750">
        <v>0.36199999999999999</v>
      </c>
      <c r="AC43" s="187">
        <v>2</v>
      </c>
    </row>
    <row r="44" spans="1:29" x14ac:dyDescent="0.25">
      <c r="A44" s="363" t="str">
        <f t="shared" si="6"/>
        <v>Cattle Farmyard manure - 0.6% N</v>
      </c>
      <c r="B44" s="150" t="s">
        <v>1473</v>
      </c>
      <c r="C44" s="357" t="s">
        <v>1473</v>
      </c>
      <c r="D44" s="743">
        <v>26</v>
      </c>
      <c r="E44" s="743">
        <v>26</v>
      </c>
      <c r="F44" s="740">
        <v>25</v>
      </c>
      <c r="G44" s="744" t="s">
        <v>488</v>
      </c>
      <c r="H44" s="745">
        <f t="shared" si="7"/>
        <v>0.114</v>
      </c>
      <c r="I44" s="65">
        <v>6.0000000000000001E-3</v>
      </c>
      <c r="J44" s="62">
        <f t="shared" si="1"/>
        <v>1.3952000000000001E-3</v>
      </c>
      <c r="K44" s="156">
        <f t="shared" si="4"/>
        <v>6.6086956521739133E-3</v>
      </c>
      <c r="L44" s="62">
        <v>3.2000000000000002E-3</v>
      </c>
      <c r="M44" s="62">
        <v>8.0000000000000002E-3</v>
      </c>
      <c r="N44" s="62">
        <v>1.8E-3</v>
      </c>
      <c r="O44" s="62">
        <v>0</v>
      </c>
      <c r="P44" s="62">
        <v>0</v>
      </c>
      <c r="Q44" s="62">
        <v>0</v>
      </c>
      <c r="R44" s="62">
        <v>0</v>
      </c>
      <c r="S44" s="156">
        <v>2.3999999999999998E-3</v>
      </c>
      <c r="T44" s="757"/>
      <c r="U44" s="757"/>
      <c r="V44" s="757"/>
      <c r="W44" s="757"/>
      <c r="X44" s="761">
        <v>19</v>
      </c>
      <c r="Y44" s="747">
        <v>2.0999999999999999E-3</v>
      </c>
      <c r="Z44" s="748">
        <v>1.6000000000000001E-3</v>
      </c>
      <c r="AA44" s="749">
        <v>0.995</v>
      </c>
      <c r="AB44" s="750">
        <f t="shared" ref="AB44:AB53" ca="1" si="8">OFFSET(T44,0,$AB$17-1)</f>
        <v>0</v>
      </c>
      <c r="AC44" s="187">
        <v>1</v>
      </c>
    </row>
    <row r="45" spans="1:29" x14ac:dyDescent="0.25">
      <c r="A45" s="363" t="str">
        <f t="shared" si="6"/>
        <v>Pig Farmyard manure - 0.7% N</v>
      </c>
      <c r="B45" s="150" t="s">
        <v>1474</v>
      </c>
      <c r="C45" s="357" t="s">
        <v>1474</v>
      </c>
      <c r="D45" s="743">
        <v>27</v>
      </c>
      <c r="E45" s="743">
        <v>27</v>
      </c>
      <c r="F45" s="740">
        <v>25</v>
      </c>
      <c r="G45" s="744" t="s">
        <v>488</v>
      </c>
      <c r="H45" s="745">
        <f t="shared" si="7"/>
        <v>9.8000000000000004E-2</v>
      </c>
      <c r="I45" s="65">
        <v>7.0000000000000001E-3</v>
      </c>
      <c r="J45" s="62">
        <f t="shared" si="1"/>
        <v>2.6159999999999998E-3</v>
      </c>
      <c r="K45" s="156">
        <f t="shared" si="4"/>
        <v>6.6086956521739133E-3</v>
      </c>
      <c r="L45" s="62">
        <v>6.0000000000000001E-3</v>
      </c>
      <c r="M45" s="62">
        <v>8.0000000000000002E-3</v>
      </c>
      <c r="N45" s="62">
        <v>1.8E-3</v>
      </c>
      <c r="O45" s="62">
        <v>0</v>
      </c>
      <c r="P45" s="62">
        <v>0</v>
      </c>
      <c r="Q45" s="62">
        <v>0</v>
      </c>
      <c r="R45" s="62">
        <v>0</v>
      </c>
      <c r="S45" s="156">
        <v>3.3999999999999998E-3</v>
      </c>
      <c r="T45" s="757"/>
      <c r="U45" s="757"/>
      <c r="V45" s="757"/>
      <c r="W45" s="757"/>
      <c r="X45" s="761">
        <v>14</v>
      </c>
      <c r="Y45" s="747">
        <v>2.0999999999999999E-3</v>
      </c>
      <c r="Z45" s="748">
        <v>1.6000000000000001E-3</v>
      </c>
      <c r="AA45" s="749">
        <v>0.995</v>
      </c>
      <c r="AB45" s="750">
        <f t="shared" ca="1" si="8"/>
        <v>0</v>
      </c>
      <c r="AC45" s="187">
        <v>1</v>
      </c>
    </row>
    <row r="46" spans="1:29" x14ac:dyDescent="0.25">
      <c r="A46" s="363" t="str">
        <f t="shared" si="6"/>
        <v>Sheep Farmyard manure - 0.7% N</v>
      </c>
      <c r="B46" s="150" t="s">
        <v>1475</v>
      </c>
      <c r="C46" s="357" t="s">
        <v>1475</v>
      </c>
      <c r="D46" s="743">
        <v>28</v>
      </c>
      <c r="E46" s="743">
        <v>28</v>
      </c>
      <c r="F46" s="740">
        <v>25</v>
      </c>
      <c r="G46" s="744" t="s">
        <v>488</v>
      </c>
      <c r="H46" s="745">
        <f t="shared" si="7"/>
        <v>0.112</v>
      </c>
      <c r="I46" s="65">
        <v>7.0000000000000001E-3</v>
      </c>
      <c r="J46" s="62">
        <f t="shared" si="1"/>
        <v>1.3952000000000001E-3</v>
      </c>
      <c r="K46" s="156">
        <f t="shared" si="4"/>
        <v>6.6086956521739133E-3</v>
      </c>
      <c r="L46" s="62">
        <v>3.2000000000000002E-3</v>
      </c>
      <c r="M46" s="62">
        <v>8.0000000000000002E-3</v>
      </c>
      <c r="N46" s="62">
        <v>1.6000000000000001E-3</v>
      </c>
      <c r="O46" s="62">
        <v>0</v>
      </c>
      <c r="P46" s="62">
        <v>0</v>
      </c>
      <c r="Q46" s="62">
        <v>0</v>
      </c>
      <c r="R46" s="62">
        <v>0</v>
      </c>
      <c r="S46" s="156">
        <v>3.0000000000000001E-3</v>
      </c>
      <c r="T46" s="757"/>
      <c r="U46" s="757"/>
      <c r="V46" s="757"/>
      <c r="W46" s="757"/>
      <c r="X46" s="761">
        <v>16</v>
      </c>
      <c r="Y46" s="747">
        <v>2.0999999999999999E-3</v>
      </c>
      <c r="Z46" s="748">
        <v>1.6000000000000001E-3</v>
      </c>
      <c r="AA46" s="749">
        <v>0.995</v>
      </c>
      <c r="AB46" s="750">
        <f t="shared" ca="1" si="8"/>
        <v>0</v>
      </c>
      <c r="AC46" s="187">
        <v>1</v>
      </c>
    </row>
    <row r="47" spans="1:29" x14ac:dyDescent="0.25">
      <c r="A47" s="363" t="str">
        <f t="shared" si="6"/>
        <v>Horse Farmyard Manure - 0.7% N</v>
      </c>
      <c r="B47" s="150" t="s">
        <v>1476</v>
      </c>
      <c r="C47" s="357" t="s">
        <v>1476</v>
      </c>
      <c r="D47" s="743">
        <v>29</v>
      </c>
      <c r="E47" s="743">
        <v>29</v>
      </c>
      <c r="F47" s="740">
        <v>30</v>
      </c>
      <c r="G47" s="744" t="s">
        <v>488</v>
      </c>
      <c r="H47" s="745">
        <f t="shared" si="7"/>
        <v>0.21</v>
      </c>
      <c r="I47" s="65">
        <v>7.0000000000000001E-3</v>
      </c>
      <c r="J47" s="62">
        <f t="shared" si="1"/>
        <v>2.1800000000000001E-3</v>
      </c>
      <c r="K47" s="156">
        <f t="shared" si="4"/>
        <v>4.956521739130435E-3</v>
      </c>
      <c r="L47" s="62">
        <v>5.0000000000000001E-3</v>
      </c>
      <c r="M47" s="62">
        <v>6.0000000000000001E-3</v>
      </c>
      <c r="N47" s="62">
        <v>0</v>
      </c>
      <c r="O47" s="62">
        <v>0</v>
      </c>
      <c r="P47" s="62">
        <v>0</v>
      </c>
      <c r="Q47" s="62">
        <v>0</v>
      </c>
      <c r="R47" s="62">
        <v>0</v>
      </c>
      <c r="S47" s="156">
        <v>0</v>
      </c>
      <c r="T47" s="757"/>
      <c r="U47" s="757"/>
      <c r="V47" s="757"/>
      <c r="W47" s="757"/>
      <c r="X47" s="761">
        <v>30</v>
      </c>
      <c r="Y47" s="747">
        <v>2.0999999999999999E-3</v>
      </c>
      <c r="Z47" s="748">
        <v>1.6000000000000001E-3</v>
      </c>
      <c r="AA47" s="749">
        <v>0.995</v>
      </c>
      <c r="AB47" s="750">
        <f t="shared" ca="1" si="8"/>
        <v>0</v>
      </c>
      <c r="AC47" s="187">
        <v>1</v>
      </c>
    </row>
    <row r="48" spans="1:29" x14ac:dyDescent="0.25">
      <c r="A48" s="363" t="str">
        <f t="shared" si="6"/>
        <v>Poultry layer manure - 1.9% N</v>
      </c>
      <c r="B48" s="150" t="s">
        <v>1317</v>
      </c>
      <c r="C48" s="357" t="s">
        <v>1317</v>
      </c>
      <c r="D48" s="743">
        <v>30</v>
      </c>
      <c r="E48" s="743">
        <v>30</v>
      </c>
      <c r="F48" s="740">
        <v>35</v>
      </c>
      <c r="G48" s="744" t="s">
        <v>488</v>
      </c>
      <c r="H48" s="745">
        <f t="shared" si="7"/>
        <v>0.11399999999999999</v>
      </c>
      <c r="I48" s="65">
        <v>1.9E-2</v>
      </c>
      <c r="J48" s="62">
        <f t="shared" si="1"/>
        <v>6.1040000000000001E-3</v>
      </c>
      <c r="K48" s="156">
        <f t="shared" si="4"/>
        <v>7.8478260869565223E-3</v>
      </c>
      <c r="L48" s="62">
        <v>1.4E-2</v>
      </c>
      <c r="M48" s="62">
        <v>9.4999999999999998E-3</v>
      </c>
      <c r="N48" s="62">
        <v>2.5999999999999999E-3</v>
      </c>
      <c r="O48" s="62">
        <v>0</v>
      </c>
      <c r="P48" s="62">
        <v>0</v>
      </c>
      <c r="Q48" s="62">
        <v>0</v>
      </c>
      <c r="R48" s="62">
        <v>0</v>
      </c>
      <c r="S48" s="156">
        <v>4.0000000000000001E-3</v>
      </c>
      <c r="T48" s="757"/>
      <c r="U48" s="757"/>
      <c r="V48" s="757"/>
      <c r="W48" s="757"/>
      <c r="X48" s="761">
        <v>6</v>
      </c>
      <c r="Y48" s="747">
        <v>2.0999999999999999E-3</v>
      </c>
      <c r="Z48" s="748">
        <v>1.6000000000000001E-3</v>
      </c>
      <c r="AA48" s="749">
        <v>0.995</v>
      </c>
      <c r="AB48" s="750">
        <f t="shared" ca="1" si="8"/>
        <v>0</v>
      </c>
      <c r="AC48" s="187">
        <v>1</v>
      </c>
    </row>
    <row r="49" spans="1:44" x14ac:dyDescent="0.25">
      <c r="A49" s="363" t="str">
        <f t="shared" si="6"/>
        <v>Broiler/Turkey litter - 3% N</v>
      </c>
      <c r="B49" s="150" t="s">
        <v>1318</v>
      </c>
      <c r="C49" s="357" t="s">
        <v>1318</v>
      </c>
      <c r="D49" s="743">
        <v>31</v>
      </c>
      <c r="E49" s="743">
        <v>31</v>
      </c>
      <c r="F49" s="740">
        <v>60</v>
      </c>
      <c r="G49" s="744" t="s">
        <v>488</v>
      </c>
      <c r="H49" s="745">
        <f t="shared" si="7"/>
        <v>0.48</v>
      </c>
      <c r="I49" s="65">
        <v>0.03</v>
      </c>
      <c r="J49" s="62">
        <f t="shared" si="1"/>
        <v>1.09E-2</v>
      </c>
      <c r="K49" s="156">
        <f t="shared" si="4"/>
        <v>1.4869565217391304E-2</v>
      </c>
      <c r="L49" s="62">
        <v>2.5000000000000001E-2</v>
      </c>
      <c r="M49" s="62">
        <v>1.7999999999999999E-2</v>
      </c>
      <c r="N49" s="62">
        <v>4.4000000000000003E-3</v>
      </c>
      <c r="O49" s="62">
        <v>0</v>
      </c>
      <c r="P49" s="62">
        <v>0</v>
      </c>
      <c r="Q49" s="62">
        <v>0</v>
      </c>
      <c r="R49" s="62">
        <v>0</v>
      </c>
      <c r="S49" s="156">
        <v>8.0000000000000002E-3</v>
      </c>
      <c r="T49" s="757"/>
      <c r="U49" s="757"/>
      <c r="V49" s="757"/>
      <c r="W49" s="757"/>
      <c r="X49" s="761">
        <v>16</v>
      </c>
      <c r="Y49" s="747">
        <v>2.0999999999999999E-3</v>
      </c>
      <c r="Z49" s="748">
        <v>1.6000000000000001E-3</v>
      </c>
      <c r="AA49" s="749">
        <v>0.995</v>
      </c>
      <c r="AB49" s="750">
        <f t="shared" ca="1" si="8"/>
        <v>0</v>
      </c>
      <c r="AC49" s="187">
        <v>1</v>
      </c>
    </row>
    <row r="50" spans="1:44" x14ac:dyDescent="0.25">
      <c r="A50" s="363" t="str">
        <f t="shared" si="6"/>
        <v>Cattle Slurry - 0.26% N</v>
      </c>
      <c r="B50" s="150" t="s">
        <v>1319</v>
      </c>
      <c r="C50" s="357" t="s">
        <v>1319</v>
      </c>
      <c r="D50" s="743">
        <v>32</v>
      </c>
      <c r="E50" s="743">
        <v>32</v>
      </c>
      <c r="F50" s="740">
        <v>6</v>
      </c>
      <c r="G50" s="744" t="s">
        <v>488</v>
      </c>
      <c r="H50" s="745">
        <f t="shared" si="7"/>
        <v>1.5339999999999999E-2</v>
      </c>
      <c r="I50" s="65">
        <v>2.5999999999999999E-3</v>
      </c>
      <c r="J50" s="62">
        <f t="shared" si="1"/>
        <v>5.2319999999999992E-4</v>
      </c>
      <c r="K50" s="156">
        <f t="shared" si="4"/>
        <v>2.6434782608695654E-3</v>
      </c>
      <c r="L50" s="62">
        <v>1.1999999999999999E-3</v>
      </c>
      <c r="M50" s="62">
        <v>3.2000000000000002E-3</v>
      </c>
      <c r="N50" s="62">
        <v>5.9999999999999995E-4</v>
      </c>
      <c r="O50" s="62">
        <v>0</v>
      </c>
      <c r="P50" s="62">
        <v>0</v>
      </c>
      <c r="Q50" s="62">
        <v>0</v>
      </c>
      <c r="R50" s="62">
        <v>0</v>
      </c>
      <c r="S50" s="156">
        <v>6.9999999999999999E-4</v>
      </c>
      <c r="T50" s="757"/>
      <c r="U50" s="757"/>
      <c r="V50" s="757"/>
      <c r="W50" s="757"/>
      <c r="X50" s="761">
        <v>5.9</v>
      </c>
      <c r="Y50" s="747">
        <v>2.0999999999999999E-3</v>
      </c>
      <c r="Z50" s="748">
        <v>1.6000000000000001E-3</v>
      </c>
      <c r="AA50" s="749">
        <v>0.995</v>
      </c>
      <c r="AB50" s="750">
        <f t="shared" ca="1" si="8"/>
        <v>0</v>
      </c>
      <c r="AC50" s="187">
        <v>1</v>
      </c>
    </row>
    <row r="51" spans="1:44" x14ac:dyDescent="0.25">
      <c r="A51" s="363" t="str">
        <f t="shared" si="6"/>
        <v>Pig slurry - 0.36% N</v>
      </c>
      <c r="B51" s="150" t="s">
        <v>1464</v>
      </c>
      <c r="C51" s="357" t="s">
        <v>1464</v>
      </c>
      <c r="D51" s="743">
        <v>33</v>
      </c>
      <c r="E51" s="743">
        <v>33</v>
      </c>
      <c r="F51" s="740">
        <v>4</v>
      </c>
      <c r="G51" s="744" t="s">
        <v>488</v>
      </c>
      <c r="H51" s="745">
        <f t="shared" si="7"/>
        <v>2.0988E-2</v>
      </c>
      <c r="I51" s="65">
        <v>3.5999999999999999E-3</v>
      </c>
      <c r="J51" s="62">
        <f t="shared" si="1"/>
        <v>7.8479999999999999E-4</v>
      </c>
      <c r="K51" s="156">
        <f t="shared" si="4"/>
        <v>1.9826086956521737E-3</v>
      </c>
      <c r="L51" s="62">
        <v>1.8E-3</v>
      </c>
      <c r="M51" s="62">
        <v>2.3999999999999998E-3</v>
      </c>
      <c r="N51" s="62">
        <v>6.9999999999999999E-4</v>
      </c>
      <c r="O51" s="62">
        <v>0</v>
      </c>
      <c r="P51" s="62">
        <v>0</v>
      </c>
      <c r="Q51" s="62">
        <v>0</v>
      </c>
      <c r="R51" s="62">
        <v>0</v>
      </c>
      <c r="S51" s="156">
        <v>1E-3</v>
      </c>
      <c r="T51" s="757"/>
      <c r="U51" s="757"/>
      <c r="V51" s="757"/>
      <c r="W51" s="757"/>
      <c r="X51" s="761">
        <v>5.83</v>
      </c>
      <c r="Y51" s="747">
        <v>2.0999999999999999E-3</v>
      </c>
      <c r="Z51" s="748">
        <v>1.6000000000000001E-3</v>
      </c>
      <c r="AA51" s="749">
        <v>0.995</v>
      </c>
      <c r="AB51" s="750">
        <f t="shared" ca="1" si="8"/>
        <v>0</v>
      </c>
      <c r="AC51" s="187">
        <v>1</v>
      </c>
    </row>
    <row r="52" spans="1:44" x14ac:dyDescent="0.25">
      <c r="A52" s="363" t="str">
        <f t="shared" si="6"/>
        <v>Separated Pig slurry - liquid part - 0.36% N</v>
      </c>
      <c r="B52" s="150" t="s">
        <v>1465</v>
      </c>
      <c r="C52" s="357" t="s">
        <v>1465</v>
      </c>
      <c r="D52" s="743">
        <v>34</v>
      </c>
      <c r="E52" s="743">
        <v>34</v>
      </c>
      <c r="F52" s="740">
        <v>3</v>
      </c>
      <c r="G52" s="744" t="s">
        <v>488</v>
      </c>
      <c r="H52" s="65">
        <f t="shared" si="7"/>
        <v>2.0988E-2</v>
      </c>
      <c r="I52" s="62">
        <v>3.5999999999999999E-3</v>
      </c>
      <c r="J52" s="62">
        <f t="shared" si="1"/>
        <v>6.9760000000000004E-4</v>
      </c>
      <c r="K52" s="62">
        <f t="shared" si="4"/>
        <v>1.9826086956521737E-3</v>
      </c>
      <c r="L52" s="62">
        <v>1.6000000000000001E-3</v>
      </c>
      <c r="M52" s="62">
        <v>2.3999999999999998E-3</v>
      </c>
      <c r="N52" s="62">
        <v>0</v>
      </c>
      <c r="O52" s="62">
        <v>0</v>
      </c>
      <c r="P52" s="62">
        <v>0</v>
      </c>
      <c r="Q52" s="62">
        <v>0</v>
      </c>
      <c r="R52" s="62">
        <v>0</v>
      </c>
      <c r="S52" s="62">
        <v>0</v>
      </c>
      <c r="T52" s="757"/>
      <c r="U52" s="757"/>
      <c r="V52" s="757"/>
      <c r="W52" s="758"/>
      <c r="X52" s="761">
        <v>5.83</v>
      </c>
      <c r="Y52" s="747">
        <v>2.0999999999999999E-3</v>
      </c>
      <c r="Z52" s="748">
        <v>1.6000000000000001E-3</v>
      </c>
      <c r="AA52" s="749">
        <v>0.995</v>
      </c>
      <c r="AB52" s="750">
        <f t="shared" ca="1" si="8"/>
        <v>0</v>
      </c>
      <c r="AC52" s="187">
        <v>1</v>
      </c>
    </row>
    <row r="53" spans="1:44" x14ac:dyDescent="0.25">
      <c r="A53" s="363" t="str">
        <f t="shared" si="6"/>
        <v>Separated Pig slurry - solid part - 0.5% N</v>
      </c>
      <c r="B53" s="150" t="s">
        <v>1466</v>
      </c>
      <c r="C53" s="357" t="s">
        <v>1466</v>
      </c>
      <c r="D53" s="743">
        <v>35</v>
      </c>
      <c r="E53" s="743">
        <v>35</v>
      </c>
      <c r="F53" s="740">
        <v>20</v>
      </c>
      <c r="G53" s="744" t="s">
        <v>488</v>
      </c>
      <c r="H53" s="65">
        <f t="shared" si="7"/>
        <v>2.9150000000000002E-2</v>
      </c>
      <c r="I53" s="62">
        <v>5.0000000000000001E-3</v>
      </c>
      <c r="J53" s="62">
        <f t="shared" si="1"/>
        <v>2.0055999999999997E-3</v>
      </c>
      <c r="K53" s="62">
        <f t="shared" si="4"/>
        <v>1.8173913043478263E-3</v>
      </c>
      <c r="L53" s="62">
        <v>4.5999999999999999E-3</v>
      </c>
      <c r="M53" s="62">
        <v>2.2000000000000001E-3</v>
      </c>
      <c r="N53" s="62">
        <v>0</v>
      </c>
      <c r="O53" s="62">
        <v>0</v>
      </c>
      <c r="P53" s="62">
        <v>0</v>
      </c>
      <c r="Q53" s="62">
        <v>0</v>
      </c>
      <c r="R53" s="62">
        <v>0</v>
      </c>
      <c r="S53" s="62">
        <v>0</v>
      </c>
      <c r="T53" s="757"/>
      <c r="U53" s="757"/>
      <c r="V53" s="757"/>
      <c r="W53" s="758"/>
      <c r="X53" s="761">
        <v>5.83</v>
      </c>
      <c r="Y53" s="747">
        <v>2.0999999999999999E-3</v>
      </c>
      <c r="Z53" s="748">
        <v>1.6000000000000001E-3</v>
      </c>
      <c r="AA53" s="749">
        <v>0.995</v>
      </c>
      <c r="AB53" s="750">
        <f t="shared" ca="1" si="8"/>
        <v>0</v>
      </c>
      <c r="AC53" s="187">
        <v>1</v>
      </c>
    </row>
    <row r="54" spans="1:44" x14ac:dyDescent="0.25">
      <c r="A54" s="363" t="str">
        <f>B54</f>
        <v/>
      </c>
      <c r="B54" s="150" t="str">
        <f>IF('A5. User-defined fertilisers'!A4="",IF('A5. User-defined fertilisers'!B4&lt;&gt;"",'A5. User-defined fertilisers'!A$27&amp;" "&amp;'A5. User-defined fertilisers'!B4&amp;" based fertiliser",""),'A5. User-defined fertilisers'!A4)</f>
        <v/>
      </c>
      <c r="C54" s="357" t="str">
        <f>'A5. User-defined fertilisers'!B4</f>
        <v/>
      </c>
      <c r="D54" s="743">
        <v>36</v>
      </c>
      <c r="E54" s="759">
        <f ca="1">'A5. User-defined fertilisers'!C4</f>
        <v>0</v>
      </c>
      <c r="F54" s="740">
        <f ca="1">'A5. User-defined fertilisers'!D4</f>
        <v>0</v>
      </c>
      <c r="G54" s="740">
        <f ca="1">'A5. User-defined fertilisers'!E4</f>
        <v>0</v>
      </c>
      <c r="H54" s="65">
        <f ca="1">'A5. User-defined fertilisers'!F4</f>
        <v>0</v>
      </c>
      <c r="I54" s="62">
        <f ca="1">'A5. User-defined fertilisers'!G4</f>
        <v>0</v>
      </c>
      <c r="J54" s="62">
        <f ca="1">'A5. User-defined fertilisers'!I4</f>
        <v>0</v>
      </c>
      <c r="K54" s="62">
        <f ca="1">'A5. User-defined fertilisers'!H4</f>
        <v>0</v>
      </c>
      <c r="L54" s="62">
        <f ca="1">'A5. User-defined fertilisers'!J4</f>
        <v>0</v>
      </c>
      <c r="M54" s="62">
        <f ca="1">'A5. User-defined fertilisers'!K4</f>
        <v>0</v>
      </c>
      <c r="N54" s="62">
        <f ca="1">'A5. User-defined fertilisers'!L4</f>
        <v>0</v>
      </c>
      <c r="O54" s="62">
        <f ca="1">'A5. User-defined fertilisers'!M4</f>
        <v>0</v>
      </c>
      <c r="P54" s="62">
        <f ca="1">'A5. User-defined fertilisers'!N4</f>
        <v>0</v>
      </c>
      <c r="Q54" s="62">
        <f ca="1">'A5. User-defined fertilisers'!O4</f>
        <v>0</v>
      </c>
      <c r="R54" s="62">
        <f ca="1">'A5. User-defined fertilisers'!P4</f>
        <v>0</v>
      </c>
      <c r="S54" s="62">
        <f ca="1">'A5. User-defined fertilisers'!Q4</f>
        <v>0</v>
      </c>
      <c r="T54" s="760">
        <f ca="1">'A5. User-defined fertilisers'!R4</f>
        <v>0</v>
      </c>
      <c r="U54" s="760">
        <f ca="1">'A5. User-defined fertilisers'!S4</f>
        <v>0</v>
      </c>
      <c r="V54" s="760">
        <f ca="1">'A5. User-defined fertilisers'!T4</f>
        <v>0</v>
      </c>
      <c r="W54" s="760">
        <f ca="1">'A5. User-defined fertilisers'!U4</f>
        <v>0</v>
      </c>
      <c r="X54" s="761">
        <f ca="1">'A5. User-defined fertilisers'!V4</f>
        <v>0</v>
      </c>
      <c r="Y54" s="761">
        <f ca="1">'A5. User-defined fertilisers'!W4</f>
        <v>0</v>
      </c>
      <c r="Z54" s="751">
        <f ca="1">'A5. User-defined fertilisers'!X4</f>
        <v>0</v>
      </c>
      <c r="AA54" s="1354">
        <f ca="1">'A5. User-defined fertilisers'!Y4</f>
        <v>0</v>
      </c>
      <c r="AB54" s="762">
        <f ca="1">'A5. User-defined fertilisers'!Z4</f>
        <v>0</v>
      </c>
      <c r="AC54" s="763">
        <f ca="1">'A5. User-defined fertilisers'!AA4</f>
        <v>0</v>
      </c>
    </row>
    <row r="55" spans="1:44" x14ac:dyDescent="0.25">
      <c r="A55" s="363" t="str">
        <f>B55</f>
        <v/>
      </c>
      <c r="B55" s="150" t="str">
        <f>IF('A5. User-defined fertilisers'!A5="",IF('A5. User-defined fertilisers'!B5&lt;&gt;"",'A5. User-defined fertilisers'!A$27&amp;" "&amp;'A5. User-defined fertilisers'!B5&amp;" based fertiliser",""),'A5. User-defined fertilisers'!A5)</f>
        <v/>
      </c>
      <c r="C55" s="357" t="str">
        <f>'A5. User-defined fertilisers'!B5</f>
        <v/>
      </c>
      <c r="D55" s="743">
        <v>37</v>
      </c>
      <c r="E55" s="759">
        <f ca="1">'A5. User-defined fertilisers'!C5</f>
        <v>0</v>
      </c>
      <c r="F55" s="740">
        <f ca="1">'A5. User-defined fertilisers'!D5</f>
        <v>0</v>
      </c>
      <c r="G55" s="740">
        <f ca="1">'A5. User-defined fertilisers'!E5</f>
        <v>0</v>
      </c>
      <c r="H55" s="65">
        <f ca="1">'A5. User-defined fertilisers'!F5</f>
        <v>0</v>
      </c>
      <c r="I55" s="62">
        <f ca="1">'A5. User-defined fertilisers'!G5</f>
        <v>0</v>
      </c>
      <c r="J55" s="62">
        <f ca="1">'A5. User-defined fertilisers'!I5</f>
        <v>0</v>
      </c>
      <c r="K55" s="62">
        <f ca="1">'A5. User-defined fertilisers'!H5</f>
        <v>0</v>
      </c>
      <c r="L55" s="62">
        <f ca="1">'A5. User-defined fertilisers'!J5</f>
        <v>0</v>
      </c>
      <c r="M55" s="62">
        <f ca="1">'A5. User-defined fertilisers'!K5</f>
        <v>0</v>
      </c>
      <c r="N55" s="62">
        <f ca="1">'A5. User-defined fertilisers'!L5</f>
        <v>0</v>
      </c>
      <c r="O55" s="62">
        <f ca="1">'A5. User-defined fertilisers'!M5</f>
        <v>0</v>
      </c>
      <c r="P55" s="62">
        <f ca="1">'A5. User-defined fertilisers'!N5</f>
        <v>0</v>
      </c>
      <c r="Q55" s="62">
        <f ca="1">'A5. User-defined fertilisers'!O5</f>
        <v>0</v>
      </c>
      <c r="R55" s="62">
        <f ca="1">'A5. User-defined fertilisers'!P5</f>
        <v>0</v>
      </c>
      <c r="S55" s="62">
        <f ca="1">'A5. User-defined fertilisers'!Q5</f>
        <v>0</v>
      </c>
      <c r="T55" s="760">
        <f ca="1">'A5. User-defined fertilisers'!R5</f>
        <v>0</v>
      </c>
      <c r="U55" s="760">
        <f ca="1">'A5. User-defined fertilisers'!S5</f>
        <v>0</v>
      </c>
      <c r="V55" s="760">
        <f ca="1">'A5. User-defined fertilisers'!T5</f>
        <v>0</v>
      </c>
      <c r="W55" s="760">
        <f ca="1">'A5. User-defined fertilisers'!U5</f>
        <v>0</v>
      </c>
      <c r="X55" s="761">
        <f ca="1">'A5. User-defined fertilisers'!V5</f>
        <v>0</v>
      </c>
      <c r="Y55" s="761">
        <f ca="1">'A5. User-defined fertilisers'!W5</f>
        <v>0</v>
      </c>
      <c r="Z55" s="751">
        <f ca="1">'A5. User-defined fertilisers'!X5</f>
        <v>0</v>
      </c>
      <c r="AA55" s="1354">
        <f ca="1">'A5. User-defined fertilisers'!Y5</f>
        <v>0</v>
      </c>
      <c r="AB55" s="762">
        <f ca="1">'A5. User-defined fertilisers'!Z5</f>
        <v>0</v>
      </c>
      <c r="AC55" s="763">
        <f ca="1">'A5. User-defined fertilisers'!AA5</f>
        <v>0</v>
      </c>
    </row>
    <row r="56" spans="1:44" x14ac:dyDescent="0.25">
      <c r="A56" s="363" t="str">
        <f>B56</f>
        <v/>
      </c>
      <c r="B56" s="150" t="str">
        <f>IF('A5. User-defined fertilisers'!A6="",IF('A5. User-defined fertilisers'!B6&lt;&gt;"",'A5. User-defined fertilisers'!A$27&amp;" "&amp;'A5. User-defined fertilisers'!B6&amp;" based fertiliser",""),'A5. User-defined fertilisers'!A6)</f>
        <v/>
      </c>
      <c r="C56" s="357" t="str">
        <f>'A5. User-defined fertilisers'!B6</f>
        <v/>
      </c>
      <c r="D56" s="743">
        <v>38</v>
      </c>
      <c r="E56" s="759">
        <f ca="1">'A5. User-defined fertilisers'!C6</f>
        <v>0</v>
      </c>
      <c r="F56" s="740">
        <f ca="1">'A5. User-defined fertilisers'!D6</f>
        <v>0</v>
      </c>
      <c r="G56" s="740">
        <f ca="1">'A5. User-defined fertilisers'!E6</f>
        <v>0</v>
      </c>
      <c r="H56" s="65">
        <f ca="1">'A5. User-defined fertilisers'!F6</f>
        <v>0</v>
      </c>
      <c r="I56" s="62">
        <f ca="1">'A5. User-defined fertilisers'!G6</f>
        <v>0</v>
      </c>
      <c r="J56" s="62">
        <f ca="1">'A5. User-defined fertilisers'!I6</f>
        <v>0</v>
      </c>
      <c r="K56" s="62">
        <f ca="1">'A5. User-defined fertilisers'!H6</f>
        <v>0</v>
      </c>
      <c r="L56" s="62">
        <f ca="1">'A5. User-defined fertilisers'!J6</f>
        <v>0</v>
      </c>
      <c r="M56" s="62">
        <f ca="1">'A5. User-defined fertilisers'!K6</f>
        <v>0</v>
      </c>
      <c r="N56" s="62">
        <f ca="1">'A5. User-defined fertilisers'!L6</f>
        <v>0</v>
      </c>
      <c r="O56" s="62">
        <f ca="1">'A5. User-defined fertilisers'!M6</f>
        <v>0</v>
      </c>
      <c r="P56" s="62">
        <f ca="1">'A5. User-defined fertilisers'!N6</f>
        <v>0</v>
      </c>
      <c r="Q56" s="62">
        <f ca="1">'A5. User-defined fertilisers'!O6</f>
        <v>0</v>
      </c>
      <c r="R56" s="62">
        <f ca="1">'A5. User-defined fertilisers'!P6</f>
        <v>0</v>
      </c>
      <c r="S56" s="62">
        <f ca="1">'A5. User-defined fertilisers'!Q6</f>
        <v>0</v>
      </c>
      <c r="T56" s="760">
        <f ca="1">'A5. User-defined fertilisers'!R6</f>
        <v>0</v>
      </c>
      <c r="U56" s="760">
        <f ca="1">'A5. User-defined fertilisers'!S6</f>
        <v>0</v>
      </c>
      <c r="V56" s="760">
        <f ca="1">'A5. User-defined fertilisers'!T6</f>
        <v>0</v>
      </c>
      <c r="W56" s="760">
        <f ca="1">'A5. User-defined fertilisers'!U6</f>
        <v>0</v>
      </c>
      <c r="X56" s="761">
        <f ca="1">'A5. User-defined fertilisers'!V6</f>
        <v>0</v>
      </c>
      <c r="Y56" s="761">
        <f ca="1">'A5. User-defined fertilisers'!W6</f>
        <v>0</v>
      </c>
      <c r="Z56" s="751">
        <f ca="1">'A5. User-defined fertilisers'!X6</f>
        <v>0</v>
      </c>
      <c r="AA56" s="1354">
        <f ca="1">'A5. User-defined fertilisers'!Y6</f>
        <v>0</v>
      </c>
      <c r="AB56" s="762">
        <f ca="1">'A5. User-defined fertilisers'!Z6</f>
        <v>0</v>
      </c>
      <c r="AC56" s="763">
        <f ca="1">'A5. User-defined fertilisers'!AA6</f>
        <v>0</v>
      </c>
    </row>
    <row r="57" spans="1:44" x14ac:dyDescent="0.25">
      <c r="A57" s="363" t="str">
        <f>B57</f>
        <v/>
      </c>
      <c r="B57" s="150" t="str">
        <f>IF('A5. User-defined fertilisers'!A7="",IF('A5. User-defined fertilisers'!B7&lt;&gt;"",'A5. User-defined fertilisers'!A$27&amp;" "&amp;'A5. User-defined fertilisers'!B7&amp;" based fertiliser",""),'A5. User-defined fertilisers'!A7)</f>
        <v/>
      </c>
      <c r="C57" s="357" t="str">
        <f>'A5. User-defined fertilisers'!B7</f>
        <v/>
      </c>
      <c r="D57" s="743">
        <v>39</v>
      </c>
      <c r="E57" s="759">
        <f ca="1">'A5. User-defined fertilisers'!C7</f>
        <v>0</v>
      </c>
      <c r="F57" s="740">
        <f ca="1">'A5. User-defined fertilisers'!D7</f>
        <v>0</v>
      </c>
      <c r="G57" s="740">
        <f ca="1">'A5. User-defined fertilisers'!E7</f>
        <v>0</v>
      </c>
      <c r="H57" s="65">
        <f ca="1">'A5. User-defined fertilisers'!F7</f>
        <v>0</v>
      </c>
      <c r="I57" s="62">
        <f ca="1">'A5. User-defined fertilisers'!G7</f>
        <v>0</v>
      </c>
      <c r="J57" s="62">
        <f ca="1">'A5. User-defined fertilisers'!I7</f>
        <v>0</v>
      </c>
      <c r="K57" s="62">
        <f ca="1">'A5. User-defined fertilisers'!H7</f>
        <v>0</v>
      </c>
      <c r="L57" s="62">
        <f ca="1">'A5. User-defined fertilisers'!J7</f>
        <v>0</v>
      </c>
      <c r="M57" s="62">
        <f ca="1">'A5. User-defined fertilisers'!K7</f>
        <v>0</v>
      </c>
      <c r="N57" s="62">
        <f ca="1">'A5. User-defined fertilisers'!L7</f>
        <v>0</v>
      </c>
      <c r="O57" s="62">
        <f ca="1">'A5. User-defined fertilisers'!M7</f>
        <v>0</v>
      </c>
      <c r="P57" s="62">
        <f ca="1">'A5. User-defined fertilisers'!N7</f>
        <v>0</v>
      </c>
      <c r="Q57" s="62">
        <f ca="1">'A5. User-defined fertilisers'!O7</f>
        <v>0</v>
      </c>
      <c r="R57" s="62">
        <f ca="1">'A5. User-defined fertilisers'!P7</f>
        <v>0</v>
      </c>
      <c r="S57" s="62">
        <f ca="1">'A5. User-defined fertilisers'!Q7</f>
        <v>0</v>
      </c>
      <c r="T57" s="760">
        <f ca="1">'A5. User-defined fertilisers'!R7</f>
        <v>0</v>
      </c>
      <c r="U57" s="760">
        <f ca="1">'A5. User-defined fertilisers'!S7</f>
        <v>0</v>
      </c>
      <c r="V57" s="760">
        <f ca="1">'A5. User-defined fertilisers'!T7</f>
        <v>0</v>
      </c>
      <c r="W57" s="760">
        <f ca="1">'A5. User-defined fertilisers'!U7</f>
        <v>0</v>
      </c>
      <c r="X57" s="761">
        <f ca="1">'A5. User-defined fertilisers'!V7</f>
        <v>0</v>
      </c>
      <c r="Y57" s="761">
        <f ca="1">'A5. User-defined fertilisers'!W7</f>
        <v>0</v>
      </c>
      <c r="Z57" s="751">
        <f ca="1">'A5. User-defined fertilisers'!X7</f>
        <v>0</v>
      </c>
      <c r="AA57" s="1354">
        <f ca="1">'A5. User-defined fertilisers'!Y7</f>
        <v>0</v>
      </c>
      <c r="AB57" s="762">
        <f ca="1">'A5. User-defined fertilisers'!Z7</f>
        <v>0</v>
      </c>
      <c r="AC57" s="763">
        <f ca="1">'A5. User-defined fertilisers'!AA7</f>
        <v>0</v>
      </c>
    </row>
    <row r="58" spans="1:44" ht="13.25" thickBot="1" x14ac:dyDescent="0.3">
      <c r="A58" s="287" t="s">
        <v>519</v>
      </c>
      <c r="B58" s="287" t="s">
        <v>697</v>
      </c>
      <c r="C58" s="287" t="s">
        <v>519</v>
      </c>
      <c r="D58" s="743">
        <v>40</v>
      </c>
      <c r="E58" s="287">
        <v>40</v>
      </c>
      <c r="F58" s="287"/>
      <c r="G58" s="287" t="s">
        <v>488</v>
      </c>
      <c r="H58" s="745">
        <f>I58*X58</f>
        <v>0.3</v>
      </c>
      <c r="I58" s="764">
        <v>0.01</v>
      </c>
      <c r="J58" s="765">
        <v>0</v>
      </c>
      <c r="K58" s="766">
        <v>0</v>
      </c>
      <c r="L58" s="767">
        <v>0</v>
      </c>
      <c r="M58" s="767">
        <v>0</v>
      </c>
      <c r="N58" s="767">
        <v>0</v>
      </c>
      <c r="O58" s="767">
        <v>0</v>
      </c>
      <c r="P58" s="767">
        <v>0</v>
      </c>
      <c r="Q58" s="767">
        <v>0</v>
      </c>
      <c r="R58" s="768">
        <v>0</v>
      </c>
      <c r="S58" s="767">
        <v>0</v>
      </c>
      <c r="T58" s="287">
        <v>0</v>
      </c>
      <c r="U58" s="287">
        <v>0</v>
      </c>
      <c r="V58" s="287">
        <v>0</v>
      </c>
      <c r="W58" s="287">
        <v>0</v>
      </c>
      <c r="X58" s="287">
        <v>30</v>
      </c>
      <c r="Y58" s="747">
        <v>2.0999999999999999E-3</v>
      </c>
      <c r="Z58" s="748">
        <v>1.6000000000000001E-3</v>
      </c>
      <c r="AA58" s="749">
        <v>0.995</v>
      </c>
      <c r="AB58" s="287"/>
      <c r="AC58" s="748">
        <v>1</v>
      </c>
    </row>
    <row r="59" spans="1:44" x14ac:dyDescent="0.25">
      <c r="N59" s="159"/>
      <c r="O59" s="159"/>
      <c r="P59" s="159"/>
      <c r="Q59" s="159"/>
      <c r="R59" s="159"/>
      <c r="S59" s="159"/>
    </row>
    <row r="61" spans="1:44" x14ac:dyDescent="0.25">
      <c r="B61" s="1" t="s">
        <v>409</v>
      </c>
      <c r="AD61" s="291"/>
      <c r="AE61" s="291"/>
      <c r="AF61" s="291"/>
      <c r="AG61" s="291"/>
      <c r="AH61" s="291"/>
      <c r="AI61" s="291"/>
      <c r="AJ61" s="291"/>
      <c r="AK61" s="291"/>
      <c r="AL61" s="291"/>
      <c r="AM61" s="291"/>
    </row>
    <row r="62" spans="1:44" x14ac:dyDescent="0.25">
      <c r="K62" s="770"/>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159"/>
      <c r="AO62" s="159"/>
      <c r="AP62" s="159"/>
      <c r="AQ62" s="159"/>
      <c r="AR62" s="159"/>
    </row>
    <row r="63" spans="1:44" x14ac:dyDescent="0.25">
      <c r="K63" s="770"/>
      <c r="L63" s="291"/>
      <c r="M63" s="291"/>
      <c r="N63" s="291"/>
      <c r="O63" s="291"/>
      <c r="P63" s="291"/>
      <c r="Q63" s="291"/>
      <c r="R63" s="291"/>
      <c r="S63" s="291"/>
      <c r="T63" s="291"/>
      <c r="U63" s="291"/>
      <c r="V63" s="291"/>
      <c r="W63" s="291"/>
      <c r="X63" s="291"/>
      <c r="Y63" s="291"/>
      <c r="Z63" s="291"/>
      <c r="AA63" s="291"/>
      <c r="AB63" s="291"/>
      <c r="AC63" s="291"/>
      <c r="AD63" s="291"/>
      <c r="AE63" s="291"/>
      <c r="AF63" s="291"/>
      <c r="AG63" s="291"/>
      <c r="AH63" s="291"/>
      <c r="AI63" s="291"/>
      <c r="AJ63" s="291"/>
      <c r="AK63" s="291"/>
      <c r="AL63" s="291"/>
      <c r="AM63" s="291"/>
      <c r="AN63" s="159"/>
      <c r="AO63" s="159"/>
      <c r="AP63" s="159"/>
      <c r="AQ63" s="159"/>
      <c r="AR63" s="159"/>
    </row>
    <row r="64" spans="1:44" ht="13.25" thickBot="1" x14ac:dyDescent="0.3">
      <c r="K64" s="770"/>
      <c r="L64" s="291"/>
      <c r="M64" s="291"/>
      <c r="N64" s="291"/>
      <c r="O64" s="291"/>
      <c r="P64" s="291"/>
      <c r="Q64" s="291"/>
      <c r="R64" s="291"/>
      <c r="S64" s="291"/>
      <c r="T64" s="291"/>
      <c r="U64" s="291"/>
      <c r="V64" s="291"/>
      <c r="W64" s="291"/>
      <c r="X64" s="291"/>
      <c r="Y64" s="291"/>
      <c r="Z64" s="291"/>
      <c r="AA64" s="291"/>
      <c r="AB64" s="291"/>
      <c r="AC64" s="291"/>
      <c r="AD64" s="291"/>
      <c r="AE64" s="291"/>
      <c r="AF64" s="291"/>
      <c r="AG64" s="291"/>
      <c r="AH64" s="291"/>
      <c r="AI64" s="291"/>
      <c r="AJ64" s="291"/>
      <c r="AK64" s="291"/>
      <c r="AL64" s="291"/>
      <c r="AM64" s="291"/>
      <c r="AN64" s="159"/>
      <c r="AO64" s="159"/>
      <c r="AP64" s="159"/>
      <c r="AQ64" s="159"/>
      <c r="AR64" s="159"/>
    </row>
    <row r="65" spans="1:44" x14ac:dyDescent="0.25">
      <c r="A65" s="738"/>
      <c r="B65" s="387"/>
      <c r="C65" s="387"/>
      <c r="D65" s="387"/>
      <c r="E65" s="387"/>
      <c r="F65" s="387"/>
      <c r="G65" s="387"/>
      <c r="H65" s="771"/>
      <c r="I65" s="388"/>
      <c r="K65" s="770"/>
      <c r="L65" s="291"/>
      <c r="M65" s="291"/>
      <c r="N65" s="291"/>
      <c r="O65" s="291"/>
      <c r="P65" s="291"/>
      <c r="Q65" s="291"/>
      <c r="R65" s="291"/>
      <c r="S65" s="291"/>
      <c r="T65" s="291"/>
      <c r="U65" s="291"/>
      <c r="V65" s="291"/>
      <c r="W65" s="291"/>
      <c r="X65" s="291"/>
      <c r="Y65" s="291"/>
      <c r="Z65" s="291"/>
      <c r="AA65" s="291"/>
      <c r="AB65" s="291"/>
      <c r="AC65" s="291"/>
      <c r="AD65" s="291"/>
      <c r="AE65" s="291"/>
      <c r="AF65" s="291"/>
      <c r="AG65" s="291"/>
      <c r="AH65" s="291"/>
      <c r="AI65" s="291"/>
      <c r="AJ65" s="291"/>
      <c r="AK65" s="291"/>
      <c r="AL65" s="291"/>
      <c r="AM65" s="291"/>
      <c r="AN65" s="159"/>
      <c r="AO65" s="159"/>
      <c r="AP65" s="159"/>
      <c r="AQ65" s="159"/>
      <c r="AR65" s="159"/>
    </row>
    <row r="66" spans="1:44" x14ac:dyDescent="0.25">
      <c r="A66" s="363"/>
      <c r="B66" s="150" t="s">
        <v>323</v>
      </c>
      <c r="C66" s="150">
        <v>-0.41360000000000002</v>
      </c>
      <c r="D66" s="150"/>
      <c r="E66" s="150"/>
      <c r="F66" s="150"/>
      <c r="G66" s="150"/>
      <c r="H66" s="150"/>
      <c r="I66" s="357"/>
      <c r="K66" s="770"/>
      <c r="L66" s="291"/>
      <c r="M66" s="291"/>
      <c r="N66" s="291"/>
      <c r="O66" s="291"/>
      <c r="P66" s="291"/>
      <c r="Q66" s="291"/>
      <c r="R66" s="291"/>
      <c r="S66" s="291"/>
      <c r="T66" s="291"/>
      <c r="U66" s="291"/>
      <c r="V66" s="291"/>
      <c r="W66" s="291"/>
      <c r="X66" s="291"/>
      <c r="Y66" s="291"/>
      <c r="Z66" s="291"/>
      <c r="AA66" s="291"/>
      <c r="AB66" s="291"/>
      <c r="AC66" s="291"/>
      <c r="AD66" s="291"/>
      <c r="AE66" s="291"/>
      <c r="AF66" s="291"/>
      <c r="AG66" s="291"/>
      <c r="AH66" s="772"/>
      <c r="AI66" s="291"/>
      <c r="AJ66" s="291"/>
      <c r="AK66" s="291"/>
      <c r="AL66" s="291"/>
      <c r="AM66" s="291"/>
      <c r="AN66" s="159"/>
      <c r="AO66" s="159"/>
      <c r="AP66" s="159"/>
      <c r="AQ66" s="159"/>
      <c r="AR66" s="159"/>
    </row>
    <row r="67" spans="1:44" x14ac:dyDescent="0.25">
      <c r="A67" s="363"/>
      <c r="B67" s="150" t="s">
        <v>1976</v>
      </c>
      <c r="C67" s="150">
        <v>-1.268</v>
      </c>
      <c r="D67" s="150">
        <v>-1.242</v>
      </c>
      <c r="E67" s="150">
        <v>-2.3E-2</v>
      </c>
      <c r="F67" s="150">
        <v>0</v>
      </c>
      <c r="G67" s="150">
        <v>-2.536</v>
      </c>
      <c r="H67" s="150"/>
      <c r="I67" s="357"/>
      <c r="K67" s="770"/>
      <c r="L67" s="291"/>
      <c r="M67" s="291"/>
      <c r="N67" s="291"/>
      <c r="O67" s="291"/>
      <c r="P67" s="291"/>
      <c r="Q67" s="291"/>
      <c r="R67" s="291"/>
      <c r="S67" s="291"/>
      <c r="T67" s="291"/>
      <c r="U67" s="291"/>
      <c r="V67" s="291"/>
      <c r="W67" s="291"/>
      <c r="X67" s="291"/>
      <c r="Y67" s="291"/>
      <c r="Z67" s="291"/>
      <c r="AA67" s="291"/>
      <c r="AB67" s="291"/>
      <c r="AC67" s="291"/>
      <c r="AD67" s="291"/>
      <c r="AE67" s="291"/>
      <c r="AF67" s="291"/>
      <c r="AG67" s="291"/>
      <c r="AH67" s="291"/>
      <c r="AI67" s="291"/>
      <c r="AJ67" s="291"/>
      <c r="AK67" s="291"/>
      <c r="AL67" s="291"/>
      <c r="AM67" s="291"/>
      <c r="AN67" s="159"/>
      <c r="AO67" s="159"/>
      <c r="AP67" s="159"/>
      <c r="AQ67" s="159"/>
      <c r="AR67" s="159"/>
    </row>
    <row r="68" spans="1:44" x14ac:dyDescent="0.25">
      <c r="A68" s="363"/>
      <c r="B68" s="150" t="s">
        <v>163</v>
      </c>
      <c r="C68" s="150">
        <v>0</v>
      </c>
      <c r="D68" s="150">
        <v>-0.47199999999999998</v>
      </c>
      <c r="E68" s="150">
        <v>-8.0000000000000002E-3</v>
      </c>
      <c r="F68" s="150"/>
      <c r="G68" s="150"/>
      <c r="H68" s="150"/>
      <c r="I68" s="357"/>
      <c r="K68" s="770"/>
      <c r="L68" s="291"/>
      <c r="M68" s="291"/>
      <c r="N68" s="291"/>
      <c r="O68" s="291"/>
      <c r="P68" s="291"/>
      <c r="Q68" s="291"/>
      <c r="R68" s="291"/>
      <c r="S68" s="291"/>
      <c r="T68" s="291"/>
      <c r="U68" s="291"/>
      <c r="V68" s="291"/>
      <c r="W68" s="291"/>
      <c r="X68" s="291"/>
      <c r="Y68" s="291"/>
      <c r="Z68" s="291"/>
      <c r="AA68" s="291"/>
      <c r="AB68" s="291"/>
      <c r="AC68" s="291"/>
      <c r="AD68" s="291"/>
      <c r="AE68" s="291"/>
      <c r="AF68" s="291"/>
      <c r="AG68" s="291"/>
      <c r="AH68" s="291"/>
      <c r="AI68" s="291"/>
      <c r="AJ68" s="291"/>
      <c r="AK68" s="291"/>
      <c r="AL68" s="291"/>
      <c r="AM68" s="291"/>
      <c r="AN68" s="159"/>
      <c r="AO68" s="159"/>
      <c r="AP68" s="159"/>
      <c r="AQ68" s="159"/>
      <c r="AR68" s="159"/>
    </row>
    <row r="69" spans="1:44" x14ac:dyDescent="0.25">
      <c r="A69" s="363"/>
      <c r="B69" s="150" t="s">
        <v>164</v>
      </c>
      <c r="C69" s="150">
        <v>0</v>
      </c>
      <c r="D69" s="150">
        <v>0.14000000000000001</v>
      </c>
      <c r="E69" s="150">
        <v>0.57999999999999996</v>
      </c>
      <c r="F69" s="150">
        <v>1.0449999999999999</v>
      </c>
      <c r="G69" s="150"/>
      <c r="H69" s="150"/>
      <c r="I69" s="357"/>
      <c r="K69" s="770"/>
      <c r="L69" s="291"/>
      <c r="M69" s="291"/>
      <c r="N69" s="291"/>
      <c r="O69" s="291"/>
      <c r="P69" s="291"/>
      <c r="Q69" s="291"/>
      <c r="R69" s="291"/>
      <c r="S69" s="291"/>
      <c r="T69" s="291"/>
      <c r="U69" s="291"/>
      <c r="V69" s="291"/>
      <c r="W69" s="291"/>
      <c r="X69" s="291"/>
      <c r="Y69" s="291"/>
      <c r="Z69" s="291"/>
      <c r="AA69" s="291"/>
      <c r="AB69" s="291"/>
      <c r="AC69" s="291"/>
      <c r="AD69" s="291"/>
      <c r="AE69" s="291"/>
      <c r="AF69" s="291"/>
      <c r="AG69" s="291"/>
      <c r="AH69" s="291"/>
      <c r="AI69" s="291"/>
      <c r="AJ69" s="291"/>
      <c r="AK69" s="291"/>
      <c r="AL69" s="291"/>
      <c r="AM69" s="291"/>
      <c r="AN69" s="159"/>
      <c r="AO69" s="159"/>
      <c r="AP69" s="159"/>
      <c r="AQ69" s="159"/>
      <c r="AR69" s="159"/>
    </row>
    <row r="70" spans="1:44" x14ac:dyDescent="0.25">
      <c r="A70" s="363"/>
      <c r="B70" s="150" t="s">
        <v>165</v>
      </c>
      <c r="C70" s="150">
        <v>0</v>
      </c>
      <c r="D70" s="150">
        <v>0.109</v>
      </c>
      <c r="E70" s="150">
        <v>-0.35199999999999998</v>
      </c>
      <c r="F70" s="150">
        <v>-0.35199999999999998</v>
      </c>
      <c r="G70" s="150"/>
      <c r="H70" s="150"/>
      <c r="I70" s="357"/>
      <c r="K70" s="770"/>
      <c r="L70" s="291"/>
      <c r="M70" s="291"/>
      <c r="N70" s="291"/>
      <c r="O70" s="291"/>
      <c r="P70" s="291"/>
      <c r="Q70" s="291"/>
      <c r="R70" s="291"/>
      <c r="S70" s="291"/>
      <c r="T70" s="291"/>
      <c r="U70" s="291"/>
      <c r="V70" s="291"/>
      <c r="W70" s="291"/>
      <c r="X70" s="291"/>
      <c r="Y70" s="291"/>
      <c r="Z70" s="291"/>
      <c r="AA70" s="291"/>
      <c r="AB70" s="291"/>
      <c r="AC70" s="291"/>
      <c r="AD70" s="291"/>
      <c r="AE70" s="291"/>
      <c r="AF70" s="291"/>
      <c r="AG70" s="291"/>
      <c r="AH70" s="291"/>
      <c r="AI70" s="291"/>
      <c r="AJ70" s="291"/>
      <c r="AK70" s="291"/>
      <c r="AL70" s="291"/>
      <c r="AM70" s="291"/>
      <c r="AN70" s="159"/>
      <c r="AO70" s="159"/>
      <c r="AP70" s="159"/>
      <c r="AQ70" s="159"/>
      <c r="AR70" s="159"/>
    </row>
    <row r="71" spans="1:44" x14ac:dyDescent="0.25">
      <c r="A71" s="363"/>
      <c r="B71" s="150" t="s">
        <v>166</v>
      </c>
      <c r="C71" s="150">
        <v>0</v>
      </c>
      <c r="D71" s="150">
        <v>0</v>
      </c>
      <c r="E71" s="150">
        <v>0</v>
      </c>
      <c r="F71" s="150">
        <v>0</v>
      </c>
      <c r="G71" s="150"/>
      <c r="H71" s="150"/>
      <c r="I71" s="357"/>
      <c r="K71" s="770"/>
      <c r="L71" s="291"/>
      <c r="M71" s="291"/>
      <c r="N71" s="291"/>
      <c r="O71" s="291"/>
      <c r="P71" s="291"/>
      <c r="Q71" s="291"/>
      <c r="R71" s="291"/>
      <c r="S71" s="291"/>
      <c r="T71" s="291"/>
      <c r="U71" s="291"/>
      <c r="V71" s="291"/>
      <c r="W71" s="291"/>
      <c r="X71" s="291"/>
      <c r="Y71" s="291"/>
      <c r="Z71" s="291"/>
      <c r="AA71" s="291"/>
      <c r="AB71" s="291"/>
      <c r="AC71" s="291"/>
      <c r="AD71" s="291"/>
      <c r="AE71" s="291"/>
      <c r="AF71" s="291"/>
      <c r="AG71" s="291"/>
      <c r="AH71" s="291"/>
      <c r="AI71" s="291"/>
      <c r="AJ71" s="291"/>
      <c r="AK71" s="291"/>
      <c r="AL71" s="291"/>
      <c r="AM71" s="291"/>
      <c r="AN71" s="159"/>
      <c r="AO71" s="159"/>
      <c r="AP71" s="159"/>
      <c r="AQ71" s="159"/>
      <c r="AR71" s="159"/>
    </row>
    <row r="72" spans="1:44" x14ac:dyDescent="0.25">
      <c r="A72" s="363"/>
      <c r="B72" s="150" t="s">
        <v>167</v>
      </c>
      <c r="C72" s="150">
        <v>0</v>
      </c>
      <c r="D72" s="150">
        <v>-0.42</v>
      </c>
      <c r="E72" s="150"/>
      <c r="F72" s="150"/>
      <c r="G72" s="150"/>
      <c r="H72" s="150"/>
      <c r="I72" s="357"/>
      <c r="K72" s="770"/>
      <c r="L72" s="291"/>
      <c r="M72" s="291"/>
      <c r="N72" s="291"/>
      <c r="O72" s="291"/>
      <c r="P72" s="291"/>
      <c r="Q72" s="291"/>
      <c r="R72" s="291"/>
      <c r="S72" s="291"/>
      <c r="T72" s="291"/>
      <c r="U72" s="291"/>
      <c r="V72" s="291"/>
      <c r="W72" s="291"/>
      <c r="X72" s="291"/>
      <c r="Y72" s="291"/>
      <c r="Z72" s="291"/>
      <c r="AA72" s="291"/>
      <c r="AB72" s="291"/>
      <c r="AC72" s="291"/>
      <c r="AD72" s="291"/>
      <c r="AE72" s="291"/>
      <c r="AF72" s="291"/>
      <c r="AG72" s="291"/>
      <c r="AH72" s="291"/>
      <c r="AI72" s="291"/>
      <c r="AJ72" s="291"/>
      <c r="AK72" s="291"/>
      <c r="AL72" s="291"/>
      <c r="AM72" s="291"/>
      <c r="AN72" s="159"/>
      <c r="AO72" s="159"/>
      <c r="AP72" s="159"/>
      <c r="AQ72" s="159"/>
      <c r="AR72" s="159"/>
    </row>
    <row r="73" spans="1:44" x14ac:dyDescent="0.25">
      <c r="A73" s="363"/>
      <c r="B73" s="150" t="s">
        <v>1411</v>
      </c>
      <c r="C73" s="150">
        <v>0</v>
      </c>
      <c r="D73" s="150">
        <v>0.82399999999999995</v>
      </c>
      <c r="E73" s="150"/>
      <c r="F73" s="150"/>
      <c r="G73" s="150"/>
      <c r="H73" s="150"/>
      <c r="I73" s="357"/>
      <c r="K73" s="770"/>
      <c r="L73" s="291"/>
      <c r="M73" s="291"/>
      <c r="N73" s="291"/>
      <c r="O73" s="291"/>
      <c r="P73" s="291"/>
      <c r="Q73" s="291"/>
      <c r="R73" s="291"/>
      <c r="S73" s="291"/>
      <c r="T73" s="291"/>
      <c r="U73" s="291"/>
      <c r="V73" s="291"/>
      <c r="W73" s="291"/>
      <c r="X73" s="291"/>
      <c r="Y73" s="291"/>
      <c r="Z73" s="291"/>
      <c r="AA73" s="291"/>
      <c r="AB73" s="291"/>
      <c r="AC73" s="291"/>
      <c r="AD73" s="291"/>
      <c r="AE73" s="291"/>
      <c r="AF73" s="291"/>
      <c r="AG73" s="291"/>
      <c r="AH73" s="291"/>
      <c r="AI73" s="291"/>
      <c r="AJ73" s="291"/>
      <c r="AK73" s="291"/>
      <c r="AL73" s="291"/>
      <c r="AM73" s="291"/>
      <c r="AN73" s="159"/>
      <c r="AO73" s="159"/>
      <c r="AP73" s="159"/>
      <c r="AQ73" s="159"/>
      <c r="AR73" s="159"/>
    </row>
    <row r="74" spans="1:44" x14ac:dyDescent="0.25">
      <c r="A74" s="363"/>
      <c r="B74" s="150"/>
      <c r="C74" s="150"/>
      <c r="D74" s="150"/>
      <c r="E74" s="150"/>
      <c r="F74" s="150"/>
      <c r="G74" s="150"/>
      <c r="H74" s="150"/>
      <c r="I74" s="357"/>
      <c r="K74" s="770"/>
      <c r="L74" s="291"/>
      <c r="M74" s="291"/>
      <c r="N74" s="291"/>
      <c r="O74" s="291"/>
      <c r="P74" s="291"/>
      <c r="Q74" s="291"/>
      <c r="R74" s="291"/>
      <c r="S74" s="291"/>
      <c r="T74" s="291"/>
      <c r="U74" s="291"/>
      <c r="V74" s="291"/>
      <c r="W74" s="291"/>
      <c r="X74" s="291"/>
      <c r="Y74" s="291"/>
      <c r="Z74" s="291"/>
      <c r="AA74" s="291"/>
      <c r="AB74" s="291"/>
      <c r="AC74" s="291"/>
      <c r="AD74" s="291"/>
      <c r="AE74" s="291"/>
      <c r="AF74" s="291"/>
      <c r="AG74" s="291"/>
      <c r="AH74" s="291"/>
      <c r="AI74" s="291"/>
      <c r="AJ74" s="291"/>
      <c r="AK74" s="291"/>
      <c r="AL74" s="291"/>
      <c r="AM74" s="291"/>
      <c r="AN74" s="159"/>
      <c r="AO74" s="159"/>
      <c r="AP74" s="159"/>
      <c r="AQ74" s="159"/>
      <c r="AR74" s="159"/>
    </row>
    <row r="75" spans="1:44" x14ac:dyDescent="0.25">
      <c r="A75" s="363"/>
      <c r="B75" s="150" t="s">
        <v>1005</v>
      </c>
      <c r="C75" s="150">
        <v>-1.5269999999999999</v>
      </c>
      <c r="D75" s="150"/>
      <c r="E75" s="150"/>
      <c r="F75" s="150"/>
      <c r="G75" s="150"/>
      <c r="H75" s="150"/>
      <c r="I75" s="357"/>
      <c r="K75" s="770"/>
      <c r="L75" s="291"/>
      <c r="M75" s="291"/>
      <c r="N75" s="291"/>
      <c r="O75" s="291"/>
      <c r="P75" s="291"/>
      <c r="Q75" s="291"/>
      <c r="R75" s="291"/>
      <c r="S75" s="291"/>
      <c r="T75" s="291"/>
      <c r="U75" s="291"/>
      <c r="V75" s="291"/>
      <c r="W75" s="291"/>
      <c r="X75" s="291"/>
      <c r="Y75" s="291"/>
      <c r="Z75" s="291"/>
      <c r="AA75" s="291"/>
      <c r="AB75" s="291"/>
      <c r="AC75" s="291"/>
      <c r="AD75" s="291"/>
      <c r="AE75" s="291"/>
      <c r="AF75" s="291"/>
      <c r="AG75" s="291"/>
      <c r="AH75" s="291"/>
      <c r="AI75" s="291"/>
      <c r="AJ75" s="291"/>
      <c r="AK75" s="291"/>
      <c r="AL75" s="291"/>
      <c r="AM75" s="291"/>
      <c r="AN75" s="159"/>
      <c r="AO75" s="159"/>
      <c r="AP75" s="159"/>
      <c r="AQ75" s="159"/>
      <c r="AR75" s="159"/>
    </row>
    <row r="76" spans="1:44" ht="14.25" customHeight="1" x14ac:dyDescent="0.25">
      <c r="A76" s="363"/>
      <c r="B76" s="150" t="s">
        <v>1976</v>
      </c>
      <c r="C76" s="150">
        <v>0</v>
      </c>
      <c r="D76" s="150">
        <v>0</v>
      </c>
      <c r="E76" s="150">
        <v>0</v>
      </c>
      <c r="F76" s="150">
        <v>0</v>
      </c>
      <c r="G76" s="150">
        <v>0</v>
      </c>
      <c r="H76" s="150"/>
      <c r="I76" s="357"/>
      <c r="K76" s="770"/>
      <c r="L76" s="291"/>
      <c r="M76" s="291"/>
      <c r="N76" s="291"/>
      <c r="O76" s="291"/>
      <c r="P76" s="291"/>
      <c r="Q76" s="291"/>
      <c r="R76" s="291"/>
      <c r="S76" s="291"/>
      <c r="T76" s="291"/>
      <c r="U76" s="291"/>
      <c r="V76" s="291"/>
      <c r="W76" s="291"/>
      <c r="X76" s="291"/>
      <c r="Y76" s="291"/>
      <c r="Z76" s="291"/>
      <c r="AA76" s="291"/>
      <c r="AB76" s="291"/>
      <c r="AC76" s="291"/>
      <c r="AD76" s="291"/>
      <c r="AE76" s="291"/>
      <c r="AF76" s="291"/>
      <c r="AG76" s="291"/>
      <c r="AH76" s="772"/>
      <c r="AI76" s="291"/>
      <c r="AJ76" s="291"/>
      <c r="AK76" s="291"/>
      <c r="AL76" s="291"/>
      <c r="AM76" s="291"/>
      <c r="AN76" s="159"/>
      <c r="AO76" s="159"/>
      <c r="AP76" s="159"/>
      <c r="AQ76" s="159"/>
      <c r="AR76" s="159"/>
    </row>
    <row r="77" spans="1:44" x14ac:dyDescent="0.25">
      <c r="A77" s="822"/>
      <c r="B77" s="150" t="s">
        <v>163</v>
      </c>
      <c r="C77" s="150">
        <v>0</v>
      </c>
      <c r="D77" s="150">
        <v>0</v>
      </c>
      <c r="E77" s="150">
        <v>0</v>
      </c>
      <c r="F77" s="150"/>
      <c r="G77" s="150"/>
      <c r="H77" s="150"/>
      <c r="I77" s="357"/>
      <c r="K77" s="770"/>
      <c r="L77" s="291"/>
      <c r="M77" s="291"/>
      <c r="N77" s="291"/>
      <c r="O77" s="291"/>
      <c r="P77" s="291"/>
      <c r="Q77" s="291"/>
      <c r="R77" s="291"/>
      <c r="S77" s="291"/>
      <c r="T77" s="291"/>
      <c r="U77" s="291"/>
      <c r="V77" s="291"/>
      <c r="W77" s="291"/>
      <c r="X77" s="291"/>
      <c r="Y77" s="291"/>
      <c r="Z77" s="291"/>
      <c r="AA77" s="291"/>
      <c r="AB77" s="291"/>
      <c r="AC77" s="291"/>
      <c r="AD77" s="291"/>
      <c r="AE77" s="291"/>
      <c r="AF77" s="291"/>
      <c r="AG77" s="291"/>
      <c r="AH77" s="291"/>
      <c r="AI77" s="291"/>
      <c r="AJ77" s="291"/>
      <c r="AK77" s="291"/>
      <c r="AL77" s="291"/>
      <c r="AM77" s="291"/>
      <c r="AN77" s="159"/>
      <c r="AO77" s="159"/>
      <c r="AP77" s="159"/>
      <c r="AQ77" s="159"/>
      <c r="AR77" s="159"/>
    </row>
    <row r="78" spans="1:44" x14ac:dyDescent="0.25">
      <c r="A78" s="363"/>
      <c r="B78" s="150" t="s">
        <v>164</v>
      </c>
      <c r="C78" s="150">
        <v>0</v>
      </c>
      <c r="D78" s="150">
        <v>0</v>
      </c>
      <c r="E78" s="150">
        <v>2.5710000000000002</v>
      </c>
      <c r="F78" s="150">
        <v>2.5710000000000002</v>
      </c>
      <c r="G78" s="150"/>
      <c r="H78" s="150"/>
      <c r="I78" s="357"/>
      <c r="K78" s="770"/>
      <c r="L78" s="291"/>
      <c r="M78" s="291"/>
      <c r="N78" s="291"/>
      <c r="O78" s="291"/>
      <c r="P78" s="291"/>
      <c r="Q78" s="291"/>
      <c r="R78" s="291"/>
      <c r="S78" s="291"/>
      <c r="T78" s="291"/>
      <c r="U78" s="291"/>
      <c r="V78" s="291"/>
      <c r="W78" s="291"/>
      <c r="X78" s="291"/>
      <c r="Y78" s="291"/>
      <c r="Z78" s="291"/>
      <c r="AA78" s="291"/>
      <c r="AB78" s="291"/>
      <c r="AC78" s="291"/>
      <c r="AD78" s="291"/>
      <c r="AE78" s="291"/>
      <c r="AF78" s="291"/>
      <c r="AG78" s="291"/>
      <c r="AH78" s="291"/>
      <c r="AI78" s="291"/>
      <c r="AJ78" s="291"/>
      <c r="AK78" s="291"/>
      <c r="AL78" s="291"/>
      <c r="AM78" s="291"/>
      <c r="AN78" s="159"/>
      <c r="AO78" s="159"/>
      <c r="AP78" s="159"/>
      <c r="AQ78" s="159"/>
      <c r="AR78" s="159"/>
    </row>
    <row r="79" spans="1:44" x14ac:dyDescent="0.25">
      <c r="A79" s="363"/>
      <c r="B79" s="150" t="s">
        <v>165</v>
      </c>
      <c r="C79" s="150">
        <v>0</v>
      </c>
      <c r="D79" s="150">
        <v>0</v>
      </c>
      <c r="E79" s="150">
        <v>0</v>
      </c>
      <c r="F79" s="150">
        <v>0</v>
      </c>
      <c r="G79" s="150"/>
      <c r="H79" s="150"/>
      <c r="I79" s="357"/>
      <c r="K79" s="770"/>
      <c r="L79" s="291"/>
      <c r="M79" s="291"/>
      <c r="N79" s="291"/>
      <c r="O79" s="291"/>
      <c r="P79" s="291"/>
      <c r="Q79" s="291"/>
      <c r="R79" s="291"/>
      <c r="S79" s="291"/>
      <c r="T79" s="291"/>
      <c r="U79" s="291"/>
      <c r="V79" s="291"/>
      <c r="W79" s="291"/>
      <c r="X79" s="291"/>
      <c r="Y79" s="291"/>
      <c r="Z79" s="291"/>
      <c r="AA79" s="291"/>
      <c r="AB79" s="291"/>
      <c r="AC79" s="291"/>
      <c r="AD79" s="291"/>
      <c r="AE79" s="291"/>
      <c r="AF79" s="291"/>
      <c r="AG79" s="291"/>
      <c r="AH79" s="291"/>
      <c r="AI79" s="291"/>
      <c r="AJ79" s="291"/>
      <c r="AK79" s="291"/>
      <c r="AL79" s="291"/>
      <c r="AM79" s="291"/>
      <c r="AN79" s="159"/>
      <c r="AO79" s="159"/>
      <c r="AP79" s="159"/>
      <c r="AQ79" s="159"/>
      <c r="AR79" s="159"/>
    </row>
    <row r="80" spans="1:44" x14ac:dyDescent="0.25">
      <c r="A80" s="363"/>
      <c r="B80" s="150" t="s">
        <v>166</v>
      </c>
      <c r="C80" s="150">
        <v>0</v>
      </c>
      <c r="D80" s="150">
        <v>0</v>
      </c>
      <c r="E80" s="150">
        <v>0</v>
      </c>
      <c r="F80" s="150">
        <v>0</v>
      </c>
      <c r="G80" s="150"/>
      <c r="H80" s="150"/>
      <c r="I80" s="357"/>
      <c r="K80" s="770"/>
      <c r="L80" s="291"/>
      <c r="M80" s="291"/>
      <c r="N80" s="291"/>
      <c r="O80" s="291"/>
      <c r="P80" s="291"/>
      <c r="Q80" s="291"/>
      <c r="R80" s="291"/>
      <c r="S80" s="291"/>
      <c r="T80" s="291"/>
      <c r="U80" s="291"/>
      <c r="V80" s="291"/>
      <c r="W80" s="291"/>
      <c r="X80" s="291"/>
      <c r="Y80" s="291"/>
      <c r="Z80" s="291"/>
      <c r="AA80" s="291"/>
      <c r="AB80" s="291"/>
      <c r="AC80" s="291"/>
      <c r="AD80" s="291"/>
      <c r="AE80" s="291"/>
      <c r="AF80" s="291"/>
      <c r="AG80" s="291"/>
      <c r="AH80" s="291"/>
      <c r="AI80" s="291"/>
      <c r="AJ80" s="291"/>
      <c r="AK80" s="291"/>
      <c r="AL80" s="291"/>
      <c r="AM80" s="291"/>
      <c r="AN80" s="159"/>
      <c r="AO80" s="159"/>
      <c r="AP80" s="159"/>
      <c r="AQ80" s="159"/>
      <c r="AR80" s="159"/>
    </row>
    <row r="81" spans="1:44" x14ac:dyDescent="0.25">
      <c r="A81" s="363"/>
      <c r="B81" s="150" t="s">
        <v>167</v>
      </c>
      <c r="C81" s="150">
        <v>0</v>
      </c>
      <c r="D81" s="150">
        <v>0.94599999999999995</v>
      </c>
      <c r="E81" s="150"/>
      <c r="F81" s="150"/>
      <c r="G81" s="150"/>
      <c r="H81" s="150"/>
      <c r="I81" s="357"/>
      <c r="K81" s="770"/>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159"/>
      <c r="AO81" s="159"/>
      <c r="AP81" s="159"/>
      <c r="AQ81" s="159"/>
      <c r="AR81" s="159"/>
    </row>
    <row r="82" spans="1:44" x14ac:dyDescent="0.25">
      <c r="A82" s="363"/>
      <c r="B82" s="150" t="s">
        <v>1411</v>
      </c>
      <c r="C82" s="150">
        <v>0</v>
      </c>
      <c r="D82" s="150">
        <v>0</v>
      </c>
      <c r="E82" s="150"/>
      <c r="F82" s="150"/>
      <c r="G82" s="150"/>
      <c r="H82" s="150"/>
      <c r="I82" s="357"/>
      <c r="K82" s="770"/>
      <c r="L82" s="291"/>
      <c r="M82" s="291"/>
      <c r="N82" s="291"/>
      <c r="O82" s="291"/>
      <c r="P82" s="291"/>
      <c r="Q82" s="291"/>
      <c r="R82" s="291"/>
      <c r="S82" s="291"/>
      <c r="T82" s="291"/>
      <c r="U82" s="291"/>
      <c r="V82" s="291"/>
      <c r="W82" s="291"/>
      <c r="X82" s="291"/>
      <c r="Y82" s="291"/>
      <c r="Z82" s="291"/>
      <c r="AA82" s="291"/>
      <c r="AB82" s="291"/>
      <c r="AC82" s="291"/>
      <c r="AD82" s="291"/>
      <c r="AE82" s="291"/>
      <c r="AF82" s="291"/>
      <c r="AG82" s="291"/>
      <c r="AH82" s="291"/>
      <c r="AI82" s="291"/>
      <c r="AJ82" s="291"/>
      <c r="AK82" s="291"/>
      <c r="AL82" s="291"/>
      <c r="AM82" s="291"/>
      <c r="AN82" s="159"/>
      <c r="AO82" s="159"/>
      <c r="AP82" s="159"/>
      <c r="AQ82" s="159"/>
      <c r="AR82" s="159"/>
    </row>
    <row r="83" spans="1:44" x14ac:dyDescent="0.25">
      <c r="A83" s="363"/>
      <c r="B83" s="150"/>
      <c r="C83" s="150"/>
      <c r="D83" s="150"/>
      <c r="E83" s="150"/>
      <c r="F83" s="150"/>
      <c r="G83" s="150"/>
      <c r="H83" s="150"/>
      <c r="I83" s="357"/>
      <c r="K83" s="770"/>
      <c r="L83" s="291"/>
      <c r="M83" s="291"/>
      <c r="N83" s="291"/>
      <c r="O83" s="291"/>
      <c r="P83" s="291"/>
      <c r="Q83" s="291"/>
      <c r="R83" s="291"/>
      <c r="S83" s="291"/>
      <c r="T83" s="291"/>
      <c r="U83" s="291"/>
      <c r="V83" s="291"/>
      <c r="W83" s="291"/>
      <c r="X83" s="291"/>
      <c r="Y83" s="291"/>
      <c r="Z83" s="291"/>
      <c r="AA83" s="291"/>
      <c r="AB83" s="291"/>
      <c r="AC83" s="291"/>
      <c r="AD83" s="291"/>
      <c r="AE83" s="291"/>
      <c r="AF83" s="291"/>
      <c r="AG83" s="291"/>
      <c r="AH83" s="291"/>
      <c r="AI83" s="291"/>
      <c r="AJ83" s="291"/>
      <c r="AK83" s="291"/>
      <c r="AL83" s="291"/>
      <c r="AM83" s="448"/>
      <c r="AN83" s="772"/>
      <c r="AO83" s="772"/>
      <c r="AP83" s="772"/>
      <c r="AQ83" s="773"/>
      <c r="AR83" s="159"/>
    </row>
    <row r="84" spans="1:44" x14ac:dyDescent="0.25">
      <c r="A84" s="363"/>
      <c r="B84" s="150" t="s">
        <v>1006</v>
      </c>
      <c r="C84" s="150">
        <v>0</v>
      </c>
      <c r="D84" s="150"/>
      <c r="E84" s="150"/>
      <c r="F84" s="150"/>
      <c r="G84" s="150"/>
      <c r="H84" s="150"/>
      <c r="I84" s="357"/>
      <c r="K84" s="770"/>
      <c r="L84" s="291"/>
      <c r="M84" s="291"/>
      <c r="N84" s="291"/>
      <c r="O84" s="291"/>
      <c r="P84" s="291"/>
      <c r="Q84" s="291"/>
      <c r="R84" s="291"/>
      <c r="S84" s="291"/>
      <c r="T84" s="291"/>
      <c r="U84" s="291"/>
      <c r="V84" s="291"/>
      <c r="W84" s="291"/>
      <c r="X84" s="291"/>
      <c r="Y84" s="291"/>
      <c r="Z84" s="291"/>
      <c r="AA84" s="291"/>
      <c r="AB84" s="291"/>
      <c r="AC84" s="291"/>
      <c r="AD84" s="291"/>
      <c r="AE84" s="291"/>
      <c r="AF84" s="291"/>
      <c r="AG84" s="291"/>
      <c r="AH84" s="291"/>
      <c r="AI84" s="291"/>
      <c r="AJ84" s="291"/>
      <c r="AK84" s="291"/>
      <c r="AL84" s="291"/>
      <c r="AM84" s="448"/>
      <c r="AN84" s="772"/>
      <c r="AO84" s="772"/>
      <c r="AP84" s="772"/>
      <c r="AQ84" s="774"/>
      <c r="AR84" s="159"/>
    </row>
    <row r="85" spans="1:44" x14ac:dyDescent="0.25">
      <c r="A85" s="363"/>
      <c r="B85" s="150" t="s">
        <v>1976</v>
      </c>
      <c r="C85" s="150">
        <v>-0.158</v>
      </c>
      <c r="D85" s="150">
        <v>-0.158</v>
      </c>
      <c r="E85" s="150">
        <v>-4.4999999999999998E-2</v>
      </c>
      <c r="F85" s="150">
        <v>-4.4999999999999998E-2</v>
      </c>
      <c r="G85" s="150">
        <v>0</v>
      </c>
      <c r="H85" s="150"/>
      <c r="I85" s="357"/>
      <c r="K85" s="770"/>
      <c r="L85" s="291"/>
      <c r="M85" s="291"/>
      <c r="N85" s="291"/>
      <c r="O85" s="291"/>
      <c r="P85" s="291"/>
      <c r="Q85" s="291"/>
      <c r="R85" s="291"/>
      <c r="S85" s="291"/>
      <c r="T85" s="291"/>
      <c r="U85" s="291"/>
      <c r="V85" s="291"/>
      <c r="W85" s="291"/>
      <c r="X85" s="291"/>
      <c r="Y85" s="291"/>
      <c r="Z85" s="291"/>
      <c r="AA85" s="291"/>
      <c r="AB85" s="291"/>
      <c r="AC85" s="291"/>
      <c r="AD85" s="291"/>
      <c r="AE85" s="291"/>
      <c r="AF85" s="291"/>
      <c r="AG85" s="291"/>
      <c r="AH85" s="291"/>
      <c r="AI85" s="291"/>
      <c r="AJ85" s="291"/>
      <c r="AK85" s="291"/>
      <c r="AL85" s="291"/>
      <c r="AM85" s="448"/>
      <c r="AN85" s="772"/>
      <c r="AO85" s="772"/>
      <c r="AP85" s="772"/>
      <c r="AQ85" s="773"/>
      <c r="AR85" s="159"/>
    </row>
    <row r="86" spans="1:44" x14ac:dyDescent="0.25">
      <c r="A86" s="363"/>
      <c r="B86" s="150" t="s">
        <v>163</v>
      </c>
      <c r="C86" s="150">
        <v>0</v>
      </c>
      <c r="D86" s="150">
        <v>0</v>
      </c>
      <c r="E86" s="150">
        <v>0</v>
      </c>
      <c r="F86" s="150"/>
      <c r="G86" s="150"/>
      <c r="H86" s="150"/>
      <c r="I86" s="357"/>
      <c r="K86" s="770"/>
      <c r="L86" s="291"/>
      <c r="M86" s="291"/>
      <c r="N86" s="291"/>
      <c r="O86" s="291"/>
      <c r="P86" s="291"/>
      <c r="Q86" s="291"/>
      <c r="R86" s="291"/>
      <c r="S86" s="291"/>
      <c r="T86" s="291"/>
      <c r="U86" s="291"/>
      <c r="V86" s="291"/>
      <c r="W86" s="291"/>
      <c r="X86" s="291"/>
      <c r="Y86" s="291"/>
      <c r="Z86" s="291"/>
      <c r="AA86" s="291"/>
      <c r="AB86" s="291"/>
      <c r="AC86" s="291"/>
      <c r="AD86" s="291"/>
      <c r="AE86" s="291"/>
      <c r="AF86" s="291"/>
      <c r="AG86" s="291"/>
      <c r="AH86" s="772"/>
      <c r="AI86" s="291"/>
      <c r="AJ86" s="291"/>
      <c r="AK86" s="291"/>
      <c r="AL86" s="291"/>
      <c r="AM86" s="448"/>
      <c r="AN86" s="772"/>
      <c r="AO86" s="772"/>
      <c r="AP86" s="772"/>
      <c r="AQ86" s="773"/>
      <c r="AR86" s="159"/>
    </row>
    <row r="87" spans="1:44" x14ac:dyDescent="0.25">
      <c r="A87" s="363"/>
      <c r="B87" s="150" t="s">
        <v>164</v>
      </c>
      <c r="C87" s="150">
        <v>0</v>
      </c>
      <c r="D87" s="150">
        <v>0</v>
      </c>
      <c r="E87" s="150">
        <v>0</v>
      </c>
      <c r="F87" s="150">
        <v>0</v>
      </c>
      <c r="G87" s="150"/>
      <c r="H87" s="150"/>
      <c r="I87" s="357"/>
      <c r="K87" s="770"/>
      <c r="L87" s="291"/>
      <c r="M87" s="291"/>
      <c r="N87" s="291"/>
      <c r="O87" s="291"/>
      <c r="P87" s="291"/>
      <c r="Q87" s="291"/>
      <c r="R87" s="291"/>
      <c r="S87" s="291"/>
      <c r="T87" s="291"/>
      <c r="U87" s="291"/>
      <c r="V87" s="291"/>
      <c r="W87" s="291"/>
      <c r="X87" s="291"/>
      <c r="Y87" s="291"/>
      <c r="Z87" s="291"/>
      <c r="AA87" s="291"/>
      <c r="AB87" s="291"/>
      <c r="AC87" s="291"/>
      <c r="AD87" s="291"/>
      <c r="AE87" s="291"/>
      <c r="AF87" s="291"/>
      <c r="AG87" s="291"/>
      <c r="AH87" s="291"/>
      <c r="AI87" s="291"/>
      <c r="AJ87" s="291"/>
      <c r="AK87" s="291"/>
      <c r="AL87" s="291"/>
      <c r="AM87" s="448"/>
      <c r="AN87" s="772"/>
      <c r="AO87" s="772"/>
      <c r="AP87" s="772"/>
      <c r="AQ87" s="774"/>
      <c r="AR87" s="159"/>
    </row>
    <row r="88" spans="1:44" x14ac:dyDescent="0.25">
      <c r="A88" s="363"/>
      <c r="B88" s="150" t="s">
        <v>165</v>
      </c>
      <c r="C88" s="150">
        <v>-1.0720000000000001</v>
      </c>
      <c r="D88" s="150">
        <v>-0.93300000000000005</v>
      </c>
      <c r="E88" s="150">
        <v>-0.60799999999999998</v>
      </c>
      <c r="F88" s="150">
        <v>0</v>
      </c>
      <c r="G88" s="150"/>
      <c r="H88" s="150"/>
      <c r="I88" s="357"/>
      <c r="K88" s="770"/>
      <c r="L88" s="291"/>
      <c r="M88" s="291"/>
      <c r="N88" s="291"/>
      <c r="O88" s="291"/>
      <c r="P88" s="291"/>
      <c r="Q88" s="291"/>
      <c r="R88" s="291"/>
      <c r="S88" s="291"/>
      <c r="T88" s="291"/>
      <c r="U88" s="291"/>
      <c r="V88" s="291"/>
      <c r="W88" s="291"/>
      <c r="X88" s="291"/>
      <c r="Y88" s="291"/>
      <c r="Z88" s="291"/>
      <c r="AA88" s="291"/>
      <c r="AB88" s="291"/>
      <c r="AC88" s="291"/>
      <c r="AD88" s="291"/>
      <c r="AE88" s="291"/>
      <c r="AF88" s="291"/>
      <c r="AG88" s="291"/>
      <c r="AH88" s="291"/>
      <c r="AI88" s="291"/>
      <c r="AJ88" s="291"/>
      <c r="AK88" s="291"/>
      <c r="AL88" s="291"/>
      <c r="AM88" s="448"/>
      <c r="AN88" s="772"/>
      <c r="AO88" s="772"/>
      <c r="AP88" s="772"/>
      <c r="AQ88" s="774"/>
      <c r="AR88" s="159"/>
    </row>
    <row r="89" spans="1:44" x14ac:dyDescent="0.25">
      <c r="A89" s="363"/>
      <c r="B89" s="150" t="s">
        <v>166</v>
      </c>
      <c r="C89" s="150">
        <v>8.7999999999999995E-2</v>
      </c>
      <c r="D89" s="150">
        <v>1.2E-2</v>
      </c>
      <c r="E89" s="150">
        <v>0.16300000000000001</v>
      </c>
      <c r="F89" s="150">
        <v>0</v>
      </c>
      <c r="G89" s="150"/>
      <c r="H89" s="150"/>
      <c r="I89" s="357"/>
      <c r="K89" s="770"/>
      <c r="L89" s="291"/>
      <c r="M89" s="291"/>
      <c r="N89" s="291"/>
      <c r="O89" s="291"/>
      <c r="P89" s="291"/>
      <c r="Q89" s="291"/>
      <c r="R89" s="291"/>
      <c r="S89" s="291"/>
      <c r="T89" s="291"/>
      <c r="U89" s="291"/>
      <c r="V89" s="291"/>
      <c r="W89" s="291"/>
      <c r="X89" s="291"/>
      <c r="Y89" s="291"/>
      <c r="Z89" s="291"/>
      <c r="AA89" s="291"/>
      <c r="AB89" s="291"/>
      <c r="AC89" s="291"/>
      <c r="AD89" s="291"/>
      <c r="AE89" s="291"/>
      <c r="AF89" s="291"/>
      <c r="AG89" s="291"/>
      <c r="AH89" s="291"/>
      <c r="AI89" s="291"/>
      <c r="AJ89" s="291"/>
      <c r="AK89" s="291"/>
      <c r="AL89" s="291"/>
      <c r="AM89" s="448"/>
      <c r="AN89" s="772"/>
      <c r="AO89" s="772"/>
      <c r="AP89" s="772"/>
      <c r="AQ89" s="774"/>
      <c r="AR89" s="159"/>
    </row>
    <row r="90" spans="1:44" x14ac:dyDescent="0.25">
      <c r="A90" s="363"/>
      <c r="B90" s="150" t="s">
        <v>167</v>
      </c>
      <c r="C90" s="150">
        <v>0</v>
      </c>
      <c r="D90" s="150">
        <v>0</v>
      </c>
      <c r="E90" s="150"/>
      <c r="F90" s="150"/>
      <c r="G90" s="150"/>
      <c r="H90" s="150"/>
      <c r="I90" s="357"/>
      <c r="K90" s="770"/>
      <c r="L90" s="291"/>
      <c r="M90" s="291"/>
      <c r="N90" s="291"/>
      <c r="O90" s="291"/>
      <c r="P90" s="291"/>
      <c r="Q90" s="291"/>
      <c r="R90" s="291"/>
      <c r="S90" s="291"/>
      <c r="T90" s="291"/>
      <c r="U90" s="291"/>
      <c r="V90" s="291"/>
      <c r="W90" s="291"/>
      <c r="X90" s="291"/>
      <c r="Y90" s="291"/>
      <c r="Z90" s="291"/>
      <c r="AA90" s="291"/>
      <c r="AB90" s="291"/>
      <c r="AC90" s="291"/>
      <c r="AD90" s="291"/>
      <c r="AE90" s="291"/>
      <c r="AF90" s="291"/>
      <c r="AG90" s="291"/>
      <c r="AH90" s="291"/>
      <c r="AI90" s="291"/>
      <c r="AJ90" s="291"/>
      <c r="AK90" s="291"/>
      <c r="AL90" s="291"/>
      <c r="AM90" s="775"/>
      <c r="AN90" s="772"/>
      <c r="AO90" s="772"/>
      <c r="AP90" s="772"/>
      <c r="AQ90" s="774"/>
      <c r="AR90" s="159"/>
    </row>
    <row r="91" spans="1:44" x14ac:dyDescent="0.25">
      <c r="A91" s="363"/>
      <c r="B91" s="150" t="s">
        <v>1411</v>
      </c>
      <c r="C91" s="150">
        <v>-0.40200000000000002</v>
      </c>
      <c r="D91" s="150">
        <v>0</v>
      </c>
      <c r="E91" s="150"/>
      <c r="F91" s="150"/>
      <c r="G91" s="150"/>
      <c r="H91" s="150"/>
      <c r="I91" s="357"/>
      <c r="K91" s="770"/>
      <c r="L91" s="291"/>
      <c r="M91" s="291"/>
      <c r="N91" s="291"/>
      <c r="O91" s="291"/>
      <c r="P91" s="291"/>
      <c r="Q91" s="291"/>
      <c r="R91" s="291"/>
      <c r="S91" s="291"/>
      <c r="T91" s="291"/>
      <c r="U91" s="291"/>
      <c r="V91" s="291"/>
      <c r="W91" s="291"/>
      <c r="X91" s="291"/>
      <c r="Y91" s="291"/>
      <c r="Z91" s="291"/>
      <c r="AA91" s="291"/>
      <c r="AB91" s="291"/>
      <c r="AC91" s="291"/>
      <c r="AD91" s="291"/>
      <c r="AE91" s="291"/>
      <c r="AF91" s="291"/>
      <c r="AG91" s="291"/>
      <c r="AH91" s="291"/>
      <c r="AI91" s="291"/>
      <c r="AJ91" s="291"/>
      <c r="AK91" s="291"/>
      <c r="AL91" s="291"/>
      <c r="AM91" s="775"/>
      <c r="AN91" s="772"/>
      <c r="AO91" s="772"/>
      <c r="AP91" s="772"/>
      <c r="AQ91" s="774"/>
      <c r="AR91" s="159"/>
    </row>
    <row r="92" spans="1:44" x14ac:dyDescent="0.25">
      <c r="A92" s="363"/>
      <c r="B92" s="150" t="s">
        <v>1104</v>
      </c>
      <c r="C92" s="748">
        <v>-1.292</v>
      </c>
      <c r="D92" s="748">
        <v>-1.3049999999999999</v>
      </c>
      <c r="E92" s="748">
        <v>-1.8440000000000001</v>
      </c>
      <c r="F92" s="748">
        <v>-2.4649999999999999</v>
      </c>
      <c r="G92" s="748">
        <v>-1.895</v>
      </c>
      <c r="H92" s="150">
        <f>C92</f>
        <v>-1.292</v>
      </c>
      <c r="I92" s="357"/>
      <c r="K92" s="770"/>
      <c r="L92" s="291"/>
      <c r="M92" s="291"/>
      <c r="N92" s="291"/>
      <c r="O92" s="291"/>
      <c r="P92" s="291"/>
      <c r="Q92" s="291"/>
      <c r="R92" s="291"/>
      <c r="S92" s="291"/>
      <c r="T92" s="291"/>
      <c r="U92" s="291"/>
      <c r="V92" s="291"/>
      <c r="W92" s="291"/>
      <c r="X92" s="291"/>
      <c r="Y92" s="291"/>
      <c r="Z92" s="291"/>
      <c r="AA92" s="291"/>
      <c r="AB92" s="291"/>
      <c r="AC92" s="291"/>
      <c r="AD92" s="291"/>
      <c r="AE92" s="291"/>
      <c r="AF92" s="291"/>
      <c r="AG92" s="291"/>
      <c r="AH92" s="291"/>
      <c r="AI92" s="291"/>
      <c r="AJ92" s="291"/>
      <c r="AK92" s="291"/>
      <c r="AL92" s="291"/>
      <c r="AM92" s="291"/>
      <c r="AN92" s="159"/>
      <c r="AO92" s="159"/>
      <c r="AP92" s="159"/>
      <c r="AQ92" s="159"/>
      <c r="AR92" s="159"/>
    </row>
    <row r="93" spans="1:44" x14ac:dyDescent="0.25">
      <c r="A93" s="363"/>
      <c r="B93" s="150"/>
      <c r="C93" s="150"/>
      <c r="D93" s="150"/>
      <c r="E93" s="150"/>
      <c r="F93" s="150"/>
      <c r="G93" s="150"/>
      <c r="H93" s="776"/>
      <c r="I93" s="357"/>
      <c r="K93" s="770"/>
      <c r="L93" s="291"/>
      <c r="M93" s="291"/>
      <c r="N93" s="291"/>
      <c r="O93" s="291"/>
      <c r="P93" s="291"/>
      <c r="Q93" s="291"/>
      <c r="R93" s="291"/>
      <c r="S93" s="291"/>
      <c r="T93" s="291"/>
      <c r="U93" s="291"/>
      <c r="V93" s="291"/>
      <c r="W93" s="291"/>
      <c r="X93" s="291"/>
      <c r="Y93" s="291"/>
      <c r="Z93" s="291"/>
      <c r="AA93" s="291"/>
      <c r="AB93" s="291"/>
      <c r="AC93" s="291"/>
      <c r="AD93" s="291"/>
      <c r="AE93" s="291"/>
      <c r="AF93" s="291"/>
      <c r="AG93" s="291"/>
      <c r="AH93" s="291"/>
      <c r="AI93" s="291"/>
      <c r="AJ93" s="291"/>
      <c r="AK93" s="291"/>
      <c r="AL93" s="291"/>
      <c r="AM93" s="291"/>
      <c r="AN93" s="159"/>
      <c r="AO93" s="159"/>
      <c r="AP93" s="159"/>
      <c r="AQ93" s="159"/>
      <c r="AR93" s="159"/>
    </row>
    <row r="94" spans="1:44" x14ac:dyDescent="0.25">
      <c r="A94" s="363"/>
      <c r="B94" s="150"/>
      <c r="C94" s="150"/>
      <c r="D94" s="150"/>
      <c r="E94" s="150"/>
      <c r="F94" s="150"/>
      <c r="G94" s="150"/>
      <c r="H94" s="776"/>
      <c r="I94" s="357"/>
      <c r="K94" s="770"/>
      <c r="L94" s="291"/>
      <c r="M94" s="291"/>
      <c r="N94" s="291"/>
      <c r="O94" s="291"/>
      <c r="P94" s="291"/>
      <c r="Q94" s="291"/>
      <c r="R94" s="291"/>
      <c r="S94" s="291"/>
      <c r="T94" s="291"/>
      <c r="U94" s="291"/>
      <c r="V94" s="291"/>
      <c r="W94" s="291"/>
      <c r="X94" s="291"/>
      <c r="Y94" s="291"/>
      <c r="Z94" s="291"/>
      <c r="AA94" s="291"/>
      <c r="AB94" s="291"/>
      <c r="AC94" s="291"/>
      <c r="AD94" s="291"/>
      <c r="AE94" s="291"/>
      <c r="AF94" s="291"/>
      <c r="AG94" s="291"/>
      <c r="AH94" s="291"/>
      <c r="AI94" s="291"/>
      <c r="AJ94" s="291"/>
      <c r="AK94" s="291"/>
      <c r="AL94" s="291"/>
      <c r="AM94" s="291"/>
      <c r="AN94" s="159"/>
      <c r="AO94" s="159"/>
      <c r="AP94" s="159"/>
      <c r="AQ94" s="159"/>
      <c r="AR94" s="159"/>
    </row>
    <row r="95" spans="1:44" ht="13.25" thickBot="1" x14ac:dyDescent="0.3">
      <c r="A95" s="372"/>
      <c r="B95" s="373"/>
      <c r="C95" s="373"/>
      <c r="D95" s="373"/>
      <c r="E95" s="373"/>
      <c r="F95" s="373"/>
      <c r="G95" s="373"/>
      <c r="H95" s="777"/>
      <c r="I95" s="374"/>
      <c r="K95" s="770"/>
      <c r="L95" s="291"/>
      <c r="M95" s="291"/>
      <c r="N95" s="291"/>
      <c r="O95" s="291"/>
      <c r="P95" s="291"/>
      <c r="Q95" s="291"/>
      <c r="R95" s="291"/>
      <c r="S95" s="291"/>
      <c r="T95" s="291"/>
      <c r="U95" s="291"/>
      <c r="V95" s="291"/>
      <c r="W95" s="291"/>
      <c r="X95" s="291"/>
      <c r="Y95" s="291"/>
      <c r="Z95" s="291"/>
      <c r="AA95" s="291"/>
      <c r="AB95" s="291"/>
      <c r="AC95" s="291"/>
      <c r="AD95" s="291"/>
      <c r="AE95" s="291"/>
      <c r="AF95" s="291"/>
      <c r="AG95" s="291"/>
      <c r="AH95" s="291"/>
      <c r="AI95" s="291"/>
      <c r="AJ95" s="291"/>
      <c r="AK95" s="291"/>
      <c r="AL95" s="291"/>
      <c r="AM95" s="291"/>
      <c r="AN95" s="159"/>
      <c r="AO95" s="159"/>
      <c r="AP95" s="159"/>
      <c r="AQ95" s="159"/>
      <c r="AR95" s="159"/>
    </row>
    <row r="96" spans="1:44" x14ac:dyDescent="0.25">
      <c r="A96" s="291"/>
      <c r="B96" s="291"/>
      <c r="C96" s="291"/>
      <c r="D96" s="291"/>
      <c r="E96" s="291"/>
      <c r="F96" s="291"/>
      <c r="G96" s="291"/>
      <c r="H96" s="770"/>
      <c r="I96" s="291"/>
      <c r="J96" s="291"/>
      <c r="K96" s="770"/>
      <c r="L96" s="291"/>
      <c r="M96" s="291"/>
      <c r="N96" s="291"/>
      <c r="O96" s="291"/>
      <c r="P96" s="291"/>
      <c r="Q96" s="291"/>
      <c r="R96" s="291"/>
      <c r="S96" s="291"/>
      <c r="T96" s="291"/>
      <c r="U96" s="291"/>
      <c r="V96" s="291"/>
      <c r="W96" s="291"/>
      <c r="X96" s="291"/>
      <c r="Y96" s="291"/>
      <c r="Z96" s="291"/>
      <c r="AA96" s="291"/>
      <c r="AB96" s="291"/>
      <c r="AC96" s="291"/>
      <c r="AD96" s="291"/>
      <c r="AE96" s="291"/>
      <c r="AF96" s="291"/>
      <c r="AG96" s="291"/>
      <c r="AH96" s="291"/>
      <c r="AI96" s="291"/>
      <c r="AJ96" s="291"/>
      <c r="AK96" s="291"/>
      <c r="AL96" s="291"/>
      <c r="AM96" s="291"/>
      <c r="AN96" s="159"/>
      <c r="AO96" s="159"/>
      <c r="AP96" s="159"/>
      <c r="AQ96" s="159"/>
      <c r="AR96" s="159"/>
    </row>
    <row r="97" spans="1:44" x14ac:dyDescent="0.25">
      <c r="A97" s="291"/>
      <c r="B97" s="448"/>
      <c r="C97" s="291"/>
      <c r="D97" s="291"/>
      <c r="E97" s="291"/>
      <c r="F97" s="291"/>
      <c r="G97" s="291"/>
      <c r="H97" s="291"/>
      <c r="I97" s="291"/>
      <c r="J97" s="291"/>
      <c r="K97" s="770"/>
      <c r="L97" s="291"/>
      <c r="M97" s="291"/>
      <c r="N97" s="291"/>
      <c r="O97" s="291"/>
      <c r="P97" s="291"/>
      <c r="Q97" s="291"/>
      <c r="R97" s="291"/>
      <c r="S97" s="291"/>
      <c r="T97" s="291"/>
      <c r="U97" s="291"/>
      <c r="V97" s="291"/>
      <c r="W97" s="291"/>
      <c r="X97" s="291"/>
      <c r="Y97" s="291"/>
      <c r="Z97" s="291"/>
      <c r="AA97" s="291"/>
      <c r="AB97" s="291"/>
      <c r="AC97" s="291"/>
      <c r="AD97" s="291"/>
      <c r="AE97" s="291"/>
      <c r="AF97" s="291"/>
      <c r="AG97" s="291"/>
      <c r="AH97" s="291"/>
      <c r="AI97" s="291"/>
      <c r="AJ97" s="291"/>
      <c r="AK97" s="291"/>
      <c r="AL97" s="291"/>
      <c r="AM97" s="291"/>
      <c r="AN97" s="159"/>
      <c r="AO97" s="159"/>
      <c r="AP97" s="159"/>
      <c r="AQ97" s="159"/>
      <c r="AR97" s="159"/>
    </row>
    <row r="98" spans="1:44" x14ac:dyDescent="0.25">
      <c r="A98" s="291"/>
      <c r="B98" s="448"/>
      <c r="C98" s="291"/>
      <c r="D98" s="291"/>
      <c r="E98" s="291"/>
      <c r="F98" s="291"/>
      <c r="G98" s="291"/>
      <c r="H98" s="291"/>
      <c r="I98" s="291"/>
      <c r="J98" s="291"/>
      <c r="K98" s="770"/>
      <c r="L98" s="291"/>
      <c r="M98" s="291"/>
      <c r="N98" s="291"/>
      <c r="O98" s="291"/>
      <c r="P98" s="291"/>
      <c r="Q98" s="291"/>
      <c r="R98" s="291"/>
      <c r="S98" s="291"/>
      <c r="T98" s="291"/>
      <c r="U98" s="291"/>
      <c r="V98" s="291"/>
      <c r="W98" s="291"/>
      <c r="X98" s="291"/>
      <c r="Y98" s="291"/>
      <c r="Z98" s="291"/>
      <c r="AA98" s="291"/>
      <c r="AB98" s="291"/>
      <c r="AC98" s="291"/>
      <c r="AD98" s="291"/>
      <c r="AE98" s="291"/>
      <c r="AF98" s="291"/>
      <c r="AG98" s="291"/>
      <c r="AH98" s="291"/>
      <c r="AI98" s="291"/>
      <c r="AJ98" s="291"/>
      <c r="AK98" s="291"/>
      <c r="AL98" s="291"/>
      <c r="AM98" s="291"/>
      <c r="AN98" s="159"/>
      <c r="AO98" s="159"/>
      <c r="AP98" s="159"/>
      <c r="AQ98" s="159"/>
      <c r="AR98" s="159"/>
    </row>
    <row r="99" spans="1:44" x14ac:dyDescent="0.25">
      <c r="A99" s="291"/>
      <c r="B99" s="448"/>
      <c r="C99" s="291"/>
      <c r="D99" s="291"/>
      <c r="E99" s="291"/>
      <c r="F99" s="291"/>
      <c r="G99" s="291"/>
      <c r="H99" s="291"/>
      <c r="I99" s="291"/>
      <c r="J99" s="291"/>
      <c r="K99" s="770"/>
      <c r="L99" s="291"/>
      <c r="M99" s="291"/>
      <c r="N99" s="291"/>
      <c r="O99" s="291"/>
      <c r="P99" s="291"/>
      <c r="Q99" s="291"/>
      <c r="R99" s="291"/>
      <c r="S99" s="291"/>
      <c r="T99" s="291"/>
      <c r="U99" s="291"/>
      <c r="V99" s="291"/>
      <c r="W99" s="291"/>
      <c r="X99" s="291"/>
      <c r="Y99" s="291"/>
      <c r="Z99" s="291"/>
      <c r="AA99" s="291"/>
      <c r="AB99" s="291"/>
      <c r="AC99" s="291"/>
      <c r="AL99" s="159"/>
      <c r="AM99" s="159"/>
      <c r="AN99" s="159"/>
      <c r="AO99" s="159"/>
      <c r="AP99" s="159"/>
      <c r="AQ99" s="159"/>
      <c r="AR99" s="159"/>
    </row>
    <row r="101" spans="1:44" x14ac:dyDescent="0.25">
      <c r="A101" s="1" t="s">
        <v>416</v>
      </c>
    </row>
    <row r="102" spans="1:44" ht="13.25" thickBot="1" x14ac:dyDescent="0.3">
      <c r="V102" s="181"/>
      <c r="W102" s="181"/>
    </row>
    <row r="103" spans="1:44" x14ac:dyDescent="0.25">
      <c r="A103" s="5" t="s">
        <v>168</v>
      </c>
      <c r="B103" s="387"/>
      <c r="C103" s="387"/>
      <c r="D103" s="387"/>
      <c r="E103" s="387"/>
      <c r="F103" s="387"/>
      <c r="G103" s="7" t="s">
        <v>169</v>
      </c>
      <c r="H103" s="387"/>
      <c r="I103" s="387"/>
      <c r="J103" s="387"/>
      <c r="K103" s="387"/>
      <c r="L103" s="7" t="s">
        <v>170</v>
      </c>
      <c r="M103" s="387"/>
      <c r="N103" s="387"/>
      <c r="O103" s="387"/>
      <c r="P103" s="387"/>
      <c r="Q103" s="7" t="s">
        <v>171</v>
      </c>
      <c r="R103" s="387"/>
      <c r="S103" s="387"/>
      <c r="T103" s="388"/>
      <c r="U103" s="291"/>
      <c r="V103" s="181"/>
    </row>
    <row r="104" spans="1:44" x14ac:dyDescent="0.25">
      <c r="A104" s="6" t="s">
        <v>1694</v>
      </c>
      <c r="B104" s="150"/>
      <c r="C104" s="150"/>
      <c r="D104" s="150"/>
      <c r="E104" s="150"/>
      <c r="F104" s="9"/>
      <c r="G104" s="150"/>
      <c r="H104" s="150"/>
      <c r="I104" s="150"/>
      <c r="J104" s="150"/>
      <c r="K104" s="9"/>
      <c r="L104" s="150"/>
      <c r="M104" s="150"/>
      <c r="N104" s="150"/>
      <c r="O104" s="150"/>
      <c r="P104" s="9"/>
      <c r="Q104" s="150"/>
      <c r="R104" s="150"/>
      <c r="S104" s="150"/>
      <c r="T104" s="357"/>
      <c r="U104" s="291"/>
      <c r="V104" s="181"/>
    </row>
    <row r="105" spans="1:44" x14ac:dyDescent="0.25">
      <c r="A105" s="6" t="s">
        <v>1665</v>
      </c>
      <c r="B105" s="18" t="s">
        <v>1849</v>
      </c>
      <c r="C105" s="9" t="s">
        <v>1850</v>
      </c>
      <c r="D105" s="9" t="s">
        <v>2012</v>
      </c>
      <c r="E105" s="9"/>
      <c r="F105" s="9" t="s">
        <v>1665</v>
      </c>
      <c r="G105" s="9" t="s">
        <v>1849</v>
      </c>
      <c r="H105" s="9" t="s">
        <v>1850</v>
      </c>
      <c r="I105" s="9" t="s">
        <v>2012</v>
      </c>
      <c r="J105" s="9"/>
      <c r="K105" s="9" t="s">
        <v>1665</v>
      </c>
      <c r="L105" s="9" t="s">
        <v>1849</v>
      </c>
      <c r="M105" s="9" t="s">
        <v>1850</v>
      </c>
      <c r="N105" s="9" t="s">
        <v>2012</v>
      </c>
      <c r="O105" s="9"/>
      <c r="P105" s="9" t="s">
        <v>1665</v>
      </c>
      <c r="Q105" s="9" t="s">
        <v>1849</v>
      </c>
      <c r="R105" s="9" t="s">
        <v>1850</v>
      </c>
      <c r="S105" s="9" t="s">
        <v>2012</v>
      </c>
      <c r="T105" s="8"/>
      <c r="U105" s="291"/>
      <c r="V105" s="181"/>
    </row>
    <row r="106" spans="1:44" x14ac:dyDescent="0.25">
      <c r="A106" s="6" t="s">
        <v>2013</v>
      </c>
      <c r="B106" s="150">
        <v>1</v>
      </c>
      <c r="C106" s="778">
        <v>0.82</v>
      </c>
      <c r="D106" s="778">
        <v>0.71</v>
      </c>
      <c r="E106" s="150"/>
      <c r="F106" s="9" t="s">
        <v>2013</v>
      </c>
      <c r="G106" s="150">
        <v>1</v>
      </c>
      <c r="H106" s="779">
        <v>0.93</v>
      </c>
      <c r="I106" s="779">
        <v>0.82</v>
      </c>
      <c r="J106" s="150"/>
      <c r="K106" s="9" t="s">
        <v>2013</v>
      </c>
      <c r="L106" s="150">
        <v>1</v>
      </c>
      <c r="M106" s="778">
        <f>AVERAGE($H108,$C108)*N106</f>
        <v>0.66383201648917889</v>
      </c>
      <c r="N106" s="778">
        <v>0.57999999999999996</v>
      </c>
      <c r="O106" s="150"/>
      <c r="P106" s="9" t="s">
        <v>2013</v>
      </c>
      <c r="Q106" s="150">
        <v>1</v>
      </c>
      <c r="R106" s="780">
        <f>AVERAGE($H108,$C108)*S106</f>
        <v>0.78973119203023012</v>
      </c>
      <c r="S106" s="778">
        <v>0.69</v>
      </c>
      <c r="T106" s="357"/>
      <c r="U106" s="291"/>
      <c r="V106" s="181"/>
    </row>
    <row r="107" spans="1:44" x14ac:dyDescent="0.25">
      <c r="A107" s="6" t="s">
        <v>1413</v>
      </c>
      <c r="B107" s="150">
        <f>1/C106</f>
        <v>1.2195121951219512</v>
      </c>
      <c r="C107" s="150">
        <v>1</v>
      </c>
      <c r="D107" s="150">
        <f>D106/C106</f>
        <v>0.86585365853658536</v>
      </c>
      <c r="E107" s="150"/>
      <c r="F107" s="9" t="s">
        <v>1413</v>
      </c>
      <c r="G107" s="150">
        <f>1/H106</f>
        <v>1.075268817204301</v>
      </c>
      <c r="H107" s="150">
        <v>1</v>
      </c>
      <c r="I107" s="150">
        <f>I106/H106</f>
        <v>0.88172043010752676</v>
      </c>
      <c r="J107" s="150"/>
      <c r="K107" s="9" t="s">
        <v>1413</v>
      </c>
      <c r="L107" s="150">
        <f>1/M106</f>
        <v>1.5064051976412935</v>
      </c>
      <c r="M107" s="150">
        <v>1</v>
      </c>
      <c r="N107" s="150">
        <f>N106/M106</f>
        <v>0.87371501463195023</v>
      </c>
      <c r="O107" s="150"/>
      <c r="P107" s="9" t="s">
        <v>1413</v>
      </c>
      <c r="Q107" s="150">
        <f>1/R106</f>
        <v>1.2662536443941308</v>
      </c>
      <c r="R107" s="150">
        <v>1</v>
      </c>
      <c r="S107" s="150">
        <f>S106/R106</f>
        <v>0.87371501463195012</v>
      </c>
      <c r="T107" s="357"/>
      <c r="U107" s="291"/>
      <c r="V107" s="181"/>
    </row>
    <row r="108" spans="1:44" x14ac:dyDescent="0.25">
      <c r="A108" s="6" t="s">
        <v>2012</v>
      </c>
      <c r="B108" s="150">
        <f>1/D106</f>
        <v>1.4084507042253522</v>
      </c>
      <c r="C108" s="150">
        <f>1/D107</f>
        <v>1.1549295774647887</v>
      </c>
      <c r="D108" s="150">
        <v>1</v>
      </c>
      <c r="E108" s="150"/>
      <c r="F108" s="9" t="s">
        <v>2012</v>
      </c>
      <c r="G108" s="150">
        <f>1/I106</f>
        <v>1.2195121951219512</v>
      </c>
      <c r="H108" s="150">
        <f>1/I107</f>
        <v>1.1341463414634148</v>
      </c>
      <c r="I108" s="150">
        <v>1</v>
      </c>
      <c r="J108" s="150"/>
      <c r="K108" s="9" t="s">
        <v>2012</v>
      </c>
      <c r="L108" s="150">
        <f>1/N106</f>
        <v>1.7241379310344829</v>
      </c>
      <c r="M108" s="150">
        <f>1/N107</f>
        <v>1.1445379594641016</v>
      </c>
      <c r="N108" s="150">
        <v>1</v>
      </c>
      <c r="O108" s="150"/>
      <c r="P108" s="9" t="s">
        <v>2012</v>
      </c>
      <c r="Q108" s="150">
        <f>1/S106</f>
        <v>1.4492753623188408</v>
      </c>
      <c r="R108" s="150">
        <f>1/S107</f>
        <v>1.1445379594641019</v>
      </c>
      <c r="S108" s="150">
        <v>1</v>
      </c>
      <c r="T108" s="357"/>
      <c r="U108" s="291"/>
      <c r="V108" s="181"/>
    </row>
    <row r="109" spans="1:44" x14ac:dyDescent="0.25">
      <c r="A109" s="6"/>
      <c r="B109" s="150"/>
      <c r="C109" s="150"/>
      <c r="D109" s="150"/>
      <c r="E109" s="150"/>
      <c r="F109" s="9"/>
      <c r="G109" s="150"/>
      <c r="H109" s="150"/>
      <c r="I109" s="150"/>
      <c r="J109" s="150"/>
      <c r="K109" s="9"/>
      <c r="L109" s="150"/>
      <c r="M109" s="150"/>
      <c r="N109" s="150"/>
      <c r="O109" s="150"/>
      <c r="P109" s="9"/>
      <c r="Q109" s="150"/>
      <c r="R109" s="150"/>
      <c r="S109" s="150"/>
      <c r="T109" s="357"/>
      <c r="U109" s="291"/>
      <c r="V109" s="181"/>
    </row>
    <row r="110" spans="1:44" x14ac:dyDescent="0.25">
      <c r="A110" s="6" t="s">
        <v>2014</v>
      </c>
      <c r="B110" s="150"/>
      <c r="C110" s="150"/>
      <c r="D110" s="150"/>
      <c r="E110" s="150"/>
      <c r="F110" s="9"/>
      <c r="G110" s="150"/>
      <c r="H110" s="150"/>
      <c r="I110" s="150"/>
      <c r="J110" s="150"/>
      <c r="K110" s="9"/>
      <c r="L110" s="150"/>
      <c r="M110" s="150"/>
      <c r="N110" s="150"/>
      <c r="O110" s="150"/>
      <c r="P110" s="9"/>
      <c r="Q110" s="150"/>
      <c r="R110" s="150"/>
      <c r="S110" s="150"/>
      <c r="T110" s="357"/>
      <c r="U110" s="291"/>
      <c r="V110" s="181"/>
    </row>
    <row r="111" spans="1:44" x14ac:dyDescent="0.25">
      <c r="A111" s="6"/>
      <c r="B111" s="9" t="s">
        <v>2003</v>
      </c>
      <c r="C111" s="9" t="s">
        <v>2004</v>
      </c>
      <c r="D111" s="9" t="s">
        <v>2005</v>
      </c>
      <c r="E111" s="9"/>
      <c r="F111" s="9"/>
      <c r="G111" s="9" t="s">
        <v>2003</v>
      </c>
      <c r="H111" s="9" t="s">
        <v>2004</v>
      </c>
      <c r="I111" s="9" t="s">
        <v>2005</v>
      </c>
      <c r="J111" s="9"/>
      <c r="K111" s="9"/>
      <c r="L111" s="9" t="s">
        <v>2003</v>
      </c>
      <c r="M111" s="9" t="s">
        <v>2004</v>
      </c>
      <c r="N111" s="9" t="s">
        <v>2005</v>
      </c>
      <c r="O111" s="9"/>
      <c r="P111" s="9"/>
      <c r="Q111" s="9" t="s">
        <v>2003</v>
      </c>
      <c r="R111" s="9" t="s">
        <v>2004</v>
      </c>
      <c r="S111" s="9" t="s">
        <v>2005</v>
      </c>
      <c r="T111" s="357"/>
      <c r="U111" s="291"/>
      <c r="V111" s="181"/>
    </row>
    <row r="112" spans="1:44" x14ac:dyDescent="0.25">
      <c r="A112" s="6" t="s">
        <v>2003</v>
      </c>
      <c r="B112" s="150">
        <v>1</v>
      </c>
      <c r="C112" s="150">
        <f>1/B113</f>
        <v>0.93965517241379326</v>
      </c>
      <c r="D112" s="150">
        <f>1/B114</f>
        <v>0.86206896551724144</v>
      </c>
      <c r="E112" s="150"/>
      <c r="F112" s="9" t="s">
        <v>2003</v>
      </c>
      <c r="G112" s="150">
        <v>1</v>
      </c>
      <c r="H112" s="150">
        <f>1/G113</f>
        <v>0.9363636363636364</v>
      </c>
      <c r="I112" s="150">
        <f>1/G114</f>
        <v>0.90909090909090906</v>
      </c>
      <c r="J112" s="150"/>
      <c r="K112" s="9" t="s">
        <v>2003</v>
      </c>
      <c r="L112" s="150">
        <v>1</v>
      </c>
      <c r="M112" s="150">
        <f>1/L113</f>
        <v>0.94308943089430897</v>
      </c>
      <c r="N112" s="150">
        <f>1/L114</f>
        <v>0.81300813008130079</v>
      </c>
      <c r="O112" s="150"/>
      <c r="P112" s="9" t="s">
        <v>2003</v>
      </c>
      <c r="Q112" s="150">
        <v>1</v>
      </c>
      <c r="R112" s="150">
        <f>1/Q113</f>
        <v>0.94017094017094027</v>
      </c>
      <c r="S112" s="150">
        <f>1/Q114</f>
        <v>0.85470085470085477</v>
      </c>
      <c r="T112" s="357"/>
      <c r="U112" s="291"/>
      <c r="V112" s="181"/>
    </row>
    <row r="113" spans="1:22" x14ac:dyDescent="0.25">
      <c r="A113" s="6" t="s">
        <v>2004</v>
      </c>
      <c r="B113" s="150">
        <f>B114/C114</f>
        <v>1.0642201834862384</v>
      </c>
      <c r="C113" s="150">
        <v>1</v>
      </c>
      <c r="D113" s="150">
        <f>1/C114</f>
        <v>0.9174311926605504</v>
      </c>
      <c r="E113" s="150"/>
      <c r="F113" s="9" t="s">
        <v>2004</v>
      </c>
      <c r="G113" s="150">
        <f>G114/H114</f>
        <v>1.0679611650485437</v>
      </c>
      <c r="H113" s="150">
        <v>1</v>
      </c>
      <c r="I113" s="150">
        <f>1/H114</f>
        <v>0.970873786407767</v>
      </c>
      <c r="J113" s="150"/>
      <c r="K113" s="9" t="s">
        <v>2004</v>
      </c>
      <c r="L113" s="150">
        <f>L114/M114</f>
        <v>1.0603448275862069</v>
      </c>
      <c r="M113" s="150">
        <v>1</v>
      </c>
      <c r="N113" s="150">
        <f>1/M114</f>
        <v>0.86206896551724144</v>
      </c>
      <c r="O113" s="150"/>
      <c r="P113" s="9" t="s">
        <v>2004</v>
      </c>
      <c r="Q113" s="150">
        <f>Q114/R114</f>
        <v>1.0636363636363635</v>
      </c>
      <c r="R113" s="150">
        <v>1</v>
      </c>
      <c r="S113" s="150">
        <f>1/R114</f>
        <v>0.90909090909090906</v>
      </c>
      <c r="T113" s="357"/>
      <c r="U113" s="291"/>
      <c r="V113" s="181"/>
    </row>
    <row r="114" spans="1:22" x14ac:dyDescent="0.25">
      <c r="A114" s="6" t="s">
        <v>2005</v>
      </c>
      <c r="B114" s="781">
        <v>1.1599999999999999</v>
      </c>
      <c r="C114" s="781">
        <v>1.0900000000000001</v>
      </c>
      <c r="D114" s="150">
        <v>1</v>
      </c>
      <c r="E114" s="150"/>
      <c r="F114" s="9" t="s">
        <v>2005</v>
      </c>
      <c r="G114" s="781">
        <v>1.1000000000000001</v>
      </c>
      <c r="H114" s="781">
        <v>1.03</v>
      </c>
      <c r="I114" s="150">
        <v>1</v>
      </c>
      <c r="J114" s="150"/>
      <c r="K114" s="9" t="s">
        <v>2005</v>
      </c>
      <c r="L114" s="781">
        <v>1.23</v>
      </c>
      <c r="M114" s="781">
        <v>1.1599999999999999</v>
      </c>
      <c r="N114" s="150">
        <v>1</v>
      </c>
      <c r="O114" s="150"/>
      <c r="P114" s="9" t="s">
        <v>2005</v>
      </c>
      <c r="Q114" s="781">
        <v>1.17</v>
      </c>
      <c r="R114" s="781">
        <v>1.1000000000000001</v>
      </c>
      <c r="S114" s="150">
        <v>1</v>
      </c>
      <c r="T114" s="357"/>
      <c r="U114" s="291"/>
      <c r="V114" s="181"/>
    </row>
    <row r="115" spans="1:22" x14ac:dyDescent="0.25">
      <c r="A115" s="6"/>
      <c r="B115" s="150"/>
      <c r="C115" s="150"/>
      <c r="D115" s="150"/>
      <c r="E115" s="150"/>
      <c r="F115" s="9"/>
      <c r="G115" s="150"/>
      <c r="H115" s="150"/>
      <c r="I115" s="150"/>
      <c r="J115" s="150"/>
      <c r="K115" s="9"/>
      <c r="L115" s="150"/>
      <c r="M115" s="150"/>
      <c r="N115" s="150"/>
      <c r="O115" s="150"/>
      <c r="P115" s="9"/>
      <c r="Q115" s="150"/>
      <c r="R115" s="150"/>
      <c r="S115" s="150"/>
      <c r="T115" s="357"/>
      <c r="U115" s="291"/>
      <c r="V115" s="181"/>
    </row>
    <row r="116" spans="1:22" x14ac:dyDescent="0.25">
      <c r="A116" s="6"/>
      <c r="B116" s="150"/>
      <c r="C116" s="150"/>
      <c r="D116" s="150"/>
      <c r="E116" s="150"/>
      <c r="F116" s="9"/>
      <c r="G116" s="150"/>
      <c r="H116" s="150"/>
      <c r="I116" s="150"/>
      <c r="J116" s="150"/>
      <c r="K116" s="9"/>
      <c r="L116" s="150"/>
      <c r="M116" s="150"/>
      <c r="N116" s="150"/>
      <c r="O116" s="150"/>
      <c r="P116" s="9"/>
      <c r="Q116" s="150"/>
      <c r="R116" s="150"/>
      <c r="S116" s="150"/>
      <c r="T116" s="357"/>
      <c r="U116" s="291"/>
      <c r="V116" s="181"/>
    </row>
    <row r="117" spans="1:22" x14ac:dyDescent="0.25">
      <c r="A117" s="6" t="s">
        <v>1823</v>
      </c>
      <c r="B117" s="150"/>
      <c r="C117" s="150"/>
      <c r="D117" s="150"/>
      <c r="E117" s="150"/>
      <c r="F117" s="9"/>
      <c r="G117" s="150"/>
      <c r="H117" s="150"/>
      <c r="I117" s="150"/>
      <c r="J117" s="150"/>
      <c r="K117" s="9"/>
      <c r="L117" s="150"/>
      <c r="M117" s="150"/>
      <c r="N117" s="150"/>
      <c r="O117" s="150"/>
      <c r="P117" s="9"/>
      <c r="Q117" s="150"/>
      <c r="R117" s="150"/>
      <c r="S117" s="150"/>
      <c r="T117" s="357"/>
      <c r="U117" s="291"/>
      <c r="V117" s="181"/>
    </row>
    <row r="118" spans="1:22" x14ac:dyDescent="0.25">
      <c r="A118" s="6"/>
      <c r="B118" s="9" t="s">
        <v>1824</v>
      </c>
      <c r="C118" s="9" t="s">
        <v>1825</v>
      </c>
      <c r="D118" s="9" t="s">
        <v>1832</v>
      </c>
      <c r="E118" s="9"/>
      <c r="F118" s="9"/>
      <c r="G118" s="9" t="s">
        <v>1824</v>
      </c>
      <c r="H118" s="9" t="s">
        <v>1825</v>
      </c>
      <c r="I118" s="9" t="s">
        <v>1832</v>
      </c>
      <c r="J118" s="9"/>
      <c r="K118" s="9"/>
      <c r="L118" s="9" t="s">
        <v>1824</v>
      </c>
      <c r="M118" s="9" t="s">
        <v>1825</v>
      </c>
      <c r="N118" s="9" t="s">
        <v>1832</v>
      </c>
      <c r="O118" s="9"/>
      <c r="P118" s="9"/>
      <c r="Q118" s="9" t="s">
        <v>1824</v>
      </c>
      <c r="R118" s="9" t="s">
        <v>1825</v>
      </c>
      <c r="S118" s="9" t="s">
        <v>1832</v>
      </c>
      <c r="T118" s="8"/>
      <c r="U118" s="291"/>
      <c r="V118" s="181"/>
    </row>
    <row r="119" spans="1:22" x14ac:dyDescent="0.25">
      <c r="A119" s="6" t="s">
        <v>1824</v>
      </c>
      <c r="B119" s="150">
        <v>1</v>
      </c>
      <c r="C119" s="150">
        <f>1/B120</f>
        <v>1.0989010989010988</v>
      </c>
      <c r="D119" s="150">
        <f>D120/B120</f>
        <v>1.2197802197802199</v>
      </c>
      <c r="E119" s="149">
        <f>E120/B120</f>
        <v>1.5164835164835164</v>
      </c>
      <c r="F119" s="9" t="s">
        <v>1824</v>
      </c>
      <c r="G119" s="150">
        <v>1</v>
      </c>
      <c r="H119" s="150">
        <f>1/G120</f>
        <v>1.0869565217391304</v>
      </c>
      <c r="I119" s="150">
        <f>I120/G120</f>
        <v>1.1630434782608696</v>
      </c>
      <c r="J119" s="149">
        <f>J120/G120</f>
        <v>1.4565217391304348</v>
      </c>
      <c r="K119" s="9" t="s">
        <v>1824</v>
      </c>
      <c r="L119" s="150">
        <v>1</v>
      </c>
      <c r="M119" s="150">
        <f>1/L120</f>
        <v>1.0989010989010988</v>
      </c>
      <c r="N119" s="150">
        <f>N120/L120</f>
        <v>1.2197802197802199</v>
      </c>
      <c r="O119" s="149">
        <f>O120/L120</f>
        <v>1.5164835164835164</v>
      </c>
      <c r="P119" s="9" t="s">
        <v>1824</v>
      </c>
      <c r="Q119" s="150">
        <v>1</v>
      </c>
      <c r="R119" s="150">
        <f>1/Q120</f>
        <v>1.0869565217391304</v>
      </c>
      <c r="S119" s="150">
        <f>S120/Q120</f>
        <v>1.1630434782608696</v>
      </c>
      <c r="T119" s="356">
        <f>T120/Q120</f>
        <v>1.4565217391304348</v>
      </c>
      <c r="U119" s="291"/>
      <c r="V119" s="181"/>
    </row>
    <row r="120" spans="1:22" x14ac:dyDescent="0.25">
      <c r="A120" s="6" t="s">
        <v>1825</v>
      </c>
      <c r="B120" s="781">
        <v>0.91</v>
      </c>
      <c r="C120" s="781">
        <v>1</v>
      </c>
      <c r="D120" s="781">
        <v>1.1100000000000001</v>
      </c>
      <c r="E120" s="782">
        <v>1.38</v>
      </c>
      <c r="F120" s="9" t="s">
        <v>1825</v>
      </c>
      <c r="G120" s="781">
        <v>0.92</v>
      </c>
      <c r="H120" s="781">
        <v>1</v>
      </c>
      <c r="I120" s="781">
        <v>1.07</v>
      </c>
      <c r="J120" s="782">
        <v>1.34</v>
      </c>
      <c r="K120" s="9" t="s">
        <v>1825</v>
      </c>
      <c r="L120" s="781">
        <v>0.91</v>
      </c>
      <c r="M120" s="781">
        <v>1</v>
      </c>
      <c r="N120" s="781">
        <v>1.1100000000000001</v>
      </c>
      <c r="O120" s="782">
        <v>1.38</v>
      </c>
      <c r="P120" s="9" t="s">
        <v>1825</v>
      </c>
      <c r="Q120" s="781">
        <v>0.92</v>
      </c>
      <c r="R120" s="781">
        <v>1</v>
      </c>
      <c r="S120" s="781">
        <v>1.07</v>
      </c>
      <c r="T120" s="783">
        <v>1.34</v>
      </c>
      <c r="U120" s="291"/>
      <c r="V120" s="181"/>
    </row>
    <row r="121" spans="1:22" x14ac:dyDescent="0.25">
      <c r="A121" s="6" t="s">
        <v>1832</v>
      </c>
      <c r="B121" s="150">
        <f>1/D119</f>
        <v>0.81981981981981977</v>
      </c>
      <c r="C121" s="150">
        <f>1/D120</f>
        <v>0.9009009009009008</v>
      </c>
      <c r="D121" s="150">
        <v>1</v>
      </c>
      <c r="E121" s="149">
        <f>E120/D120</f>
        <v>1.243243243243243</v>
      </c>
      <c r="F121" s="9" t="s">
        <v>1832</v>
      </c>
      <c r="G121" s="150">
        <f>1/I119</f>
        <v>0.85981308411214952</v>
      </c>
      <c r="H121" s="150">
        <f>1/I120</f>
        <v>0.93457943925233644</v>
      </c>
      <c r="I121" s="150">
        <v>1</v>
      </c>
      <c r="J121" s="149">
        <f>J120/I120</f>
        <v>1.2523364485981308</v>
      </c>
      <c r="K121" s="9" t="s">
        <v>1832</v>
      </c>
      <c r="L121" s="150">
        <f>1/N119</f>
        <v>0.81981981981981977</v>
      </c>
      <c r="M121" s="150">
        <f>1/N120</f>
        <v>0.9009009009009008</v>
      </c>
      <c r="N121" s="150">
        <v>1</v>
      </c>
      <c r="O121" s="149">
        <f>O120/N120</f>
        <v>1.243243243243243</v>
      </c>
      <c r="P121" s="9" t="s">
        <v>1832</v>
      </c>
      <c r="Q121" s="150">
        <f>1/S119</f>
        <v>0.85981308411214952</v>
      </c>
      <c r="R121" s="150">
        <f>1/S120</f>
        <v>0.93457943925233644</v>
      </c>
      <c r="S121" s="150">
        <v>1</v>
      </c>
      <c r="T121" s="356">
        <f>T120/S120</f>
        <v>1.2523364485981308</v>
      </c>
      <c r="U121" s="291"/>
      <c r="V121" s="181"/>
    </row>
    <row r="122" spans="1:22" ht="50.7" x14ac:dyDescent="0.25">
      <c r="A122" s="74" t="s">
        <v>702</v>
      </c>
      <c r="B122" s="259">
        <f>1/E119</f>
        <v>0.65942028985507251</v>
      </c>
      <c r="C122" s="259">
        <f>1/E120</f>
        <v>0.7246376811594204</v>
      </c>
      <c r="D122" s="259">
        <f>1/E121</f>
        <v>0.80434782608695665</v>
      </c>
      <c r="E122" s="259">
        <v>1</v>
      </c>
      <c r="F122" s="75" t="s">
        <v>702</v>
      </c>
      <c r="G122" s="259">
        <f>1/J119</f>
        <v>0.68656716417910446</v>
      </c>
      <c r="H122" s="259">
        <f>1/J120</f>
        <v>0.74626865671641784</v>
      </c>
      <c r="I122" s="259">
        <f>1/J121</f>
        <v>0.79850746268656725</v>
      </c>
      <c r="J122" s="259">
        <v>1</v>
      </c>
      <c r="K122" s="75" t="s">
        <v>702</v>
      </c>
      <c r="L122" s="259">
        <f>1/O119</f>
        <v>0.65942028985507251</v>
      </c>
      <c r="M122" s="259">
        <f>1/O120</f>
        <v>0.7246376811594204</v>
      </c>
      <c r="N122" s="259">
        <f>1/O121</f>
        <v>0.80434782608695665</v>
      </c>
      <c r="O122" s="259">
        <v>1</v>
      </c>
      <c r="P122" s="75" t="s">
        <v>702</v>
      </c>
      <c r="Q122" s="259">
        <f>1/T119</f>
        <v>0.68656716417910446</v>
      </c>
      <c r="R122" s="259">
        <f>1/T120</f>
        <v>0.74626865671641784</v>
      </c>
      <c r="S122" s="259">
        <f>1/T121</f>
        <v>0.79850746268656725</v>
      </c>
      <c r="T122" s="784">
        <v>1</v>
      </c>
      <c r="U122" s="291"/>
      <c r="V122" s="181"/>
    </row>
    <row r="123" spans="1:22" x14ac:dyDescent="0.25">
      <c r="A123" s="785" t="s">
        <v>1835</v>
      </c>
      <c r="B123" s="786" t="s">
        <v>1453</v>
      </c>
      <c r="C123" s="786" t="s">
        <v>1454</v>
      </c>
      <c r="D123" s="786"/>
      <c r="E123" s="150"/>
      <c r="F123" s="150"/>
      <c r="G123" s="150"/>
      <c r="H123" s="150"/>
      <c r="I123" s="150"/>
      <c r="J123" s="150"/>
      <c r="K123" s="150"/>
      <c r="L123" s="150"/>
      <c r="M123" s="150"/>
      <c r="N123" s="150"/>
      <c r="O123" s="150"/>
      <c r="P123" s="150"/>
      <c r="Q123" s="150"/>
      <c r="R123" s="150"/>
      <c r="S123" s="150"/>
      <c r="T123" s="357"/>
      <c r="U123" s="291"/>
      <c r="V123" s="181"/>
    </row>
    <row r="124" spans="1:22" x14ac:dyDescent="0.25">
      <c r="A124" s="785" t="s">
        <v>1668</v>
      </c>
      <c r="B124" s="786" t="s">
        <v>1836</v>
      </c>
      <c r="C124" s="786" t="s">
        <v>1837</v>
      </c>
      <c r="D124" s="786"/>
      <c r="E124" s="150"/>
      <c r="F124" s="150"/>
      <c r="G124" s="150"/>
      <c r="H124" s="150"/>
      <c r="I124" s="150"/>
      <c r="J124" s="150"/>
      <c r="K124" s="150"/>
      <c r="L124" s="150"/>
      <c r="M124" s="150"/>
      <c r="N124" s="150"/>
      <c r="O124" s="150"/>
      <c r="P124" s="150"/>
      <c r="Q124" s="150"/>
      <c r="R124" s="150"/>
      <c r="S124" s="150"/>
      <c r="T124" s="357"/>
      <c r="U124" s="291"/>
      <c r="V124" s="181"/>
    </row>
    <row r="125" spans="1:22" x14ac:dyDescent="0.25">
      <c r="A125" s="785" t="s">
        <v>1452</v>
      </c>
      <c r="B125" s="786" t="s">
        <v>2064</v>
      </c>
      <c r="C125" s="786" t="s">
        <v>282</v>
      </c>
      <c r="D125" s="786"/>
      <c r="E125" s="150"/>
      <c r="F125" s="150"/>
      <c r="G125" s="150"/>
      <c r="H125" s="150"/>
      <c r="I125" s="150"/>
      <c r="J125" s="150"/>
      <c r="K125" s="150"/>
      <c r="L125" s="150"/>
      <c r="M125" s="150"/>
      <c r="N125" s="150"/>
      <c r="O125" s="150"/>
      <c r="P125" s="150"/>
      <c r="Q125" s="150"/>
      <c r="R125" s="150"/>
      <c r="S125" s="150"/>
      <c r="T125" s="357"/>
      <c r="U125" s="291"/>
      <c r="V125" s="181"/>
    </row>
    <row r="126" spans="1:22" x14ac:dyDescent="0.25">
      <c r="A126" s="785"/>
      <c r="B126" s="786"/>
      <c r="C126" s="786" t="s">
        <v>283</v>
      </c>
      <c r="D126" s="786"/>
      <c r="E126" s="150"/>
      <c r="F126" s="150"/>
      <c r="G126" s="150"/>
      <c r="H126" s="150"/>
      <c r="I126" s="150"/>
      <c r="J126" s="150"/>
      <c r="K126" s="150"/>
      <c r="L126" s="150"/>
      <c r="M126" s="150"/>
      <c r="N126" s="150"/>
      <c r="O126" s="150"/>
      <c r="P126" s="150"/>
      <c r="Q126" s="150"/>
      <c r="R126" s="150"/>
      <c r="S126" s="150"/>
      <c r="T126" s="357"/>
      <c r="U126" s="291"/>
      <c r="V126" s="181"/>
    </row>
    <row r="127" spans="1:22" x14ac:dyDescent="0.25">
      <c r="A127" s="363"/>
      <c r="B127" s="150"/>
      <c r="C127" s="150"/>
      <c r="D127" s="150"/>
      <c r="E127" s="150"/>
      <c r="F127" s="150"/>
      <c r="G127" s="150"/>
      <c r="H127" s="150"/>
      <c r="I127" s="150"/>
      <c r="J127" s="150"/>
      <c r="K127" s="150"/>
      <c r="L127" s="150"/>
      <c r="M127" s="150"/>
      <c r="N127" s="150"/>
      <c r="O127" s="150"/>
      <c r="P127" s="150"/>
      <c r="Q127" s="150"/>
      <c r="R127" s="150"/>
      <c r="S127" s="150"/>
      <c r="T127" s="357"/>
      <c r="U127" s="291"/>
      <c r="V127" s="181"/>
    </row>
    <row r="128" spans="1:22" x14ac:dyDescent="0.25">
      <c r="A128" s="363"/>
      <c r="B128" s="150"/>
      <c r="C128" s="150"/>
      <c r="D128" s="150"/>
      <c r="E128" s="150"/>
      <c r="F128" s="150"/>
      <c r="G128" s="150"/>
      <c r="H128" s="150"/>
      <c r="I128" s="150"/>
      <c r="J128" s="150"/>
      <c r="K128" s="150"/>
      <c r="L128" s="150"/>
      <c r="M128" s="150"/>
      <c r="N128" s="150"/>
      <c r="O128" s="150"/>
      <c r="P128" s="150"/>
      <c r="Q128" s="150"/>
      <c r="R128" s="150"/>
      <c r="S128" s="150"/>
      <c r="T128" s="357"/>
      <c r="U128" s="291"/>
      <c r="V128" s="181"/>
    </row>
    <row r="129" spans="1:36" x14ac:dyDescent="0.25">
      <c r="A129" s="363"/>
      <c r="B129" s="150"/>
      <c r="C129" s="150"/>
      <c r="D129" s="150"/>
      <c r="E129" s="150"/>
      <c r="F129" s="150"/>
      <c r="G129" s="150"/>
      <c r="H129" s="150"/>
      <c r="I129" s="150"/>
      <c r="J129" s="150"/>
      <c r="K129" s="150"/>
      <c r="L129" s="150"/>
      <c r="M129" s="150"/>
      <c r="N129" s="150"/>
      <c r="O129" s="150"/>
      <c r="P129" s="150"/>
      <c r="Q129" s="150"/>
      <c r="R129" s="150"/>
      <c r="S129" s="150"/>
      <c r="T129" s="357"/>
      <c r="U129" s="291"/>
      <c r="V129" s="181"/>
    </row>
    <row r="130" spans="1:36" x14ac:dyDescent="0.25">
      <c r="A130" s="787"/>
      <c r="B130" s="150" t="s">
        <v>285</v>
      </c>
      <c r="C130" s="150"/>
      <c r="D130" s="150"/>
      <c r="E130" s="150"/>
      <c r="F130" s="150"/>
      <c r="G130" s="150"/>
      <c r="H130" s="150"/>
      <c r="I130" s="150"/>
      <c r="J130" s="150"/>
      <c r="K130" s="150"/>
      <c r="L130" s="150"/>
      <c r="M130" s="150"/>
      <c r="N130" s="150"/>
      <c r="O130" s="150"/>
      <c r="P130" s="150"/>
      <c r="Q130" s="150"/>
      <c r="R130" s="150"/>
      <c r="S130" s="150"/>
      <c r="T130" s="357"/>
      <c r="U130" s="291"/>
      <c r="V130" s="181"/>
    </row>
    <row r="131" spans="1:36" x14ac:dyDescent="0.25">
      <c r="A131" s="788"/>
      <c r="B131" s="150" t="s">
        <v>186</v>
      </c>
      <c r="C131" s="150"/>
      <c r="D131" s="150"/>
      <c r="E131" s="150"/>
      <c r="F131" s="150"/>
      <c r="G131" s="150"/>
      <c r="H131" s="150"/>
      <c r="I131" s="150"/>
      <c r="J131" s="150"/>
      <c r="K131" s="150"/>
      <c r="L131" s="150"/>
      <c r="M131" s="150"/>
      <c r="N131" s="150"/>
      <c r="O131" s="150"/>
      <c r="P131" s="150"/>
      <c r="Q131" s="150"/>
      <c r="R131" s="150"/>
      <c r="S131" s="150"/>
      <c r="T131" s="357"/>
      <c r="U131" s="291"/>
      <c r="V131" s="181"/>
    </row>
    <row r="132" spans="1:36" x14ac:dyDescent="0.25">
      <c r="A132" s="150"/>
      <c r="B132" s="150"/>
      <c r="C132" s="150"/>
      <c r="D132" s="150"/>
      <c r="E132" s="150"/>
      <c r="F132" s="150"/>
      <c r="G132" s="150"/>
      <c r="H132" s="150"/>
      <c r="I132" s="150"/>
      <c r="J132" s="150"/>
      <c r="K132" s="150"/>
      <c r="L132" s="150"/>
      <c r="M132" s="150"/>
      <c r="N132" s="150"/>
      <c r="O132" s="150"/>
      <c r="P132" s="150"/>
      <c r="Q132" s="150"/>
      <c r="R132" s="150"/>
      <c r="S132" s="150"/>
      <c r="T132" s="357"/>
      <c r="U132" s="291"/>
      <c r="V132" s="181"/>
    </row>
    <row r="133" spans="1:36" x14ac:dyDescent="0.25">
      <c r="A133" s="363" t="s">
        <v>450</v>
      </c>
      <c r="B133" s="150"/>
      <c r="C133" s="150"/>
      <c r="D133" s="150"/>
      <c r="E133" s="150"/>
      <c r="F133" s="150"/>
      <c r="G133" s="150"/>
      <c r="H133" s="150"/>
      <c r="I133" s="150"/>
      <c r="J133" s="150"/>
      <c r="K133" s="150"/>
      <c r="L133" s="150"/>
      <c r="M133" s="150"/>
      <c r="N133" s="150"/>
      <c r="O133" s="150"/>
      <c r="P133" s="150"/>
      <c r="Q133" s="150"/>
      <c r="R133" s="150"/>
      <c r="S133" s="150"/>
      <c r="T133" s="357"/>
      <c r="U133" s="291"/>
      <c r="V133" s="181"/>
    </row>
    <row r="134" spans="1:36" x14ac:dyDescent="0.25">
      <c r="A134" s="363"/>
      <c r="B134" s="150"/>
      <c r="C134" s="150"/>
      <c r="D134" s="150"/>
      <c r="E134" s="150"/>
      <c r="F134" s="150"/>
      <c r="G134" s="150"/>
      <c r="H134" s="150"/>
      <c r="I134" s="150"/>
      <c r="J134" s="150"/>
      <c r="K134" s="776"/>
      <c r="L134" s="150"/>
      <c r="M134" s="150"/>
      <c r="N134" s="150"/>
      <c r="O134" s="150"/>
      <c r="P134" s="150"/>
      <c r="Q134" s="150"/>
      <c r="R134" s="150"/>
      <c r="S134" s="150"/>
      <c r="T134" s="357"/>
      <c r="U134" s="291"/>
      <c r="V134" s="181"/>
    </row>
    <row r="135" spans="1:36" ht="13.25" thickBot="1" x14ac:dyDescent="0.3">
      <c r="A135" s="372"/>
      <c r="B135" s="373"/>
      <c r="C135" s="373"/>
      <c r="D135" s="373"/>
      <c r="E135" s="373"/>
      <c r="F135" s="373"/>
      <c r="G135" s="373"/>
      <c r="H135" s="373"/>
      <c r="I135" s="373"/>
      <c r="J135" s="373"/>
      <c r="K135" s="777"/>
      <c r="L135" s="373"/>
      <c r="M135" s="373"/>
      <c r="N135" s="373"/>
      <c r="O135" s="373"/>
      <c r="P135" s="373"/>
      <c r="Q135" s="373"/>
      <c r="R135" s="373"/>
      <c r="S135" s="373"/>
      <c r="T135" s="374"/>
      <c r="U135" s="291"/>
      <c r="V135" s="181"/>
    </row>
    <row r="136" spans="1:36" x14ac:dyDescent="0.25">
      <c r="U136" s="291"/>
      <c r="V136" s="181"/>
    </row>
    <row r="137" spans="1:36" x14ac:dyDescent="0.25">
      <c r="V137" s="181"/>
      <c r="W137" s="181"/>
    </row>
    <row r="138" spans="1:36" x14ac:dyDescent="0.25">
      <c r="J138" s="769"/>
      <c r="K138" s="60"/>
      <c r="L138" s="159"/>
      <c r="M138" s="60"/>
      <c r="S138" s="159"/>
      <c r="T138" s="159"/>
      <c r="V138" s="181"/>
      <c r="W138" s="181"/>
      <c r="AD138" s="159"/>
      <c r="AE138" s="159"/>
      <c r="AF138" s="159"/>
      <c r="AG138" s="159"/>
      <c r="AH138" s="159"/>
      <c r="AI138" s="159"/>
      <c r="AJ138" s="159"/>
    </row>
    <row r="139" spans="1:36" x14ac:dyDescent="0.25">
      <c r="B139" s="1" t="s">
        <v>668</v>
      </c>
      <c r="K139" s="60"/>
      <c r="M139" s="60"/>
      <c r="S139" s="159"/>
      <c r="T139" s="159"/>
      <c r="U139" s="159"/>
      <c r="V139" s="159"/>
      <c r="W139" s="159"/>
      <c r="X139" s="159"/>
      <c r="Y139" s="159"/>
      <c r="Z139" s="159"/>
      <c r="AA139" s="159"/>
      <c r="AB139" s="159"/>
      <c r="AC139" s="159"/>
      <c r="AD139" s="159"/>
      <c r="AE139" s="159"/>
      <c r="AF139" s="159"/>
      <c r="AG139" s="159"/>
      <c r="AH139" s="159"/>
      <c r="AI139" s="159"/>
      <c r="AJ139" s="159"/>
    </row>
    <row r="140" spans="1:36" ht="13.25" thickBot="1" x14ac:dyDescent="0.3">
      <c r="K140" s="60"/>
      <c r="M140" s="60"/>
      <c r="S140" s="159"/>
      <c r="T140" s="291"/>
      <c r="U140" s="159"/>
      <c r="V140" s="159"/>
      <c r="W140" s="159"/>
      <c r="X140" s="159"/>
      <c r="Y140" s="159"/>
      <c r="Z140" s="159"/>
      <c r="AA140" s="159"/>
      <c r="AB140" s="159"/>
      <c r="AC140" s="159"/>
      <c r="AD140" s="159"/>
      <c r="AE140" s="159"/>
      <c r="AF140" s="159"/>
      <c r="AG140" s="159"/>
      <c r="AH140" s="159"/>
      <c r="AI140" s="159"/>
      <c r="AJ140" s="159"/>
    </row>
    <row r="141" spans="1:36" x14ac:dyDescent="0.25">
      <c r="A141" s="738"/>
      <c r="B141" s="789"/>
      <c r="C141" s="2567" t="s">
        <v>1854</v>
      </c>
      <c r="D141" s="2569" t="s">
        <v>57</v>
      </c>
      <c r="E141" s="387"/>
      <c r="F141" s="387"/>
      <c r="G141" s="387"/>
      <c r="H141" s="790" t="s">
        <v>616</v>
      </c>
      <c r="I141" s="790"/>
      <c r="J141" s="791" t="s">
        <v>278</v>
      </c>
      <c r="K141" s="771"/>
      <c r="L141" s="792"/>
      <c r="M141" s="792"/>
      <c r="N141" s="387"/>
      <c r="O141" s="387"/>
      <c r="P141" s="387"/>
      <c r="Q141" s="387"/>
      <c r="R141" s="388"/>
      <c r="S141" s="159"/>
      <c r="T141" s="291"/>
      <c r="U141" s="291"/>
      <c r="V141" s="291"/>
      <c r="W141" s="291"/>
      <c r="X141" s="291"/>
      <c r="Y141" s="291"/>
      <c r="Z141" s="291"/>
      <c r="AA141" s="291"/>
      <c r="AB141" s="291"/>
      <c r="AC141" s="159"/>
      <c r="AD141" s="159"/>
      <c r="AE141" s="159"/>
      <c r="AF141" s="159"/>
      <c r="AG141" s="159"/>
      <c r="AH141" s="159"/>
      <c r="AI141" s="159"/>
      <c r="AJ141" s="159"/>
    </row>
    <row r="142" spans="1:36" ht="24.05" customHeight="1" x14ac:dyDescent="0.25">
      <c r="A142" s="363"/>
      <c r="B142" s="793" t="s">
        <v>1792</v>
      </c>
      <c r="C142" s="2568"/>
      <c r="D142" s="2570"/>
      <c r="E142" s="150"/>
      <c r="F142" s="150"/>
      <c r="G142" s="794" t="s">
        <v>1281</v>
      </c>
      <c r="H142" s="795">
        <v>18.809999999999999</v>
      </c>
      <c r="I142" s="796" t="s">
        <v>1796</v>
      </c>
      <c r="J142" s="797" t="s">
        <v>1868</v>
      </c>
      <c r="K142" s="776"/>
      <c r="L142" s="741"/>
      <c r="M142" s="741"/>
      <c r="N142" s="150"/>
      <c r="O142" s="150"/>
      <c r="P142" s="150"/>
      <c r="Q142" s="150"/>
      <c r="R142" s="357"/>
      <c r="S142" s="159"/>
      <c r="T142" s="291"/>
      <c r="U142" s="291"/>
      <c r="V142" s="291"/>
      <c r="W142" s="291"/>
      <c r="X142" s="291"/>
      <c r="Y142" s="291"/>
      <c r="Z142" s="291"/>
      <c r="AA142" s="291"/>
      <c r="AB142" s="291"/>
      <c r="AC142" s="159"/>
      <c r="AD142" s="159"/>
      <c r="AE142" s="159"/>
      <c r="AF142" s="159"/>
      <c r="AG142" s="159"/>
      <c r="AH142" s="159"/>
      <c r="AI142" s="159"/>
      <c r="AJ142" s="159"/>
    </row>
    <row r="143" spans="1:36" ht="19.45" customHeight="1" x14ac:dyDescent="0.25">
      <c r="A143" s="363"/>
      <c r="B143" s="823" t="s">
        <v>1946</v>
      </c>
      <c r="C143" s="2568"/>
      <c r="D143" s="2570"/>
      <c r="E143" s="150"/>
      <c r="F143" s="150"/>
      <c r="G143" s="794" t="s">
        <v>1282</v>
      </c>
      <c r="H143" s="795">
        <v>21.767587034813925</v>
      </c>
      <c r="I143" s="796" t="s">
        <v>1796</v>
      </c>
      <c r="J143" s="798" t="s">
        <v>1485</v>
      </c>
      <c r="K143" s="776"/>
      <c r="L143" s="741"/>
      <c r="M143" s="741"/>
      <c r="N143" s="150"/>
      <c r="O143" s="150"/>
      <c r="P143" s="150"/>
      <c r="Q143" s="150"/>
      <c r="R143" s="357"/>
      <c r="S143" s="159"/>
      <c r="T143" s="291"/>
      <c r="U143" s="291"/>
      <c r="V143" s="291"/>
      <c r="W143" s="291"/>
      <c r="X143" s="291"/>
      <c r="Y143" s="291"/>
      <c r="Z143" s="291"/>
      <c r="AA143" s="291"/>
      <c r="AB143" s="291"/>
      <c r="AC143" s="159"/>
      <c r="AD143" s="159"/>
      <c r="AE143" s="159"/>
      <c r="AF143" s="159"/>
      <c r="AG143" s="159"/>
      <c r="AH143" s="159"/>
      <c r="AI143" s="159"/>
      <c r="AJ143" s="159"/>
    </row>
    <row r="144" spans="1:36" x14ac:dyDescent="0.25">
      <c r="A144" s="363"/>
      <c r="B144" s="160" t="s">
        <v>287</v>
      </c>
      <c r="C144" s="150">
        <v>3.0953642000000003E-3</v>
      </c>
      <c r="D144" s="799">
        <v>98.327037236913114</v>
      </c>
      <c r="E144" s="150"/>
      <c r="F144" s="150"/>
      <c r="G144" s="794" t="s">
        <v>1283</v>
      </c>
      <c r="H144" s="795">
        <v>19.674549819927972</v>
      </c>
      <c r="I144" s="796" t="s">
        <v>1796</v>
      </c>
      <c r="J144" s="798" t="s">
        <v>1485</v>
      </c>
      <c r="K144" s="776"/>
      <c r="L144" s="741"/>
      <c r="M144" s="741"/>
      <c r="N144" s="150"/>
      <c r="O144" s="150"/>
      <c r="P144" s="150"/>
      <c r="Q144" s="150"/>
      <c r="R144" s="357"/>
      <c r="S144" s="159"/>
      <c r="T144" s="291"/>
      <c r="U144" s="291"/>
      <c r="V144" s="291"/>
      <c r="W144" s="291"/>
      <c r="X144" s="291"/>
      <c r="Y144" s="291"/>
      <c r="Z144" s="291"/>
      <c r="AA144" s="291"/>
      <c r="AB144" s="291"/>
      <c r="AC144" s="159"/>
      <c r="AD144" s="159"/>
      <c r="AE144" s="159"/>
      <c r="AF144" s="159"/>
      <c r="AG144" s="159"/>
      <c r="AH144" s="159"/>
      <c r="AI144" s="159"/>
      <c r="AJ144" s="159"/>
    </row>
    <row r="145" spans="1:36" x14ac:dyDescent="0.25">
      <c r="A145" s="363"/>
      <c r="B145" s="160" t="s">
        <v>213</v>
      </c>
      <c r="C145" s="150">
        <v>0.15954283130000002</v>
      </c>
      <c r="D145" s="799">
        <v>0.80320000000000003</v>
      </c>
      <c r="E145" s="150"/>
      <c r="F145" s="150"/>
      <c r="G145" s="794" t="s">
        <v>1284</v>
      </c>
      <c r="H145" s="800">
        <f>(1780+4000)/2/1000*4.18</f>
        <v>12.0802</v>
      </c>
      <c r="I145" s="796" t="s">
        <v>1796</v>
      </c>
      <c r="J145" s="797" t="s">
        <v>1486</v>
      </c>
      <c r="K145" s="776"/>
      <c r="L145" s="801"/>
      <c r="M145" s="741"/>
      <c r="N145" s="150"/>
      <c r="O145" s="150"/>
      <c r="P145" s="150"/>
      <c r="Q145" s="150"/>
      <c r="R145" s="357"/>
      <c r="S145" s="159"/>
      <c r="T145" s="291"/>
      <c r="U145" s="291"/>
      <c r="V145" s="291"/>
      <c r="W145" s="291"/>
      <c r="X145" s="291"/>
      <c r="Y145" s="291"/>
      <c r="Z145" s="291"/>
      <c r="AA145" s="291"/>
      <c r="AB145" s="291"/>
      <c r="AC145" s="159"/>
      <c r="AD145" s="159"/>
      <c r="AE145" s="159"/>
      <c r="AF145" s="159"/>
      <c r="AG145" s="159"/>
      <c r="AH145" s="159"/>
      <c r="AI145" s="159"/>
      <c r="AJ145" s="159"/>
    </row>
    <row r="146" spans="1:36" ht="27.1" customHeight="1" x14ac:dyDescent="0.25">
      <c r="A146" s="363"/>
      <c r="B146" s="160" t="s">
        <v>214</v>
      </c>
      <c r="C146" s="150">
        <v>6.5773566900000011E-2</v>
      </c>
      <c r="D146" s="799">
        <v>66.473473027195723</v>
      </c>
      <c r="E146" s="150"/>
      <c r="F146" s="150"/>
      <c r="G146" s="802" t="s">
        <v>1313</v>
      </c>
      <c r="H146" s="803">
        <v>15</v>
      </c>
      <c r="I146" s="796" t="s">
        <v>1796</v>
      </c>
      <c r="J146" s="798" t="s">
        <v>1485</v>
      </c>
      <c r="K146" s="776"/>
      <c r="L146" s="741"/>
      <c r="M146" s="741"/>
      <c r="N146" s="150"/>
      <c r="O146" s="150"/>
      <c r="P146" s="150"/>
      <c r="Q146" s="150"/>
      <c r="R146" s="357"/>
      <c r="S146" s="159"/>
      <c r="T146" s="291"/>
      <c r="U146" s="291"/>
      <c r="V146" s="291"/>
      <c r="W146" s="291"/>
      <c r="X146" s="291"/>
      <c r="Y146" s="291"/>
      <c r="Z146" s="291"/>
      <c r="AA146" s="291"/>
      <c r="AB146" s="291"/>
      <c r="AC146" s="159"/>
      <c r="AD146" s="159"/>
      <c r="AE146" s="159"/>
      <c r="AF146" s="159"/>
      <c r="AG146" s="159"/>
      <c r="AH146" s="159"/>
      <c r="AI146" s="159"/>
      <c r="AJ146" s="159"/>
    </row>
    <row r="147" spans="1:36" ht="14.25" customHeight="1" x14ac:dyDescent="0.25">
      <c r="A147" s="363"/>
      <c r="B147" s="160" t="s">
        <v>1586</v>
      </c>
      <c r="C147" s="150">
        <v>9.8421174700000003E-2</v>
      </c>
      <c r="D147" s="799">
        <v>31.704568122880513</v>
      </c>
      <c r="E147" s="150"/>
      <c r="F147" s="150"/>
      <c r="G147" s="802" t="s">
        <v>1322</v>
      </c>
      <c r="H147" s="795">
        <v>11.9</v>
      </c>
      <c r="I147" s="796" t="s">
        <v>1796</v>
      </c>
      <c r="J147" s="797" t="s">
        <v>1487</v>
      </c>
      <c r="K147" s="776"/>
      <c r="L147" s="741"/>
      <c r="M147" s="741"/>
      <c r="N147" s="150"/>
      <c r="O147" s="150"/>
      <c r="P147" s="150"/>
      <c r="Q147" s="150"/>
      <c r="R147" s="357"/>
      <c r="S147" s="159"/>
      <c r="T147" s="291"/>
      <c r="U147" s="291"/>
      <c r="V147" s="291"/>
      <c r="W147" s="291"/>
      <c r="X147" s="291"/>
      <c r="Y147" s="291"/>
      <c r="Z147" s="291"/>
      <c r="AA147" s="291"/>
      <c r="AB147" s="291"/>
      <c r="AC147" s="159"/>
      <c r="AD147" s="159"/>
      <c r="AE147" s="159"/>
      <c r="AF147" s="159"/>
      <c r="AG147" s="159"/>
      <c r="AH147" s="159"/>
      <c r="AI147" s="159"/>
      <c r="AJ147" s="159"/>
    </row>
    <row r="148" spans="1:36" ht="14.25" customHeight="1" x14ac:dyDescent="0.25">
      <c r="A148" s="363"/>
      <c r="B148" s="160" t="s">
        <v>625</v>
      </c>
      <c r="C148" s="150">
        <v>2.9916277000000005E-2</v>
      </c>
      <c r="D148" s="804">
        <v>33.134328358208954</v>
      </c>
      <c r="E148" s="150"/>
      <c r="F148" s="150"/>
      <c r="G148" s="794" t="s">
        <v>1187</v>
      </c>
      <c r="H148" s="795">
        <v>16</v>
      </c>
      <c r="I148" s="796" t="s">
        <v>1796</v>
      </c>
      <c r="J148" s="797" t="s">
        <v>221</v>
      </c>
      <c r="K148" s="776"/>
      <c r="L148" s="741"/>
      <c r="M148" s="741"/>
      <c r="N148" s="150"/>
      <c r="O148" s="150"/>
      <c r="P148" s="150"/>
      <c r="Q148" s="150"/>
      <c r="R148" s="357"/>
      <c r="S148" s="159"/>
      <c r="T148" s="291"/>
      <c r="U148" s="291"/>
      <c r="V148" s="291"/>
      <c r="W148" s="291"/>
      <c r="X148" s="291"/>
      <c r="Y148" s="291"/>
      <c r="Z148" s="291"/>
      <c r="AA148" s="291"/>
      <c r="AB148" s="291"/>
      <c r="AC148" s="159"/>
      <c r="AD148" s="159"/>
      <c r="AE148" s="159"/>
      <c r="AF148" s="159"/>
      <c r="AG148" s="159"/>
      <c r="AH148" s="159"/>
      <c r="AI148" s="159"/>
      <c r="AJ148" s="159"/>
    </row>
    <row r="149" spans="1:36" x14ac:dyDescent="0.25">
      <c r="A149" s="363"/>
      <c r="B149" s="160" t="s">
        <v>574</v>
      </c>
      <c r="C149" s="150">
        <v>0.23626188700000003</v>
      </c>
      <c r="D149" s="804">
        <v>7.8038555806544556</v>
      </c>
      <c r="E149" s="150"/>
      <c r="F149" s="150"/>
      <c r="G149" s="802" t="s">
        <v>222</v>
      </c>
      <c r="H149" s="795">
        <v>26.125</v>
      </c>
      <c r="I149" s="796" t="s">
        <v>1796</v>
      </c>
      <c r="J149" s="797" t="s">
        <v>1868</v>
      </c>
      <c r="K149" s="150"/>
      <c r="L149" s="150"/>
      <c r="M149" s="150"/>
      <c r="N149" s="150"/>
      <c r="O149" s="150"/>
      <c r="P149" s="150"/>
      <c r="Q149" s="150"/>
      <c r="R149" s="357"/>
      <c r="S149" s="159"/>
      <c r="T149" s="291"/>
      <c r="U149" s="291"/>
      <c r="V149" s="291"/>
      <c r="W149" s="291"/>
      <c r="X149" s="291"/>
      <c r="Y149" s="291"/>
      <c r="Z149" s="291"/>
      <c r="AA149" s="291"/>
      <c r="AB149" s="291"/>
      <c r="AC149" s="159"/>
      <c r="AD149" s="159"/>
      <c r="AE149" s="159"/>
      <c r="AF149" s="159"/>
      <c r="AG149" s="159"/>
      <c r="AH149" s="159"/>
      <c r="AI149" s="159"/>
      <c r="AJ149" s="159"/>
    </row>
    <row r="150" spans="1:36" x14ac:dyDescent="0.25">
      <c r="A150" s="363"/>
      <c r="B150" s="160" t="s">
        <v>123</v>
      </c>
      <c r="C150" s="150">
        <v>4.5215264000000005E-2</v>
      </c>
      <c r="D150" s="799">
        <v>65.905653021442504</v>
      </c>
      <c r="E150" s="150"/>
      <c r="F150" s="150"/>
      <c r="G150" s="802" t="s">
        <v>1496</v>
      </c>
      <c r="H150" s="795">
        <v>36</v>
      </c>
      <c r="I150" s="796" t="s">
        <v>1796</v>
      </c>
      <c r="J150" s="797" t="s">
        <v>1868</v>
      </c>
      <c r="K150" s="150"/>
      <c r="L150" s="150"/>
      <c r="M150" s="150"/>
      <c r="N150" s="150"/>
      <c r="O150" s="150"/>
      <c r="P150" s="150"/>
      <c r="Q150" s="150"/>
      <c r="R150" s="357"/>
      <c r="S150" s="159"/>
      <c r="T150" s="291"/>
      <c r="U150" s="291"/>
      <c r="V150" s="291"/>
      <c r="W150" s="291"/>
      <c r="X150" s="291"/>
      <c r="Y150" s="291"/>
      <c r="Z150" s="291"/>
      <c r="AA150" s="291"/>
      <c r="AB150" s="291"/>
      <c r="AC150" s="159"/>
      <c r="AD150" s="159"/>
      <c r="AE150" s="159"/>
      <c r="AF150" s="159"/>
      <c r="AG150" s="159"/>
      <c r="AH150" s="159"/>
      <c r="AI150" s="159"/>
      <c r="AJ150" s="159"/>
    </row>
    <row r="151" spans="1:36" x14ac:dyDescent="0.25">
      <c r="A151" s="363"/>
      <c r="B151" s="160" t="s">
        <v>626</v>
      </c>
      <c r="C151" s="150">
        <v>0.12282866960000001</v>
      </c>
      <c r="D151" s="804">
        <v>12.729288915584716</v>
      </c>
      <c r="E151" s="150"/>
      <c r="F151" s="150"/>
      <c r="G151" s="802" t="s">
        <v>1498</v>
      </c>
      <c r="H151" s="795">
        <v>36</v>
      </c>
      <c r="I151" s="796" t="s">
        <v>1796</v>
      </c>
      <c r="J151" s="797" t="s">
        <v>1868</v>
      </c>
      <c r="K151" s="150"/>
      <c r="L151" s="150"/>
      <c r="M151" s="150"/>
      <c r="N151" s="150"/>
      <c r="O151" s="150"/>
      <c r="P151" s="150"/>
      <c r="Q151" s="150"/>
      <c r="R151" s="357"/>
      <c r="S151" s="159"/>
      <c r="T151" s="291"/>
      <c r="U151" s="291"/>
      <c r="V151" s="291"/>
      <c r="W151" s="291"/>
      <c r="X151" s="291"/>
      <c r="Y151" s="291"/>
      <c r="Z151" s="291"/>
      <c r="AA151" s="291"/>
      <c r="AB151" s="291"/>
      <c r="AC151" s="159"/>
      <c r="AD151" s="159"/>
      <c r="AE151" s="159"/>
      <c r="AF151" s="159"/>
      <c r="AG151" s="159"/>
      <c r="AH151" s="159"/>
      <c r="AI151" s="159"/>
      <c r="AJ151" s="159"/>
    </row>
    <row r="152" spans="1:36" x14ac:dyDescent="0.25">
      <c r="A152" s="363"/>
      <c r="B152" s="160" t="s">
        <v>524</v>
      </c>
      <c r="C152" s="150">
        <v>0.18416904540000001</v>
      </c>
      <c r="D152" s="799">
        <v>0</v>
      </c>
      <c r="E152" s="150"/>
      <c r="F152" s="150"/>
      <c r="G152" s="802" t="s">
        <v>1499</v>
      </c>
      <c r="H152" s="795">
        <v>27.6</v>
      </c>
      <c r="I152" s="796" t="s">
        <v>1796</v>
      </c>
      <c r="J152" s="797" t="s">
        <v>1487</v>
      </c>
      <c r="K152" s="150"/>
      <c r="L152" s="150"/>
      <c r="M152" s="150"/>
      <c r="N152" s="150"/>
      <c r="O152" s="150"/>
      <c r="P152" s="150"/>
      <c r="Q152" s="150"/>
      <c r="R152" s="357"/>
      <c r="S152" s="159"/>
      <c r="T152" s="291"/>
      <c r="U152" s="291"/>
      <c r="V152" s="291"/>
      <c r="W152" s="291"/>
      <c r="X152" s="291"/>
      <c r="Y152" s="291"/>
      <c r="Z152" s="291"/>
      <c r="AA152" s="291"/>
      <c r="AB152" s="291"/>
      <c r="AC152" s="159"/>
      <c r="AD152" s="159"/>
      <c r="AE152" s="159"/>
      <c r="AF152" s="159"/>
      <c r="AG152" s="159"/>
      <c r="AH152" s="159"/>
      <c r="AI152" s="159"/>
      <c r="AJ152" s="159"/>
    </row>
    <row r="153" spans="1:36" x14ac:dyDescent="0.25">
      <c r="A153" s="363"/>
      <c r="B153" s="160" t="s">
        <v>1937</v>
      </c>
      <c r="C153" s="150">
        <v>0.1621245821</v>
      </c>
      <c r="D153" s="805">
        <v>5.7113574955743971</v>
      </c>
      <c r="E153" s="150"/>
      <c r="F153" s="150"/>
      <c r="G153" s="802" t="s">
        <v>1500</v>
      </c>
      <c r="H153" s="795">
        <v>49</v>
      </c>
      <c r="I153" s="796" t="s">
        <v>1796</v>
      </c>
      <c r="J153" s="797" t="s">
        <v>1487</v>
      </c>
      <c r="K153" s="150"/>
      <c r="L153" s="150"/>
      <c r="M153" s="150"/>
      <c r="N153" s="150"/>
      <c r="O153" s="150"/>
      <c r="P153" s="150"/>
      <c r="Q153" s="150"/>
      <c r="R153" s="357"/>
      <c r="S153" s="159"/>
      <c r="T153" s="291"/>
      <c r="U153" s="291"/>
      <c r="V153" s="291"/>
      <c r="W153" s="291"/>
      <c r="X153" s="291"/>
      <c r="Y153" s="291"/>
      <c r="Z153" s="291"/>
      <c r="AA153" s="291"/>
      <c r="AB153" s="291"/>
      <c r="AC153" s="159"/>
      <c r="AD153" s="159"/>
      <c r="AE153" s="159"/>
      <c r="AF153" s="159"/>
      <c r="AG153" s="159"/>
      <c r="AH153" s="159"/>
      <c r="AI153" s="159"/>
      <c r="AJ153" s="159"/>
    </row>
    <row r="154" spans="1:36" x14ac:dyDescent="0.25">
      <c r="A154" s="363"/>
      <c r="B154" s="160" t="s">
        <v>288</v>
      </c>
      <c r="C154" s="150">
        <v>8.3745465399999997E-2</v>
      </c>
      <c r="D154" s="799">
        <v>1.6019992951203099E-2</v>
      </c>
      <c r="E154" s="150"/>
      <c r="F154" s="150"/>
      <c r="G154" s="802" t="s">
        <v>1502</v>
      </c>
      <c r="H154" s="795">
        <v>45.9</v>
      </c>
      <c r="I154" s="796" t="s">
        <v>1796</v>
      </c>
      <c r="J154" s="797" t="s">
        <v>1487</v>
      </c>
      <c r="K154" s="150"/>
      <c r="L154" s="150"/>
      <c r="M154" s="150"/>
      <c r="N154" s="150"/>
      <c r="O154" s="150"/>
      <c r="P154" s="150"/>
      <c r="Q154" s="150"/>
      <c r="R154" s="357"/>
      <c r="U154" s="291"/>
      <c r="V154" s="291"/>
      <c r="W154" s="291"/>
      <c r="X154" s="291"/>
      <c r="Y154" s="291"/>
      <c r="Z154" s="291"/>
      <c r="AA154" s="291"/>
      <c r="AB154" s="291"/>
      <c r="AC154" s="159"/>
    </row>
    <row r="155" spans="1:36" x14ac:dyDescent="0.25">
      <c r="A155" s="363"/>
      <c r="B155" s="160" t="s">
        <v>124</v>
      </c>
      <c r="C155" s="150">
        <v>6.0356361000000004E-2</v>
      </c>
      <c r="D155" s="799">
        <v>4.3167567693798681</v>
      </c>
      <c r="E155" s="150"/>
      <c r="F155" s="150"/>
      <c r="G155" s="802" t="s">
        <v>1851</v>
      </c>
      <c r="H155" s="795">
        <v>41.73</v>
      </c>
      <c r="I155" s="796" t="s">
        <v>1787</v>
      </c>
      <c r="J155" s="797" t="s">
        <v>1852</v>
      </c>
      <c r="K155" s="150"/>
      <c r="L155" s="150"/>
      <c r="M155" s="150"/>
      <c r="N155" s="150"/>
      <c r="O155" s="150"/>
      <c r="P155" s="150"/>
      <c r="Q155" s="150"/>
      <c r="R155" s="357"/>
    </row>
    <row r="156" spans="1:36" x14ac:dyDescent="0.25">
      <c r="A156" s="363"/>
      <c r="B156" s="160" t="s">
        <v>215</v>
      </c>
      <c r="C156" s="150">
        <v>0.20082718830000001</v>
      </c>
      <c r="D156" s="799">
        <v>1.2345679012345678</v>
      </c>
      <c r="E156" s="150"/>
      <c r="F156" s="150"/>
      <c r="G156" s="802" t="s">
        <v>2015</v>
      </c>
      <c r="H156" s="795">
        <f>(H157+H155)/2</f>
        <v>40.204999999999998</v>
      </c>
      <c r="I156" s="796" t="s">
        <v>1787</v>
      </c>
      <c r="J156" s="797" t="s">
        <v>1852</v>
      </c>
      <c r="K156" s="150"/>
      <c r="L156" s="150"/>
      <c r="M156" s="150"/>
      <c r="N156" s="150"/>
      <c r="O156" s="150"/>
      <c r="P156" s="150"/>
      <c r="Q156" s="150"/>
      <c r="R156" s="357"/>
    </row>
    <row r="157" spans="1:36" x14ac:dyDescent="0.25">
      <c r="A157" s="363"/>
      <c r="B157" s="160" t="s">
        <v>1587</v>
      </c>
      <c r="C157" s="150">
        <v>0.10894551270000001</v>
      </c>
      <c r="D157" s="799">
        <v>51.127649977447</v>
      </c>
      <c r="E157" s="150"/>
      <c r="F157" s="150"/>
      <c r="G157" s="802" t="s">
        <v>2019</v>
      </c>
      <c r="H157" s="795">
        <v>38.68</v>
      </c>
      <c r="I157" s="796" t="s">
        <v>1787</v>
      </c>
      <c r="J157" s="797" t="s">
        <v>1852</v>
      </c>
      <c r="K157" s="150"/>
      <c r="L157" s="150"/>
      <c r="M157" s="150"/>
      <c r="N157" s="150"/>
      <c r="O157" s="150"/>
      <c r="P157" s="150"/>
      <c r="Q157" s="150"/>
      <c r="R157" s="357"/>
    </row>
    <row r="158" spans="1:36" x14ac:dyDescent="0.25">
      <c r="A158" s="363"/>
      <c r="B158" s="160" t="s">
        <v>289</v>
      </c>
      <c r="C158" s="150">
        <v>0.21494241580000001</v>
      </c>
      <c r="D158" s="799">
        <v>46.829113421700136</v>
      </c>
      <c r="E158" s="150"/>
      <c r="F158" s="150"/>
      <c r="G158" s="794" t="s">
        <v>2072</v>
      </c>
      <c r="H158" s="795" t="s">
        <v>2020</v>
      </c>
      <c r="I158" s="796" t="s">
        <v>1796</v>
      </c>
      <c r="J158" s="806"/>
      <c r="K158" s="150"/>
      <c r="L158" s="150"/>
      <c r="M158" s="150"/>
      <c r="N158" s="150"/>
      <c r="O158" s="150"/>
      <c r="P158" s="150"/>
      <c r="Q158" s="150"/>
      <c r="R158" s="357"/>
    </row>
    <row r="159" spans="1:36" x14ac:dyDescent="0.25">
      <c r="A159" s="363"/>
      <c r="B159" s="160" t="s">
        <v>1588</v>
      </c>
      <c r="C159" s="150">
        <v>1.77634006E-2</v>
      </c>
      <c r="D159" s="799">
        <v>86.169641658837747</v>
      </c>
      <c r="E159" s="150"/>
      <c r="F159" s="150"/>
      <c r="G159" s="802"/>
      <c r="H159" s="795"/>
      <c r="I159" s="796"/>
      <c r="J159" s="797"/>
      <c r="K159" s="150"/>
      <c r="L159" s="150"/>
      <c r="M159" s="150"/>
      <c r="N159" s="150"/>
      <c r="O159" s="150"/>
      <c r="P159" s="150"/>
      <c r="Q159" s="150"/>
      <c r="R159" s="357"/>
    </row>
    <row r="160" spans="1:36" x14ac:dyDescent="0.25">
      <c r="A160" s="363"/>
      <c r="B160" s="160" t="s">
        <v>1938</v>
      </c>
      <c r="C160" s="150">
        <v>0.20919743580000003</v>
      </c>
      <c r="D160" s="804">
        <v>0</v>
      </c>
      <c r="E160" s="150"/>
      <c r="F160" s="150"/>
      <c r="G160" s="802"/>
      <c r="H160" s="795"/>
      <c r="I160" s="796"/>
      <c r="J160" s="797"/>
      <c r="K160" s="150"/>
      <c r="L160" s="150"/>
      <c r="M160" s="150"/>
      <c r="N160" s="150"/>
      <c r="O160" s="150"/>
      <c r="P160" s="150"/>
      <c r="Q160" s="150"/>
      <c r="R160" s="357"/>
    </row>
    <row r="161" spans="1:18" x14ac:dyDescent="0.25">
      <c r="A161" s="363"/>
      <c r="B161" s="160" t="s">
        <v>290</v>
      </c>
      <c r="C161" s="150">
        <v>0.12837479130000001</v>
      </c>
      <c r="D161" s="799">
        <v>8.1281084068138671</v>
      </c>
      <c r="E161" s="150"/>
      <c r="F161" s="150"/>
      <c r="G161" s="794"/>
      <c r="H161" s="795"/>
      <c r="I161" s="796"/>
      <c r="J161" s="806"/>
      <c r="K161" s="150"/>
      <c r="L161" s="150"/>
      <c r="M161" s="150"/>
      <c r="N161" s="150"/>
      <c r="O161" s="150"/>
      <c r="P161" s="150"/>
      <c r="Q161" s="150"/>
      <c r="R161" s="357"/>
    </row>
    <row r="162" spans="1:18" x14ac:dyDescent="0.25">
      <c r="A162" s="363"/>
      <c r="B162" s="160" t="s">
        <v>576</v>
      </c>
      <c r="C162" s="150">
        <v>6.7222553900000009E-2</v>
      </c>
      <c r="D162" s="799">
        <v>95.37712895377129</v>
      </c>
      <c r="E162" s="150"/>
      <c r="F162" s="150"/>
      <c r="G162" s="150"/>
      <c r="H162" s="150"/>
      <c r="I162" s="776"/>
      <c r="J162" s="150"/>
      <c r="K162" s="150"/>
      <c r="L162" s="150"/>
      <c r="M162" s="150"/>
      <c r="N162" s="150"/>
      <c r="O162" s="150"/>
      <c r="P162" s="150"/>
      <c r="Q162" s="150"/>
      <c r="R162" s="357"/>
    </row>
    <row r="163" spans="1:18" x14ac:dyDescent="0.25">
      <c r="A163" s="363"/>
      <c r="B163" s="160" t="s">
        <v>2010</v>
      </c>
      <c r="C163" s="150">
        <v>4.6323264000000003E-2</v>
      </c>
      <c r="D163" s="799">
        <v>58.675653368175183</v>
      </c>
      <c r="E163" s="150"/>
      <c r="F163" s="150"/>
      <c r="G163" s="150"/>
      <c r="H163" s="150"/>
      <c r="I163" s="150"/>
      <c r="J163" s="150"/>
      <c r="K163" s="776"/>
      <c r="L163" s="150"/>
      <c r="M163" s="150"/>
      <c r="N163" s="150"/>
      <c r="O163" s="150"/>
      <c r="P163" s="150"/>
      <c r="Q163" s="150"/>
      <c r="R163" s="357"/>
    </row>
    <row r="164" spans="1:18" x14ac:dyDescent="0.25">
      <c r="A164" s="363"/>
      <c r="B164" s="160" t="s">
        <v>1589</v>
      </c>
      <c r="C164" s="150">
        <v>0.10327114</v>
      </c>
      <c r="D164" s="799">
        <v>48.433141603985916</v>
      </c>
      <c r="E164" s="150"/>
      <c r="F164" s="150"/>
      <c r="G164" s="150"/>
      <c r="H164" s="150"/>
      <c r="I164" s="150"/>
      <c r="J164" s="150"/>
      <c r="K164" s="776"/>
      <c r="L164" s="150"/>
      <c r="M164" s="150"/>
      <c r="N164" s="150"/>
      <c r="O164" s="150"/>
      <c r="P164" s="150"/>
      <c r="Q164" s="150"/>
      <c r="R164" s="357"/>
    </row>
    <row r="165" spans="1:18" x14ac:dyDescent="0.25">
      <c r="A165" s="363"/>
      <c r="B165" s="160" t="s">
        <v>1934</v>
      </c>
      <c r="C165" s="150">
        <v>0.2057405035</v>
      </c>
      <c r="D165" s="804">
        <v>16.186253779662767</v>
      </c>
      <c r="E165" s="150"/>
      <c r="F165" s="150"/>
      <c r="G165" s="150"/>
      <c r="H165" s="150"/>
      <c r="I165" s="150"/>
      <c r="J165" s="150"/>
      <c r="K165" s="776"/>
      <c r="L165" s="150"/>
      <c r="M165" s="150"/>
      <c r="N165" s="150"/>
      <c r="O165" s="150"/>
      <c r="P165" s="150"/>
      <c r="Q165" s="150"/>
      <c r="R165" s="357"/>
    </row>
    <row r="166" spans="1:18" x14ac:dyDescent="0.25">
      <c r="A166" s="363"/>
      <c r="B166" s="160" t="s">
        <v>1939</v>
      </c>
      <c r="C166" s="150">
        <v>0.17583458630000001</v>
      </c>
      <c r="D166" s="804">
        <v>4.5426667398985741</v>
      </c>
      <c r="E166" s="150"/>
      <c r="F166" s="150"/>
      <c r="G166" s="150"/>
      <c r="H166" s="150"/>
      <c r="I166" s="150"/>
      <c r="J166" s="150"/>
      <c r="K166" s="776"/>
      <c r="L166" s="150"/>
      <c r="M166" s="150"/>
      <c r="N166" s="150"/>
      <c r="O166" s="150"/>
      <c r="P166" s="150"/>
      <c r="Q166" s="150"/>
      <c r="R166" s="357"/>
    </row>
    <row r="167" spans="1:18" x14ac:dyDescent="0.25">
      <c r="A167" s="363"/>
      <c r="B167" s="160" t="s">
        <v>1590</v>
      </c>
      <c r="C167" s="150">
        <v>4.8550177800000011E-2</v>
      </c>
      <c r="D167" s="799">
        <v>80.863472600967384</v>
      </c>
      <c r="E167" s="150"/>
      <c r="F167" s="150"/>
      <c r="G167" s="150"/>
      <c r="H167" s="150"/>
      <c r="I167" s="150"/>
      <c r="J167" s="150"/>
      <c r="K167" s="776"/>
      <c r="L167" s="150"/>
      <c r="M167" s="150"/>
      <c r="N167" s="150"/>
      <c r="O167" s="150"/>
      <c r="P167" s="150"/>
      <c r="Q167" s="150"/>
      <c r="R167" s="357"/>
    </row>
    <row r="168" spans="1:18" x14ac:dyDescent="0.25">
      <c r="A168" s="363"/>
      <c r="B168" s="160" t="s">
        <v>577</v>
      </c>
      <c r="C168" s="150">
        <v>8.1266260000000012E-4</v>
      </c>
      <c r="D168" s="799">
        <v>99.678925861062467</v>
      </c>
      <c r="E168" s="150"/>
      <c r="F168" s="150"/>
      <c r="G168" s="150"/>
      <c r="H168" s="150" t="s">
        <v>1954</v>
      </c>
      <c r="I168" s="150" t="s">
        <v>604</v>
      </c>
      <c r="J168" s="150"/>
      <c r="K168" s="776"/>
      <c r="L168" s="150"/>
      <c r="M168" s="150"/>
      <c r="N168" s="150"/>
      <c r="O168" s="150"/>
      <c r="P168" s="150"/>
      <c r="Q168" s="150"/>
      <c r="R168" s="357"/>
    </row>
    <row r="169" spans="1:18" x14ac:dyDescent="0.25">
      <c r="A169" s="363"/>
      <c r="B169" s="160" t="s">
        <v>1591</v>
      </c>
      <c r="C169" s="150">
        <v>1.1027674700000002E-2</v>
      </c>
      <c r="D169" s="799">
        <v>98.185140073081612</v>
      </c>
      <c r="E169" s="150"/>
      <c r="F169" s="150"/>
      <c r="G169" s="802" t="s">
        <v>222</v>
      </c>
      <c r="H169" s="807">
        <v>9.2700000000000005E-2</v>
      </c>
      <c r="I169" s="808">
        <f t="shared" ref="I169:I177" si="9">H169*E169</f>
        <v>0</v>
      </c>
      <c r="J169" s="741"/>
      <c r="K169" s="776"/>
      <c r="L169" s="150"/>
      <c r="M169" s="150"/>
      <c r="N169" s="150"/>
      <c r="O169" s="150"/>
      <c r="P169" s="150"/>
      <c r="Q169" s="150"/>
      <c r="R169" s="357"/>
    </row>
    <row r="170" spans="1:18" x14ac:dyDescent="0.25">
      <c r="A170" s="363"/>
      <c r="B170" s="160" t="s">
        <v>578</v>
      </c>
      <c r="C170" s="150">
        <v>0.11811230140000001</v>
      </c>
      <c r="D170" s="799">
        <v>32.352396816583379</v>
      </c>
      <c r="E170" s="150"/>
      <c r="F170" s="150"/>
      <c r="G170" s="802" t="s">
        <v>1496</v>
      </c>
      <c r="H170" s="807">
        <v>9.2700000000000005E-2</v>
      </c>
      <c r="I170" s="808">
        <f t="shared" si="9"/>
        <v>0</v>
      </c>
      <c r="J170" s="150" t="s">
        <v>1497</v>
      </c>
      <c r="K170" s="776"/>
      <c r="L170" s="150"/>
      <c r="M170" s="150"/>
      <c r="N170" s="150"/>
      <c r="O170" s="150"/>
      <c r="P170" s="150"/>
      <c r="Q170" s="150"/>
      <c r="R170" s="357"/>
    </row>
    <row r="171" spans="1:18" x14ac:dyDescent="0.25">
      <c r="A171" s="363"/>
      <c r="B171" s="160" t="s">
        <v>291</v>
      </c>
      <c r="C171" s="150">
        <v>7.8498392900000005E-2</v>
      </c>
      <c r="D171" s="799">
        <v>53.096080054171999</v>
      </c>
      <c r="E171" s="150"/>
      <c r="F171" s="150"/>
      <c r="G171" s="802" t="s">
        <v>1498</v>
      </c>
      <c r="H171" s="807">
        <v>9.2700000000000005E-2</v>
      </c>
      <c r="I171" s="808">
        <f t="shared" si="9"/>
        <v>0</v>
      </c>
      <c r="J171" s="741" t="s">
        <v>1497</v>
      </c>
      <c r="K171" s="776"/>
      <c r="L171" s="150"/>
      <c r="M171" s="150"/>
      <c r="N171" s="150"/>
      <c r="O171" s="150"/>
      <c r="P171" s="150"/>
      <c r="Q171" s="150"/>
      <c r="R171" s="357"/>
    </row>
    <row r="172" spans="1:18" x14ac:dyDescent="0.25">
      <c r="A172" s="363"/>
      <c r="B172" s="160" t="s">
        <v>1592</v>
      </c>
      <c r="C172" s="150">
        <v>0.20817635840000004</v>
      </c>
      <c r="D172" s="799">
        <v>4.6575517505750064</v>
      </c>
      <c r="E172" s="150"/>
      <c r="F172" s="150"/>
      <c r="G172" s="802" t="s">
        <v>1499</v>
      </c>
      <c r="H172" s="807">
        <v>9.2700000000000005E-2</v>
      </c>
      <c r="I172" s="808">
        <f t="shared" si="9"/>
        <v>0</v>
      </c>
      <c r="J172" s="741" t="s">
        <v>1497</v>
      </c>
      <c r="K172" s="776"/>
      <c r="L172" s="150"/>
      <c r="M172" s="150"/>
      <c r="N172" s="150"/>
      <c r="O172" s="150"/>
      <c r="P172" s="150"/>
      <c r="Q172" s="150"/>
      <c r="R172" s="357"/>
    </row>
    <row r="173" spans="1:18" x14ac:dyDescent="0.25">
      <c r="A173" s="363"/>
      <c r="B173" s="160" t="s">
        <v>1696</v>
      </c>
      <c r="C173" s="150">
        <v>0.20616345480000001</v>
      </c>
      <c r="D173" s="799">
        <v>10.883482714468631</v>
      </c>
      <c r="E173" s="150"/>
      <c r="F173" s="150"/>
      <c r="G173" s="802" t="s">
        <v>1500</v>
      </c>
      <c r="H173" s="807">
        <v>6.2799999999999995E-2</v>
      </c>
      <c r="I173" s="808">
        <f t="shared" si="9"/>
        <v>0</v>
      </c>
      <c r="J173" s="741" t="s">
        <v>1501</v>
      </c>
      <c r="K173" s="776"/>
      <c r="L173" s="150"/>
      <c r="M173" s="150"/>
      <c r="N173" s="150"/>
      <c r="O173" s="150"/>
      <c r="P173" s="150"/>
      <c r="Q173" s="150"/>
      <c r="R173" s="357"/>
    </row>
    <row r="174" spans="1:18" x14ac:dyDescent="0.25">
      <c r="A174" s="363"/>
      <c r="B174" s="160" t="s">
        <v>1697</v>
      </c>
      <c r="C174" s="150">
        <v>0.14244808100000003</v>
      </c>
      <c r="D174" s="799">
        <v>3.9272882501511863</v>
      </c>
      <c r="E174" s="150"/>
      <c r="F174" s="150"/>
      <c r="G174" s="802" t="s">
        <v>1502</v>
      </c>
      <c r="H174" s="807">
        <v>6.2799999999999995E-2</v>
      </c>
      <c r="I174" s="808">
        <f t="shared" si="9"/>
        <v>0</v>
      </c>
      <c r="J174" s="741" t="s">
        <v>1501</v>
      </c>
      <c r="K174" s="776"/>
      <c r="L174" s="150"/>
      <c r="M174" s="150"/>
      <c r="N174" s="150"/>
      <c r="O174" s="150"/>
      <c r="P174" s="150"/>
      <c r="Q174" s="150"/>
      <c r="R174" s="357"/>
    </row>
    <row r="175" spans="1:18" x14ac:dyDescent="0.25">
      <c r="A175" s="363"/>
      <c r="B175" s="160" t="s">
        <v>1980</v>
      </c>
      <c r="C175" s="150">
        <v>8.386147300000002E-2</v>
      </c>
      <c r="D175" s="799">
        <v>25.120438767695234</v>
      </c>
      <c r="E175" s="150"/>
      <c r="F175" s="150"/>
      <c r="G175" s="802" t="s">
        <v>1851</v>
      </c>
      <c r="H175" s="807">
        <v>7.8400000000000011E-2</v>
      </c>
      <c r="I175" s="808">
        <f t="shared" si="9"/>
        <v>0</v>
      </c>
      <c r="J175" s="741" t="s">
        <v>275</v>
      </c>
      <c r="K175" s="150"/>
      <c r="L175" s="150"/>
      <c r="M175" s="150"/>
      <c r="N175" s="150"/>
      <c r="O175" s="150"/>
      <c r="P175" s="150"/>
      <c r="Q175" s="150"/>
      <c r="R175" s="357"/>
    </row>
    <row r="176" spans="1:18" x14ac:dyDescent="0.25">
      <c r="A176" s="363"/>
      <c r="B176" s="160" t="s">
        <v>1593</v>
      </c>
      <c r="C176" s="150">
        <v>0.16357836120000002</v>
      </c>
      <c r="D176" s="804">
        <v>12.006686532451486</v>
      </c>
      <c r="E176" s="150"/>
      <c r="F176" s="150"/>
      <c r="G176" s="802" t="s">
        <v>2015</v>
      </c>
      <c r="H176" s="807">
        <v>7.8400000000000011E-2</v>
      </c>
      <c r="I176" s="808">
        <f t="shared" si="9"/>
        <v>0</v>
      </c>
      <c r="J176" s="741" t="s">
        <v>2017</v>
      </c>
      <c r="K176" s="150"/>
      <c r="L176" s="150"/>
      <c r="M176" s="150"/>
      <c r="N176" s="150"/>
      <c r="O176" s="150"/>
      <c r="P176" s="150"/>
      <c r="Q176" s="150"/>
      <c r="R176" s="357"/>
    </row>
    <row r="177" spans="1:18" x14ac:dyDescent="0.25">
      <c r="A177" s="363"/>
      <c r="B177" s="160" t="s">
        <v>1594</v>
      </c>
      <c r="C177" s="150">
        <v>8.0231471100000007E-2</v>
      </c>
      <c r="D177" s="799">
        <v>58.895510528406831</v>
      </c>
      <c r="E177" s="150"/>
      <c r="F177" s="150"/>
      <c r="G177" s="802" t="s">
        <v>2019</v>
      </c>
      <c r="H177" s="807">
        <v>7.51E-2</v>
      </c>
      <c r="I177" s="808">
        <f t="shared" si="9"/>
        <v>0</v>
      </c>
      <c r="J177" s="741" t="s">
        <v>275</v>
      </c>
      <c r="K177" s="150"/>
      <c r="L177" s="150"/>
      <c r="M177" s="150"/>
      <c r="N177" s="150"/>
      <c r="O177" s="150"/>
      <c r="P177" s="150"/>
      <c r="Q177" s="150"/>
      <c r="R177" s="357"/>
    </row>
    <row r="178" spans="1:18" x14ac:dyDescent="0.25">
      <c r="A178" s="363"/>
      <c r="B178" s="160" t="s">
        <v>579</v>
      </c>
      <c r="C178" s="150">
        <v>0.1289531119</v>
      </c>
      <c r="D178" s="799">
        <v>12.998153979802368</v>
      </c>
      <c r="E178" s="150"/>
      <c r="F178" s="150"/>
      <c r="G178" s="794" t="s">
        <v>2072</v>
      </c>
      <c r="H178" s="808" t="s">
        <v>312</v>
      </c>
      <c r="I178" s="808">
        <f>SUM(I169:I177)</f>
        <v>0</v>
      </c>
      <c r="J178" s="809" t="s">
        <v>2021</v>
      </c>
      <c r="K178" s="150"/>
      <c r="L178" s="150"/>
      <c r="M178" s="150"/>
      <c r="N178" s="150"/>
      <c r="O178" s="150"/>
      <c r="P178" s="150"/>
      <c r="Q178" s="150"/>
      <c r="R178" s="357"/>
    </row>
    <row r="179" spans="1:18" x14ac:dyDescent="0.25">
      <c r="A179" s="363"/>
      <c r="B179" s="160" t="s">
        <v>1838</v>
      </c>
      <c r="C179" s="150">
        <v>8.8302752500000012E-2</v>
      </c>
      <c r="D179" s="804">
        <v>54.383992805755398</v>
      </c>
      <c r="E179" s="150"/>
      <c r="F179" s="150"/>
      <c r="G179" s="150"/>
      <c r="H179" s="150"/>
      <c r="I179" s="150"/>
      <c r="J179" s="150"/>
      <c r="K179" s="150"/>
      <c r="L179" s="150"/>
      <c r="M179" s="150"/>
      <c r="N179" s="150"/>
      <c r="O179" s="150"/>
      <c r="P179" s="150"/>
      <c r="Q179" s="150"/>
      <c r="R179" s="357"/>
    </row>
    <row r="180" spans="1:18" x14ac:dyDescent="0.25">
      <c r="A180" s="363"/>
      <c r="B180" s="160" t="s">
        <v>580</v>
      </c>
      <c r="C180" s="150">
        <v>0.18602943280000003</v>
      </c>
      <c r="D180" s="799">
        <v>0.35335689045936397</v>
      </c>
      <c r="E180" s="150"/>
      <c r="F180" s="150"/>
      <c r="G180" s="150"/>
      <c r="H180" s="150"/>
      <c r="I180" s="150"/>
      <c r="J180" s="150"/>
      <c r="K180" s="150"/>
      <c r="L180" s="150"/>
      <c r="M180" s="150"/>
      <c r="N180" s="150"/>
      <c r="O180" s="150"/>
      <c r="P180" s="150"/>
      <c r="Q180" s="150"/>
      <c r="R180" s="357"/>
    </row>
    <row r="181" spans="1:18" x14ac:dyDescent="0.25">
      <c r="A181" s="363"/>
      <c r="B181" s="160" t="s">
        <v>292</v>
      </c>
      <c r="C181" s="150">
        <v>0.19496728100000002</v>
      </c>
      <c r="D181" s="799">
        <v>0.58229813664596275</v>
      </c>
      <c r="E181" s="150"/>
      <c r="F181" s="150"/>
      <c r="G181" s="150"/>
      <c r="H181" s="150"/>
      <c r="I181" s="150"/>
      <c r="J181" s="150"/>
      <c r="K181" s="150"/>
      <c r="L181" s="150"/>
      <c r="M181" s="150"/>
      <c r="N181" s="150"/>
      <c r="O181" s="150"/>
      <c r="P181" s="150"/>
      <c r="Q181" s="150"/>
      <c r="R181" s="357"/>
    </row>
    <row r="182" spans="1:18" x14ac:dyDescent="0.25">
      <c r="A182" s="363"/>
      <c r="B182" s="160" t="s">
        <v>581</v>
      </c>
      <c r="C182" s="150">
        <v>3.2771620699999997E-2</v>
      </c>
      <c r="D182" s="799">
        <v>99.29133858267717</v>
      </c>
      <c r="E182" s="150"/>
      <c r="F182" s="150"/>
      <c r="G182" s="150"/>
      <c r="H182" s="150"/>
      <c r="I182" s="150"/>
      <c r="J182" s="150"/>
      <c r="K182" s="150"/>
      <c r="L182" s="150"/>
      <c r="M182" s="150"/>
      <c r="N182" s="150"/>
      <c r="O182" s="150"/>
      <c r="P182" s="150"/>
      <c r="Q182" s="150"/>
      <c r="R182" s="357"/>
    </row>
    <row r="183" spans="1:18" x14ac:dyDescent="0.25">
      <c r="A183" s="363"/>
      <c r="B183" s="160" t="s">
        <v>1981</v>
      </c>
      <c r="C183" s="150">
        <v>5.689718500000001E-2</v>
      </c>
      <c r="D183" s="799">
        <v>30.49978442499738</v>
      </c>
      <c r="E183" s="150"/>
      <c r="F183" s="150"/>
      <c r="G183" s="150"/>
      <c r="H183" s="150"/>
      <c r="I183" s="150"/>
      <c r="J183" s="150"/>
      <c r="K183" s="150"/>
      <c r="L183" s="150"/>
      <c r="M183" s="150"/>
      <c r="N183" s="150"/>
      <c r="O183" s="150"/>
      <c r="P183" s="150"/>
      <c r="Q183" s="150"/>
      <c r="R183" s="357"/>
    </row>
    <row r="184" spans="1:18" x14ac:dyDescent="0.25">
      <c r="A184" s="363"/>
      <c r="B184" s="160" t="s">
        <v>1982</v>
      </c>
      <c r="C184" s="150">
        <v>2.4888727000000003E-2</v>
      </c>
      <c r="D184" s="799">
        <v>12.439688872345743</v>
      </c>
      <c r="E184" s="150"/>
      <c r="F184" s="150"/>
      <c r="G184" s="150"/>
      <c r="H184" s="150"/>
      <c r="I184" s="150"/>
      <c r="J184" s="150"/>
      <c r="K184" s="150"/>
      <c r="L184" s="150"/>
      <c r="M184" s="150"/>
      <c r="N184" s="150"/>
      <c r="O184" s="150"/>
      <c r="P184" s="150"/>
      <c r="Q184" s="150"/>
      <c r="R184" s="357"/>
    </row>
    <row r="185" spans="1:18" x14ac:dyDescent="0.25">
      <c r="A185" s="363"/>
      <c r="B185" s="160" t="s">
        <v>582</v>
      </c>
      <c r="C185" s="150">
        <v>8.9232087500000001E-2</v>
      </c>
      <c r="D185" s="799">
        <v>58.555627846454129</v>
      </c>
      <c r="E185" s="150"/>
      <c r="F185" s="150"/>
      <c r="G185" s="150"/>
      <c r="H185" s="150"/>
      <c r="I185" s="150"/>
      <c r="J185" s="150"/>
      <c r="K185" s="150"/>
      <c r="L185" s="150"/>
      <c r="M185" s="150"/>
      <c r="N185" s="150"/>
      <c r="O185" s="150"/>
      <c r="P185" s="150"/>
      <c r="Q185" s="150"/>
      <c r="R185" s="357"/>
    </row>
    <row r="186" spans="1:18" x14ac:dyDescent="0.25">
      <c r="A186" s="363"/>
      <c r="B186" s="160" t="s">
        <v>627</v>
      </c>
      <c r="C186" s="150">
        <v>3.5633834000000003E-2</v>
      </c>
      <c r="D186" s="804">
        <v>87.362796071634889</v>
      </c>
      <c r="E186" s="150"/>
      <c r="F186" s="150"/>
      <c r="G186" s="150"/>
      <c r="H186" s="150"/>
      <c r="I186" s="150"/>
      <c r="J186" s="150"/>
      <c r="K186" s="150"/>
      <c r="L186" s="150"/>
      <c r="M186" s="150"/>
      <c r="N186" s="150"/>
      <c r="O186" s="150"/>
      <c r="P186" s="150"/>
      <c r="Q186" s="150"/>
      <c r="R186" s="357"/>
    </row>
    <row r="187" spans="1:18" x14ac:dyDescent="0.25">
      <c r="A187" s="363"/>
      <c r="B187" s="160" t="s">
        <v>1983</v>
      </c>
      <c r="C187" s="150">
        <v>0.11924739200000001</v>
      </c>
      <c r="D187" s="799">
        <v>11.344795998605672</v>
      </c>
      <c r="E187" s="150"/>
      <c r="F187" s="150"/>
      <c r="G187" s="150"/>
      <c r="H187" s="150"/>
      <c r="I187" s="150"/>
      <c r="J187" s="150"/>
      <c r="K187" s="150"/>
      <c r="L187" s="150"/>
      <c r="M187" s="150"/>
      <c r="N187" s="150"/>
      <c r="O187" s="150"/>
      <c r="P187" s="150"/>
      <c r="Q187" s="150"/>
      <c r="R187" s="357"/>
    </row>
    <row r="188" spans="1:18" x14ac:dyDescent="0.25">
      <c r="A188" s="363"/>
      <c r="B188" s="160" t="s">
        <v>583</v>
      </c>
      <c r="C188" s="150">
        <v>5.1669336300000007E-2</v>
      </c>
      <c r="D188" s="799">
        <v>87.448253022023508</v>
      </c>
      <c r="E188" s="150"/>
      <c r="F188" s="150"/>
      <c r="G188" s="150"/>
      <c r="H188" s="150"/>
      <c r="I188" s="150"/>
      <c r="J188" s="150"/>
      <c r="K188" s="150"/>
      <c r="L188" s="150"/>
      <c r="M188" s="150"/>
      <c r="N188" s="150"/>
      <c r="O188" s="150"/>
      <c r="P188" s="150"/>
      <c r="Q188" s="150"/>
      <c r="R188" s="357"/>
    </row>
    <row r="189" spans="1:18" x14ac:dyDescent="0.25">
      <c r="A189" s="363"/>
      <c r="B189" s="160" t="s">
        <v>1984</v>
      </c>
      <c r="C189" s="150">
        <v>0.20010452300000003</v>
      </c>
      <c r="D189" s="799">
        <v>11.101375033701807</v>
      </c>
      <c r="E189" s="150"/>
      <c r="F189" s="150"/>
      <c r="G189" s="150"/>
      <c r="H189" s="150"/>
      <c r="I189" s="150"/>
      <c r="J189" s="150"/>
      <c r="K189" s="150"/>
      <c r="L189" s="150"/>
      <c r="M189" s="150"/>
      <c r="N189" s="150"/>
      <c r="O189" s="150"/>
      <c r="P189" s="150"/>
      <c r="Q189" s="150"/>
      <c r="R189" s="357"/>
    </row>
    <row r="190" spans="1:18" x14ac:dyDescent="0.25">
      <c r="A190" s="363"/>
      <c r="B190" s="160" t="s">
        <v>1839</v>
      </c>
      <c r="C190" s="150">
        <v>9.6702916000000014E-2</v>
      </c>
      <c r="D190" s="804">
        <v>47.1393922100157</v>
      </c>
      <c r="E190" s="150"/>
      <c r="F190" s="150"/>
      <c r="G190" s="150"/>
      <c r="H190" s="150"/>
      <c r="I190" s="150"/>
      <c r="J190" s="150"/>
      <c r="K190" s="150"/>
      <c r="L190" s="150"/>
      <c r="M190" s="150"/>
      <c r="N190" s="150"/>
      <c r="O190" s="150"/>
      <c r="P190" s="150"/>
      <c r="Q190" s="150"/>
      <c r="R190" s="357"/>
    </row>
    <row r="191" spans="1:18" x14ac:dyDescent="0.25">
      <c r="A191" s="363"/>
      <c r="B191" s="160" t="s">
        <v>1840</v>
      </c>
      <c r="C191" s="150">
        <v>0.15155356960000002</v>
      </c>
      <c r="D191" s="804">
        <v>47.531992687385738</v>
      </c>
      <c r="E191" s="150"/>
      <c r="F191" s="150"/>
      <c r="G191" s="150"/>
      <c r="H191" s="150"/>
      <c r="I191" s="150"/>
      <c r="J191" s="150"/>
      <c r="K191" s="150"/>
      <c r="L191" s="150"/>
      <c r="M191" s="150"/>
      <c r="N191" s="150"/>
      <c r="O191" s="150"/>
      <c r="P191" s="150"/>
      <c r="Q191" s="150"/>
      <c r="R191" s="357"/>
    </row>
    <row r="192" spans="1:18" x14ac:dyDescent="0.25">
      <c r="A192" s="363"/>
      <c r="B192" s="160" t="s">
        <v>1841</v>
      </c>
      <c r="C192" s="150">
        <v>9.5377471000000005E-2</v>
      </c>
      <c r="D192" s="804">
        <v>48.482984829848299</v>
      </c>
      <c r="E192" s="150"/>
      <c r="F192" s="150"/>
      <c r="G192" s="150"/>
      <c r="H192" s="150"/>
      <c r="I192" s="150"/>
      <c r="J192" s="150"/>
      <c r="K192" s="150"/>
      <c r="L192" s="150"/>
      <c r="M192" s="150"/>
      <c r="N192" s="150"/>
      <c r="O192" s="150"/>
      <c r="P192" s="150"/>
      <c r="Q192" s="150"/>
      <c r="R192" s="357"/>
    </row>
    <row r="193" spans="1:18" x14ac:dyDescent="0.25">
      <c r="A193" s="363"/>
      <c r="B193" s="160" t="s">
        <v>1935</v>
      </c>
      <c r="C193" s="150">
        <v>0.21134335480000002</v>
      </c>
      <c r="D193" s="804">
        <v>0</v>
      </c>
      <c r="E193" s="150"/>
      <c r="F193" s="150"/>
      <c r="G193" s="150"/>
      <c r="H193" s="150"/>
      <c r="I193" s="150"/>
      <c r="J193" s="150"/>
      <c r="K193" s="150"/>
      <c r="L193" s="150"/>
      <c r="M193" s="150"/>
      <c r="N193" s="150"/>
      <c r="O193" s="150"/>
      <c r="P193" s="150"/>
      <c r="Q193" s="150"/>
      <c r="R193" s="357"/>
    </row>
    <row r="194" spans="1:18" x14ac:dyDescent="0.25">
      <c r="A194" s="363"/>
      <c r="B194" s="160" t="s">
        <v>1985</v>
      </c>
      <c r="C194" s="150">
        <v>8.3670620000000015E-2</v>
      </c>
      <c r="D194" s="799">
        <v>2.8539219176456627</v>
      </c>
      <c r="E194" s="150"/>
      <c r="F194" s="150"/>
      <c r="G194" s="150"/>
      <c r="H194" s="150"/>
      <c r="I194" s="150"/>
      <c r="J194" s="150"/>
      <c r="K194" s="150"/>
      <c r="L194" s="150"/>
      <c r="M194" s="150"/>
      <c r="N194" s="150"/>
      <c r="O194" s="150"/>
      <c r="P194" s="150"/>
      <c r="Q194" s="150"/>
      <c r="R194" s="357"/>
    </row>
    <row r="195" spans="1:18" x14ac:dyDescent="0.25">
      <c r="A195" s="363"/>
      <c r="B195" s="160" t="s">
        <v>1986</v>
      </c>
      <c r="C195" s="150">
        <v>1.17448E-4</v>
      </c>
      <c r="D195" s="799">
        <v>99.953612431868251</v>
      </c>
      <c r="E195" s="150"/>
      <c r="F195" s="150"/>
      <c r="G195" s="150"/>
      <c r="H195" s="150"/>
      <c r="I195" s="150"/>
      <c r="J195" s="150"/>
      <c r="K195" s="150"/>
      <c r="L195" s="150"/>
      <c r="M195" s="150"/>
      <c r="N195" s="150"/>
      <c r="O195" s="150"/>
      <c r="P195" s="150"/>
      <c r="Q195" s="150"/>
      <c r="R195" s="357"/>
    </row>
    <row r="196" spans="1:18" x14ac:dyDescent="0.25">
      <c r="A196" s="363"/>
      <c r="B196" s="160" t="s">
        <v>1683</v>
      </c>
      <c r="C196" s="150">
        <v>0.26353943430000004</v>
      </c>
      <c r="D196" s="804">
        <v>13.532859526012981</v>
      </c>
      <c r="E196" s="150"/>
      <c r="F196" s="150"/>
      <c r="G196" s="150"/>
      <c r="H196" s="150"/>
      <c r="I196" s="150"/>
      <c r="J196" s="150"/>
      <c r="K196" s="150"/>
      <c r="L196" s="150"/>
      <c r="M196" s="150"/>
      <c r="N196" s="150"/>
      <c r="O196" s="150"/>
      <c r="P196" s="150"/>
      <c r="Q196" s="150"/>
      <c r="R196" s="357"/>
    </row>
    <row r="197" spans="1:18" x14ac:dyDescent="0.25">
      <c r="A197" s="363"/>
      <c r="B197" s="160" t="s">
        <v>1445</v>
      </c>
      <c r="C197" s="150">
        <v>0.20655624080000001</v>
      </c>
      <c r="D197" s="804">
        <v>13.585219707057258</v>
      </c>
      <c r="E197" s="150"/>
      <c r="F197" s="150"/>
      <c r="G197" s="150"/>
      <c r="H197" s="150"/>
      <c r="I197" s="150"/>
      <c r="J197" s="150"/>
      <c r="K197" s="150"/>
      <c r="L197" s="150"/>
      <c r="M197" s="150"/>
      <c r="N197" s="150"/>
      <c r="O197" s="150"/>
      <c r="P197" s="150"/>
      <c r="Q197" s="150"/>
      <c r="R197" s="357"/>
    </row>
    <row r="198" spans="1:18" x14ac:dyDescent="0.25">
      <c r="A198" s="363"/>
      <c r="B198" s="160" t="s">
        <v>525</v>
      </c>
      <c r="C198" s="150">
        <v>0.17449966790000002</v>
      </c>
      <c r="D198" s="799">
        <v>6.4609286178950764</v>
      </c>
      <c r="E198" s="150"/>
      <c r="F198" s="150"/>
      <c r="G198" s="150"/>
      <c r="H198" s="150"/>
      <c r="I198" s="150"/>
      <c r="J198" s="150"/>
      <c r="K198" s="150"/>
      <c r="L198" s="150"/>
      <c r="M198" s="150"/>
      <c r="N198" s="150"/>
      <c r="O198" s="150"/>
      <c r="P198" s="150"/>
      <c r="Q198" s="150"/>
      <c r="R198" s="357"/>
    </row>
    <row r="199" spans="1:18" x14ac:dyDescent="0.25">
      <c r="A199" s="363"/>
      <c r="B199" s="160" t="s">
        <v>526</v>
      </c>
      <c r="C199" s="150">
        <v>0.18949184970000002</v>
      </c>
      <c r="D199" s="799">
        <v>1.5265520978479641</v>
      </c>
      <c r="E199" s="150"/>
      <c r="F199" s="150"/>
      <c r="G199" s="150"/>
      <c r="H199" s="150"/>
      <c r="I199" s="150"/>
      <c r="J199" s="150"/>
      <c r="K199" s="150"/>
      <c r="L199" s="150"/>
      <c r="M199" s="150"/>
      <c r="N199" s="150"/>
      <c r="O199" s="150"/>
      <c r="P199" s="150"/>
      <c r="Q199" s="150"/>
      <c r="R199" s="357"/>
    </row>
    <row r="200" spans="1:18" x14ac:dyDescent="0.25">
      <c r="A200" s="363"/>
      <c r="B200" s="160" t="s">
        <v>1987</v>
      </c>
      <c r="C200" s="150">
        <v>0.12887120300000002</v>
      </c>
      <c r="D200" s="799">
        <v>6.8364034573115884</v>
      </c>
      <c r="E200" s="150"/>
      <c r="F200" s="150"/>
      <c r="G200" s="150"/>
      <c r="H200" s="150"/>
      <c r="I200" s="150"/>
      <c r="J200" s="150"/>
      <c r="K200" s="150"/>
      <c r="L200" s="150"/>
      <c r="M200" s="150"/>
      <c r="N200" s="150"/>
      <c r="O200" s="150"/>
      <c r="P200" s="150"/>
      <c r="Q200" s="150"/>
      <c r="R200" s="357"/>
    </row>
    <row r="201" spans="1:18" x14ac:dyDescent="0.25">
      <c r="A201" s="363"/>
      <c r="B201" s="160" t="s">
        <v>1940</v>
      </c>
      <c r="C201" s="150">
        <v>0.19248259100000001</v>
      </c>
      <c r="D201" s="799">
        <v>7.9389312977099238E-2</v>
      </c>
      <c r="E201" s="150"/>
      <c r="F201" s="150"/>
      <c r="G201" s="150"/>
      <c r="H201" s="150"/>
      <c r="I201" s="150"/>
      <c r="J201" s="150"/>
      <c r="K201" s="150"/>
      <c r="L201" s="150"/>
      <c r="M201" s="150"/>
      <c r="N201" s="150"/>
      <c r="O201" s="150"/>
      <c r="P201" s="150"/>
      <c r="Q201" s="150"/>
      <c r="R201" s="357"/>
    </row>
    <row r="202" spans="1:18" x14ac:dyDescent="0.25">
      <c r="A202" s="363"/>
      <c r="B202" s="160" t="s">
        <v>1988</v>
      </c>
      <c r="C202" s="150">
        <v>0.107035847</v>
      </c>
      <c r="D202" s="799">
        <v>24.908108535769273</v>
      </c>
      <c r="E202" s="150"/>
      <c r="F202" s="150"/>
      <c r="G202" s="150"/>
      <c r="H202" s="150"/>
      <c r="I202" s="150"/>
      <c r="J202" s="150"/>
      <c r="K202" s="150"/>
      <c r="L202" s="150"/>
      <c r="M202" s="150"/>
      <c r="N202" s="150"/>
      <c r="O202" s="150"/>
      <c r="P202" s="150"/>
      <c r="Q202" s="150"/>
      <c r="R202" s="357"/>
    </row>
    <row r="203" spans="1:18" x14ac:dyDescent="0.25">
      <c r="A203" s="363"/>
      <c r="B203" s="160" t="s">
        <v>1842</v>
      </c>
      <c r="C203" s="150">
        <v>0.15081525379999999</v>
      </c>
      <c r="D203" s="804">
        <v>3.464043231259526</v>
      </c>
      <c r="E203" s="150"/>
      <c r="F203" s="150"/>
      <c r="G203" s="150"/>
      <c r="H203" s="150"/>
      <c r="I203" s="150"/>
      <c r="J203" s="150"/>
      <c r="K203" s="150"/>
      <c r="L203" s="150"/>
      <c r="M203" s="150"/>
      <c r="N203" s="150"/>
      <c r="O203" s="150"/>
      <c r="P203" s="150"/>
      <c r="Q203" s="150"/>
      <c r="R203" s="357"/>
    </row>
    <row r="204" spans="1:18" x14ac:dyDescent="0.25">
      <c r="A204" s="363"/>
      <c r="B204" s="160" t="s">
        <v>575</v>
      </c>
      <c r="C204" s="150">
        <v>0.11487439300000001</v>
      </c>
      <c r="D204" s="804">
        <v>11.703100755098488</v>
      </c>
      <c r="E204" s="150"/>
      <c r="F204" s="150"/>
      <c r="G204" s="150"/>
      <c r="H204" s="150"/>
      <c r="I204" s="150"/>
      <c r="J204" s="150"/>
      <c r="K204" s="150"/>
      <c r="L204" s="150"/>
      <c r="M204" s="150"/>
      <c r="N204" s="150"/>
      <c r="O204" s="150"/>
      <c r="P204" s="150"/>
      <c r="Q204" s="150"/>
      <c r="R204" s="357"/>
    </row>
    <row r="205" spans="1:18" x14ac:dyDescent="0.25">
      <c r="A205" s="363"/>
      <c r="B205" s="160" t="s">
        <v>1941</v>
      </c>
      <c r="C205" s="150">
        <v>0.16081179600000001</v>
      </c>
      <c r="D205" s="799">
        <v>0.62493025331994201</v>
      </c>
      <c r="E205" s="150"/>
      <c r="F205" s="150"/>
      <c r="G205" s="150"/>
      <c r="H205" s="150"/>
      <c r="I205" s="150"/>
      <c r="J205" s="150"/>
      <c r="K205" s="150"/>
      <c r="L205" s="150"/>
      <c r="M205" s="150"/>
      <c r="N205" s="150"/>
      <c r="O205" s="150"/>
      <c r="P205" s="150"/>
      <c r="Q205" s="150"/>
      <c r="R205" s="357"/>
    </row>
    <row r="206" spans="1:18" x14ac:dyDescent="0.25">
      <c r="A206" s="363"/>
      <c r="B206" s="160" t="s">
        <v>628</v>
      </c>
      <c r="C206" s="150">
        <v>0.13297617680000001</v>
      </c>
      <c r="D206" s="804">
        <v>12.035792178303605</v>
      </c>
      <c r="E206" s="150"/>
      <c r="F206" s="150"/>
      <c r="G206" s="150"/>
      <c r="H206" s="150"/>
      <c r="I206" s="150"/>
      <c r="J206" s="150"/>
      <c r="K206" s="150"/>
      <c r="L206" s="150"/>
      <c r="M206" s="150"/>
      <c r="N206" s="150"/>
      <c r="O206" s="150"/>
      <c r="P206" s="150"/>
      <c r="Q206" s="150"/>
      <c r="R206" s="357"/>
    </row>
    <row r="207" spans="1:18" x14ac:dyDescent="0.25">
      <c r="A207" s="363"/>
      <c r="B207" s="161" t="s">
        <v>1917</v>
      </c>
      <c r="C207" s="150">
        <v>0.10939990350000001</v>
      </c>
      <c r="D207" s="810">
        <v>75.88002873563218</v>
      </c>
      <c r="E207" s="150"/>
      <c r="F207" s="150"/>
      <c r="G207" s="150"/>
      <c r="H207" s="150"/>
      <c r="I207" s="150"/>
      <c r="J207" s="150"/>
      <c r="K207" s="150"/>
      <c r="L207" s="150"/>
      <c r="M207" s="150"/>
      <c r="N207" s="150"/>
      <c r="O207" s="150"/>
      <c r="P207" s="150"/>
      <c r="Q207" s="150"/>
      <c r="R207" s="357"/>
    </row>
    <row r="208" spans="1:18" x14ac:dyDescent="0.25">
      <c r="A208" s="363"/>
      <c r="B208" s="162" t="s">
        <v>563</v>
      </c>
      <c r="C208" s="150">
        <v>0.13818541110000002</v>
      </c>
      <c r="D208" s="811">
        <v>56.885410030035494</v>
      </c>
      <c r="E208" s="150"/>
      <c r="F208" s="150"/>
      <c r="G208" s="150"/>
      <c r="H208" s="150"/>
      <c r="I208" s="150"/>
      <c r="J208" s="150"/>
      <c r="K208" s="150"/>
      <c r="L208" s="150"/>
      <c r="M208" s="150"/>
      <c r="N208" s="150"/>
      <c r="O208" s="150"/>
      <c r="P208" s="150"/>
      <c r="Q208" s="150"/>
      <c r="R208" s="357"/>
    </row>
    <row r="209" spans="1:18" x14ac:dyDescent="0.25">
      <c r="A209" s="363"/>
      <c r="B209" s="162" t="s">
        <v>731</v>
      </c>
      <c r="C209" s="150">
        <v>0.13786262300000002</v>
      </c>
      <c r="D209" s="811">
        <v>1.7130952510294326</v>
      </c>
      <c r="E209" s="150"/>
      <c r="F209" s="150"/>
      <c r="G209" s="150"/>
      <c r="H209" s="150"/>
      <c r="I209" s="150"/>
      <c r="J209" s="150"/>
      <c r="K209" s="150"/>
      <c r="L209" s="150"/>
      <c r="M209" s="150"/>
      <c r="N209" s="150"/>
      <c r="O209" s="150"/>
      <c r="P209" s="150"/>
      <c r="Q209" s="150"/>
      <c r="R209" s="357"/>
    </row>
    <row r="210" spans="1:18" x14ac:dyDescent="0.25">
      <c r="A210" s="363"/>
      <c r="B210" s="162" t="s">
        <v>1942</v>
      </c>
      <c r="C210" s="150">
        <v>0.24088064040000001</v>
      </c>
      <c r="D210" s="812">
        <v>0</v>
      </c>
      <c r="E210" s="150"/>
      <c r="F210" s="150"/>
      <c r="G210" s="150"/>
      <c r="H210" s="150"/>
      <c r="I210" s="150"/>
      <c r="J210" s="150"/>
      <c r="K210" s="150"/>
      <c r="L210" s="150"/>
      <c r="M210" s="150"/>
      <c r="N210" s="150"/>
      <c r="O210" s="150"/>
      <c r="P210" s="150"/>
      <c r="Q210" s="150"/>
      <c r="R210" s="357"/>
    </row>
    <row r="211" spans="1:18" x14ac:dyDescent="0.25">
      <c r="A211" s="363"/>
      <c r="B211" s="162" t="s">
        <v>629</v>
      </c>
      <c r="C211" s="150">
        <v>2.24276097E-2</v>
      </c>
      <c r="D211" s="811">
        <v>93.085000990687533</v>
      </c>
      <c r="E211" s="150"/>
      <c r="F211" s="150"/>
      <c r="G211" s="150"/>
      <c r="H211" s="150"/>
      <c r="I211" s="150"/>
      <c r="J211" s="150"/>
      <c r="K211" s="150"/>
      <c r="L211" s="150"/>
      <c r="M211" s="150"/>
      <c r="N211" s="150"/>
      <c r="O211" s="150"/>
      <c r="P211" s="150"/>
      <c r="Q211" s="150"/>
      <c r="R211" s="357"/>
    </row>
    <row r="212" spans="1:18" x14ac:dyDescent="0.25">
      <c r="A212" s="363"/>
      <c r="B212" s="162" t="s">
        <v>279</v>
      </c>
      <c r="C212" s="150">
        <v>4.2401553400000007E-2</v>
      </c>
      <c r="D212" s="812">
        <v>68.118727311552405</v>
      </c>
      <c r="E212" s="150"/>
      <c r="F212" s="150"/>
      <c r="G212" s="150"/>
      <c r="H212" s="150"/>
      <c r="I212" s="150"/>
      <c r="J212" s="150"/>
      <c r="K212" s="150"/>
      <c r="L212" s="150"/>
      <c r="M212" s="150"/>
      <c r="N212" s="150"/>
      <c r="O212" s="150"/>
      <c r="P212" s="150"/>
      <c r="Q212" s="150"/>
      <c r="R212" s="357"/>
    </row>
    <row r="213" spans="1:18" x14ac:dyDescent="0.25">
      <c r="A213" s="363"/>
      <c r="B213" s="162" t="s">
        <v>1943</v>
      </c>
      <c r="C213" s="150">
        <v>0.19851825480000002</v>
      </c>
      <c r="D213" s="812">
        <v>10.989010989010989</v>
      </c>
      <c r="E213" s="150"/>
      <c r="F213" s="150"/>
      <c r="G213" s="150"/>
      <c r="H213" s="150"/>
      <c r="I213" s="150"/>
      <c r="J213" s="150"/>
      <c r="K213" s="150"/>
      <c r="L213" s="150"/>
      <c r="M213" s="150"/>
      <c r="N213" s="150"/>
      <c r="O213" s="150"/>
      <c r="P213" s="150"/>
      <c r="Q213" s="150"/>
      <c r="R213" s="357"/>
    </row>
    <row r="214" spans="1:18" x14ac:dyDescent="0.25">
      <c r="A214" s="363"/>
      <c r="B214" s="162" t="s">
        <v>1918</v>
      </c>
      <c r="C214" s="150">
        <v>0.24148422340000006</v>
      </c>
      <c r="D214" s="812">
        <v>0</v>
      </c>
      <c r="E214" s="150"/>
      <c r="F214" s="150"/>
      <c r="G214" s="150"/>
      <c r="H214" s="150"/>
      <c r="I214" s="150"/>
      <c r="J214" s="150"/>
      <c r="K214" s="150"/>
      <c r="L214" s="150"/>
      <c r="M214" s="150"/>
      <c r="N214" s="150"/>
      <c r="O214" s="150"/>
      <c r="P214" s="150"/>
      <c r="Q214" s="150"/>
      <c r="R214" s="357"/>
    </row>
    <row r="215" spans="1:18" x14ac:dyDescent="0.25">
      <c r="A215" s="363"/>
      <c r="B215" s="162" t="s">
        <v>280</v>
      </c>
      <c r="C215" s="150">
        <v>3.0789353300000002E-2</v>
      </c>
      <c r="D215" s="812">
        <v>5.8109370135934419</v>
      </c>
      <c r="E215" s="150"/>
      <c r="F215" s="150"/>
      <c r="G215" s="150"/>
      <c r="H215" s="150"/>
      <c r="I215" s="150"/>
      <c r="J215" s="150"/>
      <c r="K215" s="150"/>
      <c r="L215" s="150"/>
      <c r="M215" s="150"/>
      <c r="N215" s="150"/>
      <c r="O215" s="150"/>
      <c r="P215" s="150"/>
      <c r="Q215" s="150"/>
      <c r="R215" s="357"/>
    </row>
    <row r="216" spans="1:18" x14ac:dyDescent="0.25">
      <c r="A216" s="363"/>
      <c r="B216" s="162" t="s">
        <v>1989</v>
      </c>
      <c r="C216" s="150">
        <v>0.10644722200000001</v>
      </c>
      <c r="D216" s="812">
        <v>24.129593810444874</v>
      </c>
      <c r="E216" s="150"/>
      <c r="F216" s="150"/>
      <c r="G216" s="150"/>
      <c r="H216" s="150"/>
      <c r="I216" s="150"/>
      <c r="J216" s="150"/>
      <c r="K216" s="150"/>
      <c r="L216" s="150"/>
      <c r="M216" s="150"/>
      <c r="N216" s="150"/>
      <c r="O216" s="150"/>
      <c r="P216" s="150"/>
      <c r="Q216" s="150"/>
      <c r="R216" s="357"/>
    </row>
    <row r="217" spans="1:18" x14ac:dyDescent="0.25">
      <c r="A217" s="363"/>
      <c r="B217" s="162" t="s">
        <v>564</v>
      </c>
      <c r="C217" s="150">
        <v>0.1796754129</v>
      </c>
      <c r="D217" s="811">
        <v>7.0290353321511718</v>
      </c>
      <c r="E217" s="150"/>
      <c r="F217" s="150"/>
      <c r="G217" s="150"/>
      <c r="H217" s="150"/>
      <c r="I217" s="150"/>
      <c r="J217" s="150"/>
      <c r="K217" s="150"/>
      <c r="L217" s="150"/>
      <c r="M217" s="150"/>
      <c r="N217" s="150"/>
      <c r="O217" s="150"/>
      <c r="P217" s="150"/>
      <c r="Q217" s="150"/>
      <c r="R217" s="357"/>
    </row>
    <row r="218" spans="1:18" x14ac:dyDescent="0.25">
      <c r="A218" s="363"/>
      <c r="B218" s="162" t="s">
        <v>1990</v>
      </c>
      <c r="C218" s="150">
        <v>0.23556503810000001</v>
      </c>
      <c r="D218" s="812">
        <v>0</v>
      </c>
      <c r="E218" s="150"/>
      <c r="F218" s="150"/>
      <c r="G218" s="150"/>
      <c r="H218" s="150"/>
      <c r="I218" s="150"/>
      <c r="J218" s="150"/>
      <c r="K218" s="150"/>
      <c r="L218" s="150"/>
      <c r="M218" s="150"/>
      <c r="N218" s="150"/>
      <c r="O218" s="150"/>
      <c r="P218" s="150"/>
      <c r="Q218" s="150"/>
      <c r="R218" s="357"/>
    </row>
    <row r="219" spans="1:18" x14ac:dyDescent="0.25">
      <c r="A219" s="363"/>
      <c r="B219" s="162" t="s">
        <v>2011</v>
      </c>
      <c r="C219" s="150">
        <v>0.12603029100000002</v>
      </c>
      <c r="D219" s="812">
        <v>15.328659344778805</v>
      </c>
      <c r="E219" s="150"/>
      <c r="F219" s="150"/>
      <c r="G219" s="150"/>
      <c r="H219" s="150"/>
      <c r="I219" s="150"/>
      <c r="J219" s="150"/>
      <c r="K219" s="150"/>
      <c r="L219" s="150"/>
      <c r="M219" s="150"/>
      <c r="N219" s="150"/>
      <c r="O219" s="150"/>
      <c r="P219" s="150"/>
      <c r="Q219" s="150"/>
      <c r="R219" s="357"/>
    </row>
    <row r="220" spans="1:18" x14ac:dyDescent="0.25">
      <c r="A220" s="363"/>
      <c r="B220" s="162" t="s">
        <v>281</v>
      </c>
      <c r="C220" s="150">
        <v>0.11082725680000001</v>
      </c>
      <c r="D220" s="812">
        <v>1.6311860658003872</v>
      </c>
      <c r="E220" s="150"/>
      <c r="F220" s="150"/>
      <c r="G220" s="150"/>
      <c r="H220" s="150"/>
      <c r="I220" s="150"/>
      <c r="J220" s="150"/>
      <c r="K220" s="150"/>
      <c r="L220" s="150"/>
      <c r="M220" s="150"/>
      <c r="N220" s="150"/>
      <c r="O220" s="150"/>
      <c r="P220" s="150"/>
      <c r="Q220" s="150"/>
      <c r="R220" s="357"/>
    </row>
    <row r="221" spans="1:18" x14ac:dyDescent="0.25">
      <c r="A221" s="363"/>
      <c r="B221" s="162" t="s">
        <v>751</v>
      </c>
      <c r="C221" s="150">
        <v>0.17684915420000002</v>
      </c>
      <c r="D221" s="812">
        <v>9.3913223354191455</v>
      </c>
      <c r="E221" s="150"/>
      <c r="F221" s="150"/>
      <c r="G221" s="150"/>
      <c r="H221" s="150"/>
      <c r="I221" s="150"/>
      <c r="J221" s="150"/>
      <c r="K221" s="150"/>
      <c r="L221" s="150"/>
      <c r="M221" s="150"/>
      <c r="N221" s="150"/>
      <c r="O221" s="150"/>
      <c r="P221" s="150"/>
      <c r="Q221" s="150"/>
      <c r="R221" s="357"/>
    </row>
    <row r="222" spans="1:18" x14ac:dyDescent="0.25">
      <c r="A222" s="363"/>
      <c r="B222" s="162" t="s">
        <v>1919</v>
      </c>
      <c r="C222" s="150">
        <v>1.3941410000000001E-4</v>
      </c>
      <c r="D222" s="812">
        <v>99.700931385114927</v>
      </c>
      <c r="E222" s="150"/>
      <c r="F222" s="150"/>
      <c r="G222" s="150"/>
      <c r="H222" s="150"/>
      <c r="I222" s="150"/>
      <c r="J222" s="150"/>
      <c r="K222" s="150"/>
      <c r="L222" s="150"/>
      <c r="M222" s="150"/>
      <c r="N222" s="150"/>
      <c r="O222" s="150"/>
      <c r="P222" s="150"/>
      <c r="Q222" s="150"/>
      <c r="R222" s="357"/>
    </row>
    <row r="223" spans="1:18" x14ac:dyDescent="0.25">
      <c r="A223" s="363"/>
      <c r="B223" s="162" t="s">
        <v>565</v>
      </c>
      <c r="C223" s="150">
        <v>5.4249535900000007E-2</v>
      </c>
      <c r="D223" s="811">
        <v>36.212521360882398</v>
      </c>
      <c r="E223" s="150"/>
      <c r="F223" s="150"/>
      <c r="G223" s="150"/>
      <c r="H223" s="150"/>
      <c r="I223" s="150"/>
      <c r="J223" s="150"/>
      <c r="K223" s="150"/>
      <c r="L223" s="150"/>
      <c r="M223" s="150"/>
      <c r="N223" s="150"/>
      <c r="O223" s="150"/>
      <c r="P223" s="150"/>
      <c r="Q223" s="150"/>
      <c r="R223" s="357"/>
    </row>
    <row r="224" spans="1:18" x14ac:dyDescent="0.25">
      <c r="A224" s="363"/>
      <c r="B224" s="162" t="s">
        <v>1920</v>
      </c>
      <c r="C224" s="150">
        <v>6.5621660100000007E-2</v>
      </c>
      <c r="D224" s="812">
        <v>96.914700544464608</v>
      </c>
      <c r="E224" s="150"/>
      <c r="F224" s="150"/>
      <c r="G224" s="150"/>
      <c r="H224" s="150"/>
      <c r="I224" s="150"/>
      <c r="J224" s="150"/>
      <c r="K224" s="150"/>
      <c r="L224" s="150"/>
      <c r="M224" s="150"/>
      <c r="N224" s="150"/>
      <c r="O224" s="150"/>
      <c r="P224" s="150"/>
      <c r="Q224" s="150"/>
      <c r="R224" s="357"/>
    </row>
    <row r="225" spans="1:18" x14ac:dyDescent="0.25">
      <c r="A225" s="363"/>
      <c r="B225" s="163" t="s">
        <v>566</v>
      </c>
      <c r="C225" s="150">
        <v>1.2030387E-3</v>
      </c>
      <c r="D225" s="813">
        <v>99.829424307036248</v>
      </c>
      <c r="E225" s="150"/>
      <c r="F225" s="150"/>
      <c r="G225" s="150"/>
      <c r="H225" s="150"/>
      <c r="I225" s="150"/>
      <c r="J225" s="150"/>
      <c r="K225" s="150"/>
      <c r="L225" s="150"/>
      <c r="M225" s="150"/>
      <c r="N225" s="150"/>
      <c r="O225" s="150"/>
      <c r="P225" s="150"/>
      <c r="Q225" s="150"/>
      <c r="R225" s="357"/>
    </row>
    <row r="226" spans="1:18" x14ac:dyDescent="0.25">
      <c r="A226" s="363"/>
      <c r="B226" s="160" t="s">
        <v>1991</v>
      </c>
      <c r="C226" s="150">
        <v>0.103732345</v>
      </c>
      <c r="D226" s="799">
        <v>6.8224670040686703</v>
      </c>
      <c r="E226" s="150"/>
      <c r="F226" s="150"/>
      <c r="G226" s="150"/>
      <c r="H226" s="150"/>
      <c r="I226" s="150"/>
      <c r="J226" s="150"/>
      <c r="K226" s="150"/>
      <c r="L226" s="150"/>
      <c r="M226" s="150"/>
      <c r="N226" s="150"/>
      <c r="O226" s="150"/>
      <c r="P226" s="150"/>
      <c r="Q226" s="150"/>
      <c r="R226" s="357"/>
    </row>
    <row r="227" spans="1:18" x14ac:dyDescent="0.25">
      <c r="A227" s="363"/>
      <c r="B227" s="160" t="s">
        <v>1843</v>
      </c>
      <c r="C227" s="150">
        <v>0.1958108291</v>
      </c>
      <c r="D227" s="804">
        <v>0</v>
      </c>
      <c r="E227" s="150"/>
      <c r="F227" s="150"/>
      <c r="G227" s="150"/>
      <c r="H227" s="150"/>
      <c r="I227" s="150"/>
      <c r="J227" s="150"/>
      <c r="K227" s="150"/>
      <c r="L227" s="150"/>
      <c r="M227" s="150"/>
      <c r="N227" s="150"/>
      <c r="O227" s="150"/>
      <c r="P227" s="150"/>
      <c r="Q227" s="150"/>
      <c r="R227" s="357"/>
    </row>
    <row r="228" spans="1:18" x14ac:dyDescent="0.25">
      <c r="A228" s="363"/>
      <c r="B228" s="160" t="s">
        <v>623</v>
      </c>
      <c r="C228" s="150">
        <v>4.6121330999999995E-2</v>
      </c>
      <c r="D228" s="804">
        <v>73.316911008538014</v>
      </c>
      <c r="E228" s="150"/>
      <c r="F228" s="150"/>
      <c r="G228" s="150"/>
      <c r="H228" s="150"/>
      <c r="I228" s="150"/>
      <c r="J228" s="150"/>
      <c r="K228" s="150"/>
      <c r="L228" s="150"/>
      <c r="M228" s="150"/>
      <c r="N228" s="150"/>
      <c r="O228" s="150"/>
      <c r="P228" s="150"/>
      <c r="Q228" s="150"/>
      <c r="R228" s="357"/>
    </row>
    <row r="229" spans="1:18" x14ac:dyDescent="0.25">
      <c r="A229" s="363"/>
      <c r="B229" s="160" t="s">
        <v>1844</v>
      </c>
      <c r="C229" s="150">
        <v>0.14011000710000002</v>
      </c>
      <c r="D229" s="804">
        <v>24.76966690290574</v>
      </c>
      <c r="E229" s="150"/>
      <c r="F229" s="150"/>
      <c r="G229" s="150"/>
      <c r="H229" s="150"/>
      <c r="I229" s="150"/>
      <c r="J229" s="150"/>
      <c r="K229" s="150"/>
      <c r="L229" s="150"/>
      <c r="M229" s="150"/>
      <c r="N229" s="150"/>
      <c r="O229" s="150"/>
      <c r="P229" s="150"/>
      <c r="Q229" s="150"/>
      <c r="R229" s="357"/>
    </row>
    <row r="230" spans="1:18" x14ac:dyDescent="0.25">
      <c r="A230" s="363"/>
      <c r="B230" s="160" t="s">
        <v>4</v>
      </c>
      <c r="C230" s="150">
        <v>0.1151583734</v>
      </c>
      <c r="D230" s="799">
        <v>34.182159810126585</v>
      </c>
      <c r="E230" s="150"/>
      <c r="F230" s="150"/>
      <c r="G230" s="150"/>
      <c r="H230" s="150"/>
      <c r="I230" s="150"/>
      <c r="J230" s="150"/>
      <c r="K230" s="150"/>
      <c r="L230" s="150"/>
      <c r="M230" s="150"/>
      <c r="N230" s="150"/>
      <c r="O230" s="150"/>
      <c r="P230" s="150"/>
      <c r="Q230" s="150"/>
      <c r="R230" s="357"/>
    </row>
    <row r="231" spans="1:18" x14ac:dyDescent="0.25">
      <c r="A231" s="363"/>
      <c r="B231" s="160" t="s">
        <v>1992</v>
      </c>
      <c r="C231" s="150">
        <v>4.7887760000000007E-3</v>
      </c>
      <c r="D231" s="799">
        <v>99.563283242011607</v>
      </c>
      <c r="E231" s="150"/>
      <c r="F231" s="150"/>
      <c r="G231" s="150"/>
      <c r="H231" s="150"/>
      <c r="I231" s="150"/>
      <c r="J231" s="150"/>
      <c r="K231" s="150"/>
      <c r="L231" s="150"/>
      <c r="M231" s="150"/>
      <c r="N231" s="150"/>
      <c r="O231" s="150"/>
      <c r="P231" s="150"/>
      <c r="Q231" s="150"/>
      <c r="R231" s="357"/>
    </row>
    <row r="232" spans="1:18" x14ac:dyDescent="0.25">
      <c r="A232" s="363"/>
      <c r="B232" s="160" t="s">
        <v>1944</v>
      </c>
      <c r="C232" s="150">
        <v>0.2333691483</v>
      </c>
      <c r="D232" s="799">
        <v>0</v>
      </c>
      <c r="E232" s="150"/>
      <c r="F232" s="150"/>
      <c r="G232" s="150"/>
      <c r="H232" s="150"/>
      <c r="I232" s="150"/>
      <c r="J232" s="150"/>
      <c r="K232" s="150"/>
      <c r="L232" s="150"/>
      <c r="M232" s="150"/>
      <c r="N232" s="150"/>
      <c r="O232" s="150"/>
      <c r="P232" s="150"/>
      <c r="Q232" s="150"/>
      <c r="R232" s="357"/>
    </row>
    <row r="233" spans="1:18" x14ac:dyDescent="0.25">
      <c r="A233" s="363"/>
      <c r="B233" s="160" t="s">
        <v>567</v>
      </c>
      <c r="C233" s="150">
        <v>0.1267897419</v>
      </c>
      <c r="D233" s="804">
        <v>29.954841946813847</v>
      </c>
      <c r="E233" s="150"/>
      <c r="F233" s="150"/>
      <c r="G233" s="150"/>
      <c r="H233" s="150"/>
      <c r="I233" s="150"/>
      <c r="J233" s="150"/>
      <c r="K233" s="150"/>
      <c r="L233" s="150"/>
      <c r="M233" s="150"/>
      <c r="N233" s="150"/>
      <c r="O233" s="150"/>
      <c r="P233" s="150"/>
      <c r="Q233" s="150"/>
      <c r="R233" s="357"/>
    </row>
    <row r="234" spans="1:18" x14ac:dyDescent="0.25">
      <c r="A234" s="363"/>
      <c r="B234" s="160" t="s">
        <v>1845</v>
      </c>
      <c r="C234" s="150">
        <v>8.3702170300000003E-2</v>
      </c>
      <c r="D234" s="804">
        <v>66.012844992188846</v>
      </c>
      <c r="E234" s="150"/>
      <c r="F234" s="150"/>
      <c r="G234" s="150"/>
      <c r="H234" s="150"/>
      <c r="I234" s="150"/>
      <c r="J234" s="150"/>
      <c r="K234" s="150"/>
      <c r="L234" s="150"/>
      <c r="M234" s="150"/>
      <c r="N234" s="150"/>
      <c r="O234" s="150"/>
      <c r="P234" s="150"/>
      <c r="Q234" s="150"/>
      <c r="R234" s="357"/>
    </row>
    <row r="235" spans="1:18" x14ac:dyDescent="0.25">
      <c r="A235" s="363"/>
      <c r="B235" s="160" t="s">
        <v>1846</v>
      </c>
      <c r="C235" s="150">
        <v>0</v>
      </c>
      <c r="D235" s="804">
        <v>100</v>
      </c>
      <c r="E235" s="150"/>
      <c r="F235" s="150"/>
      <c r="G235" s="150"/>
      <c r="H235" s="150"/>
      <c r="I235" s="150"/>
      <c r="J235" s="150"/>
      <c r="K235" s="150"/>
      <c r="L235" s="150"/>
      <c r="M235" s="150"/>
      <c r="N235" s="150"/>
      <c r="O235" s="150"/>
      <c r="P235" s="150"/>
      <c r="Q235" s="150"/>
      <c r="R235" s="357"/>
    </row>
    <row r="236" spans="1:18" x14ac:dyDescent="0.25">
      <c r="A236" s="363"/>
      <c r="B236" s="160" t="s">
        <v>1847</v>
      </c>
      <c r="C236" s="150">
        <v>6.5456928200000014E-2</v>
      </c>
      <c r="D236" s="804">
        <v>72.916924345495772</v>
      </c>
      <c r="E236" s="150"/>
      <c r="F236" s="150"/>
      <c r="G236" s="150"/>
      <c r="H236" s="150"/>
      <c r="I236" s="150"/>
      <c r="J236" s="150"/>
      <c r="K236" s="150"/>
      <c r="L236" s="150"/>
      <c r="M236" s="150"/>
      <c r="N236" s="150"/>
      <c r="O236" s="150"/>
      <c r="P236" s="150"/>
      <c r="Q236" s="150"/>
      <c r="R236" s="357"/>
    </row>
    <row r="237" spans="1:18" x14ac:dyDescent="0.25">
      <c r="A237" s="363"/>
      <c r="B237" s="160" t="s">
        <v>568</v>
      </c>
      <c r="C237" s="150">
        <v>0.13245018150000001</v>
      </c>
      <c r="D237" s="804">
        <v>33.731257930196406</v>
      </c>
      <c r="E237" s="150"/>
      <c r="F237" s="150"/>
      <c r="G237" s="150"/>
      <c r="H237" s="150"/>
      <c r="I237" s="150"/>
      <c r="J237" s="150"/>
      <c r="K237" s="150"/>
      <c r="L237" s="150"/>
      <c r="M237" s="150"/>
      <c r="N237" s="150"/>
      <c r="O237" s="150"/>
      <c r="P237" s="150"/>
      <c r="Q237" s="150"/>
      <c r="R237" s="357"/>
    </row>
    <row r="238" spans="1:18" x14ac:dyDescent="0.25">
      <c r="A238" s="363"/>
      <c r="B238" s="160" t="s">
        <v>177</v>
      </c>
      <c r="C238" s="150">
        <v>0.17733484599999999</v>
      </c>
      <c r="D238" s="799">
        <v>4.0840949928320764</v>
      </c>
      <c r="E238" s="150"/>
      <c r="F238" s="150"/>
      <c r="G238" s="150"/>
      <c r="H238" s="150"/>
      <c r="I238" s="150"/>
      <c r="J238" s="150"/>
      <c r="K238" s="150"/>
      <c r="L238" s="150"/>
      <c r="M238" s="150"/>
      <c r="N238" s="150"/>
      <c r="O238" s="150"/>
      <c r="P238" s="150"/>
      <c r="Q238" s="150"/>
      <c r="R238" s="357"/>
    </row>
    <row r="239" spans="1:18" x14ac:dyDescent="0.25">
      <c r="A239" s="363"/>
      <c r="B239" s="160" t="s">
        <v>177</v>
      </c>
      <c r="C239" s="150">
        <v>0.17733484599999999</v>
      </c>
      <c r="D239" s="799">
        <v>3.2524860695775142</v>
      </c>
      <c r="E239" s="150"/>
      <c r="F239" s="150"/>
      <c r="G239" s="150"/>
      <c r="H239" s="150"/>
      <c r="I239" s="150"/>
      <c r="J239" s="150"/>
      <c r="K239" s="150"/>
      <c r="L239" s="150"/>
      <c r="M239" s="150"/>
      <c r="N239" s="150"/>
      <c r="O239" s="150"/>
      <c r="P239" s="150"/>
      <c r="Q239" s="150"/>
      <c r="R239" s="357"/>
    </row>
    <row r="240" spans="1:18" x14ac:dyDescent="0.25">
      <c r="A240" s="363"/>
      <c r="B240" s="160" t="s">
        <v>82</v>
      </c>
      <c r="C240" s="150">
        <v>0.10200192600000001</v>
      </c>
      <c r="D240" s="799">
        <v>28.511251524221262</v>
      </c>
      <c r="E240" s="150"/>
      <c r="F240" s="150"/>
      <c r="G240" s="150"/>
      <c r="H240" s="150"/>
      <c r="I240" s="150"/>
      <c r="J240" s="150"/>
      <c r="K240" s="150"/>
      <c r="L240" s="150"/>
      <c r="M240" s="150"/>
      <c r="N240" s="150"/>
      <c r="O240" s="150"/>
      <c r="P240" s="150"/>
      <c r="Q240" s="150"/>
      <c r="R240" s="357"/>
    </row>
    <row r="241" spans="1:18" x14ac:dyDescent="0.25">
      <c r="A241" s="363"/>
      <c r="B241" s="160" t="s">
        <v>2006</v>
      </c>
      <c r="C241" s="150">
        <v>0.13684046529999999</v>
      </c>
      <c r="D241" s="799">
        <v>0</v>
      </c>
      <c r="E241" s="150"/>
      <c r="F241" s="150"/>
      <c r="G241" s="150"/>
      <c r="H241" s="150"/>
      <c r="I241" s="150"/>
      <c r="J241" s="150"/>
      <c r="K241" s="150"/>
      <c r="L241" s="150"/>
      <c r="M241" s="150"/>
      <c r="N241" s="150"/>
      <c r="O241" s="150"/>
      <c r="P241" s="150"/>
      <c r="Q241" s="150"/>
      <c r="R241" s="357"/>
    </row>
    <row r="242" spans="1:18" x14ac:dyDescent="0.25">
      <c r="A242" s="363"/>
      <c r="B242" s="160" t="s">
        <v>313</v>
      </c>
      <c r="C242" s="150">
        <v>0.1147760026</v>
      </c>
      <c r="D242" s="799">
        <v>29.234145737092692</v>
      </c>
      <c r="E242" s="150"/>
      <c r="F242" s="150"/>
      <c r="G242" s="150"/>
      <c r="H242" s="150"/>
      <c r="I242" s="150"/>
      <c r="J242" s="150"/>
      <c r="K242" s="150"/>
      <c r="L242" s="150"/>
      <c r="M242" s="150"/>
      <c r="N242" s="150"/>
      <c r="O242" s="150"/>
      <c r="P242" s="150"/>
      <c r="Q242" s="150"/>
      <c r="R242" s="357"/>
    </row>
    <row r="243" spans="1:18" x14ac:dyDescent="0.25">
      <c r="A243" s="363"/>
      <c r="B243" s="160" t="s">
        <v>630</v>
      </c>
      <c r="C243" s="150">
        <v>8.7920908000000006E-2</v>
      </c>
      <c r="D243" s="804">
        <v>34.844210266508561</v>
      </c>
      <c r="E243" s="150"/>
      <c r="F243" s="150"/>
      <c r="G243" s="150"/>
      <c r="H243" s="150"/>
      <c r="I243" s="150"/>
      <c r="J243" s="150"/>
      <c r="K243" s="150"/>
      <c r="L243" s="150"/>
      <c r="M243" s="150"/>
      <c r="N243" s="150"/>
      <c r="O243" s="150"/>
      <c r="P243" s="150"/>
      <c r="Q243" s="150"/>
      <c r="R243" s="357"/>
    </row>
    <row r="244" spans="1:18" x14ac:dyDescent="0.25">
      <c r="A244" s="363"/>
      <c r="B244" s="160" t="s">
        <v>2007</v>
      </c>
      <c r="C244" s="150">
        <v>0.20975340249999999</v>
      </c>
      <c r="D244" s="799">
        <v>0</v>
      </c>
      <c r="E244" s="150"/>
      <c r="F244" s="150"/>
      <c r="G244" s="150"/>
      <c r="H244" s="150"/>
      <c r="I244" s="150"/>
      <c r="J244" s="150"/>
      <c r="K244" s="150"/>
      <c r="L244" s="150"/>
      <c r="M244" s="150"/>
      <c r="N244" s="150"/>
      <c r="O244" s="150"/>
      <c r="P244" s="150"/>
      <c r="Q244" s="150"/>
      <c r="R244" s="357"/>
    </row>
    <row r="245" spans="1:18" x14ac:dyDescent="0.25">
      <c r="A245" s="363"/>
      <c r="B245" s="160" t="s">
        <v>1767</v>
      </c>
      <c r="C245" s="150">
        <v>0.17020273310000003</v>
      </c>
      <c r="D245" s="799">
        <v>23.181624840493406</v>
      </c>
      <c r="E245" s="150"/>
      <c r="F245" s="150" t="s">
        <v>680</v>
      </c>
      <c r="G245" s="150"/>
      <c r="H245" s="150"/>
      <c r="I245" s="150"/>
      <c r="J245" s="150"/>
      <c r="K245" s="150"/>
      <c r="L245" s="150"/>
      <c r="M245" s="150"/>
      <c r="N245" s="150"/>
      <c r="O245" s="150"/>
      <c r="P245" s="150"/>
      <c r="Q245" s="150"/>
      <c r="R245" s="357"/>
    </row>
    <row r="246" spans="1:18" x14ac:dyDescent="0.25">
      <c r="A246" s="363"/>
      <c r="B246" s="160" t="s">
        <v>172</v>
      </c>
      <c r="C246" s="150">
        <v>0.18845046820000003</v>
      </c>
      <c r="D246" s="799">
        <v>30.980280080022865</v>
      </c>
      <c r="E246" s="150"/>
      <c r="F246" s="150"/>
      <c r="G246" s="150"/>
      <c r="H246" s="150"/>
      <c r="I246" s="150"/>
      <c r="J246" s="150"/>
      <c r="K246" s="150"/>
      <c r="L246" s="150"/>
      <c r="M246" s="150"/>
      <c r="N246" s="150"/>
      <c r="O246" s="150"/>
      <c r="P246" s="150"/>
      <c r="Q246" s="150"/>
      <c r="R246" s="357"/>
    </row>
    <row r="247" spans="1:18" x14ac:dyDescent="0.25">
      <c r="A247" s="363"/>
      <c r="B247" s="160" t="s">
        <v>569</v>
      </c>
      <c r="C247" s="150">
        <v>0.14372333360000003</v>
      </c>
      <c r="D247" s="804">
        <v>0</v>
      </c>
      <c r="E247" s="150"/>
      <c r="F247" s="150"/>
      <c r="G247" s="150"/>
      <c r="H247" s="150"/>
      <c r="I247" s="150"/>
      <c r="J247" s="150"/>
      <c r="K247" s="150"/>
      <c r="L247" s="150"/>
      <c r="M247" s="150"/>
      <c r="N247" s="150"/>
      <c r="O247" s="150"/>
      <c r="P247" s="150"/>
      <c r="Q247" s="150"/>
      <c r="R247" s="357"/>
    </row>
    <row r="248" spans="1:18" x14ac:dyDescent="0.25">
      <c r="A248" s="363"/>
      <c r="B248" s="160" t="s">
        <v>206</v>
      </c>
      <c r="C248" s="150">
        <v>6.1415332000000003E-2</v>
      </c>
      <c r="D248" s="799">
        <v>14.008571335099944</v>
      </c>
      <c r="E248" s="150"/>
      <c r="F248" s="150"/>
      <c r="G248" s="150"/>
      <c r="H248" s="150"/>
      <c r="I248" s="150"/>
      <c r="J248" s="150"/>
      <c r="K248" s="150"/>
      <c r="L248" s="150"/>
      <c r="M248" s="150"/>
      <c r="N248" s="150"/>
      <c r="O248" s="150"/>
      <c r="P248" s="150"/>
      <c r="Q248" s="150"/>
      <c r="R248" s="357"/>
    </row>
    <row r="249" spans="1:18" x14ac:dyDescent="0.25">
      <c r="A249" s="363"/>
      <c r="B249" s="160" t="s">
        <v>173</v>
      </c>
      <c r="C249" s="150">
        <v>8.7538925000000004E-2</v>
      </c>
      <c r="D249" s="799">
        <v>27.671968060736958</v>
      </c>
      <c r="E249" s="150"/>
      <c r="F249" s="150"/>
      <c r="G249" s="150"/>
      <c r="H249" s="150"/>
      <c r="I249" s="150"/>
      <c r="J249" s="150"/>
      <c r="K249" s="150"/>
      <c r="L249" s="150"/>
      <c r="M249" s="150"/>
      <c r="N249" s="150"/>
      <c r="O249" s="150"/>
      <c r="P249" s="150"/>
      <c r="Q249" s="150"/>
      <c r="R249" s="357"/>
    </row>
    <row r="250" spans="1:18" x14ac:dyDescent="0.25">
      <c r="A250" s="363"/>
      <c r="B250" s="160" t="s">
        <v>1768</v>
      </c>
      <c r="C250" s="150">
        <v>0.25647565730000005</v>
      </c>
      <c r="D250" s="799">
        <v>2.226046998413763</v>
      </c>
      <c r="E250" s="150"/>
      <c r="F250" s="150"/>
      <c r="G250" s="150"/>
      <c r="H250" s="150"/>
      <c r="I250" s="150"/>
      <c r="J250" s="150"/>
      <c r="K250" s="150"/>
      <c r="L250" s="150"/>
      <c r="M250" s="150"/>
      <c r="N250" s="150"/>
      <c r="O250" s="150"/>
      <c r="P250" s="150"/>
      <c r="Q250" s="150"/>
      <c r="R250" s="357"/>
    </row>
    <row r="251" spans="1:18" x14ac:dyDescent="0.25">
      <c r="A251" s="363"/>
      <c r="B251" s="160" t="s">
        <v>207</v>
      </c>
      <c r="C251" s="150">
        <v>8.2763168000000012E-2</v>
      </c>
      <c r="D251" s="799">
        <v>20.277707343030713</v>
      </c>
      <c r="E251" s="150"/>
      <c r="F251" s="150"/>
      <c r="G251" s="150"/>
      <c r="H251" s="150"/>
      <c r="I251" s="150"/>
      <c r="J251" s="150"/>
      <c r="K251" s="150"/>
      <c r="L251" s="150"/>
      <c r="M251" s="150"/>
      <c r="N251" s="150"/>
      <c r="O251" s="150"/>
      <c r="P251" s="150"/>
      <c r="Q251" s="150"/>
      <c r="R251" s="357"/>
    </row>
    <row r="252" spans="1:18" x14ac:dyDescent="0.25">
      <c r="A252" s="363"/>
      <c r="B252" s="160" t="s">
        <v>570</v>
      </c>
      <c r="C252" s="150">
        <v>0.12745013760000001</v>
      </c>
      <c r="D252" s="804">
        <v>36.847339632023868</v>
      </c>
      <c r="E252" s="150"/>
      <c r="F252" s="150"/>
      <c r="G252" s="150"/>
      <c r="H252" s="150"/>
      <c r="I252" s="150"/>
      <c r="J252" s="150"/>
      <c r="K252" s="150"/>
      <c r="L252" s="150"/>
      <c r="M252" s="150"/>
      <c r="N252" s="150"/>
      <c r="O252" s="150"/>
      <c r="P252" s="150"/>
      <c r="Q252" s="150"/>
      <c r="R252" s="357"/>
    </row>
    <row r="253" spans="1:18" x14ac:dyDescent="0.25">
      <c r="A253" s="363"/>
      <c r="B253" s="160" t="s">
        <v>35</v>
      </c>
      <c r="C253" s="150">
        <v>9.8500036600000007E-2</v>
      </c>
      <c r="D253" s="799">
        <v>27.221220705639968</v>
      </c>
      <c r="E253" s="150"/>
      <c r="F253" s="150"/>
      <c r="G253" s="150"/>
      <c r="H253" s="150"/>
      <c r="I253" s="150"/>
      <c r="J253" s="150"/>
      <c r="K253" s="150"/>
      <c r="L253" s="150"/>
      <c r="M253" s="150"/>
      <c r="N253" s="150"/>
      <c r="O253" s="150"/>
      <c r="P253" s="150"/>
      <c r="Q253" s="150"/>
      <c r="R253" s="357"/>
    </row>
    <row r="254" spans="1:18" x14ac:dyDescent="0.25">
      <c r="A254" s="363"/>
      <c r="B254" s="160" t="s">
        <v>208</v>
      </c>
      <c r="C254" s="150">
        <v>1.1948394999999999E-2</v>
      </c>
      <c r="D254" s="799">
        <v>45.494869074060645</v>
      </c>
      <c r="E254" s="150"/>
      <c r="F254" s="150"/>
      <c r="G254" s="150"/>
      <c r="H254" s="150"/>
      <c r="I254" s="150"/>
      <c r="J254" s="150"/>
      <c r="K254" s="150"/>
      <c r="L254" s="150"/>
      <c r="M254" s="150"/>
      <c r="N254" s="150"/>
      <c r="O254" s="150"/>
      <c r="P254" s="150"/>
      <c r="Q254" s="150"/>
      <c r="R254" s="357"/>
    </row>
    <row r="255" spans="1:18" x14ac:dyDescent="0.25">
      <c r="A255" s="363"/>
      <c r="B255" s="160" t="s">
        <v>209</v>
      </c>
      <c r="C255" s="150">
        <v>1.1061718000000002E-2</v>
      </c>
      <c r="D255" s="799">
        <v>56.95493039709644</v>
      </c>
      <c r="E255" s="150"/>
      <c r="F255" s="150"/>
      <c r="G255" s="150"/>
      <c r="H255" s="150"/>
      <c r="I255" s="150"/>
      <c r="J255" s="150"/>
      <c r="K255" s="150"/>
      <c r="L255" s="150"/>
      <c r="M255" s="150"/>
      <c r="N255" s="150"/>
      <c r="O255" s="150"/>
      <c r="P255" s="150"/>
      <c r="Q255" s="150"/>
      <c r="R255" s="357"/>
    </row>
    <row r="256" spans="1:18" x14ac:dyDescent="0.25">
      <c r="A256" s="363"/>
      <c r="B256" s="160" t="s">
        <v>2008</v>
      </c>
      <c r="C256" s="150">
        <v>0.17752691780000002</v>
      </c>
      <c r="D256" s="799">
        <v>13.2400162109923</v>
      </c>
      <c r="E256" s="150"/>
      <c r="F256" s="150"/>
      <c r="G256" s="150"/>
      <c r="H256" s="150"/>
      <c r="I256" s="150"/>
      <c r="J256" s="150"/>
      <c r="K256" s="150"/>
      <c r="L256" s="150"/>
      <c r="M256" s="150"/>
      <c r="N256" s="150"/>
      <c r="O256" s="150"/>
      <c r="P256" s="150"/>
      <c r="Q256" s="150"/>
      <c r="R256" s="357"/>
    </row>
    <row r="257" spans="1:18" x14ac:dyDescent="0.25">
      <c r="A257" s="363"/>
      <c r="B257" s="160" t="s">
        <v>631</v>
      </c>
      <c r="C257" s="150">
        <v>8.0957128000000017E-3</v>
      </c>
      <c r="D257" s="804">
        <v>97.655843028303522</v>
      </c>
      <c r="E257" s="150"/>
      <c r="F257" s="150"/>
      <c r="G257" s="150"/>
      <c r="H257" s="150"/>
      <c r="I257" s="150"/>
      <c r="J257" s="150"/>
      <c r="K257" s="150"/>
      <c r="L257" s="150"/>
      <c r="M257" s="150"/>
      <c r="N257" s="150"/>
      <c r="O257" s="150"/>
      <c r="P257" s="150"/>
      <c r="Q257" s="150"/>
      <c r="R257" s="357"/>
    </row>
    <row r="258" spans="1:18" x14ac:dyDescent="0.25">
      <c r="A258" s="363"/>
      <c r="B258" s="160" t="s">
        <v>298</v>
      </c>
      <c r="C258" s="150">
        <v>7.7898521700000001E-2</v>
      </c>
      <c r="D258" s="799">
        <v>95.07667473769169</v>
      </c>
      <c r="E258" s="150"/>
      <c r="F258" s="150"/>
      <c r="G258" s="150"/>
      <c r="H258" s="150"/>
      <c r="I258" s="150"/>
      <c r="J258" s="150"/>
      <c r="K258" s="150"/>
      <c r="L258" s="150"/>
      <c r="M258" s="150"/>
      <c r="N258" s="150"/>
      <c r="O258" s="150"/>
      <c r="P258" s="150"/>
      <c r="Q258" s="150"/>
      <c r="R258" s="357"/>
    </row>
    <row r="259" spans="1:18" x14ac:dyDescent="0.25">
      <c r="A259" s="363"/>
      <c r="B259" s="160" t="s">
        <v>571</v>
      </c>
      <c r="C259" s="150">
        <v>0.14220650930000003</v>
      </c>
      <c r="D259" s="804">
        <v>6.9911328482245825</v>
      </c>
      <c r="E259" s="150"/>
      <c r="F259" s="150"/>
      <c r="G259" s="150"/>
      <c r="H259" s="150"/>
      <c r="I259" s="150"/>
      <c r="J259" s="150"/>
      <c r="K259" s="150"/>
      <c r="L259" s="150"/>
      <c r="M259" s="150"/>
      <c r="N259" s="150"/>
      <c r="O259" s="150"/>
      <c r="P259" s="150"/>
      <c r="Q259" s="150"/>
      <c r="R259" s="357"/>
    </row>
    <row r="260" spans="1:18" x14ac:dyDescent="0.25">
      <c r="A260" s="363"/>
      <c r="B260" s="160" t="s">
        <v>120</v>
      </c>
      <c r="C260" s="150">
        <v>0.19664329720000001</v>
      </c>
      <c r="D260" s="799">
        <v>22.23555888972243</v>
      </c>
      <c r="E260" s="150"/>
      <c r="F260" s="150"/>
      <c r="G260" s="150"/>
      <c r="H260" s="150"/>
      <c r="I260" s="150"/>
      <c r="J260" s="150"/>
      <c r="K260" s="150"/>
      <c r="L260" s="150"/>
      <c r="M260" s="150"/>
      <c r="N260" s="150"/>
      <c r="O260" s="150"/>
      <c r="P260" s="150"/>
      <c r="Q260" s="150"/>
      <c r="R260" s="357"/>
    </row>
    <row r="261" spans="1:18" x14ac:dyDescent="0.25">
      <c r="A261" s="363"/>
      <c r="B261" s="160" t="s">
        <v>522</v>
      </c>
      <c r="C261" s="150">
        <v>5.5835277800000006E-2</v>
      </c>
      <c r="D261" s="799">
        <v>61.068702290076338</v>
      </c>
      <c r="E261" s="150"/>
      <c r="F261" s="150"/>
      <c r="G261" s="150"/>
      <c r="H261" s="150"/>
      <c r="I261" s="150"/>
      <c r="J261" s="150"/>
      <c r="K261" s="150"/>
      <c r="L261" s="150"/>
      <c r="M261" s="150"/>
      <c r="N261" s="150"/>
      <c r="O261" s="150"/>
      <c r="P261" s="150"/>
      <c r="Q261" s="150"/>
      <c r="R261" s="357"/>
    </row>
    <row r="262" spans="1:18" x14ac:dyDescent="0.25">
      <c r="A262" s="363"/>
      <c r="B262" s="160" t="s">
        <v>1848</v>
      </c>
      <c r="C262" s="150">
        <v>0.19910964980000004</v>
      </c>
      <c r="D262" s="804">
        <v>0.35769828926905134</v>
      </c>
      <c r="E262" s="150"/>
      <c r="F262" s="150"/>
      <c r="G262" s="150"/>
      <c r="H262" s="150"/>
      <c r="I262" s="150"/>
      <c r="J262" s="150"/>
      <c r="K262" s="150"/>
      <c r="L262" s="150"/>
      <c r="M262" s="150"/>
      <c r="N262" s="150"/>
      <c r="O262" s="150"/>
      <c r="P262" s="150"/>
      <c r="Q262" s="150"/>
      <c r="R262" s="357"/>
    </row>
    <row r="263" spans="1:18" x14ac:dyDescent="0.25">
      <c r="A263" s="363"/>
      <c r="B263" s="160" t="s">
        <v>523</v>
      </c>
      <c r="C263" s="150">
        <v>0.14904802150000004</v>
      </c>
      <c r="D263" s="799">
        <v>1.5152674676666411</v>
      </c>
      <c r="E263" s="150"/>
      <c r="F263" s="150"/>
      <c r="G263" s="150"/>
      <c r="H263" s="150"/>
      <c r="I263" s="150"/>
      <c r="J263" s="150"/>
      <c r="K263" s="150"/>
      <c r="L263" s="150"/>
      <c r="M263" s="150"/>
      <c r="N263" s="150"/>
      <c r="O263" s="150"/>
      <c r="P263" s="150"/>
      <c r="Q263" s="150"/>
      <c r="R263" s="357"/>
    </row>
    <row r="264" spans="1:18" x14ac:dyDescent="0.25">
      <c r="A264" s="363"/>
      <c r="B264" s="160" t="s">
        <v>210</v>
      </c>
      <c r="C264" s="150">
        <v>0.13294033300000002</v>
      </c>
      <c r="D264" s="799">
        <v>30.74957862745358</v>
      </c>
      <c r="E264" s="150"/>
      <c r="F264" s="150"/>
      <c r="G264" s="150"/>
      <c r="H264" s="150"/>
      <c r="I264" s="150"/>
      <c r="J264" s="150"/>
      <c r="K264" s="150"/>
      <c r="L264" s="150"/>
      <c r="M264" s="150"/>
      <c r="N264" s="150"/>
      <c r="O264" s="150"/>
      <c r="P264" s="150"/>
      <c r="Q264" s="150"/>
      <c r="R264" s="357"/>
    </row>
    <row r="265" spans="1:18" x14ac:dyDescent="0.25">
      <c r="A265" s="363"/>
      <c r="B265" s="160" t="s">
        <v>632</v>
      </c>
      <c r="C265" s="150">
        <v>0.21867831480000002</v>
      </c>
      <c r="D265" s="804">
        <v>2.6155187445510025E-2</v>
      </c>
      <c r="E265" s="150"/>
      <c r="F265" s="150"/>
      <c r="G265" s="150"/>
      <c r="H265" s="150"/>
      <c r="I265" s="150"/>
      <c r="J265" s="150"/>
      <c r="K265" s="150"/>
      <c r="L265" s="150"/>
      <c r="M265" s="150"/>
      <c r="N265" s="150"/>
      <c r="O265" s="150"/>
      <c r="P265" s="150"/>
      <c r="Q265" s="150"/>
      <c r="R265" s="357"/>
    </row>
    <row r="266" spans="1:18" x14ac:dyDescent="0.25">
      <c r="A266" s="363"/>
      <c r="B266" s="160" t="s">
        <v>121</v>
      </c>
      <c r="C266" s="150">
        <v>0.10358553500000001</v>
      </c>
      <c r="D266" s="799">
        <v>6.5399627793606614</v>
      </c>
      <c r="E266" s="150"/>
      <c r="F266" s="150"/>
      <c r="G266" s="150"/>
      <c r="H266" s="150"/>
      <c r="I266" s="150"/>
      <c r="J266" s="150"/>
      <c r="K266" s="150"/>
      <c r="L266" s="150"/>
      <c r="M266" s="150"/>
      <c r="N266" s="150"/>
      <c r="O266" s="150"/>
      <c r="P266" s="150"/>
      <c r="Q266" s="150"/>
      <c r="R266" s="357"/>
    </row>
    <row r="267" spans="1:18" x14ac:dyDescent="0.25">
      <c r="A267" s="363"/>
      <c r="B267" s="160" t="s">
        <v>2076</v>
      </c>
      <c r="C267" s="150">
        <v>0.17485500350000002</v>
      </c>
      <c r="D267" s="799">
        <v>0</v>
      </c>
      <c r="E267" s="150"/>
      <c r="F267" s="150"/>
      <c r="G267" s="150"/>
      <c r="H267" s="150"/>
      <c r="I267" s="150"/>
      <c r="J267" s="150"/>
      <c r="K267" s="150"/>
      <c r="L267" s="150"/>
      <c r="M267" s="150"/>
      <c r="N267" s="150"/>
      <c r="O267" s="150"/>
      <c r="P267" s="150"/>
      <c r="Q267" s="150"/>
      <c r="R267" s="357"/>
    </row>
    <row r="268" spans="1:18" x14ac:dyDescent="0.25">
      <c r="A268" s="363"/>
      <c r="B268" s="160" t="s">
        <v>211</v>
      </c>
      <c r="C268" s="150">
        <v>0.124511777</v>
      </c>
      <c r="D268" s="799">
        <v>4.3950658451495901</v>
      </c>
      <c r="E268" s="150"/>
      <c r="F268" s="150"/>
      <c r="G268" s="150"/>
      <c r="H268" s="150"/>
      <c r="I268" s="150"/>
      <c r="J268" s="150"/>
      <c r="K268" s="150"/>
      <c r="L268" s="150"/>
      <c r="M268" s="150"/>
      <c r="N268" s="150"/>
      <c r="O268" s="150"/>
      <c r="P268" s="150"/>
      <c r="Q268" s="150"/>
      <c r="R268" s="357"/>
    </row>
    <row r="269" spans="1:18" x14ac:dyDescent="0.25">
      <c r="A269" s="363"/>
      <c r="B269" s="160" t="s">
        <v>1979</v>
      </c>
      <c r="C269" s="150">
        <v>0.14076309000000001</v>
      </c>
      <c r="D269" s="799">
        <v>9.58222111922416</v>
      </c>
      <c r="E269" s="150"/>
      <c r="F269" s="150"/>
      <c r="G269" s="150"/>
      <c r="H269" s="150"/>
      <c r="I269" s="150"/>
      <c r="J269" s="150"/>
      <c r="K269" s="150"/>
      <c r="L269" s="150"/>
      <c r="M269" s="150"/>
      <c r="N269" s="150"/>
      <c r="O269" s="150"/>
      <c r="P269" s="150"/>
      <c r="Q269" s="150"/>
      <c r="R269" s="357"/>
    </row>
    <row r="270" spans="1:18" x14ac:dyDescent="0.25">
      <c r="B270" s="180" t="s">
        <v>2046</v>
      </c>
      <c r="C270" s="293">
        <v>0.16718835275803631</v>
      </c>
      <c r="D270" s="1516">
        <v>5.5183</v>
      </c>
    </row>
    <row r="271" spans="1:18" x14ac:dyDescent="0.25">
      <c r="B271" s="180" t="s">
        <v>2047</v>
      </c>
      <c r="C271" s="293">
        <v>0.14290726389072275</v>
      </c>
      <c r="D271" s="1516">
        <v>19.093599999999999</v>
      </c>
    </row>
    <row r="272" spans="1:18" x14ac:dyDescent="0.25">
      <c r="B272" s="180" t="s">
        <v>2048</v>
      </c>
      <c r="C272" s="293">
        <v>0.14876565451594873</v>
      </c>
      <c r="D272" s="1516">
        <v>5.9684999999999997</v>
      </c>
    </row>
    <row r="273" spans="2:4" x14ac:dyDescent="0.25">
      <c r="B273" s="180" t="s">
        <v>1531</v>
      </c>
      <c r="C273" s="293">
        <v>0.15165301629701489</v>
      </c>
      <c r="D273" s="1516">
        <v>8.9567999999999994</v>
      </c>
    </row>
    <row r="274" spans="2:4" x14ac:dyDescent="0.25">
      <c r="B274" s="180" t="s">
        <v>1532</v>
      </c>
      <c r="C274" s="293">
        <v>7.1344094558959389E-2</v>
      </c>
      <c r="D274" s="1516">
        <v>24.848099999999999</v>
      </c>
    </row>
    <row r="275" spans="2:4" x14ac:dyDescent="0.25">
      <c r="B275" s="180" t="s">
        <v>1533</v>
      </c>
      <c r="C275" s="445">
        <v>0.22814583290368745</v>
      </c>
      <c r="D275" s="1516">
        <v>5.3541999999999996</v>
      </c>
    </row>
    <row r="276" spans="2:4" x14ac:dyDescent="0.25">
      <c r="B276" s="180" t="s">
        <v>1534</v>
      </c>
      <c r="C276" s="445">
        <v>8.7413724185770911E-2</v>
      </c>
      <c r="D276" s="1516">
        <v>3.1046999999999998</v>
      </c>
    </row>
    <row r="277" spans="2:4" x14ac:dyDescent="0.25">
      <c r="B277" s="180" t="s">
        <v>1535</v>
      </c>
      <c r="C277" s="445">
        <v>0.22769618683266568</v>
      </c>
      <c r="D277" s="1516">
        <v>0.56379999999999997</v>
      </c>
    </row>
    <row r="278" spans="2:4" x14ac:dyDescent="0.25">
      <c r="B278" s="180" t="s">
        <v>1536</v>
      </c>
      <c r="C278" s="445">
        <v>0.35076264664812279</v>
      </c>
      <c r="D278" s="1516">
        <v>0</v>
      </c>
    </row>
    <row r="279" spans="2:4" x14ac:dyDescent="0.25">
      <c r="B279" s="180" t="s">
        <v>1537</v>
      </c>
      <c r="C279" s="293">
        <v>0.1587164815112751</v>
      </c>
      <c r="D279" s="1516">
        <v>1.8878999999999999</v>
      </c>
    </row>
    <row r="280" spans="2:4" x14ac:dyDescent="0.25">
      <c r="B280" s="180" t="s">
        <v>1538</v>
      </c>
      <c r="C280" s="447">
        <v>0.17719240301199984</v>
      </c>
      <c r="D280" s="1516">
        <v>3.6015000000000001</v>
      </c>
    </row>
    <row r="281" spans="2:4" x14ac:dyDescent="0.25">
      <c r="B281" s="180" t="s">
        <v>1539</v>
      </c>
      <c r="C281" s="293">
        <v>0.1950787852024049</v>
      </c>
      <c r="D281" s="1516">
        <v>7.2460000000000004</v>
      </c>
    </row>
    <row r="282" spans="2:4" x14ac:dyDescent="0.25">
      <c r="B282" s="180" t="s">
        <v>1540</v>
      </c>
      <c r="C282" s="293">
        <v>1.7679168313765731E-2</v>
      </c>
      <c r="D282" s="1516">
        <v>84.242999999999995</v>
      </c>
    </row>
    <row r="283" spans="2:4" x14ac:dyDescent="0.25">
      <c r="B283" s="180" t="s">
        <v>1541</v>
      </c>
      <c r="C283" s="293">
        <v>0.13978439295953973</v>
      </c>
      <c r="D283" s="1516">
        <v>0.71830000000000005</v>
      </c>
    </row>
    <row r="284" spans="2:4" x14ac:dyDescent="0.25">
      <c r="B284" s="180" t="s">
        <v>1542</v>
      </c>
      <c r="C284" s="293">
        <v>0.25914240035371855</v>
      </c>
      <c r="D284" s="1516">
        <v>0.52039999999999997</v>
      </c>
    </row>
    <row r="285" spans="2:4" x14ac:dyDescent="0.25">
      <c r="B285" s="180" t="s">
        <v>1957</v>
      </c>
      <c r="C285" s="293">
        <v>0.22498935191186836</v>
      </c>
      <c r="D285" s="1516">
        <v>7.7732999999999999</v>
      </c>
    </row>
    <row r="286" spans="2:4" x14ac:dyDescent="0.25">
      <c r="B286" s="180" t="s">
        <v>1958</v>
      </c>
      <c r="C286" s="293">
        <v>0.21738159218293343</v>
      </c>
      <c r="D286" s="1516">
        <v>2.3203999999999998</v>
      </c>
    </row>
    <row r="287" spans="2:4" x14ac:dyDescent="0.25">
      <c r="B287" s="180" t="s">
        <v>1959</v>
      </c>
      <c r="C287" s="293">
        <v>0.26471733566382311</v>
      </c>
      <c r="D287" s="1516">
        <v>2.1951000000000001</v>
      </c>
    </row>
    <row r="288" spans="2:4" x14ac:dyDescent="0.25">
      <c r="B288" s="180" t="s">
        <v>1960</v>
      </c>
      <c r="C288" s="293">
        <v>0.1365393070527279</v>
      </c>
      <c r="D288" s="1516">
        <v>4.1116999999999999</v>
      </c>
    </row>
    <row r="289" spans="2:4" x14ac:dyDescent="0.25">
      <c r="B289" s="180" t="s">
        <v>1961</v>
      </c>
      <c r="C289" s="293">
        <v>6.7945319582352989E-2</v>
      </c>
      <c r="D289" s="1516">
        <v>49.185299999999998</v>
      </c>
    </row>
    <row r="290" spans="2:4" x14ac:dyDescent="0.25">
      <c r="B290" s="180" t="s">
        <v>1962</v>
      </c>
      <c r="C290" s="293">
        <v>0.16905673288766856</v>
      </c>
      <c r="D290" s="1516">
        <v>4.4508000000000001</v>
      </c>
    </row>
    <row r="291" spans="2:4" x14ac:dyDescent="0.25">
      <c r="B291" s="180" t="s">
        <v>1963</v>
      </c>
      <c r="C291" s="293">
        <v>0.15146369428069173</v>
      </c>
      <c r="D291" s="1516">
        <v>2.5150999999999999</v>
      </c>
    </row>
    <row r="292" spans="2:4" x14ac:dyDescent="0.25">
      <c r="B292" s="180" t="s">
        <v>1804</v>
      </c>
      <c r="C292" s="293">
        <v>0.17902695948434899</v>
      </c>
      <c r="D292" s="1516">
        <v>2.1583000000000001</v>
      </c>
    </row>
    <row r="293" spans="2:4" x14ac:dyDescent="0.25">
      <c r="B293" s="180" t="s">
        <v>1805</v>
      </c>
      <c r="C293" s="293">
        <v>0.19241022177495243</v>
      </c>
      <c r="D293" s="1516">
        <v>8.3709000000000007</v>
      </c>
    </row>
    <row r="294" spans="2:4" x14ac:dyDescent="0.25">
      <c r="B294" s="180" t="s">
        <v>1806</v>
      </c>
      <c r="C294" s="293">
        <v>0.15577120990984572</v>
      </c>
      <c r="D294" s="1516">
        <v>2.6375999999999999</v>
      </c>
    </row>
    <row r="295" spans="2:4" x14ac:dyDescent="0.25">
      <c r="B295" s="180" t="s">
        <v>1807</v>
      </c>
      <c r="C295" s="293">
        <v>0.22520902978108748</v>
      </c>
      <c r="D295" s="1516">
        <v>1.7744</v>
      </c>
    </row>
    <row r="296" spans="2:4" x14ac:dyDescent="0.25">
      <c r="B296" s="180" t="s">
        <v>1808</v>
      </c>
      <c r="C296" s="293">
        <v>0.20394249321589381</v>
      </c>
      <c r="D296" s="1516">
        <v>34.464399999999998</v>
      </c>
    </row>
    <row r="297" spans="2:4" x14ac:dyDescent="0.25">
      <c r="B297" s="180" t="s">
        <v>1512</v>
      </c>
      <c r="C297" s="293">
        <v>0.18037613642307862</v>
      </c>
      <c r="D297" s="1516">
        <v>3.3416000000000001</v>
      </c>
    </row>
    <row r="298" spans="2:4" x14ac:dyDescent="0.25">
      <c r="B298" s="180" t="s">
        <v>1523</v>
      </c>
      <c r="C298" s="293">
        <v>0.1464447510428141</v>
      </c>
      <c r="D298" s="1516">
        <v>10.0563</v>
      </c>
    </row>
    <row r="299" spans="2:4" x14ac:dyDescent="0.25">
      <c r="B299" s="180" t="s">
        <v>1524</v>
      </c>
      <c r="C299" s="293">
        <v>8.4020075528693311E-2</v>
      </c>
      <c r="D299" s="1516">
        <v>10.252000000000001</v>
      </c>
    </row>
    <row r="300" spans="2:4" x14ac:dyDescent="0.25">
      <c r="B300" s="180" t="s">
        <v>1525</v>
      </c>
      <c r="C300" s="293">
        <v>8.8361929959985E-2</v>
      </c>
      <c r="D300" s="1516">
        <v>1.2824</v>
      </c>
    </row>
    <row r="301" spans="2:4" x14ac:dyDescent="0.25">
      <c r="B301" s="180" t="s">
        <v>1742</v>
      </c>
      <c r="C301" s="293">
        <v>0.22593910312064625</v>
      </c>
      <c r="D301" s="1516">
        <v>4.6622000000000003</v>
      </c>
    </row>
    <row r="302" spans="2:4" x14ac:dyDescent="0.25">
      <c r="B302" s="180" t="s">
        <v>1604</v>
      </c>
      <c r="C302" s="293">
        <v>9.5049226349802812E-2</v>
      </c>
      <c r="D302" s="1516">
        <v>18.8142</v>
      </c>
    </row>
    <row r="303" spans="2:4" x14ac:dyDescent="0.25">
      <c r="B303" s="180" t="s">
        <v>1605</v>
      </c>
      <c r="C303" s="293">
        <v>0.15603683618719422</v>
      </c>
      <c r="D303" s="1516">
        <v>3.6827000000000001</v>
      </c>
    </row>
    <row r="304" spans="2:4" x14ac:dyDescent="0.25">
      <c r="B304" s="180" t="s">
        <v>1628</v>
      </c>
      <c r="C304" s="293">
        <v>0.28171399986777512</v>
      </c>
      <c r="D304" s="1516">
        <v>6.2121000000000004</v>
      </c>
    </row>
    <row r="305" spans="2:4" x14ac:dyDescent="0.25">
      <c r="B305" s="180" t="s">
        <v>1629</v>
      </c>
      <c r="C305" s="293">
        <v>0.2283548686340808</v>
      </c>
      <c r="D305" s="1516">
        <v>0.36480000000000001</v>
      </c>
    </row>
    <row r="306" spans="2:4" x14ac:dyDescent="0.25">
      <c r="B306" s="180" t="s">
        <v>1630</v>
      </c>
      <c r="C306" s="293">
        <v>0.18737615086866141</v>
      </c>
      <c r="D306" s="1516">
        <v>6.7217000000000002</v>
      </c>
    </row>
    <row r="307" spans="2:4" x14ac:dyDescent="0.25">
      <c r="B307" s="180" t="s">
        <v>1996</v>
      </c>
      <c r="C307" s="293">
        <v>5.1856152144592257E-2</v>
      </c>
      <c r="D307" s="1516">
        <v>65.022300000000001</v>
      </c>
    </row>
    <row r="308" spans="2:4" x14ac:dyDescent="0.25">
      <c r="B308" s="180" t="s">
        <v>1997</v>
      </c>
      <c r="C308" s="293">
        <v>0.15262332304194251</v>
      </c>
      <c r="D308" s="1516">
        <v>1.7677</v>
      </c>
    </row>
    <row r="309" spans="2:4" x14ac:dyDescent="0.25">
      <c r="B309" s="180" t="s">
        <v>1998</v>
      </c>
      <c r="C309" s="293">
        <v>0.11425225596604521</v>
      </c>
      <c r="D309" s="1516">
        <v>2.2570999999999999</v>
      </c>
    </row>
    <row r="310" spans="2:4" x14ac:dyDescent="0.25">
      <c r="B310" s="180" t="s">
        <v>2052</v>
      </c>
      <c r="C310" s="293">
        <v>0.1146488044235163</v>
      </c>
      <c r="D310" s="1516">
        <v>2.2622</v>
      </c>
    </row>
    <row r="311" spans="2:4" x14ac:dyDescent="0.25">
      <c r="B311" s="180" t="s">
        <v>2053</v>
      </c>
      <c r="C311" s="293">
        <v>0.15493369745682931</v>
      </c>
      <c r="D311" s="1516">
        <v>45.7928</v>
      </c>
    </row>
    <row r="312" spans="2:4" x14ac:dyDescent="0.25">
      <c r="B312" s="180" t="s">
        <v>2054</v>
      </c>
      <c r="C312" s="293">
        <v>0.1714672841300138</v>
      </c>
      <c r="D312" s="1516">
        <v>5.4732000000000003</v>
      </c>
    </row>
    <row r="313" spans="2:4" x14ac:dyDescent="0.25">
      <c r="B313" s="180" t="s">
        <v>2055</v>
      </c>
      <c r="C313" s="293">
        <v>0.16488243874371994</v>
      </c>
      <c r="D313" s="1516">
        <v>2.9424999999999999</v>
      </c>
    </row>
    <row r="314" spans="2:4" x14ac:dyDescent="0.25">
      <c r="B314" s="180" t="s">
        <v>2056</v>
      </c>
      <c r="C314" s="293">
        <v>0.24445805806349385</v>
      </c>
      <c r="D314" s="1516">
        <v>1.6164000000000001</v>
      </c>
    </row>
    <row r="315" spans="2:4" x14ac:dyDescent="0.25">
      <c r="B315" s="180" t="s">
        <v>2057</v>
      </c>
      <c r="C315" s="293">
        <v>1.0616381582972552E-3</v>
      </c>
      <c r="D315" s="1516">
        <v>19.063099999999999</v>
      </c>
    </row>
    <row r="316" spans="2:4" x14ac:dyDescent="0.25">
      <c r="B316" s="180" t="s">
        <v>2058</v>
      </c>
      <c r="C316" s="293">
        <v>0.14384590807385492</v>
      </c>
      <c r="D316" s="1516">
        <v>3.214</v>
      </c>
    </row>
    <row r="317" spans="2:4" x14ac:dyDescent="0.25">
      <c r="B317" s="180" t="s">
        <v>2059</v>
      </c>
      <c r="C317" s="293">
        <v>3.2760913448049635E-2</v>
      </c>
      <c r="D317" s="1516">
        <v>77.2029</v>
      </c>
    </row>
    <row r="318" spans="2:4" x14ac:dyDescent="0.25">
      <c r="B318" s="180" t="s">
        <v>2060</v>
      </c>
      <c r="C318" s="293">
        <v>0.24849366516097479</v>
      </c>
      <c r="D318" s="1516">
        <v>1.5138</v>
      </c>
    </row>
    <row r="319" spans="2:4" x14ac:dyDescent="0.25">
      <c r="B319" s="180" t="s">
        <v>1827</v>
      </c>
      <c r="C319" s="293">
        <v>0.20109943389232407</v>
      </c>
      <c r="D319" s="1516">
        <v>4.4485999999999999</v>
      </c>
    </row>
    <row r="320" spans="2:4" x14ac:dyDescent="0.25">
      <c r="B320" s="164" t="s">
        <v>1828</v>
      </c>
      <c r="C320" s="293">
        <v>0.28277563802607236</v>
      </c>
      <c r="D320" s="1516">
        <v>3.2526999999999999</v>
      </c>
    </row>
    <row r="321" spans="1:18" x14ac:dyDescent="0.25">
      <c r="A321" s="363"/>
      <c r="B321" s="160" t="s">
        <v>1931</v>
      </c>
      <c r="C321" s="150">
        <v>7.0130527600000006E-2</v>
      </c>
      <c r="D321" s="804">
        <v>81.644067796610173</v>
      </c>
      <c r="E321" s="150"/>
      <c r="F321" s="150"/>
      <c r="G321" s="150"/>
      <c r="H321" s="150"/>
      <c r="I321" s="150"/>
      <c r="J321" s="150"/>
      <c r="K321" s="150"/>
      <c r="L321" s="150"/>
      <c r="M321" s="150"/>
      <c r="N321" s="150"/>
      <c r="O321" s="150"/>
      <c r="P321" s="150"/>
      <c r="Q321" s="150"/>
      <c r="R321" s="357"/>
    </row>
    <row r="322" spans="1:18" x14ac:dyDescent="0.25">
      <c r="A322" s="363"/>
      <c r="B322" s="160" t="s">
        <v>424</v>
      </c>
      <c r="C322" s="150">
        <v>0.12782882430000003</v>
      </c>
      <c r="D322" s="804">
        <v>12.843425436018029</v>
      </c>
      <c r="E322" s="150"/>
      <c r="F322" s="150"/>
      <c r="G322" s="150"/>
      <c r="H322" s="150"/>
      <c r="I322" s="150"/>
      <c r="J322" s="150"/>
      <c r="K322" s="150"/>
      <c r="L322" s="150"/>
      <c r="M322" s="150"/>
      <c r="N322" s="150"/>
      <c r="O322" s="150"/>
      <c r="P322" s="150"/>
      <c r="Q322" s="150"/>
      <c r="R322" s="357"/>
    </row>
    <row r="323" spans="1:18" x14ac:dyDescent="0.25">
      <c r="A323" s="363"/>
      <c r="B323" s="160" t="s">
        <v>1932</v>
      </c>
      <c r="C323" s="150">
        <v>5.5011590600000007E-2</v>
      </c>
      <c r="D323" s="804">
        <v>71.004853678844867</v>
      </c>
      <c r="E323" s="150"/>
      <c r="F323" s="150"/>
      <c r="G323" s="150"/>
      <c r="H323" s="150"/>
      <c r="I323" s="150"/>
      <c r="J323" s="150"/>
      <c r="K323" s="150"/>
      <c r="L323" s="150"/>
      <c r="M323" s="150"/>
      <c r="N323" s="150"/>
      <c r="O323" s="150"/>
      <c r="P323" s="150"/>
      <c r="Q323" s="150"/>
      <c r="R323" s="357"/>
    </row>
    <row r="324" spans="1:18" x14ac:dyDescent="0.25">
      <c r="A324" s="363"/>
      <c r="B324" s="160" t="s">
        <v>572</v>
      </c>
      <c r="C324" s="150">
        <v>0.10639664180000001</v>
      </c>
      <c r="D324" s="804">
        <v>38.380151643529082</v>
      </c>
      <c r="E324" s="150"/>
      <c r="F324" s="150"/>
      <c r="G324" s="150"/>
      <c r="H324" s="150"/>
      <c r="I324" s="150"/>
      <c r="J324" s="150"/>
      <c r="K324" s="150"/>
      <c r="L324" s="150"/>
      <c r="M324" s="150"/>
      <c r="N324" s="150"/>
      <c r="O324" s="150"/>
      <c r="P324" s="150"/>
      <c r="Q324" s="150"/>
      <c r="R324" s="357"/>
    </row>
    <row r="325" spans="1:18" x14ac:dyDescent="0.25">
      <c r="A325" s="363"/>
      <c r="B325" s="160" t="s">
        <v>245</v>
      </c>
      <c r="C325" s="150">
        <v>0.17463567490000004</v>
      </c>
      <c r="D325" s="799">
        <v>0</v>
      </c>
      <c r="E325" s="150"/>
      <c r="F325" s="150"/>
      <c r="G325" s="150"/>
      <c r="H325" s="150"/>
      <c r="I325" s="150"/>
      <c r="J325" s="150"/>
      <c r="K325" s="150"/>
      <c r="L325" s="150"/>
      <c r="M325" s="150"/>
      <c r="N325" s="150"/>
      <c r="O325" s="150"/>
      <c r="P325" s="150"/>
      <c r="Q325" s="150"/>
      <c r="R325" s="357"/>
    </row>
    <row r="326" spans="1:18" x14ac:dyDescent="0.25">
      <c r="A326" s="363"/>
      <c r="B326" s="160" t="s">
        <v>349</v>
      </c>
      <c r="C326" s="150">
        <v>8.993082000000001E-4</v>
      </c>
      <c r="D326" s="799">
        <v>99.389097744360896</v>
      </c>
      <c r="E326" s="150"/>
      <c r="F326" s="150"/>
      <c r="G326" s="150"/>
      <c r="H326" s="150"/>
      <c r="I326" s="150"/>
      <c r="J326" s="150"/>
      <c r="K326" s="150"/>
      <c r="L326" s="150"/>
      <c r="M326" s="150"/>
      <c r="N326" s="150"/>
      <c r="O326" s="150"/>
      <c r="P326" s="150"/>
      <c r="Q326" s="150"/>
      <c r="R326" s="357"/>
    </row>
    <row r="327" spans="1:18" x14ac:dyDescent="0.25">
      <c r="A327" s="363"/>
      <c r="B327" s="160" t="s">
        <v>350</v>
      </c>
      <c r="C327" s="150">
        <v>0.17144939930000003</v>
      </c>
      <c r="D327" s="799">
        <v>56.812101255402347</v>
      </c>
      <c r="E327" s="150"/>
      <c r="F327" s="150"/>
      <c r="G327" s="150"/>
      <c r="H327" s="150"/>
      <c r="I327" s="150"/>
      <c r="J327" s="150"/>
      <c r="K327" s="150"/>
      <c r="L327" s="150"/>
      <c r="M327" s="150"/>
      <c r="N327" s="150"/>
      <c r="O327" s="150"/>
      <c r="P327" s="150"/>
      <c r="Q327" s="150"/>
      <c r="R327" s="357"/>
    </row>
    <row r="328" spans="1:18" x14ac:dyDescent="0.25">
      <c r="A328" s="363"/>
      <c r="B328" s="160" t="s">
        <v>212</v>
      </c>
      <c r="C328" s="150">
        <v>0.17811100000000002</v>
      </c>
      <c r="D328" s="799">
        <v>17.085722442517707</v>
      </c>
      <c r="E328" s="150"/>
      <c r="F328" s="150"/>
      <c r="G328" s="150"/>
      <c r="H328" s="150"/>
      <c r="I328" s="150"/>
      <c r="J328" s="150"/>
      <c r="K328" s="150"/>
      <c r="L328" s="150"/>
      <c r="M328" s="150"/>
      <c r="N328" s="150"/>
      <c r="O328" s="150"/>
      <c r="P328" s="150"/>
      <c r="Q328" s="150"/>
      <c r="R328" s="357"/>
    </row>
    <row r="329" spans="1:18" x14ac:dyDescent="0.25">
      <c r="A329" s="363"/>
      <c r="B329" s="160" t="s">
        <v>1936</v>
      </c>
      <c r="C329" s="150">
        <v>0.20636500000000002</v>
      </c>
      <c r="D329" s="804">
        <v>15.469471835718808</v>
      </c>
      <c r="E329" s="150"/>
      <c r="F329" s="150"/>
      <c r="G329" s="150"/>
      <c r="H329" s="150"/>
      <c r="I329" s="150"/>
      <c r="J329" s="150"/>
      <c r="K329" s="150"/>
      <c r="L329" s="150"/>
      <c r="M329" s="150"/>
      <c r="N329" s="150"/>
      <c r="O329" s="150"/>
      <c r="P329" s="150"/>
      <c r="Q329" s="150"/>
      <c r="R329" s="357"/>
    </row>
    <row r="330" spans="1:18" x14ac:dyDescent="0.25">
      <c r="A330" s="363"/>
      <c r="B330" s="160" t="s">
        <v>286</v>
      </c>
      <c r="C330" s="150">
        <v>9.3903E-2</v>
      </c>
      <c r="D330" s="799">
        <v>16.254379114135894</v>
      </c>
      <c r="E330" s="150"/>
      <c r="F330" s="150"/>
      <c r="G330" s="150"/>
      <c r="H330" s="150"/>
      <c r="I330" s="150"/>
      <c r="J330" s="150"/>
      <c r="K330" s="150"/>
      <c r="L330" s="150"/>
      <c r="M330" s="150"/>
      <c r="N330" s="150"/>
      <c r="O330" s="150"/>
      <c r="P330" s="150"/>
      <c r="Q330" s="150"/>
      <c r="R330" s="357"/>
    </row>
    <row r="331" spans="1:18" x14ac:dyDescent="0.25">
      <c r="A331" s="363"/>
      <c r="B331" s="160" t="s">
        <v>1933</v>
      </c>
      <c r="C331" s="150">
        <v>0.20581099999999999</v>
      </c>
      <c r="D331" s="804"/>
      <c r="E331" s="150"/>
      <c r="F331" s="150"/>
      <c r="G331" s="150"/>
      <c r="H331" s="150"/>
      <c r="I331" s="150"/>
      <c r="J331" s="150"/>
      <c r="K331" s="150"/>
      <c r="L331" s="150"/>
      <c r="M331" s="150"/>
      <c r="N331" s="150"/>
      <c r="O331" s="150"/>
      <c r="P331" s="150"/>
      <c r="Q331" s="150"/>
      <c r="R331" s="357"/>
    </row>
    <row r="332" spans="1:18" x14ac:dyDescent="0.25">
      <c r="A332" s="363"/>
      <c r="B332" s="160" t="s">
        <v>624</v>
      </c>
      <c r="C332" s="150">
        <v>9.6388888888888885E-2</v>
      </c>
      <c r="D332" s="804">
        <v>28.699410049018361</v>
      </c>
      <c r="E332" s="150"/>
      <c r="F332" s="150"/>
      <c r="G332" s="150"/>
      <c r="H332" s="150"/>
      <c r="I332" s="150"/>
      <c r="J332" s="150"/>
      <c r="K332" s="150"/>
      <c r="L332" s="150"/>
      <c r="M332" s="150"/>
      <c r="N332" s="150"/>
      <c r="O332" s="150"/>
      <c r="P332" s="150"/>
      <c r="Q332" s="150"/>
      <c r="R332" s="357"/>
    </row>
    <row r="333" spans="1:18" x14ac:dyDescent="0.25">
      <c r="A333" s="363"/>
      <c r="B333" s="160" t="s">
        <v>1695</v>
      </c>
      <c r="C333" s="150">
        <v>4.8475000000000004E-2</v>
      </c>
      <c r="D333" s="799">
        <v>69.760460916555957</v>
      </c>
      <c r="E333" s="150"/>
      <c r="F333" s="150"/>
      <c r="G333" s="150"/>
      <c r="H333" s="150"/>
      <c r="I333" s="150"/>
      <c r="J333" s="150"/>
      <c r="K333" s="150"/>
      <c r="L333" s="150"/>
      <c r="M333" s="150"/>
      <c r="N333" s="150"/>
      <c r="O333" s="150"/>
      <c r="P333" s="150"/>
      <c r="Q333" s="150"/>
      <c r="R333" s="357"/>
    </row>
    <row r="334" spans="1:18" x14ac:dyDescent="0.25">
      <c r="A334" s="363"/>
      <c r="B334" s="160" t="s">
        <v>351</v>
      </c>
      <c r="C334" s="150">
        <v>0.19113000000000002</v>
      </c>
      <c r="D334" s="799">
        <v>2.8191283177716269</v>
      </c>
      <c r="E334" s="150"/>
      <c r="F334" s="150"/>
      <c r="G334" s="150"/>
      <c r="H334" s="150"/>
      <c r="I334" s="150"/>
      <c r="J334" s="150"/>
      <c r="K334" s="150"/>
      <c r="L334" s="150"/>
      <c r="M334" s="150"/>
      <c r="N334" s="150"/>
      <c r="O334" s="150"/>
      <c r="P334" s="150"/>
      <c r="Q334" s="150"/>
      <c r="R334" s="357"/>
    </row>
    <row r="335" spans="1:18" x14ac:dyDescent="0.25">
      <c r="A335" s="363"/>
      <c r="B335" s="160" t="s">
        <v>2049</v>
      </c>
      <c r="C335" s="150" t="s">
        <v>2050</v>
      </c>
      <c r="D335" s="799">
        <v>15.719965611862305</v>
      </c>
      <c r="E335" s="150"/>
      <c r="F335" s="150"/>
      <c r="G335" s="150"/>
      <c r="H335" s="150"/>
      <c r="I335" s="150"/>
      <c r="J335" s="150"/>
      <c r="K335" s="150"/>
      <c r="L335" s="150"/>
      <c r="M335" s="150"/>
      <c r="N335" s="150"/>
      <c r="O335" s="150"/>
      <c r="P335" s="150"/>
      <c r="Q335" s="150"/>
      <c r="R335" s="357"/>
    </row>
    <row r="336" spans="1:18" x14ac:dyDescent="0.25">
      <c r="A336" s="363"/>
      <c r="B336" s="160" t="s">
        <v>573</v>
      </c>
      <c r="C336" s="150" t="s">
        <v>2050</v>
      </c>
      <c r="D336" s="804">
        <v>10.963753463691386</v>
      </c>
      <c r="E336" s="150"/>
      <c r="F336" s="150"/>
      <c r="G336" s="150"/>
      <c r="H336" s="150"/>
      <c r="I336" s="150"/>
      <c r="J336" s="150"/>
      <c r="K336" s="150"/>
      <c r="L336" s="150"/>
      <c r="M336" s="150"/>
      <c r="N336" s="150"/>
      <c r="O336" s="150"/>
      <c r="P336" s="150"/>
      <c r="Q336" s="150"/>
      <c r="R336" s="357"/>
    </row>
    <row r="337" spans="1:18" ht="13.25" thickBot="1" x14ac:dyDescent="0.3">
      <c r="A337" s="372"/>
      <c r="B337" s="165" t="s">
        <v>122</v>
      </c>
      <c r="C337" s="373">
        <v>0.10722222222222222</v>
      </c>
      <c r="D337" s="814">
        <v>19.807975425282308</v>
      </c>
      <c r="E337" s="373"/>
      <c r="F337" s="373"/>
      <c r="G337" s="373"/>
      <c r="H337" s="373"/>
      <c r="I337" s="373"/>
      <c r="J337" s="373"/>
      <c r="K337" s="373"/>
      <c r="L337" s="373"/>
      <c r="M337" s="373"/>
      <c r="N337" s="373"/>
      <c r="O337" s="373"/>
      <c r="P337" s="373"/>
      <c r="Q337" s="373"/>
      <c r="R337" s="374"/>
    </row>
    <row r="338" spans="1:18" x14ac:dyDescent="0.25">
      <c r="K338" s="60"/>
      <c r="M338" s="60"/>
    </row>
    <row r="339" spans="1:18" x14ac:dyDescent="0.25">
      <c r="K339" s="60"/>
      <c r="M339" s="60"/>
    </row>
    <row r="340" spans="1:18" x14ac:dyDescent="0.25">
      <c r="K340" s="60"/>
      <c r="M340" s="60"/>
    </row>
    <row r="341" spans="1:18" x14ac:dyDescent="0.25">
      <c r="K341" s="60"/>
      <c r="M341" s="60"/>
    </row>
    <row r="342" spans="1:18" x14ac:dyDescent="0.25">
      <c r="A342" s="291"/>
      <c r="B342" s="291"/>
      <c r="C342" s="291"/>
      <c r="D342" s="291"/>
      <c r="E342" s="291"/>
      <c r="F342" s="291"/>
      <c r="G342" s="291"/>
      <c r="H342" s="291"/>
      <c r="I342" s="291"/>
      <c r="J342" s="291"/>
      <c r="K342" s="291"/>
      <c r="M342" s="60"/>
    </row>
    <row r="343" spans="1:18" x14ac:dyDescent="0.25">
      <c r="A343" s="291"/>
      <c r="B343" s="599"/>
      <c r="C343" s="291"/>
      <c r="D343" s="291"/>
      <c r="E343" s="291"/>
      <c r="F343" s="291"/>
      <c r="G343" s="291"/>
      <c r="H343" s="291"/>
      <c r="I343" s="291"/>
      <c r="J343" s="291"/>
      <c r="K343" s="291"/>
      <c r="M343" s="60"/>
    </row>
    <row r="344" spans="1:18" ht="13.25" thickBot="1" x14ac:dyDescent="0.3">
      <c r="A344" s="291"/>
      <c r="B344" s="291"/>
      <c r="C344" s="291"/>
      <c r="D344" s="291"/>
      <c r="E344" s="291"/>
      <c r="F344" s="291"/>
      <c r="G344" s="291"/>
      <c r="H344" s="291"/>
      <c r="I344" s="291"/>
      <c r="J344" s="291"/>
      <c r="K344" s="291"/>
      <c r="M344" s="60"/>
    </row>
    <row r="345" spans="1:18" x14ac:dyDescent="0.25">
      <c r="A345" s="738"/>
      <c r="B345" s="7" t="s">
        <v>255</v>
      </c>
      <c r="C345" s="387"/>
      <c r="D345" s="387"/>
      <c r="E345" s="387"/>
      <c r="F345" s="387"/>
      <c r="G345" s="387"/>
      <c r="H345" s="387"/>
      <c r="I345" s="387"/>
      <c r="J345" s="388"/>
      <c r="K345" s="291"/>
      <c r="M345" s="60"/>
    </row>
    <row r="346" spans="1:18" x14ac:dyDescent="0.25">
      <c r="A346" s="363"/>
      <c r="B346" s="150"/>
      <c r="C346" s="150"/>
      <c r="D346" s="150"/>
      <c r="E346" s="150"/>
      <c r="F346" s="150"/>
      <c r="G346" s="150"/>
      <c r="H346" s="150"/>
      <c r="I346" s="150"/>
      <c r="J346" s="2232"/>
      <c r="K346" s="291"/>
      <c r="L346" s="159"/>
      <c r="M346" s="60"/>
    </row>
    <row r="347" spans="1:18" x14ac:dyDescent="0.25">
      <c r="A347" s="363"/>
      <c r="B347" s="2233" t="s">
        <v>256</v>
      </c>
      <c r="C347" s="150"/>
      <c r="D347" s="150"/>
      <c r="E347" s="150"/>
      <c r="F347" s="150"/>
      <c r="G347" s="150"/>
      <c r="H347" s="150"/>
      <c r="I347" s="150"/>
      <c r="J347" s="2232"/>
      <c r="K347" s="291"/>
      <c r="L347" s="159"/>
      <c r="M347" s="60"/>
    </row>
    <row r="348" spans="1:18" x14ac:dyDescent="0.25">
      <c r="A348" s="363"/>
      <c r="B348" s="2234" t="s">
        <v>257</v>
      </c>
      <c r="C348" s="2234" t="s">
        <v>258</v>
      </c>
      <c r="D348" s="2234">
        <v>30</v>
      </c>
      <c r="E348" s="2234" t="s">
        <v>259</v>
      </c>
      <c r="F348" s="2234" t="s">
        <v>260</v>
      </c>
      <c r="G348" s="2234">
        <v>40</v>
      </c>
      <c r="H348" s="2234" t="s">
        <v>259</v>
      </c>
      <c r="I348" s="150"/>
      <c r="J348" s="2232"/>
      <c r="K348" s="291"/>
      <c r="L348" s="159"/>
      <c r="M348" s="60"/>
    </row>
    <row r="349" spans="1:18" x14ac:dyDescent="0.25">
      <c r="A349" s="363"/>
      <c r="B349" s="2234" t="s">
        <v>261</v>
      </c>
      <c r="C349" s="2234" t="s">
        <v>262</v>
      </c>
      <c r="D349" s="2234">
        <v>8.3000000000000007</v>
      </c>
      <c r="E349" s="2234" t="s">
        <v>259</v>
      </c>
      <c r="F349" s="2234" t="s">
        <v>263</v>
      </c>
      <c r="G349" s="2234">
        <v>7.9</v>
      </c>
      <c r="H349" s="2234" t="s">
        <v>259</v>
      </c>
      <c r="I349" s="150"/>
      <c r="J349" s="2232"/>
      <c r="K349" s="291"/>
      <c r="L349" s="159"/>
      <c r="M349" s="60"/>
    </row>
    <row r="350" spans="1:18" x14ac:dyDescent="0.25">
      <c r="A350" s="363"/>
      <c r="B350" s="150"/>
      <c r="C350" s="150"/>
      <c r="D350" s="150"/>
      <c r="E350" s="150"/>
      <c r="F350" s="150"/>
      <c r="G350" s="150"/>
      <c r="H350" s="150"/>
      <c r="I350" s="150"/>
      <c r="J350" s="2232"/>
      <c r="K350" s="291"/>
      <c r="L350" s="159"/>
      <c r="M350" s="60"/>
    </row>
    <row r="351" spans="1:18" x14ac:dyDescent="0.25">
      <c r="A351" s="363"/>
      <c r="B351" s="2235" t="s">
        <v>264</v>
      </c>
      <c r="C351" s="2236"/>
      <c r="D351" s="2236"/>
      <c r="E351" s="2236"/>
      <c r="F351" s="2236"/>
      <c r="G351" s="2236"/>
      <c r="H351" s="2236"/>
      <c r="I351" s="150"/>
      <c r="J351" s="2232"/>
      <c r="K351" s="291"/>
      <c r="L351" s="159"/>
      <c r="M351" s="60"/>
    </row>
    <row r="352" spans="1:18" x14ac:dyDescent="0.25">
      <c r="A352" s="363"/>
      <c r="B352" s="150"/>
      <c r="C352" s="150"/>
      <c r="D352" s="150"/>
      <c r="E352" s="150"/>
      <c r="F352" s="150"/>
      <c r="G352" s="150"/>
      <c r="H352" s="150"/>
      <c r="I352" s="150"/>
      <c r="J352" s="2232"/>
      <c r="K352" s="291"/>
      <c r="L352" s="159"/>
      <c r="M352" s="60"/>
    </row>
    <row r="353" spans="1:13" x14ac:dyDescent="0.25">
      <c r="A353" s="363"/>
      <c r="B353" s="150"/>
      <c r="C353" s="150"/>
      <c r="D353" s="150"/>
      <c r="E353" s="150"/>
      <c r="F353" s="150"/>
      <c r="G353" s="150"/>
      <c r="H353" s="150"/>
      <c r="I353" s="150"/>
      <c r="J353" s="2232"/>
      <c r="K353" s="291"/>
      <c r="L353" s="159"/>
      <c r="M353" s="60"/>
    </row>
    <row r="354" spans="1:13" x14ac:dyDescent="0.25">
      <c r="A354" s="363"/>
      <c r="B354" s="2233" t="s">
        <v>265</v>
      </c>
      <c r="C354" s="150"/>
      <c r="D354" s="150"/>
      <c r="E354" s="150"/>
      <c r="F354" s="150"/>
      <c r="G354" s="150"/>
      <c r="H354" s="150"/>
      <c r="I354" s="150"/>
      <c r="J354" s="2232"/>
      <c r="K354" s="291"/>
      <c r="L354" s="159"/>
      <c r="M354" s="60"/>
    </row>
    <row r="355" spans="1:13" x14ac:dyDescent="0.25">
      <c r="A355" s="363"/>
      <c r="B355" s="2237" t="s">
        <v>266</v>
      </c>
      <c r="C355" s="2237" t="s">
        <v>1787</v>
      </c>
      <c r="D355" s="150"/>
      <c r="E355" s="150"/>
      <c r="F355" s="150"/>
      <c r="G355" s="150"/>
      <c r="H355" s="150"/>
      <c r="I355" s="150"/>
      <c r="J355" s="2232"/>
      <c r="K355" s="291"/>
      <c r="L355" s="159"/>
      <c r="M355" s="60"/>
    </row>
    <row r="356" spans="1:13" x14ac:dyDescent="0.25">
      <c r="A356" s="363"/>
      <c r="B356" s="2238" t="s">
        <v>23</v>
      </c>
      <c r="C356" s="2238">
        <v>37.9</v>
      </c>
      <c r="D356" s="150"/>
      <c r="E356" s="150"/>
      <c r="F356" s="150"/>
      <c r="G356" s="150"/>
      <c r="H356" s="150"/>
      <c r="I356" s="150"/>
      <c r="J356" s="2232"/>
      <c r="K356" s="291"/>
      <c r="L356" s="159"/>
      <c r="M356" s="60"/>
    </row>
    <row r="357" spans="1:13" x14ac:dyDescent="0.25">
      <c r="A357" s="363"/>
      <c r="B357" s="2238" t="s">
        <v>1788</v>
      </c>
      <c r="C357" s="2238">
        <v>31.5</v>
      </c>
      <c r="D357" s="741"/>
      <c r="E357" s="150"/>
      <c r="F357" s="150"/>
      <c r="G357" s="150"/>
      <c r="H357" s="150"/>
      <c r="I357" s="150"/>
      <c r="J357" s="2232"/>
      <c r="K357" s="291"/>
      <c r="L357" s="159"/>
      <c r="M357" s="60"/>
    </row>
    <row r="358" spans="1:13" x14ac:dyDescent="0.25">
      <c r="A358" s="363"/>
      <c r="B358" s="2238" t="s">
        <v>1789</v>
      </c>
      <c r="C358" s="2238">
        <v>35.6</v>
      </c>
      <c r="D358" s="741"/>
      <c r="E358" s="150"/>
      <c r="F358" s="150"/>
      <c r="G358" s="150"/>
      <c r="H358" s="150"/>
      <c r="I358" s="150"/>
      <c r="J358" s="2232"/>
      <c r="K358" s="291"/>
      <c r="L358" s="159"/>
      <c r="M358" s="60"/>
    </row>
    <row r="359" spans="1:13" x14ac:dyDescent="0.25">
      <c r="A359" s="363"/>
      <c r="B359" s="2238" t="s">
        <v>1543</v>
      </c>
      <c r="C359" s="2238">
        <v>21.1</v>
      </c>
      <c r="D359" s="741"/>
      <c r="E359" s="150"/>
      <c r="F359" s="150"/>
      <c r="G359" s="150"/>
      <c r="H359" s="150"/>
      <c r="I359" s="150"/>
      <c r="J359" s="2232"/>
      <c r="K359" s="291"/>
      <c r="L359" s="159"/>
      <c r="M359" s="60"/>
    </row>
    <row r="360" spans="1:13" x14ac:dyDescent="0.25">
      <c r="A360" s="363"/>
      <c r="B360" s="150"/>
      <c r="C360" s="150"/>
      <c r="D360" s="150"/>
      <c r="E360" s="150"/>
      <c r="F360" s="150"/>
      <c r="G360" s="150"/>
      <c r="H360" s="150"/>
      <c r="I360" s="150"/>
      <c r="J360" s="2232"/>
      <c r="K360" s="291"/>
      <c r="L360" s="159"/>
      <c r="M360" s="60"/>
    </row>
    <row r="361" spans="1:13" x14ac:dyDescent="0.25">
      <c r="A361" s="363"/>
      <c r="B361" s="815" t="s">
        <v>267</v>
      </c>
      <c r="C361" s="815"/>
      <c r="D361" s="289"/>
      <c r="E361" s="289"/>
      <c r="F361" s="150"/>
      <c r="G361" s="150"/>
      <c r="H361" s="150"/>
      <c r="I361" s="150"/>
      <c r="J361" s="2232"/>
      <c r="K361" s="291"/>
      <c r="L361" s="159"/>
      <c r="M361" s="60"/>
    </row>
    <row r="362" spans="1:13" x14ac:dyDescent="0.25">
      <c r="A362" s="363"/>
      <c r="B362" s="150"/>
      <c r="C362" s="150"/>
      <c r="D362" s="150"/>
      <c r="E362" s="150"/>
      <c r="F362" s="150"/>
      <c r="G362" s="150"/>
      <c r="H362" s="150"/>
      <c r="I362" s="150"/>
      <c r="J362" s="2232"/>
      <c r="K362" s="291"/>
      <c r="L362" s="159"/>
      <c r="M362" s="60"/>
    </row>
    <row r="363" spans="1:13" x14ac:dyDescent="0.25">
      <c r="A363" s="363"/>
      <c r="B363" s="150"/>
      <c r="C363" s="150"/>
      <c r="D363" s="150"/>
      <c r="E363" s="150"/>
      <c r="F363" s="150"/>
      <c r="G363" s="150"/>
      <c r="H363" s="150"/>
      <c r="I363" s="150"/>
      <c r="J363" s="2232"/>
      <c r="K363" s="770"/>
    </row>
    <row r="364" spans="1:13" x14ac:dyDescent="0.25">
      <c r="A364" s="363"/>
      <c r="B364" s="9" t="s">
        <v>268</v>
      </c>
      <c r="C364" s="150"/>
      <c r="D364" s="150"/>
      <c r="E364" s="150"/>
      <c r="F364" s="150"/>
      <c r="G364" s="150"/>
      <c r="H364" s="150"/>
      <c r="I364" s="150"/>
      <c r="J364" s="2232"/>
      <c r="K364" s="770"/>
    </row>
    <row r="365" spans="1:13" ht="13.25" thickBot="1" x14ac:dyDescent="0.3">
      <c r="A365" s="372"/>
      <c r="B365" s="373" t="s">
        <v>269</v>
      </c>
      <c r="C365" s="373"/>
      <c r="D365" s="373"/>
      <c r="E365" s="373"/>
      <c r="F365" s="373"/>
      <c r="G365" s="373"/>
      <c r="H365" s="373"/>
      <c r="I365" s="373"/>
      <c r="J365" s="2239"/>
      <c r="K365" s="770"/>
    </row>
    <row r="366" spans="1:13" x14ac:dyDescent="0.25">
      <c r="A366" s="291"/>
      <c r="B366" s="291"/>
      <c r="C366" s="291"/>
      <c r="D366" s="291"/>
      <c r="E366" s="291"/>
      <c r="F366" s="291"/>
      <c r="G366" s="291"/>
      <c r="H366" s="291"/>
      <c r="I366" s="291"/>
      <c r="J366" s="291"/>
      <c r="K366" s="770"/>
    </row>
    <row r="367" spans="1:13" x14ac:dyDescent="0.25">
      <c r="A367" s="291"/>
      <c r="B367" s="291"/>
      <c r="C367" s="291"/>
      <c r="D367" s="291"/>
      <c r="E367" s="291"/>
      <c r="F367" s="291"/>
      <c r="G367" s="291"/>
      <c r="H367" s="291"/>
      <c r="I367" s="291"/>
      <c r="J367" s="291"/>
      <c r="K367" s="770"/>
    </row>
    <row r="369" spans="1:14" x14ac:dyDescent="0.25">
      <c r="A369" s="10" t="s">
        <v>669</v>
      </c>
      <c r="B369" s="159"/>
      <c r="C369" s="159"/>
      <c r="D369" s="159"/>
      <c r="E369" s="159"/>
      <c r="F369" s="159"/>
    </row>
    <row r="370" spans="1:14" ht="13.25" thickBot="1" x14ac:dyDescent="0.3">
      <c r="A370" s="159"/>
      <c r="B370" s="159"/>
      <c r="C370" s="159"/>
      <c r="D370" s="159"/>
      <c r="E370" s="159"/>
      <c r="F370" s="159"/>
    </row>
    <row r="371" spans="1:14" x14ac:dyDescent="0.25">
      <c r="A371" s="289" t="s">
        <v>1973</v>
      </c>
      <c r="B371" s="289"/>
      <c r="C371" s="387"/>
      <c r="D371" s="387"/>
      <c r="E371" s="387"/>
      <c r="F371" s="388"/>
    </row>
    <row r="372" spans="1:14" x14ac:dyDescent="0.25">
      <c r="A372" s="289">
        <v>1.5</v>
      </c>
      <c r="B372" s="289" t="s">
        <v>1449</v>
      </c>
      <c r="C372" s="150"/>
      <c r="D372" s="150"/>
      <c r="E372" s="150"/>
      <c r="F372" s="357"/>
    </row>
    <row r="373" spans="1:14" x14ac:dyDescent="0.25">
      <c r="A373" s="289">
        <v>1.1299999999999999</v>
      </c>
      <c r="B373" s="289" t="s">
        <v>1825</v>
      </c>
      <c r="C373" s="150"/>
      <c r="D373" s="150"/>
      <c r="E373" s="150"/>
      <c r="F373" s="357"/>
    </row>
    <row r="374" spans="1:14" x14ac:dyDescent="0.25">
      <c r="A374" s="289">
        <v>0.87</v>
      </c>
      <c r="B374" s="289" t="s">
        <v>1749</v>
      </c>
      <c r="C374" s="150"/>
      <c r="D374" s="150"/>
      <c r="E374" s="150"/>
      <c r="F374" s="357"/>
    </row>
    <row r="375" spans="1:14" x14ac:dyDescent="0.25">
      <c r="A375" s="289"/>
      <c r="B375" s="289"/>
      <c r="C375" s="150"/>
      <c r="D375" s="150"/>
      <c r="E375" s="150"/>
      <c r="F375" s="357"/>
    </row>
    <row r="376" spans="1:14" x14ac:dyDescent="0.25">
      <c r="A376" s="363"/>
      <c r="B376" s="150"/>
      <c r="C376" s="150"/>
      <c r="D376" s="150"/>
      <c r="E376" s="150"/>
      <c r="F376" s="357"/>
    </row>
    <row r="377" spans="1:14" x14ac:dyDescent="0.25">
      <c r="A377" s="289" t="s">
        <v>2075</v>
      </c>
      <c r="B377" s="289"/>
      <c r="C377" s="150"/>
      <c r="D377" s="150"/>
      <c r="E377" s="150"/>
      <c r="F377" s="357"/>
    </row>
    <row r="378" spans="1:14" x14ac:dyDescent="0.25">
      <c r="A378" s="289" t="s">
        <v>2073</v>
      </c>
      <c r="B378" s="289">
        <v>25</v>
      </c>
      <c r="C378" s="150"/>
      <c r="D378" s="150"/>
      <c r="E378" s="150"/>
      <c r="F378" s="357"/>
    </row>
    <row r="379" spans="1:14" x14ac:dyDescent="0.25">
      <c r="A379" s="289" t="s">
        <v>1793</v>
      </c>
      <c r="B379" s="289">
        <v>296</v>
      </c>
      <c r="C379" s="150"/>
      <c r="D379" s="150"/>
      <c r="E379" s="150"/>
      <c r="F379" s="357"/>
    </row>
    <row r="380" spans="1:14" x14ac:dyDescent="0.25">
      <c r="A380" s="289" t="s">
        <v>16</v>
      </c>
      <c r="B380" s="289">
        <f>44/28</f>
        <v>1.5714285714285714</v>
      </c>
      <c r="C380" s="150"/>
      <c r="D380" s="150"/>
      <c r="E380" s="150"/>
      <c r="F380" s="357"/>
    </row>
    <row r="381" spans="1:14" x14ac:dyDescent="0.25">
      <c r="A381" s="363"/>
      <c r="B381" s="150"/>
      <c r="C381" s="150"/>
      <c r="D381" s="150"/>
      <c r="E381" s="150"/>
      <c r="F381" s="357"/>
    </row>
    <row r="382" spans="1:14" x14ac:dyDescent="0.25">
      <c r="A382" s="289" t="s">
        <v>179</v>
      </c>
      <c r="B382" s="289"/>
      <c r="C382" s="289"/>
      <c r="D382" s="289"/>
      <c r="E382" s="289"/>
      <c r="F382" s="357"/>
    </row>
    <row r="383" spans="1:14" x14ac:dyDescent="0.25">
      <c r="B383" s="289" t="s">
        <v>180</v>
      </c>
      <c r="C383" s="289" t="s">
        <v>1265</v>
      </c>
      <c r="D383" s="289" t="s">
        <v>1357</v>
      </c>
      <c r="E383" s="289"/>
      <c r="F383" s="289"/>
      <c r="G383" s="357"/>
      <c r="K383" s="60"/>
      <c r="L383" s="769"/>
      <c r="M383" s="60"/>
      <c r="N383" s="159"/>
    </row>
    <row r="384" spans="1:14" x14ac:dyDescent="0.25">
      <c r="A384" s="60" t="s">
        <v>775</v>
      </c>
      <c r="B384" s="289">
        <v>1</v>
      </c>
      <c r="C384" s="254">
        <f>D384 * 0.6</f>
        <v>8.3595505617977523E-4</v>
      </c>
      <c r="D384" s="816">
        <f>D386</f>
        <v>1.393258426966292E-3</v>
      </c>
      <c r="E384" s="289"/>
      <c r="F384" s="289" t="s">
        <v>1356</v>
      </c>
      <c r="G384" s="357"/>
      <c r="K384" s="60"/>
      <c r="L384" s="769"/>
      <c r="M384" s="60"/>
      <c r="N384" s="159"/>
    </row>
    <row r="385" spans="1:14" x14ac:dyDescent="0.25">
      <c r="A385" s="60" t="s">
        <v>776</v>
      </c>
      <c r="B385" s="289">
        <v>1</v>
      </c>
      <c r="C385" s="817">
        <v>3.6000000000000002E-4</v>
      </c>
      <c r="D385" s="289">
        <f>C385/0.233</f>
        <v>1.5450643776824034E-3</v>
      </c>
      <c r="E385" s="289"/>
      <c r="F385" s="289" t="str">
        <f>"FYM, assume " &amp; G385&amp; "% dry matter"</f>
        <v>FYM, assume 23.3% dry matter</v>
      </c>
      <c r="G385" s="60">
        <f>AVERAGE(F44:F53)</f>
        <v>23.3</v>
      </c>
      <c r="K385" s="60"/>
      <c r="L385" s="769"/>
      <c r="M385" s="60"/>
      <c r="N385" s="159"/>
    </row>
    <row r="386" spans="1:14" ht="13.25" thickBot="1" x14ac:dyDescent="0.3">
      <c r="A386" s="60" t="s">
        <v>777</v>
      </c>
      <c r="B386" s="289">
        <v>1</v>
      </c>
      <c r="C386" s="817">
        <v>1.24E-3</v>
      </c>
      <c r="D386" s="818">
        <f>C386/E428</f>
        <v>1.393258426966292E-3</v>
      </c>
      <c r="E386" s="289"/>
      <c r="F386" s="289" t="s">
        <v>1656</v>
      </c>
      <c r="G386" s="374"/>
      <c r="K386" s="60"/>
      <c r="L386" s="769"/>
      <c r="M386" s="60"/>
      <c r="N386" s="159"/>
    </row>
    <row r="387" spans="1:14" ht="13.25" thickBot="1" x14ac:dyDescent="0.3"/>
    <row r="388" spans="1:14" x14ac:dyDescent="0.25">
      <c r="A388" s="738" t="s">
        <v>591</v>
      </c>
      <c r="B388" s="387"/>
      <c r="C388" s="387"/>
      <c r="D388" s="387"/>
      <c r="E388" s="387"/>
      <c r="F388" s="388"/>
    </row>
    <row r="389" spans="1:14" x14ac:dyDescent="0.25">
      <c r="A389" s="363"/>
      <c r="B389" s="150"/>
      <c r="C389" s="150"/>
      <c r="D389" s="150"/>
      <c r="E389" s="150"/>
      <c r="F389" s="357"/>
    </row>
    <row r="390" spans="1:14" x14ac:dyDescent="0.25">
      <c r="A390" s="363"/>
      <c r="B390" s="150" t="s">
        <v>886</v>
      </c>
      <c r="C390" s="150">
        <v>0.01</v>
      </c>
      <c r="D390" s="150"/>
      <c r="E390" s="150"/>
      <c r="F390" s="357"/>
    </row>
    <row r="391" spans="1:14" x14ac:dyDescent="0.25">
      <c r="A391" s="363"/>
      <c r="B391" s="150" t="s">
        <v>1159</v>
      </c>
      <c r="C391" s="150">
        <v>0.12</v>
      </c>
      <c r="D391" s="150"/>
      <c r="E391" s="150"/>
      <c r="F391" s="357"/>
    </row>
    <row r="392" spans="1:14" x14ac:dyDescent="0.25">
      <c r="A392" s="363"/>
      <c r="B392" s="150" t="s">
        <v>1158</v>
      </c>
      <c r="C392" s="150">
        <v>0.2</v>
      </c>
      <c r="D392" s="150"/>
      <c r="E392" s="150"/>
      <c r="F392" s="357"/>
    </row>
    <row r="393" spans="1:14" ht="13.25" thickBot="1" x14ac:dyDescent="0.3">
      <c r="A393" s="372"/>
      <c r="B393" s="373"/>
      <c r="C393" s="373"/>
      <c r="D393" s="373"/>
      <c r="E393" s="373"/>
      <c r="F393" s="374"/>
    </row>
    <row r="398" spans="1:14" ht="13.25" thickBot="1" x14ac:dyDescent="0.3"/>
    <row r="399" spans="1:14" x14ac:dyDescent="0.25">
      <c r="A399" s="738"/>
      <c r="B399" s="387"/>
      <c r="C399" s="387"/>
      <c r="D399" s="387"/>
      <c r="E399" s="387"/>
      <c r="F399" s="388"/>
    </row>
    <row r="400" spans="1:14" x14ac:dyDescent="0.25">
      <c r="A400" s="363"/>
      <c r="B400" s="150"/>
      <c r="C400" s="150"/>
      <c r="D400" s="150"/>
      <c r="E400" s="150"/>
      <c r="F400" s="357"/>
    </row>
    <row r="401" spans="1:11" x14ac:dyDescent="0.25">
      <c r="A401" s="363"/>
      <c r="B401" s="289"/>
      <c r="C401" s="289" t="s">
        <v>1060</v>
      </c>
      <c r="D401" s="289" t="s">
        <v>1793</v>
      </c>
      <c r="E401" s="289"/>
      <c r="F401" s="357"/>
    </row>
    <row r="402" spans="1:11" x14ac:dyDescent="0.25">
      <c r="A402" s="363"/>
      <c r="B402" s="289"/>
      <c r="C402" s="289" t="s">
        <v>453</v>
      </c>
      <c r="D402" s="289" t="s">
        <v>773</v>
      </c>
      <c r="E402" s="289" t="s">
        <v>462</v>
      </c>
      <c r="F402" s="357"/>
    </row>
    <row r="403" spans="1:11" x14ac:dyDescent="0.25">
      <c r="A403" s="363"/>
      <c r="B403" s="289" t="s">
        <v>1316</v>
      </c>
      <c r="C403" s="289">
        <f>16/12* 0.5*0.5*0.49*0.4</f>
        <v>6.533333333333334E-2</v>
      </c>
      <c r="D403" s="289">
        <f>0.00030405*100/$F$41</f>
        <v>5.0674999999999993E-4</v>
      </c>
      <c r="E403" s="289" t="s">
        <v>463</v>
      </c>
      <c r="F403" s="357"/>
    </row>
    <row r="404" spans="1:11" x14ac:dyDescent="0.25">
      <c r="A404" s="363"/>
      <c r="B404" s="289" t="s">
        <v>1131</v>
      </c>
      <c r="C404" s="289">
        <f>0.003*100/$F$41</f>
        <v>5.0000000000000001E-3</v>
      </c>
      <c r="D404" s="289">
        <f>0.00030405*100/$F$41</f>
        <v>5.0674999999999993E-4</v>
      </c>
      <c r="E404" s="289" t="s">
        <v>464</v>
      </c>
      <c r="F404" s="357"/>
      <c r="G404" s="291"/>
      <c r="H404" s="291"/>
      <c r="I404" s="291"/>
      <c r="J404" s="291"/>
      <c r="K404" s="770"/>
    </row>
    <row r="405" spans="1:11" x14ac:dyDescent="0.25">
      <c r="A405" s="363"/>
      <c r="B405" s="289" t="s">
        <v>1359</v>
      </c>
      <c r="C405" s="289">
        <f>0.0018*100/$F$41</f>
        <v>3.0000000000000001E-3</v>
      </c>
      <c r="D405" s="289">
        <f>0.0002027*100/$F$41</f>
        <v>3.3783333333333332E-4</v>
      </c>
      <c r="E405" s="289" t="s">
        <v>464</v>
      </c>
      <c r="F405" s="742"/>
      <c r="G405" s="448"/>
      <c r="H405" s="448"/>
      <c r="I405" s="448"/>
      <c r="J405" s="448"/>
      <c r="K405" s="448"/>
    </row>
    <row r="406" spans="1:11" x14ac:dyDescent="0.25">
      <c r="A406" s="363"/>
      <c r="B406" s="289" t="s">
        <v>1563</v>
      </c>
      <c r="C406" s="289">
        <v>0</v>
      </c>
      <c r="D406" s="289" t="e">
        <f>NA()</f>
        <v>#N/A</v>
      </c>
      <c r="E406" s="289" t="s">
        <v>465</v>
      </c>
      <c r="F406" s="742"/>
      <c r="G406" s="448"/>
      <c r="H406" s="448"/>
      <c r="I406" s="448"/>
      <c r="J406" s="448"/>
      <c r="K406" s="448"/>
    </row>
    <row r="407" spans="1:11" x14ac:dyDescent="0.25">
      <c r="A407" s="363"/>
      <c r="B407" s="289" t="s">
        <v>916</v>
      </c>
      <c r="C407" s="289">
        <v>2.7000000000000001E-3</v>
      </c>
      <c r="D407" s="289">
        <v>6.9999999999999994E-5</v>
      </c>
      <c r="E407" s="289" t="s">
        <v>466</v>
      </c>
      <c r="F407" s="742"/>
      <c r="G407" s="448"/>
      <c r="H407" s="448"/>
      <c r="I407" s="448"/>
      <c r="J407" s="448"/>
      <c r="K407" s="448"/>
    </row>
    <row r="408" spans="1:11" x14ac:dyDescent="0.25">
      <c r="A408" s="363"/>
      <c r="B408" s="289" t="s">
        <v>1206</v>
      </c>
      <c r="C408" s="289">
        <v>0</v>
      </c>
      <c r="D408" s="289">
        <v>0</v>
      </c>
      <c r="E408" s="289" t="s">
        <v>467</v>
      </c>
      <c r="F408" s="742"/>
      <c r="G408" s="448"/>
      <c r="H408" s="448"/>
      <c r="I408" s="448"/>
      <c r="J408" s="448"/>
      <c r="K408" s="448"/>
    </row>
    <row r="409" spans="1:11" x14ac:dyDescent="0.25">
      <c r="A409" s="363"/>
      <c r="B409" s="150"/>
      <c r="C409" s="150"/>
      <c r="D409" s="150"/>
      <c r="E409" s="150"/>
      <c r="F409" s="742"/>
      <c r="G409" s="448"/>
      <c r="H409" s="448"/>
      <c r="I409" s="448"/>
      <c r="J409" s="448"/>
      <c r="K409" s="448"/>
    </row>
    <row r="410" spans="1:11" x14ac:dyDescent="0.25">
      <c r="A410" s="363"/>
      <c r="B410" s="150"/>
      <c r="C410" s="150"/>
      <c r="D410" s="150"/>
      <c r="E410" s="150"/>
      <c r="F410" s="742"/>
      <c r="G410" s="448"/>
      <c r="H410" s="448"/>
      <c r="I410" s="448"/>
      <c r="J410" s="448"/>
      <c r="K410" s="448"/>
    </row>
    <row r="411" spans="1:11" x14ac:dyDescent="0.25">
      <c r="A411" s="363"/>
      <c r="B411" s="150"/>
      <c r="C411" s="150"/>
      <c r="D411" s="150"/>
      <c r="E411" s="150"/>
      <c r="F411" s="742"/>
      <c r="G411" s="448"/>
      <c r="H411" s="448"/>
      <c r="I411" s="448"/>
      <c r="J411" s="448"/>
      <c r="K411" s="448"/>
    </row>
    <row r="412" spans="1:11" x14ac:dyDescent="0.25">
      <c r="A412" s="2202"/>
      <c r="B412" s="741"/>
      <c r="C412" s="150"/>
      <c r="D412" s="2198"/>
      <c r="E412" s="150"/>
      <c r="F412" s="357"/>
      <c r="G412" s="291"/>
      <c r="H412" s="291"/>
      <c r="I412" s="291"/>
      <c r="J412" s="291"/>
      <c r="K412" s="770"/>
    </row>
    <row r="413" spans="1:11" ht="25.35" x14ac:dyDescent="0.25">
      <c r="A413" s="2203"/>
      <c r="B413" s="2209" t="s">
        <v>454</v>
      </c>
      <c r="C413" s="2210" t="s">
        <v>455</v>
      </c>
      <c r="D413" s="824" t="s">
        <v>456</v>
      </c>
      <c r="E413" s="289">
        <v>0.5</v>
      </c>
      <c r="F413" s="289" t="s">
        <v>459</v>
      </c>
      <c r="G413" s="291"/>
      <c r="H413" s="291"/>
      <c r="I413" s="291"/>
      <c r="J413" s="291"/>
      <c r="K413" s="770"/>
    </row>
    <row r="414" spans="1:11" x14ac:dyDescent="0.25">
      <c r="A414" s="2204"/>
      <c r="B414" s="743"/>
      <c r="C414" s="2199"/>
      <c r="D414" s="815" t="s">
        <v>457</v>
      </c>
      <c r="E414" s="289">
        <v>0.49</v>
      </c>
      <c r="F414" s="289" t="s">
        <v>461</v>
      </c>
      <c r="G414" s="291"/>
      <c r="H414" s="291"/>
      <c r="I414" s="291"/>
      <c r="J414" s="291"/>
      <c r="K414" s="770"/>
    </row>
    <row r="415" spans="1:11" x14ac:dyDescent="0.25">
      <c r="A415" s="2204"/>
      <c r="B415" s="743"/>
      <c r="C415" s="2199"/>
      <c r="D415" s="815" t="s">
        <v>458</v>
      </c>
      <c r="E415" s="289">
        <v>0.5</v>
      </c>
      <c r="F415" s="289" t="s">
        <v>460</v>
      </c>
      <c r="G415" s="291"/>
      <c r="H415" s="291"/>
      <c r="I415" s="291"/>
      <c r="J415" s="291"/>
      <c r="K415" s="770"/>
    </row>
    <row r="416" spans="1:11" x14ac:dyDescent="0.25">
      <c r="A416" s="2204"/>
      <c r="B416" s="743"/>
      <c r="C416" s="2199"/>
      <c r="D416" s="815" t="s">
        <v>938</v>
      </c>
      <c r="E416" s="289">
        <v>0.4</v>
      </c>
      <c r="F416" s="289" t="s">
        <v>460</v>
      </c>
    </row>
    <row r="417" spans="1:14" ht="13.25" thickBot="1" x14ac:dyDescent="0.3">
      <c r="A417" s="2205"/>
      <c r="B417" s="2206"/>
      <c r="C417" s="2207"/>
      <c r="D417" s="2208"/>
      <c r="E417" s="373"/>
      <c r="F417" s="374"/>
    </row>
    <row r="418" spans="1:14" x14ac:dyDescent="0.25">
      <c r="A418" s="2201"/>
      <c r="B418" s="448"/>
      <c r="C418" s="772"/>
      <c r="D418" s="448"/>
      <c r="E418" s="291"/>
    </row>
    <row r="419" spans="1:14" x14ac:dyDescent="0.25">
      <c r="A419" s="2200"/>
      <c r="B419" s="448"/>
      <c r="C419" s="772"/>
      <c r="D419" s="448"/>
      <c r="E419" s="291"/>
    </row>
    <row r="420" spans="1:14" x14ac:dyDescent="0.25">
      <c r="A420" s="291"/>
      <c r="B420" s="291"/>
      <c r="C420" s="291"/>
      <c r="D420" s="291"/>
      <c r="E420" s="291"/>
    </row>
    <row r="424" spans="1:14" ht="13.25" thickBot="1" x14ac:dyDescent="0.3"/>
    <row r="425" spans="1:14" ht="33.700000000000003" customHeight="1" thickBot="1" x14ac:dyDescent="0.3">
      <c r="A425" s="1538" t="s">
        <v>906</v>
      </c>
      <c r="B425" s="108" t="s">
        <v>1438</v>
      </c>
      <c r="C425" s="1539" t="s">
        <v>1685</v>
      </c>
      <c r="D425" s="1539" t="s">
        <v>1684</v>
      </c>
      <c r="E425" s="1539" t="s">
        <v>825</v>
      </c>
      <c r="F425" s="1539" t="s">
        <v>824</v>
      </c>
      <c r="G425" s="1539" t="s">
        <v>180</v>
      </c>
      <c r="H425" s="1539" t="s">
        <v>823</v>
      </c>
      <c r="I425" s="1539" t="s">
        <v>1528</v>
      </c>
      <c r="J425" s="1540" t="s">
        <v>954</v>
      </c>
      <c r="K425" s="1541"/>
      <c r="M425" s="1527"/>
      <c r="N425" s="60" t="s">
        <v>1397</v>
      </c>
    </row>
    <row r="426" spans="1:14" x14ac:dyDescent="0.25">
      <c r="A426" s="195">
        <v>1</v>
      </c>
      <c r="B426" s="195" t="s">
        <v>1193</v>
      </c>
      <c r="C426" s="181" t="s">
        <v>1193</v>
      </c>
      <c r="D426" s="181" t="s">
        <v>1597</v>
      </c>
      <c r="E426" s="181">
        <v>0.9</v>
      </c>
      <c r="F426" s="181">
        <v>0.28999999999999998</v>
      </c>
      <c r="G426" s="181">
        <v>0</v>
      </c>
      <c r="H426" s="181">
        <v>2.7E-2</v>
      </c>
      <c r="I426" s="181">
        <v>0.4</v>
      </c>
      <c r="J426" s="227">
        <v>1.9E-2</v>
      </c>
      <c r="K426" s="227"/>
      <c r="M426" s="733" t="s">
        <v>1398</v>
      </c>
      <c r="N426" s="146" t="s">
        <v>1398</v>
      </c>
    </row>
    <row r="427" spans="1:14" x14ac:dyDescent="0.25">
      <c r="A427" s="195">
        <v>2</v>
      </c>
      <c r="B427" s="659" t="s">
        <v>1394</v>
      </c>
      <c r="C427" s="703" t="s">
        <v>696</v>
      </c>
      <c r="D427" s="703" t="s">
        <v>1597</v>
      </c>
      <c r="E427" s="703" t="e">
        <f t="shared" ref="E427:J427" si="10">E447</f>
        <v>#N/A</v>
      </c>
      <c r="F427" s="703" t="e">
        <f t="shared" si="10"/>
        <v>#N/A</v>
      </c>
      <c r="G427" s="703" t="e">
        <f t="shared" si="10"/>
        <v>#N/A</v>
      </c>
      <c r="H427" s="703">
        <f t="shared" si="10"/>
        <v>1.5166666666666669E-2</v>
      </c>
      <c r="I427" s="703">
        <f t="shared" si="10"/>
        <v>0</v>
      </c>
      <c r="J427" s="1528">
        <f t="shared" si="10"/>
        <v>1.3166666666666667E-2</v>
      </c>
      <c r="K427" s="227"/>
    </row>
    <row r="428" spans="1:14" x14ac:dyDescent="0.25">
      <c r="A428" s="195">
        <v>3</v>
      </c>
      <c r="B428" s="195" t="s">
        <v>1212</v>
      </c>
      <c r="C428" s="181" t="s">
        <v>1329</v>
      </c>
      <c r="D428" s="181" t="s">
        <v>1597</v>
      </c>
      <c r="E428" s="181">
        <v>0.89</v>
      </c>
      <c r="F428" s="181">
        <v>0.98</v>
      </c>
      <c r="G428" s="181">
        <v>0.59</v>
      </c>
      <c r="H428" s="181">
        <v>7.0000000000000001E-3</v>
      </c>
      <c r="I428" s="181">
        <v>0.22</v>
      </c>
      <c r="J428" s="227">
        <v>1.4E-2</v>
      </c>
      <c r="K428" s="227"/>
    </row>
    <row r="429" spans="1:14" x14ac:dyDescent="0.25">
      <c r="A429" s="195">
        <v>4</v>
      </c>
      <c r="B429" s="659" t="s">
        <v>1195</v>
      </c>
      <c r="C429" s="703" t="s">
        <v>1374</v>
      </c>
      <c r="D429" s="703" t="str">
        <f>D432</f>
        <v>Legume</v>
      </c>
      <c r="E429" s="703">
        <f t="shared" ref="E429:J429" si="11">E433</f>
        <v>0.9</v>
      </c>
      <c r="F429" s="703">
        <f t="shared" si="11"/>
        <v>0.3</v>
      </c>
      <c r="G429" s="703">
        <f t="shared" si="11"/>
        <v>0</v>
      </c>
      <c r="H429" s="703">
        <f t="shared" si="11"/>
        <v>2.5000000000000001E-2</v>
      </c>
      <c r="I429" s="703">
        <f t="shared" si="11"/>
        <v>0.8</v>
      </c>
      <c r="J429" s="1528">
        <f t="shared" si="11"/>
        <v>0.16</v>
      </c>
      <c r="K429" s="227"/>
    </row>
    <row r="430" spans="1:14" x14ac:dyDescent="0.25">
      <c r="A430" s="195">
        <v>5</v>
      </c>
      <c r="B430" s="659" t="s">
        <v>1892</v>
      </c>
      <c r="C430" s="703" t="s">
        <v>696</v>
      </c>
      <c r="D430" s="703" t="s">
        <v>1597</v>
      </c>
      <c r="E430" s="703" t="e">
        <f>NA()</f>
        <v>#N/A</v>
      </c>
      <c r="F430" s="703" t="e">
        <f>NA()</f>
        <v>#N/A</v>
      </c>
      <c r="G430" s="703" t="e">
        <f>NA()</f>
        <v>#N/A</v>
      </c>
      <c r="H430" s="703">
        <f>AVERAGE(H412:H429,H432:H438)</f>
        <v>1.4560606060606062E-2</v>
      </c>
      <c r="I430" s="703">
        <v>0</v>
      </c>
      <c r="J430" s="1528">
        <f>J446</f>
        <v>1.3166666666666667E-2</v>
      </c>
      <c r="K430" s="227" t="s">
        <v>1834</v>
      </c>
    </row>
    <row r="431" spans="1:14" x14ac:dyDescent="0.25">
      <c r="A431" s="195">
        <v>6</v>
      </c>
      <c r="B431" s="659" t="s">
        <v>389</v>
      </c>
      <c r="C431" s="703" t="s">
        <v>2072</v>
      </c>
      <c r="D431" s="703" t="s">
        <v>1597</v>
      </c>
      <c r="E431" s="703">
        <f t="shared" ref="E431:J431" si="12">E456</f>
        <v>0.79166666666666652</v>
      </c>
      <c r="F431" s="703">
        <f t="shared" si="12"/>
        <v>0.66499999999999992</v>
      </c>
      <c r="G431" s="703">
        <f t="shared" si="12"/>
        <v>0.72166666666666668</v>
      </c>
      <c r="H431" s="703">
        <f t="shared" si="12"/>
        <v>1.5166666666666669E-2</v>
      </c>
      <c r="I431" s="703">
        <f t="shared" si="12"/>
        <v>0.29166666666666669</v>
      </c>
      <c r="J431" s="1528">
        <f t="shared" si="12"/>
        <v>1.3166666666666667E-2</v>
      </c>
      <c r="K431" s="227"/>
    </row>
    <row r="432" spans="1:14" x14ac:dyDescent="0.25">
      <c r="A432" s="195">
        <v>7</v>
      </c>
      <c r="B432" s="195" t="s">
        <v>1377</v>
      </c>
      <c r="C432" s="181" t="s">
        <v>1327</v>
      </c>
      <c r="D432" s="181" t="s">
        <v>118</v>
      </c>
      <c r="E432" s="181">
        <v>0.9</v>
      </c>
      <c r="F432" s="181">
        <v>0.36</v>
      </c>
      <c r="G432" s="181">
        <v>0.68</v>
      </c>
      <c r="H432" s="181">
        <v>0.01</v>
      </c>
      <c r="I432" s="181">
        <f>I443</f>
        <v>0.19</v>
      </c>
      <c r="J432" s="227">
        <v>0.01</v>
      </c>
      <c r="K432" s="227"/>
    </row>
    <row r="433" spans="1:11" x14ac:dyDescent="0.25">
      <c r="A433" s="195">
        <v>8</v>
      </c>
      <c r="B433" s="195" t="s">
        <v>1194</v>
      </c>
      <c r="C433" s="181" t="s">
        <v>1194</v>
      </c>
      <c r="D433" s="181" t="s">
        <v>117</v>
      </c>
      <c r="E433" s="181">
        <v>0.9</v>
      </c>
      <c r="F433" s="181">
        <v>0.3</v>
      </c>
      <c r="G433" s="181">
        <v>0</v>
      </c>
      <c r="H433" s="181">
        <v>2.5000000000000001E-2</v>
      </c>
      <c r="I433" s="181">
        <v>0.8</v>
      </c>
      <c r="J433" s="227">
        <v>0.16</v>
      </c>
      <c r="K433" s="227"/>
    </row>
    <row r="434" spans="1:11" x14ac:dyDescent="0.25">
      <c r="A434" s="195">
        <v>9</v>
      </c>
      <c r="B434" s="195" t="s">
        <v>1527</v>
      </c>
      <c r="C434" s="181" t="s">
        <v>1329</v>
      </c>
      <c r="D434" s="181" t="s">
        <v>1597</v>
      </c>
      <c r="E434" s="181">
        <v>0.87</v>
      </c>
      <c r="F434" s="181">
        <v>1.03</v>
      </c>
      <c r="G434" s="181">
        <v>0.61</v>
      </c>
      <c r="H434" s="181">
        <v>6.0000000000000001E-3</v>
      </c>
      <c r="I434" s="181">
        <v>0.22</v>
      </c>
      <c r="J434" s="227">
        <v>7.0000000000000001E-3</v>
      </c>
      <c r="K434" s="227"/>
    </row>
    <row r="435" spans="1:11" x14ac:dyDescent="0.25">
      <c r="A435" s="195">
        <v>10</v>
      </c>
      <c r="B435" s="195" t="s">
        <v>1381</v>
      </c>
      <c r="C435" s="181" t="s">
        <v>1329</v>
      </c>
      <c r="D435" s="181" t="s">
        <v>1597</v>
      </c>
      <c r="E435" s="181">
        <v>0.9</v>
      </c>
      <c r="F435" s="181">
        <v>1.43</v>
      </c>
      <c r="G435" s="181">
        <v>0.14000000000000001</v>
      </c>
      <c r="H435" s="181">
        <v>7.0000000000000001E-3</v>
      </c>
      <c r="I435" s="181">
        <v>1</v>
      </c>
      <c r="J435" s="227">
        <v>0</v>
      </c>
      <c r="K435" s="227"/>
    </row>
    <row r="436" spans="1:11" x14ac:dyDescent="0.25">
      <c r="A436" s="195">
        <v>11</v>
      </c>
      <c r="B436" s="195" t="s">
        <v>1382</v>
      </c>
      <c r="C436" s="181" t="s">
        <v>1329</v>
      </c>
      <c r="D436" s="181" t="s">
        <v>1597</v>
      </c>
      <c r="E436" s="181">
        <v>0.89</v>
      </c>
      <c r="F436" s="181">
        <v>0.91</v>
      </c>
      <c r="G436" s="181">
        <v>0.89</v>
      </c>
      <c r="H436" s="181">
        <v>7.0000000000000001E-3</v>
      </c>
      <c r="I436" s="181">
        <v>0.25</v>
      </c>
      <c r="J436" s="227">
        <v>8.0000000000000002E-3</v>
      </c>
      <c r="K436" s="227"/>
    </row>
    <row r="437" spans="1:11" x14ac:dyDescent="0.25">
      <c r="A437" s="195">
        <v>12</v>
      </c>
      <c r="B437" s="195" t="s">
        <v>1376</v>
      </c>
      <c r="C437" s="181" t="s">
        <v>1327</v>
      </c>
      <c r="D437" s="181" t="s">
        <v>118</v>
      </c>
      <c r="E437" s="181">
        <v>0.94</v>
      </c>
      <c r="F437" s="181">
        <v>1.07</v>
      </c>
      <c r="G437" s="181">
        <v>1.54</v>
      </c>
      <c r="H437" s="181">
        <v>1.6E-2</v>
      </c>
      <c r="I437" s="181">
        <v>1</v>
      </c>
      <c r="J437" s="227">
        <v>0</v>
      </c>
      <c r="K437" s="227"/>
    </row>
    <row r="438" spans="1:11" x14ac:dyDescent="0.25">
      <c r="A438" s="195">
        <v>13</v>
      </c>
      <c r="B438" s="195" t="s">
        <v>1375</v>
      </c>
      <c r="C438" s="181" t="s">
        <v>1375</v>
      </c>
      <c r="D438" s="181" t="s">
        <v>1413</v>
      </c>
      <c r="E438" s="181">
        <v>0.9</v>
      </c>
      <c r="F438" s="181">
        <v>0.3</v>
      </c>
      <c r="G438" s="181">
        <v>0</v>
      </c>
      <c r="H438" s="181">
        <v>1.4999999999999999E-2</v>
      </c>
      <c r="I438" s="181">
        <v>0.54</v>
      </c>
      <c r="J438" s="227">
        <v>1.2E-2</v>
      </c>
      <c r="K438" s="227"/>
    </row>
    <row r="439" spans="1:11" x14ac:dyDescent="0.25">
      <c r="A439" s="195">
        <v>14</v>
      </c>
      <c r="B439" s="195" t="s">
        <v>1922</v>
      </c>
      <c r="C439" s="181" t="s">
        <v>1181</v>
      </c>
      <c r="D439" s="181" t="s">
        <v>1597</v>
      </c>
      <c r="E439" s="181">
        <v>0.22</v>
      </c>
      <c r="F439" s="181">
        <v>0.1</v>
      </c>
      <c r="G439" s="181">
        <v>1.06</v>
      </c>
      <c r="H439" s="181">
        <v>1.9E-2</v>
      </c>
      <c r="I439" s="181">
        <v>0.2</v>
      </c>
      <c r="J439" s="227">
        <v>1.4E-2</v>
      </c>
      <c r="K439" s="227"/>
    </row>
    <row r="440" spans="1:11" x14ac:dyDescent="0.25">
      <c r="A440" s="195">
        <v>15</v>
      </c>
      <c r="B440" s="195" t="s">
        <v>1383</v>
      </c>
      <c r="C440" s="181" t="s">
        <v>1329</v>
      </c>
      <c r="D440" s="181" t="s">
        <v>1446</v>
      </c>
      <c r="E440" s="181">
        <v>0.89</v>
      </c>
      <c r="F440" s="181">
        <v>0.95</v>
      </c>
      <c r="G440" s="181">
        <v>2.46</v>
      </c>
      <c r="H440" s="181">
        <v>7.0000000000000001E-3</v>
      </c>
      <c r="I440" s="181">
        <v>0.16</v>
      </c>
      <c r="J440" s="227">
        <v>0</v>
      </c>
      <c r="K440" s="227"/>
    </row>
    <row r="441" spans="1:11" x14ac:dyDescent="0.25">
      <c r="A441" s="195">
        <v>16</v>
      </c>
      <c r="B441" s="195" t="s">
        <v>1379</v>
      </c>
      <c r="C441" s="181" t="s">
        <v>1329</v>
      </c>
      <c r="D441" s="181" t="s">
        <v>1597</v>
      </c>
      <c r="E441" s="181">
        <v>0.88</v>
      </c>
      <c r="F441" s="181">
        <v>1.0900000000000001</v>
      </c>
      <c r="G441" s="181">
        <v>0.88</v>
      </c>
      <c r="H441" s="181">
        <v>5.0000000000000001E-3</v>
      </c>
      <c r="I441" s="181">
        <f>AVERAGE(I433:I438)</f>
        <v>0.63500000000000001</v>
      </c>
      <c r="J441" s="227">
        <v>1.0999999999999999E-2</v>
      </c>
      <c r="K441" s="227"/>
    </row>
    <row r="442" spans="1:11" x14ac:dyDescent="0.25">
      <c r="A442" s="195">
        <v>17</v>
      </c>
      <c r="B442" s="195" t="s">
        <v>1380</v>
      </c>
      <c r="C442" s="181" t="s">
        <v>1329</v>
      </c>
      <c r="D442" s="181" t="s">
        <v>1597</v>
      </c>
      <c r="E442" s="181">
        <v>0.89</v>
      </c>
      <c r="F442" s="181">
        <v>0.88</v>
      </c>
      <c r="G442" s="181">
        <v>1.33</v>
      </c>
      <c r="H442" s="181">
        <v>7.0000000000000001E-3</v>
      </c>
      <c r="I442" s="181">
        <v>1</v>
      </c>
      <c r="J442" s="227">
        <v>0</v>
      </c>
      <c r="K442" s="227"/>
    </row>
    <row r="443" spans="1:11" x14ac:dyDescent="0.25">
      <c r="A443" s="195">
        <v>18</v>
      </c>
      <c r="B443" s="195" t="s">
        <v>1378</v>
      </c>
      <c r="C443" s="181" t="s">
        <v>1327</v>
      </c>
      <c r="D443" s="181" t="s">
        <v>118</v>
      </c>
      <c r="E443" s="181">
        <v>0.91</v>
      </c>
      <c r="F443" s="181">
        <v>0.93</v>
      </c>
      <c r="G443" s="181">
        <v>1.35</v>
      </c>
      <c r="H443" s="181">
        <v>8.0000000000000002E-3</v>
      </c>
      <c r="I443" s="181">
        <v>0.19</v>
      </c>
      <c r="J443" s="227">
        <v>8.0000000000000002E-3</v>
      </c>
      <c r="K443" s="227"/>
    </row>
    <row r="444" spans="1:11" x14ac:dyDescent="0.25">
      <c r="A444" s="195">
        <v>19</v>
      </c>
      <c r="B444" s="195" t="s">
        <v>1526</v>
      </c>
      <c r="C444" s="181" t="s">
        <v>1329</v>
      </c>
      <c r="D444" s="181" t="s">
        <v>1597</v>
      </c>
      <c r="E444" s="181">
        <v>0.89</v>
      </c>
      <c r="F444" s="181">
        <v>1.29</v>
      </c>
      <c r="G444" s="181">
        <v>0.75</v>
      </c>
      <c r="H444" s="181">
        <v>6.0000000000000001E-3</v>
      </c>
      <c r="I444" s="181">
        <v>0.28000000000000003</v>
      </c>
      <c r="J444" s="227">
        <v>8.9999999999999993E-3</v>
      </c>
      <c r="K444" s="227"/>
    </row>
    <row r="445" spans="1:11" x14ac:dyDescent="0.25">
      <c r="A445" s="195">
        <v>20</v>
      </c>
      <c r="B445" s="659" t="s">
        <v>1395</v>
      </c>
      <c r="C445" s="703" t="s">
        <v>696</v>
      </c>
      <c r="D445" s="703" t="s">
        <v>1597</v>
      </c>
      <c r="E445" s="712" t="e">
        <f t="shared" ref="E445:J445" si="13">E447</f>
        <v>#N/A</v>
      </c>
      <c r="F445" s="712" t="e">
        <f t="shared" si="13"/>
        <v>#N/A</v>
      </c>
      <c r="G445" s="712" t="e">
        <f t="shared" si="13"/>
        <v>#N/A</v>
      </c>
      <c r="H445" s="712">
        <f t="shared" si="13"/>
        <v>1.5166666666666669E-2</v>
      </c>
      <c r="I445" s="712">
        <f t="shared" si="13"/>
        <v>0</v>
      </c>
      <c r="J445" s="1532">
        <f t="shared" si="13"/>
        <v>1.3166666666666667E-2</v>
      </c>
      <c r="K445" s="227"/>
    </row>
    <row r="446" spans="1:11" x14ac:dyDescent="0.25">
      <c r="A446" s="195">
        <v>21</v>
      </c>
      <c r="B446" s="1533" t="s">
        <v>1372</v>
      </c>
      <c r="C446" s="746" t="s">
        <v>1372</v>
      </c>
      <c r="D446" s="746" t="s">
        <v>1597</v>
      </c>
      <c r="E446" s="746">
        <v>0.9</v>
      </c>
      <c r="F446" s="746">
        <v>0</v>
      </c>
      <c r="G446" s="746">
        <v>3.2266699999999999</v>
      </c>
      <c r="H446" s="746">
        <f>H456</f>
        <v>1.5166666666666669E-2</v>
      </c>
      <c r="I446" s="746">
        <f>I456</f>
        <v>0.29166666666666669</v>
      </c>
      <c r="J446" s="1534">
        <f>J456</f>
        <v>1.3166666666666667E-2</v>
      </c>
      <c r="K446" s="227" t="s">
        <v>1833</v>
      </c>
    </row>
    <row r="447" spans="1:11" x14ac:dyDescent="0.25">
      <c r="A447" s="195">
        <v>22</v>
      </c>
      <c r="B447" s="659" t="s">
        <v>696</v>
      </c>
      <c r="C447" s="703" t="s">
        <v>1396</v>
      </c>
      <c r="D447" s="703" t="s">
        <v>1597</v>
      </c>
      <c r="E447" s="703" t="e">
        <f>NA()</f>
        <v>#N/A</v>
      </c>
      <c r="F447" s="703" t="e">
        <f>NA()</f>
        <v>#N/A</v>
      </c>
      <c r="G447" s="703" t="e">
        <f>NA()</f>
        <v>#N/A</v>
      </c>
      <c r="H447" s="703">
        <f>H456</f>
        <v>1.5166666666666669E-2</v>
      </c>
      <c r="I447" s="703">
        <v>0</v>
      </c>
      <c r="J447" s="1532">
        <f>J456</f>
        <v>1.3166666666666667E-2</v>
      </c>
      <c r="K447" s="227"/>
    </row>
    <row r="448" spans="1:11" x14ac:dyDescent="0.25">
      <c r="A448" s="195">
        <v>23</v>
      </c>
      <c r="B448" s="1535" t="s">
        <v>1522</v>
      </c>
      <c r="C448" s="1529" t="s">
        <v>1522</v>
      </c>
      <c r="D448" s="746" t="s">
        <v>1597</v>
      </c>
      <c r="E448" s="1530">
        <f>12.35/100</f>
        <v>0.1235</v>
      </c>
      <c r="F448" s="746">
        <f>F451/0.9*E448</f>
        <v>0.15506111111111107</v>
      </c>
      <c r="G448" s="746">
        <f>G451/0.9*E448</f>
        <v>0.11663888888888889</v>
      </c>
      <c r="H448" s="1530">
        <f>0.032</f>
        <v>3.2000000000000001E-2</v>
      </c>
      <c r="I448" s="746">
        <f>AVERAGE(I429:I446,I450:I456)</f>
        <v>0.39559999999999995</v>
      </c>
      <c r="J448" s="1536">
        <f>H448</f>
        <v>3.2000000000000001E-2</v>
      </c>
      <c r="K448" s="227"/>
    </row>
    <row r="449" spans="1:12" x14ac:dyDescent="0.25">
      <c r="A449" s="195">
        <v>24</v>
      </c>
      <c r="B449" s="195" t="s">
        <v>1451</v>
      </c>
      <c r="C449" s="181" t="s">
        <v>1329</v>
      </c>
      <c r="D449" s="181" t="s">
        <v>1597</v>
      </c>
      <c r="E449" s="181">
        <v>0.89</v>
      </c>
      <c r="F449" s="181">
        <v>1.61</v>
      </c>
      <c r="G449" s="181">
        <v>0.4</v>
      </c>
      <c r="H449" s="181">
        <v>6.0000000000000001E-3</v>
      </c>
      <c r="I449" s="181">
        <v>0.23</v>
      </c>
      <c r="J449" s="227">
        <v>8.9999999999999993E-3</v>
      </c>
      <c r="K449" s="227"/>
    </row>
    <row r="450" spans="1:12" x14ac:dyDescent="0.25">
      <c r="A450" s="195">
        <v>25</v>
      </c>
      <c r="B450" s="195" t="s">
        <v>1191</v>
      </c>
      <c r="C450" s="181" t="s">
        <v>1329</v>
      </c>
      <c r="D450" s="181" t="s">
        <v>1597</v>
      </c>
      <c r="E450" s="181">
        <v>0.88</v>
      </c>
      <c r="F450" s="181">
        <v>1.0900000000000001</v>
      </c>
      <c r="G450" s="181">
        <v>0.88</v>
      </c>
      <c r="H450" s="181">
        <v>6.0000000000000001E-3</v>
      </c>
      <c r="I450" s="181">
        <v>0.22</v>
      </c>
      <c r="J450" s="227">
        <v>8.9999999999999993E-3</v>
      </c>
      <c r="K450" s="227"/>
    </row>
    <row r="451" spans="1:12" x14ac:dyDescent="0.25">
      <c r="A451" s="195">
        <v>26</v>
      </c>
      <c r="B451" s="195" t="s">
        <v>1328</v>
      </c>
      <c r="C451" s="181" t="s">
        <v>1327</v>
      </c>
      <c r="D451" s="181" t="s">
        <v>118</v>
      </c>
      <c r="E451" s="181">
        <v>0.91</v>
      </c>
      <c r="F451" s="181">
        <v>1.1299999999999999</v>
      </c>
      <c r="G451" s="181">
        <v>0.85</v>
      </c>
      <c r="H451" s="181">
        <v>8.0000000000000002E-3</v>
      </c>
      <c r="I451" s="181">
        <v>0.19</v>
      </c>
      <c r="J451" s="227">
        <v>8.0000000000000002E-3</v>
      </c>
      <c r="K451" s="227"/>
    </row>
    <row r="452" spans="1:12" x14ac:dyDescent="0.25">
      <c r="A452" s="195">
        <v>27</v>
      </c>
      <c r="B452" s="195" t="s">
        <v>1323</v>
      </c>
      <c r="C452" s="181" t="s">
        <v>1374</v>
      </c>
      <c r="D452" s="181" t="s">
        <v>118</v>
      </c>
      <c r="E452" s="181">
        <v>0.9</v>
      </c>
      <c r="F452" s="181">
        <v>0.3</v>
      </c>
      <c r="G452" s="181">
        <v>0</v>
      </c>
      <c r="H452" s="181">
        <v>2.7E-2</v>
      </c>
      <c r="I452" s="181">
        <v>0.4</v>
      </c>
      <c r="J452" s="227">
        <v>2.1999999999999999E-2</v>
      </c>
      <c r="K452" s="227"/>
    </row>
    <row r="453" spans="1:12" x14ac:dyDescent="0.25">
      <c r="A453" s="195">
        <v>28</v>
      </c>
      <c r="B453" s="195" t="s">
        <v>1373</v>
      </c>
      <c r="C453" s="181" t="s">
        <v>826</v>
      </c>
      <c r="D453" s="181" t="s">
        <v>1413</v>
      </c>
      <c r="E453" s="181">
        <v>0.9</v>
      </c>
      <c r="F453" s="181">
        <v>0.3</v>
      </c>
      <c r="G453" s="181">
        <v>0</v>
      </c>
      <c r="H453" s="181">
        <v>1.4999999999999999E-2</v>
      </c>
      <c r="I453" s="181">
        <v>0.54</v>
      </c>
      <c r="J453" s="227">
        <v>1.2E-2</v>
      </c>
      <c r="K453" s="227"/>
    </row>
    <row r="454" spans="1:12" x14ac:dyDescent="0.25">
      <c r="A454" s="195">
        <v>29</v>
      </c>
      <c r="B454" s="195" t="s">
        <v>1325</v>
      </c>
      <c r="C454" s="181" t="s">
        <v>1324</v>
      </c>
      <c r="D454" s="181" t="s">
        <v>1597</v>
      </c>
      <c r="E454" s="181">
        <v>0.94</v>
      </c>
      <c r="F454" s="181">
        <v>1.07</v>
      </c>
      <c r="G454" s="181">
        <v>1.54</v>
      </c>
      <c r="H454" s="181">
        <v>1.6E-2</v>
      </c>
      <c r="I454" s="181">
        <v>0.2</v>
      </c>
      <c r="J454" s="227">
        <v>1.4E-2</v>
      </c>
      <c r="K454" s="227"/>
    </row>
    <row r="455" spans="1:12" x14ac:dyDescent="0.25">
      <c r="A455" s="195">
        <v>30</v>
      </c>
      <c r="B455" s="195" t="s">
        <v>1326</v>
      </c>
      <c r="C455" s="181" t="s">
        <v>1181</v>
      </c>
      <c r="D455" s="181" t="s">
        <v>1597</v>
      </c>
      <c r="E455" s="181">
        <v>0.22</v>
      </c>
      <c r="F455" s="181">
        <v>0.1</v>
      </c>
      <c r="G455" s="181">
        <v>1.06</v>
      </c>
      <c r="H455" s="181">
        <v>1.9E-2</v>
      </c>
      <c r="I455" s="181">
        <v>0.2</v>
      </c>
      <c r="J455" s="227">
        <v>1.4E-2</v>
      </c>
      <c r="K455" s="227"/>
    </row>
    <row r="456" spans="1:12" ht="13.25" thickBot="1" x14ac:dyDescent="0.3">
      <c r="A456" s="264">
        <v>31</v>
      </c>
      <c r="B456" s="664" t="s">
        <v>2072</v>
      </c>
      <c r="C456" s="1531" t="s">
        <v>2072</v>
      </c>
      <c r="D456" s="1531" t="s">
        <v>1597</v>
      </c>
      <c r="E456" s="1531">
        <f t="shared" ref="E456:J456" si="14">AVERAGE(E450:E455)</f>
        <v>0.79166666666666652</v>
      </c>
      <c r="F456" s="1531">
        <f t="shared" si="14"/>
        <v>0.66499999999999992</v>
      </c>
      <c r="G456" s="1531">
        <f t="shared" si="14"/>
        <v>0.72166666666666668</v>
      </c>
      <c r="H456" s="1531">
        <f>AVERAGE(H450:H455)</f>
        <v>1.5166666666666669E-2</v>
      </c>
      <c r="I456" s="1531">
        <f t="shared" si="14"/>
        <v>0.29166666666666669</v>
      </c>
      <c r="J456" s="1537">
        <f t="shared" si="14"/>
        <v>1.3166666666666667E-2</v>
      </c>
      <c r="K456" s="203"/>
    </row>
    <row r="457" spans="1:12" x14ac:dyDescent="0.25">
      <c r="K457" s="60"/>
    </row>
    <row r="458" spans="1:12" x14ac:dyDescent="0.25">
      <c r="A458" s="159"/>
      <c r="B458" s="159"/>
      <c r="C458" s="291"/>
      <c r="D458" s="599"/>
      <c r="E458" s="599"/>
      <c r="F458" s="599"/>
      <c r="G458" s="599"/>
      <c r="H458" s="599"/>
      <c r="I458" s="599"/>
      <c r="J458" s="291"/>
      <c r="K458" s="599"/>
      <c r="L458" s="291"/>
    </row>
    <row r="459" spans="1:12" x14ac:dyDescent="0.25">
      <c r="A459" s="159"/>
      <c r="B459" s="159"/>
      <c r="C459" s="291"/>
      <c r="D459" s="291"/>
      <c r="E459" s="291"/>
      <c r="F459" s="291"/>
      <c r="G459" s="291"/>
      <c r="H459" s="291"/>
      <c r="I459" s="291"/>
      <c r="J459" s="291"/>
      <c r="K459" s="291"/>
      <c r="L459" s="291"/>
    </row>
    <row r="460" spans="1:12" x14ac:dyDescent="0.25">
      <c r="A460" s="159"/>
      <c r="B460" s="159"/>
      <c r="C460" s="291"/>
      <c r="D460" s="291"/>
      <c r="E460" s="291"/>
      <c r="F460" s="291"/>
      <c r="G460" s="291"/>
      <c r="H460" s="291"/>
      <c r="I460" s="291"/>
      <c r="J460" s="291"/>
      <c r="K460" s="291"/>
      <c r="L460" s="291"/>
    </row>
    <row r="461" spans="1:12" x14ac:dyDescent="0.25">
      <c r="A461" s="159"/>
      <c r="B461" s="159"/>
      <c r="C461" s="291"/>
      <c r="D461" s="291"/>
      <c r="E461" s="291"/>
      <c r="F461" s="291"/>
      <c r="G461" s="291"/>
      <c r="H461" s="291"/>
      <c r="I461" s="291"/>
      <c r="J461" s="291"/>
      <c r="K461" s="291"/>
      <c r="L461" s="291"/>
    </row>
    <row r="462" spans="1:12" x14ac:dyDescent="0.25">
      <c r="C462" s="291"/>
      <c r="D462" s="291"/>
      <c r="E462" s="291"/>
      <c r="F462" s="291"/>
      <c r="G462" s="291"/>
      <c r="H462" s="291"/>
      <c r="I462" s="291"/>
      <c r="J462" s="291"/>
      <c r="K462" s="291"/>
      <c r="L462" s="291"/>
    </row>
    <row r="463" spans="1:12" x14ac:dyDescent="0.25">
      <c r="C463" s="291"/>
      <c r="D463" s="291"/>
      <c r="E463" s="291"/>
      <c r="F463" s="291"/>
      <c r="G463" s="291"/>
      <c r="H463" s="291"/>
      <c r="I463" s="291"/>
      <c r="J463" s="291"/>
      <c r="K463" s="291"/>
      <c r="L463" s="291"/>
    </row>
    <row r="464" spans="1:12" x14ac:dyDescent="0.25">
      <c r="C464" s="291"/>
      <c r="D464" s="291"/>
      <c r="E464" s="291"/>
      <c r="F464" s="291"/>
      <c r="G464" s="291"/>
      <c r="H464" s="291"/>
      <c r="I464" s="291"/>
      <c r="J464" s="291"/>
      <c r="K464" s="291"/>
      <c r="L464" s="291"/>
    </row>
    <row r="465" spans="3:12" x14ac:dyDescent="0.25">
      <c r="C465" s="291"/>
      <c r="D465" s="291"/>
      <c r="E465" s="291"/>
      <c r="F465" s="291"/>
      <c r="G465" s="291"/>
      <c r="H465" s="291"/>
      <c r="I465" s="291"/>
      <c r="J465" s="291"/>
      <c r="K465" s="291"/>
      <c r="L465" s="291"/>
    </row>
    <row r="466" spans="3:12" x14ac:dyDescent="0.25">
      <c r="C466" s="291"/>
      <c r="D466" s="291"/>
      <c r="E466" s="291"/>
      <c r="F466" s="291"/>
      <c r="G466" s="291"/>
      <c r="H466" s="291"/>
      <c r="I466" s="291"/>
      <c r="J466" s="291"/>
      <c r="K466" s="291"/>
      <c r="L466" s="291"/>
    </row>
    <row r="467" spans="3:12" x14ac:dyDescent="0.25">
      <c r="C467" s="291"/>
      <c r="D467" s="291"/>
      <c r="E467" s="291"/>
      <c r="F467" s="291"/>
      <c r="G467" s="291"/>
      <c r="H467" s="291"/>
      <c r="I467" s="291"/>
      <c r="J467" s="291"/>
      <c r="K467" s="770"/>
      <c r="L467" s="291"/>
    </row>
  </sheetData>
  <sheetProtection password="838D" sheet="1" objects="1" scenarios="1"/>
  <customSheetViews>
    <customSheetView guid="{BD1481C3-A8C6-46E4-9B09-3BB5EA0E455E}" scale="75" showRuler="0" topLeftCell="A35">
      <selection activeCell="E62" sqref="E62"/>
      <pageMargins left="0.7" right="0.7" top="0.75" bottom="0.75" header="0.3" footer="0.3"/>
      <pageSetup paperSize="9" orientation="portrait" horizontalDpi="4294967293" verticalDpi="0"/>
    </customSheetView>
  </customSheetViews>
  <mergeCells count="4">
    <mergeCell ref="O16:P16"/>
    <mergeCell ref="A2:K3"/>
    <mergeCell ref="C141:C143"/>
    <mergeCell ref="D141:D143"/>
  </mergeCells>
  <phoneticPr fontId="3" type="noConversion"/>
  <dataValidations count="4">
    <dataValidation allowBlank="1" showInputMessage="1" showErrorMessage="1" promptTitle="Calorific Value for other fuels" prompt="If the calorific value is known please enter in this box.  " sqref="H161 H158" xr:uid="{00000000-0002-0000-0B00-000000000000}"/>
    <dataValidation allowBlank="1" showInputMessage="1" showErrorMessage="1" promptTitle="Calorific Value" prompt="If your calorific value differs from the one shown, contact Helen Bentley-Fox" sqref="H142:H157 H159:H160" xr:uid="{00000000-0002-0000-0B00-000001000000}"/>
    <dataValidation type="list" allowBlank="1" showInputMessage="1" showErrorMessage="1" sqref="B17" xr:uid="{00000000-0002-0000-0B00-000002000000}">
      <formula1>$T$16:$W$16</formula1>
    </dataValidation>
    <dataValidation type="list" allowBlank="1" showInputMessage="1" showErrorMessage="1" sqref="A459" xr:uid="{00000000-0002-0000-0B00-000003000000}">
      <formula1>$B$4:$B$28</formula1>
    </dataValidation>
  </dataValidations>
  <hyperlinks>
    <hyperlink ref="J148" r:id="rId1" xr:uid="{00000000-0004-0000-0B00-000000000000}"/>
    <hyperlink ref="J147" r:id="rId2" xr:uid="{00000000-0004-0000-0B00-000001000000}"/>
    <hyperlink ref="J145" r:id="rId3" xr:uid="{00000000-0004-0000-0B00-000002000000}"/>
    <hyperlink ref="J142" r:id="rId4" xr:uid="{00000000-0004-0000-0B00-000003000000}"/>
    <hyperlink ref="J149" r:id="rId5" xr:uid="{00000000-0004-0000-0B00-000004000000}"/>
    <hyperlink ref="J150" r:id="rId6" xr:uid="{00000000-0004-0000-0B00-000005000000}"/>
  </hyperlinks>
  <pageMargins left="0.75" right="0.75" top="1" bottom="1" header="0.5" footer="0.5"/>
  <pageSetup paperSize="9" orientation="portrait" horizontalDpi="4294967293" verticalDpi="0"/>
  <drawing r:id="rId7"/>
  <legacyDrawing r:id="rId8"/>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2:AD203"/>
  <sheetViews>
    <sheetView workbookViewId="0">
      <selection activeCell="P32" sqref="P32"/>
    </sheetView>
  </sheetViews>
  <sheetFormatPr defaultColWidth="9.21875" defaultRowHeight="12.7" x14ac:dyDescent="0.25"/>
  <cols>
    <col min="1" max="1" width="30.33203125" style="15" customWidth="1" collapsed="1"/>
    <col min="2" max="2" width="11.33203125" style="15" customWidth="1" collapsed="1"/>
    <col min="3" max="3" width="9.33203125" style="15" customWidth="1" collapsed="1"/>
    <col min="4" max="8" width="9.21875" style="15" collapsed="1"/>
    <col min="9" max="9" width="22.6640625" style="15" customWidth="1" collapsed="1"/>
    <col min="10" max="10" width="20.44140625" style="15" customWidth="1" collapsed="1"/>
    <col min="11" max="11" width="25.44140625" style="15" customWidth="1" collapsed="1"/>
    <col min="12" max="14" width="9.21875" style="15" collapsed="1"/>
    <col min="15" max="16" width="10.44140625" style="15" customWidth="1" collapsed="1"/>
    <col min="17" max="16384" width="9.21875" style="15" collapsed="1"/>
  </cols>
  <sheetData>
    <row r="2" spans="1:30" x14ac:dyDescent="0.25">
      <c r="A2" s="15" t="s">
        <v>411</v>
      </c>
    </row>
    <row r="3" spans="1:30" x14ac:dyDescent="0.25">
      <c r="A3" s="15" t="s">
        <v>789</v>
      </c>
      <c r="I3" s="86"/>
      <c r="J3" s="86" t="s">
        <v>1953</v>
      </c>
    </row>
    <row r="4" spans="1:30" ht="13.25" thickBot="1" x14ac:dyDescent="0.3">
      <c r="I4" s="86"/>
      <c r="J4" s="86"/>
    </row>
    <row r="5" spans="1:30" x14ac:dyDescent="0.25">
      <c r="A5" s="16" t="s">
        <v>821</v>
      </c>
      <c r="B5" s="826"/>
      <c r="C5" s="826"/>
      <c r="D5" s="827"/>
      <c r="F5" s="828"/>
      <c r="G5" s="828"/>
      <c r="H5" s="828"/>
      <c r="I5" s="829" t="s">
        <v>1019</v>
      </c>
      <c r="J5" s="829">
        <v>40</v>
      </c>
      <c r="K5" s="828"/>
      <c r="L5" s="828"/>
      <c r="M5" s="828"/>
      <c r="N5" s="828"/>
      <c r="O5" s="828"/>
      <c r="P5" s="828"/>
      <c r="Q5" s="828"/>
      <c r="R5" s="828"/>
      <c r="S5" s="828"/>
      <c r="T5" s="828"/>
      <c r="U5" s="828"/>
      <c r="V5" s="828"/>
      <c r="W5" s="828"/>
      <c r="X5" s="828"/>
      <c r="Y5" s="828"/>
    </row>
    <row r="6" spans="1:30" ht="13.25" thickBot="1" x14ac:dyDescent="0.3">
      <c r="A6" s="81"/>
      <c r="B6" s="138"/>
      <c r="C6" s="138" t="s">
        <v>822</v>
      </c>
      <c r="D6" s="139"/>
      <c r="F6" s="828"/>
      <c r="G6" s="828"/>
      <c r="H6" s="828"/>
      <c r="I6" s="86" t="s">
        <v>346</v>
      </c>
      <c r="J6" s="86">
        <v>25</v>
      </c>
      <c r="K6" s="828"/>
      <c r="L6" s="828"/>
      <c r="M6" s="828"/>
      <c r="N6" s="828"/>
      <c r="O6" s="828"/>
      <c r="P6" s="828"/>
      <c r="Q6" s="828"/>
      <c r="R6" s="828"/>
      <c r="S6" s="828"/>
      <c r="T6" s="828"/>
      <c r="U6" s="828"/>
      <c r="V6" s="828"/>
      <c r="W6" s="828"/>
      <c r="X6" s="828"/>
      <c r="Y6" s="828"/>
      <c r="Z6" s="86">
        <f>SUMIF(AA7:AA15,K6,AB7:AB15)</f>
        <v>0</v>
      </c>
      <c r="AA6" s="86"/>
      <c r="AB6" s="86"/>
      <c r="AC6" s="86" t="s">
        <v>685</v>
      </c>
      <c r="AD6" s="86" t="s">
        <v>686</v>
      </c>
    </row>
    <row r="7" spans="1:30" x14ac:dyDescent="0.25">
      <c r="A7" s="1293" t="s">
        <v>539</v>
      </c>
      <c r="B7" s="826"/>
      <c r="C7" s="826">
        <v>7</v>
      </c>
      <c r="D7" s="827"/>
      <c r="F7" s="828"/>
      <c r="G7" s="828"/>
      <c r="H7" s="828"/>
      <c r="I7" s="86" t="s">
        <v>737</v>
      </c>
      <c r="J7" s="86">
        <v>40</v>
      </c>
      <c r="K7" s="828"/>
      <c r="L7" s="828"/>
      <c r="M7" s="828"/>
      <c r="N7" s="828"/>
      <c r="O7" s="828"/>
      <c r="P7" s="828"/>
      <c r="Q7" s="828"/>
      <c r="R7" s="828"/>
      <c r="S7" s="828"/>
      <c r="T7" s="828"/>
      <c r="U7" s="828"/>
      <c r="V7" s="828"/>
      <c r="W7" s="828"/>
      <c r="X7" s="828"/>
      <c r="Y7" s="828"/>
      <c r="Z7" s="86"/>
      <c r="AA7" s="86" t="s">
        <v>2049</v>
      </c>
      <c r="AB7" s="86">
        <v>1</v>
      </c>
      <c r="AC7" s="86">
        <v>128</v>
      </c>
      <c r="AD7" s="86">
        <v>53</v>
      </c>
    </row>
    <row r="8" spans="1:30" x14ac:dyDescent="0.25">
      <c r="A8" s="81" t="s">
        <v>770</v>
      </c>
      <c r="B8" s="138">
        <v>5.0000000000000001E-3</v>
      </c>
      <c r="C8" s="138">
        <v>3</v>
      </c>
      <c r="D8" s="139"/>
      <c r="F8" s="828"/>
      <c r="G8" s="828"/>
      <c r="H8" s="828"/>
      <c r="I8" s="86" t="s">
        <v>741</v>
      </c>
      <c r="J8" s="86">
        <v>48</v>
      </c>
      <c r="K8" s="828"/>
      <c r="L8" s="828"/>
      <c r="M8" s="828"/>
      <c r="N8" s="828"/>
      <c r="O8" s="828"/>
      <c r="P8" s="828"/>
      <c r="Q8" s="828"/>
      <c r="R8" s="828"/>
      <c r="S8" s="828"/>
      <c r="T8" s="828"/>
      <c r="U8" s="828"/>
      <c r="V8" s="828"/>
      <c r="W8" s="828"/>
      <c r="X8" s="828"/>
      <c r="Y8" s="828"/>
      <c r="Z8" s="86"/>
      <c r="AA8" s="86" t="s">
        <v>771</v>
      </c>
      <c r="AB8" s="86">
        <v>2</v>
      </c>
      <c r="AC8" s="86">
        <v>117</v>
      </c>
      <c r="AD8" s="86">
        <v>57</v>
      </c>
    </row>
    <row r="9" spans="1:30" x14ac:dyDescent="0.25">
      <c r="A9" s="81" t="s">
        <v>772</v>
      </c>
      <c r="B9" s="138">
        <v>0.02</v>
      </c>
      <c r="C9" s="138">
        <v>4</v>
      </c>
      <c r="D9" s="139"/>
      <c r="F9" s="828"/>
      <c r="G9" s="828"/>
      <c r="H9" s="828"/>
      <c r="I9" s="86" t="s">
        <v>744</v>
      </c>
      <c r="J9" s="86">
        <v>45</v>
      </c>
      <c r="K9" s="828"/>
      <c r="L9" s="830"/>
      <c r="M9" s="828"/>
      <c r="N9" s="828"/>
      <c r="O9" s="828"/>
      <c r="P9" s="828"/>
      <c r="Q9" s="828"/>
      <c r="R9" s="828"/>
      <c r="S9" s="828"/>
      <c r="T9" s="828"/>
      <c r="U9" s="828"/>
      <c r="V9" s="828"/>
      <c r="W9" s="828"/>
      <c r="X9" s="828"/>
      <c r="Y9" s="828"/>
      <c r="Z9" s="86"/>
      <c r="AA9" s="86" t="s">
        <v>721</v>
      </c>
      <c r="AB9" s="86">
        <v>3</v>
      </c>
      <c r="AC9" s="86">
        <v>99</v>
      </c>
      <c r="AD9" s="86">
        <v>58</v>
      </c>
    </row>
    <row r="10" spans="1:30" ht="25.35" x14ac:dyDescent="0.25">
      <c r="A10" s="834" t="s">
        <v>1105</v>
      </c>
      <c r="B10" s="138">
        <v>5.0000000000000001E-3</v>
      </c>
      <c r="C10" s="138">
        <v>2</v>
      </c>
      <c r="D10" s="139"/>
      <c r="F10" s="828"/>
      <c r="G10" s="828"/>
      <c r="H10" s="828"/>
      <c r="I10" s="86" t="s">
        <v>542</v>
      </c>
      <c r="J10" s="86">
        <v>35</v>
      </c>
      <c r="K10" s="828"/>
      <c r="L10" s="830"/>
      <c r="M10" s="828"/>
      <c r="N10" s="828"/>
      <c r="O10" s="828"/>
      <c r="P10" s="828"/>
      <c r="Q10" s="828"/>
      <c r="R10" s="828"/>
      <c r="S10" s="828"/>
      <c r="T10" s="828"/>
      <c r="U10" s="828"/>
      <c r="V10" s="828"/>
      <c r="W10" s="828"/>
      <c r="X10" s="828"/>
      <c r="Y10" s="828"/>
      <c r="Z10" s="86"/>
      <c r="AA10" s="86" t="s">
        <v>722</v>
      </c>
      <c r="AB10" s="86">
        <v>4</v>
      </c>
      <c r="AC10" s="86">
        <v>90</v>
      </c>
      <c r="AD10" s="86">
        <v>60</v>
      </c>
    </row>
    <row r="11" spans="1:30" ht="25.35" x14ac:dyDescent="0.25">
      <c r="A11" s="834" t="s">
        <v>1106</v>
      </c>
      <c r="B11" s="138">
        <v>0</v>
      </c>
      <c r="C11" s="138">
        <v>2</v>
      </c>
      <c r="D11" s="139"/>
      <c r="F11" s="828"/>
      <c r="G11" s="828"/>
      <c r="H11" s="828"/>
      <c r="I11" s="86" t="s">
        <v>347</v>
      </c>
      <c r="J11" s="86">
        <v>40</v>
      </c>
      <c r="K11" s="828"/>
      <c r="L11" s="830"/>
      <c r="M11" s="828"/>
      <c r="N11" s="828"/>
      <c r="O11" s="828"/>
      <c r="P11" s="828"/>
      <c r="Q11" s="828"/>
      <c r="R11" s="828"/>
      <c r="S11" s="828"/>
      <c r="T11" s="828"/>
      <c r="U11" s="828"/>
      <c r="V11" s="828"/>
      <c r="W11" s="828"/>
      <c r="X11" s="828"/>
      <c r="Y11" s="828"/>
      <c r="Z11" s="86"/>
      <c r="AA11" s="86" t="s">
        <v>1695</v>
      </c>
      <c r="AB11" s="86">
        <v>5</v>
      </c>
      <c r="AC11" s="86">
        <v>72</v>
      </c>
      <c r="AD11" s="86">
        <v>56</v>
      </c>
    </row>
    <row r="12" spans="1:30" x14ac:dyDescent="0.25">
      <c r="A12" s="81" t="s">
        <v>723</v>
      </c>
      <c r="B12" s="138">
        <v>0</v>
      </c>
      <c r="C12" s="138">
        <v>1</v>
      </c>
      <c r="D12" s="139"/>
      <c r="F12" s="828"/>
      <c r="G12" s="828"/>
      <c r="H12" s="828"/>
      <c r="I12" s="86" t="s">
        <v>613</v>
      </c>
      <c r="J12" s="86">
        <v>28</v>
      </c>
      <c r="K12" s="828"/>
      <c r="L12" s="828"/>
      <c r="M12" s="828"/>
      <c r="N12" s="828"/>
      <c r="O12" s="828"/>
      <c r="P12" s="828"/>
      <c r="Q12" s="828"/>
      <c r="R12" s="828"/>
      <c r="S12" s="828"/>
      <c r="T12" s="828"/>
      <c r="U12" s="828"/>
      <c r="V12" s="828"/>
      <c r="W12" s="828"/>
      <c r="X12" s="828"/>
      <c r="Y12" s="828"/>
      <c r="Z12" s="86"/>
      <c r="AA12" s="86" t="s">
        <v>212</v>
      </c>
      <c r="AB12" s="86">
        <v>6</v>
      </c>
      <c r="AC12" s="86">
        <v>46</v>
      </c>
      <c r="AD12" s="86">
        <v>31</v>
      </c>
    </row>
    <row r="13" spans="1:30" x14ac:dyDescent="0.25">
      <c r="A13" s="81" t="s">
        <v>724</v>
      </c>
      <c r="B13" s="138">
        <v>2E-3</v>
      </c>
      <c r="C13" s="138">
        <v>5</v>
      </c>
      <c r="D13" s="139"/>
      <c r="F13" s="828"/>
      <c r="G13" s="828"/>
      <c r="H13" s="828"/>
      <c r="I13" s="86" t="s">
        <v>1186</v>
      </c>
      <c r="J13" s="86">
        <v>20</v>
      </c>
      <c r="K13" s="828"/>
      <c r="L13" s="828"/>
      <c r="M13" s="828"/>
      <c r="N13" s="828"/>
      <c r="O13" s="828"/>
      <c r="P13" s="828"/>
      <c r="Q13" s="828"/>
      <c r="R13" s="828"/>
      <c r="S13" s="828"/>
      <c r="T13" s="828"/>
      <c r="U13" s="828"/>
      <c r="V13" s="828"/>
      <c r="W13" s="828"/>
      <c r="X13" s="828"/>
      <c r="Y13" s="828"/>
      <c r="Z13" s="86"/>
      <c r="AA13" s="86" t="s">
        <v>351</v>
      </c>
      <c r="AB13" s="86">
        <v>7</v>
      </c>
      <c r="AC13" s="86">
        <v>46</v>
      </c>
      <c r="AD13" s="86">
        <v>31</v>
      </c>
    </row>
    <row r="14" spans="1:30" x14ac:dyDescent="0.25">
      <c r="A14" s="81" t="s">
        <v>725</v>
      </c>
      <c r="B14" s="138">
        <v>0</v>
      </c>
      <c r="C14" s="138">
        <v>8</v>
      </c>
      <c r="D14" s="139"/>
      <c r="F14" s="828"/>
      <c r="G14" s="828"/>
      <c r="H14" s="828"/>
      <c r="I14" s="86" t="s">
        <v>1033</v>
      </c>
      <c r="J14" s="86">
        <v>30</v>
      </c>
      <c r="K14" s="828"/>
      <c r="L14" s="828"/>
      <c r="M14" s="828"/>
      <c r="N14" s="828"/>
      <c r="O14" s="828"/>
      <c r="P14" s="828"/>
      <c r="Q14" s="828"/>
      <c r="R14" s="828"/>
      <c r="S14" s="828"/>
      <c r="T14" s="828"/>
      <c r="U14" s="828"/>
      <c r="V14" s="828"/>
      <c r="W14" s="828"/>
      <c r="X14" s="828"/>
      <c r="Y14" s="828"/>
      <c r="Z14" s="86"/>
      <c r="AA14" s="86" t="s">
        <v>1936</v>
      </c>
      <c r="AB14" s="86">
        <v>8</v>
      </c>
      <c r="AC14" s="86">
        <v>68</v>
      </c>
      <c r="AD14" s="86">
        <v>47</v>
      </c>
    </row>
    <row r="15" spans="1:30" x14ac:dyDescent="0.25">
      <c r="A15" s="81" t="s">
        <v>726</v>
      </c>
      <c r="B15" s="138">
        <v>0.01</v>
      </c>
      <c r="C15" s="138">
        <v>9</v>
      </c>
      <c r="D15" s="139"/>
      <c r="F15" s="828"/>
      <c r="G15" s="828"/>
      <c r="H15" s="828"/>
      <c r="I15" s="86" t="s">
        <v>1039</v>
      </c>
      <c r="J15" s="86">
        <v>7</v>
      </c>
      <c r="K15" s="828"/>
      <c r="L15" s="828"/>
      <c r="M15" s="828"/>
      <c r="N15" s="828"/>
      <c r="O15" s="828"/>
      <c r="P15" s="828"/>
      <c r="Q15" s="828"/>
      <c r="R15" s="828"/>
      <c r="S15" s="828"/>
      <c r="T15" s="828"/>
      <c r="U15" s="828"/>
      <c r="V15" s="828"/>
      <c r="W15" s="828"/>
      <c r="X15" s="828"/>
      <c r="Y15" s="828"/>
      <c r="Z15" s="86"/>
      <c r="AA15" s="86" t="s">
        <v>637</v>
      </c>
      <c r="AB15" s="86">
        <v>9</v>
      </c>
      <c r="AC15" s="86">
        <v>58</v>
      </c>
      <c r="AD15" s="86">
        <v>27</v>
      </c>
    </row>
    <row r="16" spans="1:30" x14ac:dyDescent="0.25">
      <c r="A16" s="81" t="s">
        <v>638</v>
      </c>
      <c r="B16" s="138">
        <v>7.0000000000000007E-2</v>
      </c>
      <c r="C16" s="138">
        <v>10</v>
      </c>
      <c r="D16" s="139"/>
      <c r="F16" s="828"/>
      <c r="G16" s="828"/>
      <c r="H16" s="828"/>
      <c r="I16" s="86" t="s">
        <v>1047</v>
      </c>
      <c r="J16" s="86">
        <v>55</v>
      </c>
      <c r="K16" s="828"/>
      <c r="L16" s="828"/>
      <c r="M16" s="828"/>
      <c r="N16" s="828"/>
      <c r="O16" s="828"/>
      <c r="P16" s="828"/>
      <c r="Q16" s="828"/>
      <c r="R16" s="828"/>
      <c r="S16" s="828"/>
      <c r="T16" s="828"/>
      <c r="U16" s="828"/>
      <c r="V16" s="828"/>
      <c r="W16" s="828"/>
      <c r="X16" s="828"/>
      <c r="Y16" s="828"/>
      <c r="Z16" s="86"/>
      <c r="AA16" s="86"/>
      <c r="AB16" s="86">
        <v>10</v>
      </c>
      <c r="AC16" s="86"/>
      <c r="AD16" s="86"/>
    </row>
    <row r="17" spans="1:30" x14ac:dyDescent="0.25">
      <c r="A17" s="834" t="s">
        <v>1766</v>
      </c>
      <c r="B17" s="1291">
        <f>B18/1.5</f>
        <v>6.6666666666666671E-3</v>
      </c>
      <c r="C17" s="138">
        <v>11</v>
      </c>
      <c r="D17" s="139"/>
      <c r="F17" s="828"/>
      <c r="G17" s="828"/>
      <c r="H17" s="828"/>
      <c r="I17" s="86" t="s">
        <v>858</v>
      </c>
      <c r="J17" s="86">
        <v>40</v>
      </c>
      <c r="K17" s="828"/>
      <c r="L17" s="828"/>
      <c r="M17" s="828"/>
      <c r="N17" s="828"/>
      <c r="O17" s="828"/>
      <c r="P17" s="828"/>
      <c r="Q17" s="828"/>
      <c r="R17" s="828"/>
      <c r="S17" s="828"/>
      <c r="T17" s="828"/>
      <c r="U17" s="828"/>
      <c r="V17" s="828"/>
      <c r="W17" s="828"/>
      <c r="X17" s="828"/>
      <c r="Y17" s="828"/>
      <c r="Z17" s="86"/>
      <c r="AA17" s="86"/>
      <c r="AB17" s="86">
        <v>11</v>
      </c>
      <c r="AC17" s="86"/>
      <c r="AD17" s="86"/>
    </row>
    <row r="18" spans="1:30" ht="13.55" customHeight="1" x14ac:dyDescent="0.25">
      <c r="A18" s="834" t="s">
        <v>410</v>
      </c>
      <c r="B18" s="1291">
        <v>0.01</v>
      </c>
      <c r="C18" s="138">
        <v>12</v>
      </c>
      <c r="D18" s="139"/>
      <c r="F18" s="828"/>
      <c r="G18" s="828"/>
      <c r="H18" s="828"/>
      <c r="I18" s="86" t="s">
        <v>429</v>
      </c>
      <c r="J18" s="86">
        <v>40</v>
      </c>
      <c r="K18" s="828"/>
      <c r="L18" s="828"/>
      <c r="M18" s="828"/>
      <c r="N18" s="828"/>
      <c r="O18" s="828"/>
      <c r="P18" s="828"/>
      <c r="Q18" s="828"/>
      <c r="R18" s="828"/>
      <c r="S18" s="828"/>
      <c r="T18" s="828"/>
      <c r="U18" s="828"/>
      <c r="V18" s="828"/>
      <c r="W18" s="828"/>
      <c r="X18" s="828"/>
      <c r="Y18" s="828"/>
      <c r="Z18" s="86"/>
      <c r="AA18" s="86"/>
      <c r="AB18" s="86">
        <v>12</v>
      </c>
      <c r="AC18" s="86"/>
      <c r="AD18" s="86"/>
    </row>
    <row r="19" spans="1:30" x14ac:dyDescent="0.25">
      <c r="A19" s="81" t="s">
        <v>835</v>
      </c>
      <c r="B19" s="138">
        <v>1E-3</v>
      </c>
      <c r="C19" s="138">
        <v>13</v>
      </c>
      <c r="D19" s="139"/>
      <c r="F19" s="828"/>
      <c r="G19" s="828"/>
      <c r="H19" s="828"/>
      <c r="I19" s="86" t="s">
        <v>739</v>
      </c>
      <c r="J19" s="86">
        <v>30</v>
      </c>
      <c r="K19" s="828"/>
      <c r="L19" s="828"/>
      <c r="M19" s="828"/>
      <c r="N19" s="828"/>
      <c r="O19" s="828"/>
      <c r="P19" s="828"/>
      <c r="Q19" s="828"/>
      <c r="R19" s="828"/>
      <c r="S19" s="828"/>
      <c r="T19" s="828"/>
      <c r="U19" s="828"/>
      <c r="V19" s="828"/>
      <c r="W19" s="828"/>
      <c r="X19" s="828"/>
      <c r="Y19" s="828"/>
      <c r="Z19" s="86"/>
      <c r="AA19" s="86"/>
      <c r="AB19" s="86">
        <v>13</v>
      </c>
      <c r="AC19" s="86"/>
      <c r="AD19" s="86"/>
    </row>
    <row r="20" spans="1:30" x14ac:dyDescent="0.25">
      <c r="A20" s="81" t="s">
        <v>836</v>
      </c>
      <c r="B20" s="138">
        <v>1E-3</v>
      </c>
      <c r="C20" s="138">
        <v>14</v>
      </c>
      <c r="D20" s="139"/>
      <c r="F20" s="828"/>
      <c r="G20" s="828"/>
      <c r="H20" s="828"/>
      <c r="I20" s="86" t="s">
        <v>738</v>
      </c>
      <c r="J20" s="86">
        <v>45</v>
      </c>
      <c r="K20" s="828"/>
      <c r="L20" s="828"/>
      <c r="M20" s="828"/>
      <c r="N20" s="828"/>
      <c r="O20" s="828"/>
      <c r="P20" s="828"/>
      <c r="Q20" s="828"/>
      <c r="R20" s="828"/>
      <c r="S20" s="828"/>
      <c r="T20" s="828"/>
      <c r="U20" s="828"/>
      <c r="V20" s="828"/>
      <c r="W20" s="828"/>
      <c r="X20" s="828"/>
      <c r="Y20" s="828"/>
      <c r="Z20" s="86"/>
      <c r="AA20" s="86"/>
      <c r="AB20" s="86">
        <v>14</v>
      </c>
      <c r="AC20" s="86"/>
      <c r="AD20" s="86"/>
    </row>
    <row r="21" spans="1:30" x14ac:dyDescent="0.25">
      <c r="A21" s="81" t="s">
        <v>868</v>
      </c>
      <c r="B21" s="138">
        <v>0.01</v>
      </c>
      <c r="C21" s="138">
        <v>15</v>
      </c>
      <c r="D21" s="139"/>
      <c r="F21" s="828"/>
      <c r="G21" s="828"/>
      <c r="H21" s="828"/>
      <c r="I21" s="86" t="s">
        <v>740</v>
      </c>
      <c r="J21" s="86">
        <v>30</v>
      </c>
      <c r="K21" s="828"/>
      <c r="L21" s="828"/>
      <c r="M21" s="828"/>
      <c r="N21" s="828"/>
      <c r="O21" s="828"/>
      <c r="P21" s="828"/>
      <c r="Q21" s="828"/>
      <c r="R21" s="828"/>
      <c r="S21" s="828"/>
      <c r="T21" s="828"/>
      <c r="U21" s="828"/>
      <c r="V21" s="828"/>
      <c r="W21" s="828"/>
      <c r="X21" s="828"/>
      <c r="Y21" s="828"/>
      <c r="Z21" s="86"/>
      <c r="AA21" s="86"/>
      <c r="AB21" s="86">
        <v>15</v>
      </c>
      <c r="AC21" s="86"/>
      <c r="AD21" s="86"/>
    </row>
    <row r="22" spans="1:30" x14ac:dyDescent="0.25">
      <c r="A22" s="81" t="s">
        <v>936</v>
      </c>
      <c r="B22" s="138">
        <v>5.0000000000000001E-3</v>
      </c>
      <c r="C22" s="138">
        <v>16</v>
      </c>
      <c r="D22" s="139"/>
      <c r="I22" s="86" t="s">
        <v>943</v>
      </c>
      <c r="J22" s="86">
        <v>25</v>
      </c>
      <c r="Z22" s="86"/>
      <c r="AA22" s="86"/>
      <c r="AB22" s="86">
        <v>16</v>
      </c>
      <c r="AC22" s="86"/>
      <c r="AD22" s="86"/>
    </row>
    <row r="23" spans="1:30" ht="13.25" thickBot="1" x14ac:dyDescent="0.3">
      <c r="A23" s="831" t="s">
        <v>1658</v>
      </c>
      <c r="B23" s="832"/>
      <c r="C23" s="832">
        <v>17</v>
      </c>
      <c r="D23" s="833"/>
      <c r="I23" s="86" t="s">
        <v>1364</v>
      </c>
      <c r="J23" s="86">
        <v>12</v>
      </c>
      <c r="Z23" s="86"/>
      <c r="AA23" s="86"/>
      <c r="AB23" s="86">
        <v>17</v>
      </c>
      <c r="AC23" s="86"/>
      <c r="AD23" s="86"/>
    </row>
    <row r="24" spans="1:30" x14ac:dyDescent="0.25">
      <c r="I24" s="86" t="s">
        <v>1658</v>
      </c>
      <c r="J24" s="86">
        <v>20</v>
      </c>
      <c r="Z24" s="86"/>
      <c r="AA24" s="86"/>
      <c r="AB24" s="86">
        <v>18</v>
      </c>
      <c r="AC24" s="86"/>
      <c r="AD24" s="86"/>
    </row>
    <row r="25" spans="1:30" x14ac:dyDescent="0.25">
      <c r="Z25" s="86"/>
      <c r="AA25" s="86"/>
      <c r="AB25" s="86">
        <v>19</v>
      </c>
      <c r="AC25" s="86"/>
      <c r="AD25" s="86"/>
    </row>
    <row r="26" spans="1:30" ht="13.25" thickBot="1" x14ac:dyDescent="0.3">
      <c r="E26" s="15">
        <v>1</v>
      </c>
      <c r="F26" s="15">
        <v>2</v>
      </c>
      <c r="G26" s="15">
        <v>3</v>
      </c>
      <c r="H26" s="15">
        <v>4</v>
      </c>
      <c r="I26" s="15">
        <v>5</v>
      </c>
      <c r="J26" s="15">
        <v>6</v>
      </c>
      <c r="K26" s="15">
        <v>7</v>
      </c>
      <c r="L26" s="15">
        <v>8</v>
      </c>
      <c r="M26" s="15">
        <v>9</v>
      </c>
      <c r="N26" s="15">
        <v>10</v>
      </c>
      <c r="O26" s="15">
        <v>11</v>
      </c>
      <c r="P26" s="15">
        <v>12</v>
      </c>
      <c r="Q26" s="15">
        <v>13</v>
      </c>
      <c r="R26" s="15">
        <v>14</v>
      </c>
      <c r="S26" s="15">
        <v>15</v>
      </c>
      <c r="T26" s="15">
        <v>16</v>
      </c>
      <c r="U26" s="15">
        <v>17</v>
      </c>
      <c r="Z26" s="86"/>
      <c r="AA26" s="86"/>
      <c r="AB26" s="86">
        <v>20</v>
      </c>
      <c r="AC26" s="86"/>
      <c r="AD26" s="86"/>
    </row>
    <row r="27" spans="1:30" x14ac:dyDescent="0.25">
      <c r="A27" s="16" t="s">
        <v>1799</v>
      </c>
      <c r="B27" s="826"/>
      <c r="C27" s="826"/>
      <c r="D27" s="826"/>
      <c r="E27" s="2572" t="s">
        <v>938</v>
      </c>
      <c r="F27" s="2572"/>
      <c r="G27" s="2572"/>
      <c r="H27" s="2572"/>
      <c r="I27" s="2572"/>
      <c r="J27" s="2572"/>
      <c r="K27" s="2572"/>
      <c r="L27" s="2572"/>
      <c r="M27" s="2572"/>
      <c r="N27" s="826"/>
      <c r="O27" s="826"/>
      <c r="P27" s="826"/>
      <c r="Q27" s="826"/>
      <c r="R27" s="826"/>
      <c r="S27" s="826"/>
      <c r="T27" s="826"/>
      <c r="U27" s="826"/>
      <c r="V27" s="826"/>
      <c r="W27" s="827"/>
      <c r="Z27" s="86"/>
      <c r="AA27" s="86"/>
      <c r="AB27" s="86">
        <v>21</v>
      </c>
      <c r="AC27" s="86"/>
      <c r="AD27" s="86"/>
    </row>
    <row r="28" spans="1:30" s="133" customFormat="1" ht="55.45" customHeight="1" x14ac:dyDescent="0.25">
      <c r="A28" s="834"/>
      <c r="B28" s="132"/>
      <c r="C28" s="132"/>
      <c r="D28" s="132" t="s">
        <v>1177</v>
      </c>
      <c r="E28" s="132" t="s">
        <v>939</v>
      </c>
      <c r="F28" s="132" t="s">
        <v>940</v>
      </c>
      <c r="G28" s="132" t="s">
        <v>770</v>
      </c>
      <c r="H28" s="132" t="s">
        <v>772</v>
      </c>
      <c r="I28" s="132" t="s">
        <v>941</v>
      </c>
      <c r="J28" s="132" t="s">
        <v>670</v>
      </c>
      <c r="K28" s="132" t="s">
        <v>539</v>
      </c>
      <c r="L28" s="132" t="s">
        <v>725</v>
      </c>
      <c r="M28" s="132" t="s">
        <v>726</v>
      </c>
      <c r="N28" s="132" t="s">
        <v>638</v>
      </c>
      <c r="O28" s="132" t="s">
        <v>1766</v>
      </c>
      <c r="P28" s="132" t="s">
        <v>410</v>
      </c>
      <c r="Q28" s="132" t="s">
        <v>835</v>
      </c>
      <c r="R28" s="132" t="s">
        <v>836</v>
      </c>
      <c r="S28" s="132" t="s">
        <v>868</v>
      </c>
      <c r="T28" s="132" t="s">
        <v>936</v>
      </c>
      <c r="U28" s="835"/>
      <c r="V28" s="829"/>
      <c r="W28" s="829"/>
      <c r="Z28" s="829"/>
      <c r="AA28" s="829"/>
      <c r="AB28" s="829">
        <v>22</v>
      </c>
      <c r="AC28" s="829"/>
      <c r="AD28" s="829"/>
    </row>
    <row r="29" spans="1:30" x14ac:dyDescent="0.25">
      <c r="A29" s="81"/>
      <c r="B29" s="138"/>
      <c r="C29" s="138"/>
      <c r="D29" s="138">
        <v>10</v>
      </c>
      <c r="E29" s="138">
        <v>66</v>
      </c>
      <c r="F29" s="138">
        <v>17</v>
      </c>
      <c r="G29" s="138">
        <v>2</v>
      </c>
      <c r="H29" s="138">
        <v>1</v>
      </c>
      <c r="I29" s="138">
        <v>3</v>
      </c>
      <c r="J29" s="138">
        <v>17</v>
      </c>
      <c r="K29" s="138">
        <v>0.1</v>
      </c>
      <c r="L29" s="138">
        <v>0</v>
      </c>
      <c r="M29" s="138">
        <v>3</v>
      </c>
      <c r="N29" s="138">
        <v>3</v>
      </c>
      <c r="O29" s="1292">
        <f>P29*2/3</f>
        <v>0.33333333333333331</v>
      </c>
      <c r="P29" s="1291">
        <v>0.5</v>
      </c>
      <c r="Q29" s="138">
        <v>1.5</v>
      </c>
      <c r="R29" s="138">
        <v>1.5</v>
      </c>
      <c r="S29" s="138">
        <v>0</v>
      </c>
      <c r="T29" s="138">
        <v>0</v>
      </c>
      <c r="U29" s="138">
        <v>1</v>
      </c>
      <c r="V29" s="86"/>
      <c r="W29" s="86"/>
      <c r="Z29" s="86"/>
      <c r="AA29" s="86"/>
      <c r="AB29" s="86">
        <v>23</v>
      </c>
      <c r="AC29" s="86"/>
      <c r="AD29" s="86"/>
    </row>
    <row r="30" spans="1:30" x14ac:dyDescent="0.25">
      <c r="A30" s="81"/>
      <c r="B30" s="138"/>
      <c r="C30" s="138"/>
      <c r="D30" s="138">
        <v>11</v>
      </c>
      <c r="E30" s="138">
        <v>68</v>
      </c>
      <c r="F30" s="138">
        <v>19</v>
      </c>
      <c r="G30" s="138">
        <v>2</v>
      </c>
      <c r="H30" s="138">
        <v>1</v>
      </c>
      <c r="I30" s="138">
        <v>3</v>
      </c>
      <c r="J30" s="138">
        <v>19</v>
      </c>
      <c r="K30" s="138">
        <v>0.1</v>
      </c>
      <c r="L30" s="138">
        <v>0</v>
      </c>
      <c r="M30" s="138">
        <v>3</v>
      </c>
      <c r="N30" s="138">
        <v>3</v>
      </c>
      <c r="O30" s="1292">
        <f t="shared" ref="O30:O47" si="0">P30*2/3</f>
        <v>0.33333333333333331</v>
      </c>
      <c r="P30" s="1291">
        <v>0.5</v>
      </c>
      <c r="Q30" s="138">
        <v>1.5</v>
      </c>
      <c r="R30" s="138">
        <v>1.5</v>
      </c>
      <c r="S30" s="138">
        <v>0</v>
      </c>
      <c r="T30" s="138">
        <v>0</v>
      </c>
      <c r="U30" s="138">
        <v>1</v>
      </c>
      <c r="V30" s="86"/>
      <c r="W30" s="86"/>
      <c r="Z30" s="86"/>
      <c r="AA30" s="86"/>
      <c r="AB30" s="86">
        <v>24</v>
      </c>
      <c r="AC30" s="86"/>
      <c r="AD30" s="86"/>
    </row>
    <row r="31" spans="1:30" x14ac:dyDescent="0.25">
      <c r="A31" s="81"/>
      <c r="B31" s="138"/>
      <c r="C31" s="138"/>
      <c r="D31" s="138">
        <v>12</v>
      </c>
      <c r="E31" s="138">
        <v>70</v>
      </c>
      <c r="F31" s="138">
        <v>20</v>
      </c>
      <c r="G31" s="138">
        <v>2</v>
      </c>
      <c r="H31" s="138">
        <v>1</v>
      </c>
      <c r="I31" s="138">
        <v>3</v>
      </c>
      <c r="J31" s="138">
        <v>20</v>
      </c>
      <c r="K31" s="138">
        <v>0.1</v>
      </c>
      <c r="L31" s="138">
        <v>0</v>
      </c>
      <c r="M31" s="138">
        <v>3</v>
      </c>
      <c r="N31" s="138">
        <v>3</v>
      </c>
      <c r="O31" s="1292">
        <f t="shared" si="0"/>
        <v>0.33333333333333331</v>
      </c>
      <c r="P31" s="1291">
        <v>0.5</v>
      </c>
      <c r="Q31" s="138">
        <v>1.5</v>
      </c>
      <c r="R31" s="138">
        <v>1.5</v>
      </c>
      <c r="S31" s="138">
        <v>0</v>
      </c>
      <c r="T31" s="138">
        <v>0</v>
      </c>
      <c r="U31" s="138">
        <v>1</v>
      </c>
      <c r="V31" s="86"/>
      <c r="W31" s="86"/>
      <c r="Z31" s="86"/>
      <c r="AA31" s="86"/>
      <c r="AB31" s="86">
        <v>25</v>
      </c>
      <c r="AC31" s="86"/>
      <c r="AD31" s="86"/>
    </row>
    <row r="32" spans="1:30" x14ac:dyDescent="0.25">
      <c r="A32" s="81"/>
      <c r="B32" s="138"/>
      <c r="C32" s="138"/>
      <c r="D32" s="138">
        <v>13</v>
      </c>
      <c r="E32" s="138">
        <v>71</v>
      </c>
      <c r="F32" s="138">
        <v>22</v>
      </c>
      <c r="G32" s="138">
        <v>2</v>
      </c>
      <c r="H32" s="138">
        <v>1</v>
      </c>
      <c r="I32" s="138">
        <v>3</v>
      </c>
      <c r="J32" s="138">
        <v>22</v>
      </c>
      <c r="K32" s="138">
        <v>0.1</v>
      </c>
      <c r="L32" s="138">
        <v>0</v>
      </c>
      <c r="M32" s="138">
        <v>3</v>
      </c>
      <c r="N32" s="138">
        <v>3</v>
      </c>
      <c r="O32" s="1292">
        <f t="shared" si="0"/>
        <v>0.33333333333333331</v>
      </c>
      <c r="P32" s="1291">
        <v>0.5</v>
      </c>
      <c r="Q32" s="138">
        <v>1.5</v>
      </c>
      <c r="R32" s="138">
        <v>1.5</v>
      </c>
      <c r="S32" s="138">
        <v>0</v>
      </c>
      <c r="T32" s="138">
        <v>0</v>
      </c>
      <c r="U32" s="138">
        <v>1</v>
      </c>
      <c r="V32" s="86"/>
      <c r="W32" s="86"/>
      <c r="Z32" s="86"/>
      <c r="AA32" s="86"/>
      <c r="AB32" s="86">
        <v>26</v>
      </c>
      <c r="AC32" s="86"/>
      <c r="AD32" s="86"/>
    </row>
    <row r="33" spans="1:30" x14ac:dyDescent="0.25">
      <c r="A33" s="81"/>
      <c r="B33" s="138"/>
      <c r="C33" s="138"/>
      <c r="D33" s="138">
        <v>14</v>
      </c>
      <c r="E33" s="138">
        <v>73</v>
      </c>
      <c r="F33" s="138">
        <v>25</v>
      </c>
      <c r="G33" s="138">
        <v>2</v>
      </c>
      <c r="H33" s="138">
        <v>1</v>
      </c>
      <c r="I33" s="138">
        <v>3</v>
      </c>
      <c r="J33" s="138">
        <v>25</v>
      </c>
      <c r="K33" s="138">
        <v>0.1</v>
      </c>
      <c r="L33" s="138">
        <v>0</v>
      </c>
      <c r="M33" s="138">
        <v>3</v>
      </c>
      <c r="N33" s="138">
        <v>3</v>
      </c>
      <c r="O33" s="1292">
        <f t="shared" si="0"/>
        <v>0.33333333333333331</v>
      </c>
      <c r="P33" s="1291">
        <v>0.5</v>
      </c>
      <c r="Q33" s="138">
        <v>1.5</v>
      </c>
      <c r="R33" s="138">
        <v>1.5</v>
      </c>
      <c r="S33" s="138">
        <v>0</v>
      </c>
      <c r="T33" s="138">
        <v>0</v>
      </c>
      <c r="U33" s="138">
        <v>1</v>
      </c>
      <c r="V33" s="86"/>
      <c r="W33" s="86"/>
      <c r="Z33" s="86"/>
      <c r="AA33" s="86"/>
      <c r="AB33" s="86">
        <v>27</v>
      </c>
      <c r="AC33" s="86"/>
      <c r="AD33" s="86"/>
    </row>
    <row r="34" spans="1:30" x14ac:dyDescent="0.25">
      <c r="A34" s="81"/>
      <c r="B34" s="138"/>
      <c r="C34" s="138"/>
      <c r="D34" s="138">
        <v>15</v>
      </c>
      <c r="E34" s="138">
        <v>74</v>
      </c>
      <c r="F34" s="138">
        <v>27</v>
      </c>
      <c r="G34" s="138">
        <v>4</v>
      </c>
      <c r="H34" s="138">
        <v>1.5</v>
      </c>
      <c r="I34" s="138">
        <v>3</v>
      </c>
      <c r="J34" s="138">
        <v>27</v>
      </c>
      <c r="K34" s="138">
        <v>0.5</v>
      </c>
      <c r="L34" s="138">
        <v>0</v>
      </c>
      <c r="M34" s="138">
        <v>3</v>
      </c>
      <c r="N34" s="138">
        <v>3</v>
      </c>
      <c r="O34" s="1292">
        <f t="shared" si="0"/>
        <v>0.66666666666666663</v>
      </c>
      <c r="P34" s="1291">
        <v>1</v>
      </c>
      <c r="Q34" s="138">
        <v>1.5</v>
      </c>
      <c r="R34" s="138">
        <v>1.5</v>
      </c>
      <c r="S34" s="138">
        <v>0</v>
      </c>
      <c r="T34" s="138">
        <v>0</v>
      </c>
      <c r="U34" s="138">
        <v>1.5</v>
      </c>
      <c r="V34" s="86"/>
      <c r="W34" s="86"/>
      <c r="Z34" s="86"/>
      <c r="AA34" s="86"/>
      <c r="AB34" s="86">
        <v>28</v>
      </c>
      <c r="AC34" s="86"/>
      <c r="AD34" s="86"/>
    </row>
    <row r="35" spans="1:30" x14ac:dyDescent="0.25">
      <c r="A35" s="81"/>
      <c r="B35" s="138"/>
      <c r="C35" s="138"/>
      <c r="D35" s="138">
        <v>16</v>
      </c>
      <c r="E35" s="138">
        <v>75</v>
      </c>
      <c r="F35" s="138">
        <v>29</v>
      </c>
      <c r="G35" s="138">
        <v>4</v>
      </c>
      <c r="H35" s="138">
        <v>1.5</v>
      </c>
      <c r="I35" s="138">
        <v>3</v>
      </c>
      <c r="J35" s="138">
        <v>29</v>
      </c>
      <c r="K35" s="138">
        <v>0.5</v>
      </c>
      <c r="L35" s="138">
        <v>0</v>
      </c>
      <c r="M35" s="138">
        <v>3</v>
      </c>
      <c r="N35" s="138">
        <v>3</v>
      </c>
      <c r="O35" s="1292">
        <f t="shared" si="0"/>
        <v>0.66666666666666663</v>
      </c>
      <c r="P35" s="1291">
        <v>1</v>
      </c>
      <c r="Q35" s="138">
        <v>1.5</v>
      </c>
      <c r="R35" s="138">
        <v>1.5</v>
      </c>
      <c r="S35" s="138">
        <v>0</v>
      </c>
      <c r="T35" s="138">
        <v>0</v>
      </c>
      <c r="U35" s="138">
        <v>1.5</v>
      </c>
      <c r="V35" s="86"/>
      <c r="W35" s="86"/>
    </row>
    <row r="36" spans="1:30" x14ac:dyDescent="0.25">
      <c r="A36" s="81"/>
      <c r="B36" s="138"/>
      <c r="C36" s="138"/>
      <c r="D36" s="138">
        <v>17</v>
      </c>
      <c r="E36" s="138">
        <v>76</v>
      </c>
      <c r="F36" s="138">
        <v>32</v>
      </c>
      <c r="G36" s="138">
        <v>4</v>
      </c>
      <c r="H36" s="138">
        <v>1.5</v>
      </c>
      <c r="I36" s="138">
        <v>3</v>
      </c>
      <c r="J36" s="138">
        <v>32</v>
      </c>
      <c r="K36" s="138">
        <v>0.5</v>
      </c>
      <c r="L36" s="138">
        <v>0</v>
      </c>
      <c r="M36" s="138">
        <v>3</v>
      </c>
      <c r="N36" s="138">
        <v>3</v>
      </c>
      <c r="O36" s="1292">
        <f t="shared" si="0"/>
        <v>0.66666666666666663</v>
      </c>
      <c r="P36" s="1291">
        <v>1</v>
      </c>
      <c r="Q36" s="138">
        <v>1.5</v>
      </c>
      <c r="R36" s="138">
        <v>1.5</v>
      </c>
      <c r="S36" s="138">
        <v>0</v>
      </c>
      <c r="T36" s="138">
        <v>0</v>
      </c>
      <c r="U36" s="138">
        <v>1.5</v>
      </c>
      <c r="V36" s="86"/>
      <c r="W36" s="86"/>
    </row>
    <row r="37" spans="1:30" x14ac:dyDescent="0.25">
      <c r="A37" s="81"/>
      <c r="B37" s="138"/>
      <c r="C37" s="138"/>
      <c r="D37" s="138">
        <v>18</v>
      </c>
      <c r="E37" s="138">
        <v>77</v>
      </c>
      <c r="F37" s="138">
        <v>35</v>
      </c>
      <c r="G37" s="138">
        <v>4</v>
      </c>
      <c r="H37" s="138">
        <v>1.5</v>
      </c>
      <c r="I37" s="138">
        <v>3</v>
      </c>
      <c r="J37" s="138">
        <v>35</v>
      </c>
      <c r="K37" s="138">
        <v>0.5</v>
      </c>
      <c r="L37" s="138">
        <v>0</v>
      </c>
      <c r="M37" s="138">
        <v>3</v>
      </c>
      <c r="N37" s="138">
        <v>3</v>
      </c>
      <c r="O37" s="1292">
        <f t="shared" si="0"/>
        <v>0.66666666666666663</v>
      </c>
      <c r="P37" s="1291">
        <v>1</v>
      </c>
      <c r="Q37" s="138">
        <v>1.5</v>
      </c>
      <c r="R37" s="138">
        <v>1.5</v>
      </c>
      <c r="S37" s="138">
        <v>0</v>
      </c>
      <c r="T37" s="138">
        <v>0</v>
      </c>
      <c r="U37" s="138">
        <v>1.5</v>
      </c>
      <c r="V37" s="86"/>
      <c r="W37" s="86"/>
    </row>
    <row r="38" spans="1:30" x14ac:dyDescent="0.25">
      <c r="A38" s="81"/>
      <c r="B38" s="138"/>
      <c r="C38" s="138"/>
      <c r="D38" s="138">
        <v>19</v>
      </c>
      <c r="E38" s="138">
        <v>77</v>
      </c>
      <c r="F38" s="138">
        <v>39</v>
      </c>
      <c r="G38" s="138">
        <v>4</v>
      </c>
      <c r="H38" s="138">
        <v>1.5</v>
      </c>
      <c r="I38" s="138">
        <v>3</v>
      </c>
      <c r="J38" s="138">
        <v>39</v>
      </c>
      <c r="K38" s="138">
        <v>0.5</v>
      </c>
      <c r="L38" s="138">
        <v>0</v>
      </c>
      <c r="M38" s="138">
        <v>3</v>
      </c>
      <c r="N38" s="138">
        <v>3</v>
      </c>
      <c r="O38" s="1292">
        <f t="shared" si="0"/>
        <v>0.66666666666666663</v>
      </c>
      <c r="P38" s="1291">
        <v>1</v>
      </c>
      <c r="Q38" s="138">
        <v>1.5</v>
      </c>
      <c r="R38" s="138">
        <v>1.5</v>
      </c>
      <c r="S38" s="138">
        <v>0</v>
      </c>
      <c r="T38" s="138">
        <v>0</v>
      </c>
      <c r="U38" s="138">
        <v>1.5</v>
      </c>
      <c r="V38" s="86"/>
      <c r="W38" s="86"/>
    </row>
    <row r="39" spans="1:30" x14ac:dyDescent="0.25">
      <c r="A39" s="81"/>
      <c r="B39" s="138"/>
      <c r="C39" s="138"/>
      <c r="D39" s="138">
        <v>20</v>
      </c>
      <c r="E39" s="138">
        <v>78</v>
      </c>
      <c r="F39" s="138">
        <v>42</v>
      </c>
      <c r="G39" s="138">
        <v>4</v>
      </c>
      <c r="H39" s="138">
        <v>1.5</v>
      </c>
      <c r="I39" s="138">
        <v>3</v>
      </c>
      <c r="J39" s="138">
        <v>42</v>
      </c>
      <c r="K39" s="138">
        <v>0.5</v>
      </c>
      <c r="L39" s="138">
        <v>0</v>
      </c>
      <c r="M39" s="138">
        <v>3</v>
      </c>
      <c r="N39" s="138">
        <v>3</v>
      </c>
      <c r="O39" s="1292">
        <f t="shared" si="0"/>
        <v>0.66666666666666663</v>
      </c>
      <c r="P39" s="1291">
        <v>1</v>
      </c>
      <c r="Q39" s="138">
        <v>1.5</v>
      </c>
      <c r="R39" s="138">
        <v>1.5</v>
      </c>
      <c r="S39" s="138">
        <v>0</v>
      </c>
      <c r="T39" s="138">
        <v>0</v>
      </c>
      <c r="U39" s="138">
        <v>1.5</v>
      </c>
      <c r="V39" s="86"/>
      <c r="W39" s="86"/>
    </row>
    <row r="40" spans="1:30" x14ac:dyDescent="0.25">
      <c r="A40" s="81"/>
      <c r="B40" s="138"/>
      <c r="C40" s="138"/>
      <c r="D40" s="138">
        <v>21</v>
      </c>
      <c r="E40" s="138">
        <v>78</v>
      </c>
      <c r="F40" s="138">
        <v>46</v>
      </c>
      <c r="G40" s="138">
        <v>4</v>
      </c>
      <c r="H40" s="138">
        <v>1.5</v>
      </c>
      <c r="I40" s="138">
        <v>3</v>
      </c>
      <c r="J40" s="138">
        <v>46</v>
      </c>
      <c r="K40" s="138">
        <v>0.5</v>
      </c>
      <c r="L40" s="138">
        <v>0</v>
      </c>
      <c r="M40" s="138">
        <v>3</v>
      </c>
      <c r="N40" s="138">
        <v>3</v>
      </c>
      <c r="O40" s="1292">
        <f t="shared" si="0"/>
        <v>0.66666666666666663</v>
      </c>
      <c r="P40" s="1291">
        <v>1</v>
      </c>
      <c r="Q40" s="138">
        <v>1.5</v>
      </c>
      <c r="R40" s="138">
        <v>1.5</v>
      </c>
      <c r="S40" s="138">
        <v>0</v>
      </c>
      <c r="T40" s="138">
        <v>0</v>
      </c>
      <c r="U40" s="138">
        <v>1.5</v>
      </c>
      <c r="V40" s="86"/>
      <c r="W40" s="86"/>
    </row>
    <row r="41" spans="1:30" x14ac:dyDescent="0.25">
      <c r="A41" s="81"/>
      <c r="B41" s="138"/>
      <c r="C41" s="138"/>
      <c r="D41" s="138">
        <v>22</v>
      </c>
      <c r="E41" s="138">
        <v>78</v>
      </c>
      <c r="F41" s="138">
        <v>50</v>
      </c>
      <c r="G41" s="138">
        <v>4</v>
      </c>
      <c r="H41" s="138">
        <v>1.5</v>
      </c>
      <c r="I41" s="138">
        <v>3</v>
      </c>
      <c r="J41" s="138">
        <v>50</v>
      </c>
      <c r="K41" s="138">
        <v>0.5</v>
      </c>
      <c r="L41" s="138">
        <v>0</v>
      </c>
      <c r="M41" s="138">
        <v>3</v>
      </c>
      <c r="N41" s="138">
        <v>3</v>
      </c>
      <c r="O41" s="1292">
        <f t="shared" si="0"/>
        <v>0.66666666666666663</v>
      </c>
      <c r="P41" s="1291">
        <v>1</v>
      </c>
      <c r="Q41" s="138">
        <v>1.5</v>
      </c>
      <c r="R41" s="138">
        <v>1.5</v>
      </c>
      <c r="S41" s="138">
        <v>0</v>
      </c>
      <c r="T41" s="138">
        <v>0</v>
      </c>
      <c r="U41" s="138">
        <v>1.5</v>
      </c>
      <c r="V41" s="86"/>
      <c r="W41" s="86"/>
    </row>
    <row r="42" spans="1:30" x14ac:dyDescent="0.25">
      <c r="A42" s="81"/>
      <c r="B42" s="138"/>
      <c r="C42" s="138"/>
      <c r="D42" s="138">
        <v>23</v>
      </c>
      <c r="E42" s="138">
        <v>79</v>
      </c>
      <c r="F42" s="138">
        <v>55</v>
      </c>
      <c r="G42" s="138">
        <v>4</v>
      </c>
      <c r="H42" s="138">
        <v>1.5</v>
      </c>
      <c r="I42" s="138">
        <v>3</v>
      </c>
      <c r="J42" s="138">
        <v>55</v>
      </c>
      <c r="K42" s="138">
        <v>0.5</v>
      </c>
      <c r="L42" s="138">
        <v>0</v>
      </c>
      <c r="M42" s="138">
        <v>3</v>
      </c>
      <c r="N42" s="138">
        <v>3</v>
      </c>
      <c r="O42" s="1292">
        <f t="shared" si="0"/>
        <v>0.66666666666666663</v>
      </c>
      <c r="P42" s="1291">
        <v>1</v>
      </c>
      <c r="Q42" s="138">
        <v>1.5</v>
      </c>
      <c r="R42" s="138">
        <v>1.5</v>
      </c>
      <c r="S42" s="138">
        <v>0</v>
      </c>
      <c r="T42" s="138">
        <v>0</v>
      </c>
      <c r="U42" s="138">
        <v>1.5</v>
      </c>
      <c r="V42" s="86"/>
      <c r="W42" s="86"/>
    </row>
    <row r="43" spans="1:30" x14ac:dyDescent="0.25">
      <c r="A43" s="81"/>
      <c r="B43" s="138"/>
      <c r="C43" s="138"/>
      <c r="D43" s="138">
        <v>24</v>
      </c>
      <c r="E43" s="138">
        <v>79</v>
      </c>
      <c r="F43" s="138">
        <v>60</v>
      </c>
      <c r="G43" s="138">
        <v>4</v>
      </c>
      <c r="H43" s="138">
        <v>1.5</v>
      </c>
      <c r="I43" s="138">
        <v>3</v>
      </c>
      <c r="J43" s="138">
        <v>60</v>
      </c>
      <c r="K43" s="138">
        <v>0.5</v>
      </c>
      <c r="L43" s="138">
        <v>0</v>
      </c>
      <c r="M43" s="138">
        <v>3</v>
      </c>
      <c r="N43" s="138">
        <v>3</v>
      </c>
      <c r="O43" s="1292">
        <f t="shared" si="0"/>
        <v>0.66666666666666663</v>
      </c>
      <c r="P43" s="1291">
        <v>1</v>
      </c>
      <c r="Q43" s="138">
        <v>1.5</v>
      </c>
      <c r="R43" s="138">
        <v>1.5</v>
      </c>
      <c r="S43" s="138">
        <v>0</v>
      </c>
      <c r="T43" s="138">
        <v>0</v>
      </c>
      <c r="U43" s="138">
        <v>1.5</v>
      </c>
      <c r="V43" s="86"/>
      <c r="W43" s="86"/>
    </row>
    <row r="44" spans="1:30" x14ac:dyDescent="0.25">
      <c r="A44" s="81"/>
      <c r="B44" s="138"/>
      <c r="C44" s="138"/>
      <c r="D44" s="138">
        <v>25</v>
      </c>
      <c r="E44" s="138">
        <v>79</v>
      </c>
      <c r="F44" s="138">
        <v>65</v>
      </c>
      <c r="G44" s="138">
        <v>4</v>
      </c>
      <c r="H44" s="138">
        <v>1.5</v>
      </c>
      <c r="I44" s="138">
        <v>3</v>
      </c>
      <c r="J44" s="138">
        <v>65</v>
      </c>
      <c r="K44" s="138">
        <v>0.5</v>
      </c>
      <c r="L44" s="138">
        <v>0</v>
      </c>
      <c r="M44" s="138">
        <v>3</v>
      </c>
      <c r="N44" s="138">
        <v>3</v>
      </c>
      <c r="O44" s="1292">
        <f t="shared" si="0"/>
        <v>0.66666666666666663</v>
      </c>
      <c r="P44" s="1291">
        <v>1</v>
      </c>
      <c r="Q44" s="138">
        <v>1.5</v>
      </c>
      <c r="R44" s="138">
        <v>1.5</v>
      </c>
      <c r="S44" s="138">
        <v>0</v>
      </c>
      <c r="T44" s="138">
        <v>0</v>
      </c>
      <c r="U44" s="138">
        <v>1.5</v>
      </c>
      <c r="V44" s="86"/>
      <c r="W44" s="86"/>
    </row>
    <row r="45" spans="1:30" x14ac:dyDescent="0.25">
      <c r="A45" s="81"/>
      <c r="B45" s="138"/>
      <c r="C45" s="138"/>
      <c r="D45" s="138">
        <v>26</v>
      </c>
      <c r="E45" s="138">
        <v>79</v>
      </c>
      <c r="F45" s="138">
        <v>71</v>
      </c>
      <c r="G45" s="138">
        <v>5</v>
      </c>
      <c r="H45" s="138">
        <v>2</v>
      </c>
      <c r="I45" s="138">
        <v>30</v>
      </c>
      <c r="J45" s="138">
        <v>71</v>
      </c>
      <c r="K45" s="138">
        <v>1</v>
      </c>
      <c r="L45" s="138">
        <v>0</v>
      </c>
      <c r="M45" s="138">
        <v>30</v>
      </c>
      <c r="N45" s="138">
        <v>30</v>
      </c>
      <c r="O45" s="1292">
        <f t="shared" si="0"/>
        <v>1</v>
      </c>
      <c r="P45" s="1291">
        <v>1.5</v>
      </c>
      <c r="Q45" s="138">
        <v>1.5</v>
      </c>
      <c r="R45" s="138">
        <v>1.5</v>
      </c>
      <c r="S45" s="138">
        <v>0</v>
      </c>
      <c r="T45" s="138">
        <v>0</v>
      </c>
      <c r="U45" s="138">
        <v>2</v>
      </c>
      <c r="V45" s="86"/>
      <c r="W45" s="86"/>
    </row>
    <row r="46" spans="1:30" x14ac:dyDescent="0.25">
      <c r="A46" s="81"/>
      <c r="B46" s="138"/>
      <c r="C46" s="138"/>
      <c r="D46" s="138">
        <v>27</v>
      </c>
      <c r="E46" s="138">
        <v>80</v>
      </c>
      <c r="F46" s="138">
        <v>78</v>
      </c>
      <c r="G46" s="138">
        <v>5</v>
      </c>
      <c r="H46" s="138">
        <v>2</v>
      </c>
      <c r="I46" s="138">
        <v>30</v>
      </c>
      <c r="J46" s="138">
        <v>78</v>
      </c>
      <c r="K46" s="138">
        <v>1</v>
      </c>
      <c r="L46" s="138">
        <v>0</v>
      </c>
      <c r="M46" s="138">
        <v>30</v>
      </c>
      <c r="N46" s="138">
        <v>30</v>
      </c>
      <c r="O46" s="1292">
        <f t="shared" si="0"/>
        <v>1</v>
      </c>
      <c r="P46" s="1291">
        <v>1.5</v>
      </c>
      <c r="Q46" s="138">
        <v>1.5</v>
      </c>
      <c r="R46" s="138">
        <v>1.5</v>
      </c>
      <c r="S46" s="138">
        <v>0</v>
      </c>
      <c r="T46" s="138">
        <v>0</v>
      </c>
      <c r="U46" s="138">
        <v>2</v>
      </c>
      <c r="V46" s="86"/>
      <c r="W46" s="86"/>
      <c r="AA46" s="15" t="s">
        <v>1924</v>
      </c>
    </row>
    <row r="47" spans="1:30" ht="25.35" x14ac:dyDescent="0.25">
      <c r="A47" s="81"/>
      <c r="B47" s="138"/>
      <c r="C47" s="138"/>
      <c r="D47" s="138">
        <v>28</v>
      </c>
      <c r="E47" s="138">
        <v>80</v>
      </c>
      <c r="F47" s="138">
        <v>80</v>
      </c>
      <c r="G47" s="138">
        <v>5</v>
      </c>
      <c r="H47" s="138">
        <v>2</v>
      </c>
      <c r="I47" s="138">
        <v>30</v>
      </c>
      <c r="J47" s="138">
        <v>80</v>
      </c>
      <c r="K47" s="138">
        <v>1</v>
      </c>
      <c r="L47" s="138">
        <v>0</v>
      </c>
      <c r="M47" s="138">
        <v>30</v>
      </c>
      <c r="N47" s="138">
        <v>30</v>
      </c>
      <c r="O47" s="1292">
        <f t="shared" si="0"/>
        <v>1</v>
      </c>
      <c r="P47" s="1291">
        <v>1.5</v>
      </c>
      <c r="Q47" s="138">
        <v>1.5</v>
      </c>
      <c r="R47" s="138">
        <v>1.5</v>
      </c>
      <c r="S47" s="138">
        <v>0</v>
      </c>
      <c r="T47" s="138">
        <v>0</v>
      </c>
      <c r="U47" s="138">
        <v>2</v>
      </c>
      <c r="V47" s="86"/>
      <c r="W47" s="86"/>
      <c r="Z47" s="151" t="s">
        <v>1016</v>
      </c>
      <c r="AA47" s="151">
        <v>104</v>
      </c>
    </row>
    <row r="48" spans="1:30" ht="13.25" thickBot="1" x14ac:dyDescent="0.3">
      <c r="A48" s="831"/>
      <c r="B48" s="832"/>
      <c r="C48" s="832"/>
      <c r="D48" s="832"/>
      <c r="E48" s="832"/>
      <c r="F48" s="832"/>
      <c r="G48" s="832"/>
      <c r="H48" s="832"/>
      <c r="I48" s="832"/>
      <c r="J48" s="832"/>
      <c r="K48" s="832"/>
      <c r="L48" s="832"/>
      <c r="M48" s="832"/>
      <c r="N48" s="832"/>
      <c r="O48" s="832"/>
      <c r="P48" s="832"/>
      <c r="Q48" s="832"/>
      <c r="R48" s="832"/>
      <c r="S48" s="832"/>
      <c r="T48" s="832"/>
      <c r="U48" s="832"/>
      <c r="V48" s="832"/>
      <c r="W48" s="833"/>
      <c r="Z48" s="77" t="s">
        <v>1020</v>
      </c>
      <c r="AA48" s="77">
        <v>91</v>
      </c>
    </row>
    <row r="49" spans="1:28" x14ac:dyDescent="0.25">
      <c r="A49" s="81" t="s">
        <v>1800</v>
      </c>
      <c r="B49" s="138"/>
      <c r="C49" s="138"/>
      <c r="D49" s="138"/>
      <c r="E49" s="138"/>
      <c r="F49" s="138"/>
      <c r="G49" s="138"/>
      <c r="H49" s="138"/>
      <c r="I49" s="138"/>
      <c r="J49" s="138"/>
      <c r="K49" s="138"/>
      <c r="L49" s="138"/>
      <c r="M49" s="138"/>
      <c r="N49" s="138"/>
      <c r="O49" s="138"/>
      <c r="P49" s="138"/>
      <c r="Q49" s="138"/>
      <c r="R49" s="138"/>
      <c r="S49" s="138"/>
      <c r="T49" s="138"/>
      <c r="U49" s="138"/>
      <c r="V49" s="138"/>
      <c r="W49" s="139"/>
      <c r="Z49" s="77" t="s">
        <v>1442</v>
      </c>
      <c r="AA49" s="151">
        <v>52</v>
      </c>
    </row>
    <row r="50" spans="1:28" x14ac:dyDescent="0.25">
      <c r="A50" s="81"/>
      <c r="B50" s="138"/>
      <c r="C50" s="138"/>
      <c r="D50" s="138"/>
      <c r="E50" s="138"/>
      <c r="F50" s="138"/>
      <c r="G50" s="138"/>
      <c r="H50" s="138"/>
      <c r="I50" s="138"/>
      <c r="J50" s="138"/>
      <c r="K50" s="138"/>
      <c r="L50" s="138"/>
      <c r="M50" s="138"/>
      <c r="N50" s="138"/>
      <c r="O50" s="138"/>
      <c r="P50" s="138"/>
      <c r="Q50" s="138"/>
      <c r="R50" s="138"/>
      <c r="S50" s="138"/>
      <c r="T50" s="138"/>
      <c r="U50" s="138"/>
      <c r="V50" s="138"/>
      <c r="W50" s="139"/>
      <c r="Z50" s="77" t="s">
        <v>1441</v>
      </c>
      <c r="AA50" s="77">
        <v>65</v>
      </c>
    </row>
    <row r="51" spans="1:28" x14ac:dyDescent="0.25">
      <c r="A51" s="17" t="s">
        <v>937</v>
      </c>
      <c r="B51" s="138"/>
      <c r="C51" s="138"/>
      <c r="D51" s="138"/>
      <c r="E51" s="138"/>
      <c r="F51" s="138"/>
      <c r="G51" s="138"/>
      <c r="H51" s="138"/>
      <c r="I51" s="138"/>
      <c r="J51" s="138"/>
      <c r="K51" s="138"/>
      <c r="L51" s="138"/>
      <c r="M51" s="138"/>
      <c r="N51" s="138"/>
      <c r="O51" s="138"/>
      <c r="P51" s="138"/>
      <c r="Q51" s="138"/>
      <c r="R51" s="138"/>
      <c r="S51" s="138"/>
      <c r="T51" s="138"/>
      <c r="U51" s="138"/>
      <c r="V51" s="138"/>
      <c r="W51" s="139"/>
      <c r="Z51" s="77" t="s">
        <v>1444</v>
      </c>
      <c r="AA51" s="151">
        <v>79</v>
      </c>
    </row>
    <row r="52" spans="1:28" x14ac:dyDescent="0.25">
      <c r="A52" s="86"/>
      <c r="B52" s="138" t="s">
        <v>369</v>
      </c>
      <c r="C52" s="138" t="s">
        <v>370</v>
      </c>
      <c r="D52" s="138" t="s">
        <v>371</v>
      </c>
      <c r="E52" s="2571"/>
      <c r="F52" s="2571"/>
      <c r="G52" s="2571"/>
      <c r="H52" s="2571"/>
      <c r="I52" s="2571"/>
      <c r="J52" s="2571"/>
      <c r="K52" s="2571"/>
      <c r="L52" s="2571"/>
      <c r="M52" s="2571"/>
      <c r="N52" s="138"/>
      <c r="O52" s="138"/>
      <c r="P52" s="138"/>
      <c r="Q52" s="138"/>
      <c r="R52" s="138"/>
      <c r="S52" s="138"/>
      <c r="T52" s="138"/>
      <c r="U52" s="138"/>
      <c r="V52" s="138"/>
      <c r="W52" s="139"/>
      <c r="Z52" s="77" t="s">
        <v>1443</v>
      </c>
      <c r="AA52" s="77">
        <v>79</v>
      </c>
    </row>
    <row r="53" spans="1:28" x14ac:dyDescent="0.25">
      <c r="A53" s="81" t="s">
        <v>2049</v>
      </c>
      <c r="B53" s="138">
        <v>198</v>
      </c>
      <c r="C53" s="138">
        <v>0.48</v>
      </c>
      <c r="D53" s="138">
        <v>0.5</v>
      </c>
      <c r="E53" s="138"/>
      <c r="F53" s="138"/>
      <c r="G53" s="138"/>
      <c r="H53" s="138"/>
      <c r="I53" s="138"/>
      <c r="J53" s="138"/>
      <c r="K53" s="138"/>
      <c r="L53" s="138"/>
      <c r="M53" s="138"/>
      <c r="N53" s="138"/>
      <c r="O53" s="138"/>
      <c r="P53" s="138"/>
      <c r="Q53" s="138"/>
      <c r="R53" s="138"/>
      <c r="S53" s="138"/>
      <c r="T53" s="138"/>
      <c r="U53" s="138"/>
      <c r="V53" s="138"/>
      <c r="W53" s="139"/>
      <c r="Z53" s="77" t="s">
        <v>516</v>
      </c>
      <c r="AA53" s="77">
        <v>116</v>
      </c>
    </row>
    <row r="54" spans="1:28" x14ac:dyDescent="0.25">
      <c r="A54" s="81" t="s">
        <v>771</v>
      </c>
      <c r="B54" s="138">
        <v>198</v>
      </c>
      <c r="C54" s="138">
        <v>0.45</v>
      </c>
      <c r="D54" s="138">
        <v>0.46</v>
      </c>
      <c r="E54" s="138"/>
      <c r="F54" s="138"/>
      <c r="G54" s="138"/>
      <c r="H54" s="138"/>
      <c r="I54" s="138"/>
      <c r="J54" s="138"/>
      <c r="K54" s="138"/>
      <c r="L54" s="138"/>
      <c r="M54" s="138"/>
      <c r="N54" s="138"/>
      <c r="O54" s="138"/>
      <c r="P54" s="138"/>
      <c r="Q54" s="138"/>
      <c r="R54" s="138"/>
      <c r="S54" s="138"/>
      <c r="T54" s="138"/>
      <c r="U54" s="138"/>
      <c r="V54" s="138"/>
      <c r="W54" s="139"/>
      <c r="Z54" s="77" t="s">
        <v>544</v>
      </c>
      <c r="AA54" s="151">
        <v>118</v>
      </c>
    </row>
    <row r="55" spans="1:28" x14ac:dyDescent="0.25">
      <c r="A55" s="81" t="s">
        <v>721</v>
      </c>
      <c r="B55" s="138">
        <v>180</v>
      </c>
      <c r="C55" s="138">
        <v>0.45</v>
      </c>
      <c r="D55" s="138">
        <v>0.5</v>
      </c>
      <c r="E55" s="138"/>
      <c r="F55" s="138"/>
      <c r="G55" s="138"/>
      <c r="H55" s="138"/>
      <c r="I55" s="138"/>
      <c r="J55" s="138"/>
      <c r="K55" s="138"/>
      <c r="L55" s="138"/>
      <c r="M55" s="138"/>
      <c r="N55" s="138"/>
      <c r="O55" s="138"/>
      <c r="P55" s="138"/>
      <c r="Q55" s="138"/>
      <c r="R55" s="138"/>
      <c r="S55" s="138"/>
      <c r="T55" s="138"/>
      <c r="U55" s="138"/>
      <c r="V55" s="138"/>
      <c r="W55" s="139"/>
      <c r="Z55" s="77" t="s">
        <v>550</v>
      </c>
      <c r="AA55" s="77">
        <v>120</v>
      </c>
    </row>
    <row r="56" spans="1:28" x14ac:dyDescent="0.25">
      <c r="A56" s="81" t="s">
        <v>722</v>
      </c>
      <c r="B56" s="138">
        <v>180</v>
      </c>
      <c r="C56" s="138">
        <v>0.45</v>
      </c>
      <c r="D56" s="138">
        <v>0.5</v>
      </c>
      <c r="E56" s="138"/>
      <c r="F56" s="138"/>
      <c r="G56" s="138"/>
      <c r="H56" s="138"/>
      <c r="I56" s="138"/>
      <c r="J56" s="138"/>
      <c r="K56" s="138"/>
      <c r="L56" s="138"/>
      <c r="M56" s="138"/>
      <c r="N56" s="138"/>
      <c r="O56" s="138"/>
      <c r="P56" s="138"/>
      <c r="Q56" s="138"/>
      <c r="R56" s="138"/>
      <c r="S56" s="138"/>
      <c r="T56" s="138"/>
      <c r="U56" s="138"/>
      <c r="V56" s="138"/>
      <c r="W56" s="139"/>
      <c r="Z56" s="77" t="s">
        <v>557</v>
      </c>
      <c r="AA56" s="77">
        <v>122</v>
      </c>
    </row>
    <row r="57" spans="1:28" x14ac:dyDescent="0.25">
      <c r="A57" s="81" t="s">
        <v>1695</v>
      </c>
      <c r="B57" s="138">
        <v>28</v>
      </c>
      <c r="C57" s="138">
        <v>0.28999999999999998</v>
      </c>
      <c r="D57" s="138">
        <v>0.3</v>
      </c>
      <c r="E57" s="138"/>
      <c r="F57" s="138"/>
      <c r="G57" s="138"/>
      <c r="H57" s="138"/>
      <c r="I57" s="138"/>
      <c r="J57" s="138"/>
      <c r="K57" s="138"/>
      <c r="L57" s="138"/>
      <c r="M57" s="138"/>
      <c r="N57" s="138"/>
      <c r="O57" s="138"/>
      <c r="P57" s="138"/>
      <c r="Q57" s="138"/>
      <c r="R57" s="138"/>
      <c r="S57" s="138"/>
      <c r="T57" s="138"/>
      <c r="U57" s="138"/>
      <c r="V57" s="138"/>
      <c r="W57" s="139"/>
      <c r="Z57" s="77" t="s">
        <v>1034</v>
      </c>
      <c r="AA57" s="151">
        <v>0</v>
      </c>
    </row>
    <row r="58" spans="1:28" x14ac:dyDescent="0.25">
      <c r="A58" s="81" t="s">
        <v>212</v>
      </c>
      <c r="B58" s="138">
        <v>28</v>
      </c>
      <c r="C58" s="138">
        <v>0.28999999999999998</v>
      </c>
      <c r="D58" s="138">
        <v>0.3</v>
      </c>
      <c r="E58" s="138"/>
      <c r="F58" s="138"/>
      <c r="G58" s="138"/>
      <c r="H58" s="138"/>
      <c r="I58" s="138"/>
      <c r="J58" s="138"/>
      <c r="K58" s="138"/>
      <c r="L58" s="138"/>
      <c r="M58" s="138"/>
      <c r="N58" s="138"/>
      <c r="O58" s="138"/>
      <c r="P58" s="138"/>
      <c r="Q58" s="138"/>
      <c r="R58" s="138"/>
      <c r="S58" s="138"/>
      <c r="T58" s="138"/>
      <c r="U58" s="138"/>
      <c r="V58" s="138"/>
      <c r="W58" s="139"/>
      <c r="Z58" s="77" t="s">
        <v>510</v>
      </c>
      <c r="AA58" s="151">
        <v>126</v>
      </c>
    </row>
    <row r="59" spans="1:28" x14ac:dyDescent="0.25">
      <c r="A59" s="81" t="s">
        <v>351</v>
      </c>
      <c r="B59" s="138">
        <v>28</v>
      </c>
      <c r="C59" s="138">
        <v>0.28999999999999998</v>
      </c>
      <c r="D59" s="138">
        <v>0.3</v>
      </c>
      <c r="E59" s="138"/>
      <c r="F59" s="138"/>
      <c r="G59" s="138"/>
      <c r="H59" s="138"/>
      <c r="I59" s="138"/>
      <c r="J59" s="138"/>
      <c r="K59" s="138"/>
      <c r="L59" s="138"/>
      <c r="M59" s="138"/>
      <c r="N59" s="138"/>
      <c r="O59" s="138"/>
      <c r="P59" s="138"/>
      <c r="Q59" s="138"/>
      <c r="R59" s="138"/>
      <c r="S59" s="138"/>
      <c r="T59" s="138"/>
      <c r="U59" s="138"/>
      <c r="V59" s="138"/>
      <c r="W59" s="139"/>
      <c r="Z59" s="836" t="s">
        <v>511</v>
      </c>
      <c r="AA59" s="836">
        <v>130</v>
      </c>
      <c r="AB59" s="15" t="s">
        <v>1925</v>
      </c>
    </row>
    <row r="60" spans="1:28" x14ac:dyDescent="0.25">
      <c r="A60" s="81" t="s">
        <v>1936</v>
      </c>
      <c r="B60" s="138">
        <v>28</v>
      </c>
      <c r="C60" s="138">
        <v>0.28999999999999998</v>
      </c>
      <c r="D60" s="138">
        <v>0.3</v>
      </c>
      <c r="E60" s="138"/>
      <c r="F60" s="138"/>
      <c r="G60" s="138"/>
      <c r="H60" s="138"/>
      <c r="I60" s="138"/>
      <c r="J60" s="138"/>
      <c r="K60" s="138"/>
      <c r="L60" s="138"/>
      <c r="M60" s="138"/>
      <c r="N60" s="138"/>
      <c r="O60" s="138"/>
      <c r="P60" s="138"/>
      <c r="Q60" s="138"/>
      <c r="R60" s="138"/>
      <c r="S60" s="138"/>
      <c r="T60" s="138"/>
      <c r="U60" s="138"/>
      <c r="V60" s="138"/>
      <c r="W60" s="139"/>
      <c r="Z60" s="77" t="s">
        <v>514</v>
      </c>
      <c r="AA60" s="151">
        <v>132</v>
      </c>
    </row>
    <row r="61" spans="1:28" x14ac:dyDescent="0.25">
      <c r="A61" s="81" t="s">
        <v>637</v>
      </c>
      <c r="B61" s="138">
        <v>28</v>
      </c>
      <c r="C61" s="138">
        <v>0.28999999999999998</v>
      </c>
      <c r="D61" s="138">
        <v>0.3</v>
      </c>
      <c r="E61" s="138"/>
      <c r="F61" s="138"/>
      <c r="G61" s="138"/>
      <c r="H61" s="138"/>
      <c r="I61" s="138"/>
      <c r="J61" s="138"/>
      <c r="K61" s="138"/>
      <c r="L61" s="138"/>
      <c r="M61" s="138"/>
      <c r="N61" s="138"/>
      <c r="O61" s="138"/>
      <c r="P61" s="138"/>
      <c r="Q61" s="138"/>
      <c r="R61" s="138"/>
      <c r="S61" s="138"/>
      <c r="T61" s="138"/>
      <c r="U61" s="138"/>
      <c r="V61" s="138"/>
      <c r="W61" s="139"/>
      <c r="Z61" s="77" t="s">
        <v>515</v>
      </c>
      <c r="AA61" s="77">
        <v>134</v>
      </c>
    </row>
    <row r="62" spans="1:28" x14ac:dyDescent="0.25">
      <c r="A62" s="81"/>
      <c r="B62" s="138"/>
      <c r="C62" s="138"/>
      <c r="D62" s="138"/>
      <c r="E62" s="138"/>
      <c r="F62" s="138"/>
      <c r="G62" s="138"/>
      <c r="H62" s="138"/>
      <c r="I62" s="138"/>
      <c r="J62" s="138"/>
      <c r="K62" s="138"/>
      <c r="L62" s="138"/>
      <c r="M62" s="138"/>
      <c r="N62" s="138"/>
      <c r="O62" s="138"/>
      <c r="P62" s="138"/>
      <c r="Q62" s="138"/>
      <c r="R62" s="138"/>
      <c r="S62" s="138"/>
      <c r="T62" s="138"/>
      <c r="U62" s="138"/>
      <c r="V62" s="138"/>
      <c r="W62" s="139"/>
    </row>
    <row r="63" spans="1:28" x14ac:dyDescent="0.25">
      <c r="A63" s="81"/>
      <c r="B63" s="138"/>
      <c r="C63" s="138"/>
      <c r="D63" s="138"/>
      <c r="E63" s="138"/>
      <c r="F63" s="138"/>
      <c r="G63" s="138"/>
      <c r="H63" s="138"/>
      <c r="I63" s="138"/>
      <c r="J63" s="138"/>
      <c r="K63" s="138"/>
      <c r="L63" s="138"/>
      <c r="M63" s="138"/>
      <c r="N63" s="138"/>
      <c r="O63" s="138"/>
      <c r="P63" s="138"/>
      <c r="Q63" s="138"/>
      <c r="R63" s="138"/>
      <c r="S63" s="138"/>
      <c r="T63" s="138"/>
      <c r="U63" s="138"/>
      <c r="V63" s="138"/>
      <c r="W63" s="139"/>
    </row>
    <row r="64" spans="1:28" x14ac:dyDescent="0.25">
      <c r="A64" s="17" t="s">
        <v>372</v>
      </c>
      <c r="B64" s="138"/>
      <c r="C64" s="138"/>
      <c r="D64" s="138"/>
      <c r="E64" s="138"/>
      <c r="F64" s="138"/>
      <c r="G64" s="138"/>
      <c r="H64" s="138"/>
      <c r="I64" s="138"/>
      <c r="J64" s="138"/>
      <c r="K64" s="138"/>
      <c r="L64" s="138"/>
      <c r="M64" s="138"/>
      <c r="N64" s="138"/>
      <c r="O64" s="138"/>
      <c r="P64" s="138"/>
      <c r="Q64" s="138"/>
      <c r="R64" s="138"/>
      <c r="S64" s="138"/>
      <c r="T64" s="138"/>
      <c r="U64" s="138"/>
      <c r="V64" s="138"/>
      <c r="W64" s="139"/>
    </row>
    <row r="65" spans="1:23" x14ac:dyDescent="0.25">
      <c r="A65" s="81"/>
      <c r="B65" s="138" t="s">
        <v>369</v>
      </c>
      <c r="C65" s="138" t="s">
        <v>370</v>
      </c>
      <c r="D65" s="138" t="s">
        <v>371</v>
      </c>
      <c r="E65" s="2571"/>
      <c r="F65" s="2571"/>
      <c r="G65" s="2571"/>
      <c r="H65" s="2571"/>
      <c r="I65" s="2571"/>
      <c r="J65" s="2571"/>
      <c r="K65" s="2571"/>
      <c r="L65" s="2571"/>
      <c r="M65" s="2571"/>
      <c r="N65" s="138"/>
      <c r="O65" s="138"/>
      <c r="P65" s="138"/>
      <c r="Q65" s="138"/>
      <c r="R65" s="138"/>
      <c r="S65" s="138"/>
      <c r="T65" s="138"/>
      <c r="U65" s="138"/>
      <c r="V65" s="138"/>
      <c r="W65" s="139"/>
    </row>
    <row r="66" spans="1:23" x14ac:dyDescent="0.25">
      <c r="A66" s="81" t="s">
        <v>2049</v>
      </c>
      <c r="B66" s="138">
        <v>46</v>
      </c>
      <c r="C66" s="138">
        <v>0.48</v>
      </c>
      <c r="D66" s="138">
        <v>0.27</v>
      </c>
      <c r="E66" s="138"/>
      <c r="F66" s="138"/>
      <c r="G66" s="138"/>
      <c r="H66" s="138"/>
      <c r="I66" s="138"/>
      <c r="J66" s="138"/>
      <c r="K66" s="138"/>
      <c r="L66" s="138"/>
      <c r="M66" s="138"/>
      <c r="N66" s="138"/>
      <c r="O66" s="138"/>
      <c r="P66" s="138"/>
      <c r="Q66" s="138"/>
      <c r="R66" s="138"/>
      <c r="S66" s="138"/>
      <c r="T66" s="138"/>
      <c r="U66" s="138"/>
      <c r="V66" s="138"/>
      <c r="W66" s="139"/>
    </row>
    <row r="67" spans="1:23" x14ac:dyDescent="0.25">
      <c r="A67" s="81" t="s">
        <v>771</v>
      </c>
      <c r="B67" s="138">
        <v>50</v>
      </c>
      <c r="C67" s="138">
        <v>0.45</v>
      </c>
      <c r="D67" s="138">
        <v>0.3</v>
      </c>
      <c r="E67" s="138"/>
      <c r="F67" s="138"/>
      <c r="G67" s="138"/>
      <c r="H67" s="138"/>
      <c r="I67" s="138"/>
      <c r="J67" s="138"/>
      <c r="K67" s="138"/>
      <c r="L67" s="138"/>
      <c r="M67" s="138"/>
      <c r="N67" s="138"/>
      <c r="O67" s="138"/>
      <c r="P67" s="138"/>
      <c r="Q67" s="138"/>
      <c r="R67" s="138"/>
      <c r="S67" s="138"/>
      <c r="T67" s="138"/>
      <c r="U67" s="138"/>
      <c r="V67" s="138"/>
      <c r="W67" s="139"/>
    </row>
    <row r="68" spans="1:23" x14ac:dyDescent="0.25">
      <c r="A68" s="81" t="s">
        <v>721</v>
      </c>
      <c r="B68" s="138">
        <v>50</v>
      </c>
      <c r="C68" s="138">
        <v>0.45</v>
      </c>
      <c r="D68" s="138">
        <v>0.3</v>
      </c>
      <c r="E68" s="138"/>
      <c r="F68" s="138"/>
      <c r="G68" s="138"/>
      <c r="H68" s="138"/>
      <c r="I68" s="138"/>
      <c r="J68" s="138"/>
      <c r="K68" s="138"/>
      <c r="L68" s="138"/>
      <c r="M68" s="138"/>
      <c r="N68" s="138"/>
      <c r="O68" s="138"/>
      <c r="P68" s="138"/>
      <c r="Q68" s="138"/>
      <c r="R68" s="138"/>
      <c r="S68" s="138"/>
      <c r="T68" s="138"/>
      <c r="U68" s="138"/>
      <c r="V68" s="138"/>
      <c r="W68" s="139"/>
    </row>
    <row r="69" spans="1:23" x14ac:dyDescent="0.25">
      <c r="A69" s="81" t="s">
        <v>722</v>
      </c>
      <c r="B69" s="138">
        <v>45</v>
      </c>
      <c r="C69" s="138">
        <v>0.45</v>
      </c>
      <c r="D69" s="138">
        <v>0.28000000000000003</v>
      </c>
      <c r="E69" s="138"/>
      <c r="F69" s="138"/>
      <c r="G69" s="138"/>
      <c r="H69" s="138"/>
      <c r="I69" s="138"/>
      <c r="J69" s="138"/>
      <c r="K69" s="138"/>
      <c r="L69" s="138"/>
      <c r="M69" s="138"/>
      <c r="N69" s="138"/>
      <c r="O69" s="138"/>
      <c r="P69" s="138"/>
      <c r="Q69" s="138"/>
      <c r="R69" s="138"/>
      <c r="S69" s="138"/>
      <c r="T69" s="138"/>
      <c r="U69" s="138"/>
      <c r="V69" s="138"/>
      <c r="W69" s="139"/>
    </row>
    <row r="70" spans="1:23" x14ac:dyDescent="0.25">
      <c r="A70" s="81" t="s">
        <v>1695</v>
      </c>
      <c r="B70" s="138">
        <v>28</v>
      </c>
      <c r="C70" s="138">
        <v>0.28999999999999998</v>
      </c>
      <c r="D70" s="138">
        <v>0.3</v>
      </c>
      <c r="E70" s="138"/>
      <c r="F70" s="138"/>
      <c r="G70" s="138"/>
      <c r="H70" s="138"/>
      <c r="I70" s="138"/>
      <c r="J70" s="138"/>
      <c r="K70" s="138"/>
      <c r="L70" s="138"/>
      <c r="M70" s="138"/>
      <c r="N70" s="138"/>
      <c r="O70" s="138"/>
      <c r="P70" s="138"/>
      <c r="Q70" s="138"/>
      <c r="R70" s="138"/>
      <c r="S70" s="138"/>
      <c r="T70" s="138"/>
      <c r="U70" s="138"/>
      <c r="V70" s="138"/>
      <c r="W70" s="139"/>
    </row>
    <row r="71" spans="1:23" x14ac:dyDescent="0.25">
      <c r="A71" s="81" t="s">
        <v>212</v>
      </c>
      <c r="B71" s="138">
        <v>28</v>
      </c>
      <c r="C71" s="138">
        <v>0.28999999999999998</v>
      </c>
      <c r="D71" s="138">
        <v>0.3</v>
      </c>
      <c r="E71" s="138"/>
      <c r="F71" s="138"/>
      <c r="G71" s="138"/>
      <c r="H71" s="138"/>
      <c r="I71" s="138"/>
      <c r="J71" s="138"/>
      <c r="K71" s="138"/>
      <c r="L71" s="138"/>
      <c r="M71" s="138"/>
      <c r="N71" s="138"/>
      <c r="O71" s="138"/>
      <c r="P71" s="138"/>
      <c r="Q71" s="138"/>
      <c r="R71" s="138"/>
      <c r="S71" s="138"/>
      <c r="T71" s="138"/>
      <c r="U71" s="138"/>
      <c r="V71" s="138"/>
      <c r="W71" s="139"/>
    </row>
    <row r="72" spans="1:23" x14ac:dyDescent="0.25">
      <c r="A72" s="81" t="s">
        <v>351</v>
      </c>
      <c r="B72" s="138">
        <v>28</v>
      </c>
      <c r="C72" s="138">
        <v>0.28999999999999998</v>
      </c>
      <c r="D72" s="138">
        <v>0.3</v>
      </c>
      <c r="E72" s="138"/>
      <c r="F72" s="138"/>
      <c r="G72" s="138"/>
      <c r="H72" s="138"/>
      <c r="I72" s="138"/>
      <c r="J72" s="138"/>
      <c r="K72" s="138"/>
      <c r="L72" s="138"/>
      <c r="M72" s="138"/>
      <c r="N72" s="138"/>
      <c r="O72" s="138"/>
      <c r="P72" s="138"/>
      <c r="Q72" s="138"/>
      <c r="R72" s="138"/>
      <c r="S72" s="138"/>
      <c r="T72" s="138"/>
      <c r="U72" s="138"/>
      <c r="V72" s="138"/>
      <c r="W72" s="139"/>
    </row>
    <row r="73" spans="1:23" x14ac:dyDescent="0.25">
      <c r="A73" s="81" t="s">
        <v>1936</v>
      </c>
      <c r="B73" s="138">
        <v>28</v>
      </c>
      <c r="C73" s="138">
        <v>0.28999999999999998</v>
      </c>
      <c r="D73" s="138">
        <v>0.3</v>
      </c>
      <c r="E73" s="138"/>
      <c r="F73" s="138"/>
      <c r="G73" s="138"/>
      <c r="H73" s="138"/>
      <c r="I73" s="138"/>
      <c r="J73" s="138"/>
      <c r="K73" s="138"/>
      <c r="L73" s="138"/>
      <c r="M73" s="138"/>
      <c r="N73" s="138"/>
      <c r="O73" s="138"/>
      <c r="P73" s="138"/>
      <c r="Q73" s="138"/>
      <c r="R73" s="138"/>
      <c r="S73" s="138"/>
      <c r="T73" s="138"/>
      <c r="U73" s="138"/>
      <c r="V73" s="138"/>
      <c r="W73" s="139"/>
    </row>
    <row r="74" spans="1:23" x14ac:dyDescent="0.25">
      <c r="A74" s="81" t="s">
        <v>637</v>
      </c>
      <c r="B74" s="138">
        <v>28</v>
      </c>
      <c r="C74" s="138">
        <v>0.28999999999999998</v>
      </c>
      <c r="D74" s="138">
        <v>0.3</v>
      </c>
      <c r="E74" s="138"/>
      <c r="F74" s="138"/>
      <c r="G74" s="138"/>
      <c r="H74" s="138"/>
      <c r="I74" s="138"/>
      <c r="J74" s="138"/>
      <c r="K74" s="138"/>
      <c r="L74" s="138"/>
      <c r="M74" s="138"/>
      <c r="N74" s="138"/>
      <c r="O74" s="138"/>
      <c r="P74" s="138"/>
      <c r="Q74" s="138"/>
      <c r="R74" s="138"/>
      <c r="S74" s="138"/>
      <c r="T74" s="138"/>
      <c r="U74" s="138"/>
      <c r="V74" s="138"/>
      <c r="W74" s="139"/>
    </row>
    <row r="75" spans="1:23" x14ac:dyDescent="0.25">
      <c r="A75" s="81"/>
      <c r="B75" s="138"/>
      <c r="C75" s="138"/>
      <c r="D75" s="138"/>
      <c r="E75" s="138"/>
      <c r="F75" s="138"/>
      <c r="G75" s="138"/>
      <c r="H75" s="138"/>
      <c r="I75" s="138"/>
      <c r="J75" s="138"/>
      <c r="K75" s="138"/>
      <c r="L75" s="138"/>
      <c r="M75" s="138"/>
      <c r="N75" s="138"/>
      <c r="O75" s="138"/>
      <c r="P75" s="138"/>
      <c r="Q75" s="138"/>
      <c r="R75" s="138"/>
      <c r="S75" s="138"/>
      <c r="T75" s="138"/>
      <c r="U75" s="138"/>
      <c r="V75" s="138"/>
      <c r="W75" s="139"/>
    </row>
    <row r="76" spans="1:23" x14ac:dyDescent="0.25">
      <c r="A76" s="81"/>
      <c r="B76" s="138"/>
      <c r="C76" s="138"/>
      <c r="D76" s="138"/>
      <c r="E76" s="138"/>
      <c r="F76" s="138"/>
      <c r="G76" s="138"/>
      <c r="H76" s="138"/>
      <c r="I76" s="138"/>
      <c r="J76" s="138"/>
      <c r="K76" s="138"/>
      <c r="L76" s="138"/>
      <c r="M76" s="138"/>
      <c r="N76" s="138"/>
      <c r="O76" s="138"/>
      <c r="P76" s="138"/>
      <c r="Q76" s="138"/>
      <c r="R76" s="138"/>
      <c r="S76" s="138"/>
      <c r="T76" s="138"/>
      <c r="U76" s="138"/>
      <c r="V76" s="138"/>
      <c r="W76" s="139"/>
    </row>
    <row r="77" spans="1:23" x14ac:dyDescent="0.25">
      <c r="A77" s="81"/>
      <c r="B77" s="138"/>
      <c r="C77" s="138"/>
      <c r="D77" s="138"/>
      <c r="E77" s="138"/>
      <c r="F77" s="138"/>
      <c r="G77" s="138"/>
      <c r="H77" s="138"/>
      <c r="I77" s="138"/>
      <c r="J77" s="138"/>
      <c r="K77" s="138"/>
      <c r="L77" s="138"/>
      <c r="M77" s="138"/>
      <c r="N77" s="138"/>
      <c r="O77" s="138"/>
      <c r="P77" s="138"/>
      <c r="Q77" s="138"/>
      <c r="R77" s="138"/>
      <c r="S77" s="138"/>
      <c r="T77" s="138"/>
      <c r="U77" s="138"/>
      <c r="V77" s="138"/>
      <c r="W77" s="139"/>
    </row>
    <row r="78" spans="1:23" x14ac:dyDescent="0.25">
      <c r="A78" s="17" t="s">
        <v>373</v>
      </c>
      <c r="B78" s="138"/>
      <c r="C78" s="138"/>
      <c r="D78" s="138"/>
      <c r="E78" s="138"/>
      <c r="F78" s="138"/>
      <c r="G78" s="138"/>
      <c r="H78" s="138"/>
      <c r="I78" s="138"/>
      <c r="J78" s="138"/>
      <c r="K78" s="138"/>
      <c r="L78" s="138"/>
      <c r="M78" s="138"/>
      <c r="N78" s="138"/>
      <c r="O78" s="138"/>
      <c r="P78" s="138"/>
      <c r="Q78" s="138"/>
      <c r="R78" s="138"/>
      <c r="S78" s="138"/>
      <c r="T78" s="138"/>
      <c r="U78" s="138"/>
      <c r="V78" s="138"/>
      <c r="W78" s="139"/>
    </row>
    <row r="79" spans="1:23" x14ac:dyDescent="0.25">
      <c r="A79" s="81"/>
      <c r="B79" s="138" t="s">
        <v>369</v>
      </c>
      <c r="C79" s="138" t="s">
        <v>370</v>
      </c>
      <c r="D79" s="138" t="s">
        <v>371</v>
      </c>
      <c r="E79" s="2571"/>
      <c r="F79" s="2571"/>
      <c r="G79" s="2571"/>
      <c r="H79" s="2571"/>
      <c r="I79" s="2571"/>
      <c r="J79" s="2571"/>
      <c r="K79" s="2571"/>
      <c r="L79" s="2571"/>
      <c r="M79" s="2571"/>
      <c r="N79" s="138"/>
      <c r="O79" s="138"/>
      <c r="P79" s="138"/>
      <c r="Q79" s="138"/>
      <c r="R79" s="138"/>
      <c r="S79" s="138"/>
      <c r="T79" s="138"/>
      <c r="U79" s="138"/>
      <c r="V79" s="138"/>
      <c r="W79" s="139"/>
    </row>
    <row r="80" spans="1:23" x14ac:dyDescent="0.25">
      <c r="A80" s="81" t="s">
        <v>2049</v>
      </c>
      <c r="B80" s="138">
        <v>380</v>
      </c>
      <c r="C80" s="138">
        <v>0.1</v>
      </c>
      <c r="D80" s="138">
        <v>3.9</v>
      </c>
      <c r="E80" s="138"/>
      <c r="F80" s="138"/>
      <c r="G80" s="138"/>
      <c r="H80" s="138"/>
      <c r="I80" s="138"/>
      <c r="J80" s="138"/>
      <c r="K80" s="138"/>
      <c r="L80" s="138"/>
      <c r="M80" s="138"/>
      <c r="N80" s="138"/>
      <c r="O80" s="138"/>
      <c r="P80" s="138"/>
      <c r="Q80" s="138"/>
      <c r="R80" s="138"/>
      <c r="S80" s="138"/>
      <c r="T80" s="138"/>
      <c r="U80" s="138"/>
      <c r="V80" s="138"/>
      <c r="W80" s="139"/>
    </row>
    <row r="81" spans="1:23" x14ac:dyDescent="0.25">
      <c r="A81" s="81" t="s">
        <v>771</v>
      </c>
      <c r="B81" s="138">
        <v>380</v>
      </c>
      <c r="C81" s="138">
        <v>0.1</v>
      </c>
      <c r="D81" s="138">
        <v>3.9</v>
      </c>
      <c r="E81" s="138"/>
      <c r="F81" s="138"/>
      <c r="G81" s="138"/>
      <c r="H81" s="138"/>
      <c r="I81" s="138"/>
      <c r="J81" s="138"/>
      <c r="K81" s="138"/>
      <c r="L81" s="138"/>
      <c r="M81" s="138"/>
      <c r="N81" s="138"/>
      <c r="O81" s="138"/>
      <c r="P81" s="138"/>
      <c r="Q81" s="138"/>
      <c r="R81" s="138"/>
      <c r="S81" s="138"/>
      <c r="T81" s="138"/>
      <c r="U81" s="138"/>
      <c r="V81" s="138"/>
      <c r="W81" s="139"/>
    </row>
    <row r="82" spans="1:23" x14ac:dyDescent="0.25">
      <c r="A82" s="81" t="s">
        <v>721</v>
      </c>
      <c r="B82" s="138">
        <v>380</v>
      </c>
      <c r="C82" s="138">
        <v>0.1</v>
      </c>
      <c r="D82" s="138">
        <v>3.9</v>
      </c>
      <c r="E82" s="138"/>
      <c r="F82" s="138"/>
      <c r="G82" s="138"/>
      <c r="H82" s="138"/>
      <c r="I82" s="138"/>
      <c r="J82" s="138"/>
      <c r="K82" s="138"/>
      <c r="L82" s="138"/>
      <c r="M82" s="138"/>
      <c r="N82" s="138"/>
      <c r="O82" s="138"/>
      <c r="P82" s="138"/>
      <c r="Q82" s="138"/>
      <c r="R82" s="138"/>
      <c r="S82" s="138"/>
      <c r="T82" s="138"/>
      <c r="U82" s="138"/>
      <c r="V82" s="138"/>
      <c r="W82" s="139"/>
    </row>
    <row r="83" spans="1:23" x14ac:dyDescent="0.25">
      <c r="A83" s="81" t="s">
        <v>722</v>
      </c>
      <c r="B83" s="138">
        <v>380</v>
      </c>
      <c r="C83" s="138">
        <v>0.1</v>
      </c>
      <c r="D83" s="138">
        <v>3.9</v>
      </c>
      <c r="E83" s="138"/>
      <c r="F83" s="138"/>
      <c r="G83" s="138"/>
      <c r="H83" s="138"/>
      <c r="I83" s="138"/>
      <c r="J83" s="138"/>
      <c r="K83" s="138"/>
      <c r="L83" s="138"/>
      <c r="M83" s="138"/>
      <c r="N83" s="138"/>
      <c r="O83" s="138"/>
      <c r="P83" s="138"/>
      <c r="Q83" s="138"/>
      <c r="R83" s="138"/>
      <c r="S83" s="138"/>
      <c r="T83" s="138"/>
      <c r="U83" s="138"/>
      <c r="V83" s="138"/>
      <c r="W83" s="139"/>
    </row>
    <row r="84" spans="1:23" x14ac:dyDescent="0.25">
      <c r="A84" s="81" t="s">
        <v>1695</v>
      </c>
      <c r="B84" s="138">
        <v>380</v>
      </c>
      <c r="C84" s="138">
        <v>0.1</v>
      </c>
      <c r="D84" s="138">
        <v>3.9</v>
      </c>
      <c r="E84" s="138"/>
      <c r="F84" s="138"/>
      <c r="G84" s="138"/>
      <c r="H84" s="138"/>
      <c r="I84" s="138"/>
      <c r="J84" s="138"/>
      <c r="K84" s="138"/>
      <c r="L84" s="138"/>
      <c r="M84" s="138"/>
      <c r="N84" s="138"/>
      <c r="O84" s="138"/>
      <c r="P84" s="138"/>
      <c r="Q84" s="138"/>
      <c r="R84" s="138"/>
      <c r="S84" s="138"/>
      <c r="T84" s="138"/>
      <c r="U84" s="138"/>
      <c r="V84" s="138"/>
      <c r="W84" s="139"/>
    </row>
    <row r="85" spans="1:23" x14ac:dyDescent="0.25">
      <c r="A85" s="81" t="s">
        <v>212</v>
      </c>
      <c r="B85" s="138">
        <v>380</v>
      </c>
      <c r="C85" s="138">
        <v>0.1</v>
      </c>
      <c r="D85" s="138">
        <v>3.9</v>
      </c>
      <c r="E85" s="138"/>
      <c r="F85" s="138"/>
      <c r="G85" s="138"/>
      <c r="H85" s="138"/>
      <c r="I85" s="138"/>
      <c r="J85" s="138"/>
      <c r="K85" s="138"/>
      <c r="L85" s="138"/>
      <c r="M85" s="138"/>
      <c r="N85" s="138"/>
      <c r="O85" s="138"/>
      <c r="P85" s="138"/>
      <c r="Q85" s="138"/>
      <c r="R85" s="138"/>
      <c r="S85" s="138"/>
      <c r="T85" s="138"/>
      <c r="U85" s="138"/>
      <c r="V85" s="138"/>
      <c r="W85" s="139"/>
    </row>
    <row r="86" spans="1:23" x14ac:dyDescent="0.25">
      <c r="A86" s="81" t="s">
        <v>351</v>
      </c>
      <c r="B86" s="138">
        <v>380</v>
      </c>
      <c r="C86" s="138">
        <v>0.1</v>
      </c>
      <c r="D86" s="138">
        <v>3.9</v>
      </c>
      <c r="E86" s="138"/>
      <c r="F86" s="138"/>
      <c r="G86" s="138"/>
      <c r="H86" s="138"/>
      <c r="I86" s="138"/>
      <c r="J86" s="138"/>
      <c r="K86" s="138"/>
      <c r="L86" s="138"/>
      <c r="M86" s="138"/>
      <c r="N86" s="138"/>
      <c r="O86" s="138"/>
      <c r="P86" s="138"/>
      <c r="Q86" s="138"/>
      <c r="R86" s="138"/>
      <c r="S86" s="138"/>
      <c r="T86" s="138"/>
      <c r="U86" s="138"/>
      <c r="V86" s="138"/>
      <c r="W86" s="139"/>
    </row>
    <row r="87" spans="1:23" x14ac:dyDescent="0.25">
      <c r="A87" s="81" t="s">
        <v>1936</v>
      </c>
      <c r="B87" s="138">
        <v>380</v>
      </c>
      <c r="C87" s="138">
        <v>0.1</v>
      </c>
      <c r="D87" s="138">
        <v>3.9</v>
      </c>
      <c r="E87" s="138"/>
      <c r="F87" s="138"/>
      <c r="G87" s="138"/>
      <c r="H87" s="138"/>
      <c r="I87" s="138"/>
      <c r="J87" s="138"/>
      <c r="K87" s="138"/>
      <c r="L87" s="138"/>
      <c r="M87" s="138"/>
      <c r="N87" s="138"/>
      <c r="O87" s="138"/>
      <c r="P87" s="138"/>
      <c r="Q87" s="138"/>
      <c r="R87" s="138"/>
      <c r="S87" s="138"/>
      <c r="T87" s="138"/>
      <c r="U87" s="138"/>
      <c r="V87" s="138"/>
      <c r="W87" s="139"/>
    </row>
    <row r="88" spans="1:23" x14ac:dyDescent="0.25">
      <c r="A88" s="81" t="s">
        <v>637</v>
      </c>
      <c r="B88" s="138">
        <v>295</v>
      </c>
      <c r="C88" s="138">
        <v>0.1</v>
      </c>
      <c r="D88" s="138">
        <v>3.1</v>
      </c>
      <c r="E88" s="138"/>
      <c r="F88" s="138"/>
      <c r="G88" s="138"/>
      <c r="H88" s="138"/>
      <c r="I88" s="138"/>
      <c r="J88" s="138"/>
      <c r="K88" s="138"/>
      <c r="L88" s="138"/>
      <c r="M88" s="138"/>
      <c r="N88" s="138"/>
      <c r="O88" s="138"/>
      <c r="P88" s="138"/>
      <c r="Q88" s="138"/>
      <c r="R88" s="138"/>
      <c r="S88" s="138"/>
      <c r="T88" s="138"/>
      <c r="U88" s="138"/>
      <c r="V88" s="138"/>
      <c r="W88" s="139"/>
    </row>
    <row r="89" spans="1:23" x14ac:dyDescent="0.25">
      <c r="A89" s="81"/>
      <c r="B89" s="138"/>
      <c r="C89" s="138"/>
      <c r="D89" s="138"/>
      <c r="E89" s="138"/>
      <c r="F89" s="138"/>
      <c r="G89" s="138"/>
      <c r="H89" s="138"/>
      <c r="I89" s="138"/>
      <c r="J89" s="138"/>
      <c r="K89" s="138"/>
      <c r="L89" s="138"/>
      <c r="M89" s="138"/>
      <c r="N89" s="138"/>
      <c r="O89" s="138"/>
      <c r="P89" s="138"/>
      <c r="Q89" s="138"/>
      <c r="R89" s="138"/>
      <c r="S89" s="138"/>
      <c r="T89" s="138"/>
      <c r="U89" s="138"/>
      <c r="V89" s="138"/>
      <c r="W89" s="139"/>
    </row>
    <row r="90" spans="1:23" x14ac:dyDescent="0.25">
      <c r="A90" s="17" t="s">
        <v>374</v>
      </c>
      <c r="B90" s="138"/>
      <c r="C90" s="138"/>
      <c r="D90" s="138"/>
      <c r="E90" s="138"/>
      <c r="F90" s="138"/>
      <c r="G90" s="138"/>
      <c r="H90" s="138"/>
      <c r="I90" s="138"/>
      <c r="J90" s="138"/>
      <c r="K90" s="138"/>
      <c r="L90" s="138"/>
      <c r="M90" s="138"/>
      <c r="N90" s="138"/>
      <c r="O90" s="138"/>
      <c r="P90" s="138"/>
      <c r="Q90" s="138"/>
      <c r="R90" s="138"/>
      <c r="S90" s="138"/>
      <c r="T90" s="138"/>
      <c r="U90" s="138"/>
      <c r="V90" s="138"/>
      <c r="W90" s="139"/>
    </row>
    <row r="91" spans="1:23" x14ac:dyDescent="0.25">
      <c r="A91" s="81"/>
      <c r="B91" s="138" t="s">
        <v>369</v>
      </c>
      <c r="C91" s="138" t="s">
        <v>370</v>
      </c>
      <c r="D91" s="138" t="s">
        <v>371</v>
      </c>
      <c r="E91" s="2571"/>
      <c r="F91" s="2571"/>
      <c r="G91" s="2571"/>
      <c r="H91" s="2571"/>
      <c r="I91" s="2571"/>
      <c r="J91" s="2571"/>
      <c r="K91" s="2571"/>
      <c r="L91" s="2571"/>
      <c r="M91" s="2571"/>
      <c r="N91" s="138"/>
      <c r="O91" s="138"/>
      <c r="P91" s="138"/>
      <c r="Q91" s="138"/>
      <c r="R91" s="138"/>
      <c r="S91" s="138"/>
      <c r="T91" s="138"/>
      <c r="U91" s="138"/>
      <c r="V91" s="138"/>
      <c r="W91" s="139"/>
    </row>
    <row r="92" spans="1:23" x14ac:dyDescent="0.25">
      <c r="A92" s="81" t="s">
        <v>2049</v>
      </c>
      <c r="B92" s="138">
        <v>389</v>
      </c>
      <c r="C92" s="138">
        <v>0.19</v>
      </c>
      <c r="D92" s="138">
        <v>2.4</v>
      </c>
      <c r="E92" s="138"/>
      <c r="F92" s="138"/>
      <c r="G92" s="138"/>
      <c r="H92" s="138"/>
      <c r="I92" s="138"/>
      <c r="J92" s="138"/>
      <c r="K92" s="138"/>
      <c r="L92" s="138"/>
      <c r="M92" s="138"/>
      <c r="N92" s="138"/>
      <c r="O92" s="138"/>
      <c r="P92" s="138"/>
      <c r="Q92" s="138"/>
      <c r="R92" s="138"/>
      <c r="S92" s="138"/>
      <c r="T92" s="138"/>
      <c r="U92" s="138"/>
      <c r="V92" s="138"/>
      <c r="W92" s="139"/>
    </row>
    <row r="93" spans="1:23" x14ac:dyDescent="0.25">
      <c r="A93" s="81" t="s">
        <v>771</v>
      </c>
      <c r="B93" s="138">
        <v>420</v>
      </c>
      <c r="C93" s="138">
        <v>0.18</v>
      </c>
      <c r="D93" s="138">
        <v>2.6</v>
      </c>
      <c r="E93" s="138"/>
      <c r="F93" s="138"/>
      <c r="G93" s="138"/>
      <c r="H93" s="138"/>
      <c r="I93" s="138"/>
      <c r="J93" s="138"/>
      <c r="K93" s="138"/>
      <c r="L93" s="138"/>
      <c r="M93" s="138"/>
      <c r="N93" s="138"/>
      <c r="O93" s="138"/>
      <c r="P93" s="138"/>
      <c r="Q93" s="138"/>
      <c r="R93" s="138"/>
      <c r="S93" s="138"/>
      <c r="T93" s="138"/>
      <c r="U93" s="138"/>
      <c r="V93" s="138"/>
      <c r="W93" s="139"/>
    </row>
    <row r="94" spans="1:23" x14ac:dyDescent="0.25">
      <c r="A94" s="81" t="s">
        <v>721</v>
      </c>
      <c r="B94" s="138">
        <v>391</v>
      </c>
      <c r="C94" s="138">
        <v>0.17</v>
      </c>
      <c r="D94" s="138">
        <v>2.7</v>
      </c>
      <c r="E94" s="138"/>
      <c r="F94" s="138"/>
      <c r="G94" s="138"/>
      <c r="H94" s="138"/>
      <c r="I94" s="138"/>
      <c r="J94" s="138"/>
      <c r="K94" s="138"/>
      <c r="L94" s="138"/>
      <c r="M94" s="138"/>
      <c r="N94" s="138"/>
      <c r="O94" s="138"/>
      <c r="P94" s="138"/>
      <c r="Q94" s="138"/>
      <c r="R94" s="138"/>
      <c r="S94" s="138"/>
      <c r="T94" s="138"/>
      <c r="U94" s="138"/>
      <c r="V94" s="138"/>
      <c r="W94" s="139"/>
    </row>
    <row r="95" spans="1:23" x14ac:dyDescent="0.25">
      <c r="A95" s="81" t="s">
        <v>722</v>
      </c>
      <c r="B95" s="138">
        <v>330</v>
      </c>
      <c r="C95" s="138">
        <v>0.17</v>
      </c>
      <c r="D95" s="138">
        <v>3</v>
      </c>
      <c r="E95" s="138"/>
      <c r="F95" s="138"/>
      <c r="G95" s="138"/>
      <c r="H95" s="138"/>
      <c r="I95" s="138"/>
      <c r="J95" s="138"/>
      <c r="K95" s="138"/>
      <c r="L95" s="138"/>
      <c r="M95" s="138"/>
      <c r="N95" s="138"/>
      <c r="O95" s="138"/>
      <c r="P95" s="138"/>
      <c r="Q95" s="138"/>
      <c r="R95" s="138"/>
      <c r="S95" s="138"/>
      <c r="T95" s="138"/>
      <c r="U95" s="138"/>
      <c r="V95" s="138"/>
      <c r="W95" s="139"/>
    </row>
    <row r="96" spans="1:23" x14ac:dyDescent="0.25">
      <c r="A96" s="81" t="s">
        <v>1695</v>
      </c>
      <c r="B96" s="138">
        <v>305</v>
      </c>
      <c r="C96" s="138">
        <v>0.1</v>
      </c>
      <c r="D96" s="138">
        <v>2.5</v>
      </c>
      <c r="E96" s="138"/>
      <c r="F96" s="138"/>
      <c r="G96" s="138"/>
      <c r="H96" s="138"/>
      <c r="I96" s="138"/>
      <c r="J96" s="138"/>
      <c r="K96" s="138"/>
      <c r="L96" s="138"/>
      <c r="M96" s="138"/>
      <c r="N96" s="138"/>
      <c r="O96" s="138"/>
      <c r="P96" s="138"/>
      <c r="Q96" s="138"/>
      <c r="R96" s="138"/>
      <c r="S96" s="138"/>
      <c r="T96" s="138"/>
      <c r="U96" s="138"/>
      <c r="V96" s="138"/>
      <c r="W96" s="139"/>
    </row>
    <row r="97" spans="1:23" x14ac:dyDescent="0.25">
      <c r="A97" s="81" t="s">
        <v>212</v>
      </c>
      <c r="B97" s="138">
        <v>173</v>
      </c>
      <c r="C97" s="138">
        <v>0.1</v>
      </c>
      <c r="D97" s="138">
        <v>1.5</v>
      </c>
      <c r="E97" s="138"/>
      <c r="F97" s="138"/>
      <c r="G97" s="138"/>
      <c r="H97" s="138"/>
      <c r="I97" s="138"/>
      <c r="J97" s="138"/>
      <c r="K97" s="138"/>
      <c r="L97" s="138"/>
      <c r="M97" s="138"/>
      <c r="N97" s="138"/>
      <c r="O97" s="138"/>
      <c r="P97" s="138"/>
      <c r="Q97" s="138"/>
      <c r="R97" s="138"/>
      <c r="S97" s="138"/>
      <c r="T97" s="138"/>
      <c r="U97" s="138"/>
      <c r="V97" s="138"/>
      <c r="W97" s="139"/>
    </row>
    <row r="98" spans="1:23" x14ac:dyDescent="0.25">
      <c r="A98" s="81" t="s">
        <v>351</v>
      </c>
      <c r="B98" s="138">
        <v>173</v>
      </c>
      <c r="C98" s="138">
        <v>0.1</v>
      </c>
      <c r="D98" s="138">
        <v>1.5</v>
      </c>
      <c r="E98" s="138"/>
      <c r="F98" s="138"/>
      <c r="G98" s="138"/>
      <c r="H98" s="138"/>
      <c r="I98" s="138"/>
      <c r="J98" s="138"/>
      <c r="K98" s="138"/>
      <c r="L98" s="138"/>
      <c r="M98" s="138"/>
      <c r="N98" s="138"/>
      <c r="O98" s="138"/>
      <c r="P98" s="138"/>
      <c r="Q98" s="138"/>
      <c r="R98" s="138"/>
      <c r="S98" s="138"/>
      <c r="T98" s="138"/>
      <c r="U98" s="138"/>
      <c r="V98" s="138"/>
      <c r="W98" s="139"/>
    </row>
    <row r="99" spans="1:23" x14ac:dyDescent="0.25">
      <c r="A99" s="81" t="s">
        <v>1936</v>
      </c>
      <c r="B99" s="138">
        <v>319</v>
      </c>
      <c r="C99" s="138">
        <v>0.1</v>
      </c>
      <c r="D99" s="138">
        <v>2.2999999999999998</v>
      </c>
      <c r="E99" s="138"/>
      <c r="F99" s="138"/>
      <c r="G99" s="138"/>
      <c r="H99" s="138"/>
      <c r="I99" s="138"/>
      <c r="J99" s="138"/>
      <c r="K99" s="138"/>
      <c r="L99" s="138"/>
      <c r="M99" s="138"/>
      <c r="N99" s="138"/>
      <c r="O99" s="138"/>
      <c r="P99" s="138"/>
      <c r="Q99" s="138"/>
      <c r="R99" s="138"/>
      <c r="S99" s="138"/>
      <c r="T99" s="138"/>
      <c r="U99" s="138"/>
      <c r="V99" s="138"/>
      <c r="W99" s="139"/>
    </row>
    <row r="100" spans="1:23" x14ac:dyDescent="0.25">
      <c r="A100" s="81" t="s">
        <v>637</v>
      </c>
      <c r="B100" s="138">
        <v>110</v>
      </c>
      <c r="C100" s="138">
        <v>0.1</v>
      </c>
      <c r="D100" s="138">
        <v>1.4</v>
      </c>
      <c r="E100" s="138"/>
      <c r="F100" s="138"/>
      <c r="G100" s="138"/>
      <c r="H100" s="138"/>
      <c r="I100" s="138"/>
      <c r="J100" s="138"/>
      <c r="K100" s="138"/>
      <c r="L100" s="138"/>
      <c r="M100" s="138"/>
      <c r="N100" s="138"/>
      <c r="O100" s="138"/>
      <c r="P100" s="138"/>
      <c r="Q100" s="138"/>
      <c r="R100" s="138"/>
      <c r="S100" s="138"/>
      <c r="T100" s="138"/>
      <c r="U100" s="138"/>
      <c r="V100" s="138"/>
      <c r="W100" s="139"/>
    </row>
    <row r="101" spans="1:23" x14ac:dyDescent="0.25">
      <c r="A101" s="8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9"/>
    </row>
    <row r="102" spans="1:23" x14ac:dyDescent="0.25">
      <c r="A102" s="8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9"/>
    </row>
    <row r="103" spans="1:23" x14ac:dyDescent="0.25">
      <c r="A103" s="17" t="s">
        <v>375</v>
      </c>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9"/>
    </row>
    <row r="104" spans="1:23" x14ac:dyDescent="0.25">
      <c r="A104" s="81"/>
      <c r="B104" s="138" t="s">
        <v>369</v>
      </c>
      <c r="C104" s="138" t="s">
        <v>370</v>
      </c>
      <c r="D104" s="138" t="s">
        <v>371</v>
      </c>
      <c r="E104" s="2571"/>
      <c r="F104" s="2571"/>
      <c r="G104" s="2571"/>
      <c r="H104" s="2571"/>
      <c r="I104" s="2571"/>
      <c r="J104" s="2571"/>
      <c r="K104" s="2571"/>
      <c r="L104" s="2571"/>
      <c r="M104" s="2571"/>
      <c r="N104" s="138"/>
      <c r="O104" s="138"/>
      <c r="P104" s="138"/>
      <c r="Q104" s="138"/>
      <c r="R104" s="138"/>
      <c r="S104" s="138"/>
      <c r="T104" s="138"/>
      <c r="U104" s="138"/>
      <c r="V104" s="138"/>
      <c r="W104" s="139"/>
    </row>
    <row r="105" spans="1:23" x14ac:dyDescent="0.25">
      <c r="A105" s="81" t="s">
        <v>2049</v>
      </c>
      <c r="B105" s="138">
        <v>604</v>
      </c>
      <c r="C105" s="138">
        <v>0.24</v>
      </c>
      <c r="D105" s="138">
        <v>5.4</v>
      </c>
      <c r="E105" s="138"/>
      <c r="F105" s="138"/>
      <c r="G105" s="138"/>
      <c r="H105" s="138"/>
      <c r="I105" s="138"/>
      <c r="J105" s="138"/>
      <c r="K105" s="138"/>
      <c r="L105" s="138"/>
      <c r="M105" s="138"/>
      <c r="N105" s="138"/>
      <c r="O105" s="138"/>
      <c r="P105" s="138"/>
      <c r="Q105" s="138"/>
      <c r="R105" s="138"/>
      <c r="S105" s="138"/>
      <c r="T105" s="138"/>
      <c r="U105" s="138"/>
      <c r="V105" s="138"/>
      <c r="W105" s="139"/>
    </row>
    <row r="106" spans="1:23" x14ac:dyDescent="0.25">
      <c r="A106" s="81" t="s">
        <v>771</v>
      </c>
      <c r="B106" s="138">
        <v>600</v>
      </c>
      <c r="C106" s="138">
        <v>0.24</v>
      </c>
      <c r="D106" s="138">
        <v>5.0999999999999996</v>
      </c>
      <c r="E106" s="138"/>
      <c r="F106" s="138"/>
      <c r="G106" s="138"/>
      <c r="H106" s="138"/>
      <c r="I106" s="138"/>
      <c r="J106" s="138"/>
      <c r="K106" s="138"/>
      <c r="L106" s="138"/>
      <c r="M106" s="138"/>
      <c r="N106" s="138"/>
      <c r="O106" s="138"/>
      <c r="P106" s="138"/>
      <c r="Q106" s="138"/>
      <c r="R106" s="138"/>
      <c r="S106" s="138"/>
      <c r="T106" s="138"/>
      <c r="U106" s="138"/>
      <c r="V106" s="138"/>
      <c r="W106" s="139"/>
    </row>
    <row r="107" spans="1:23" x14ac:dyDescent="0.25">
      <c r="A107" s="81" t="s">
        <v>721</v>
      </c>
      <c r="B107" s="138">
        <v>550</v>
      </c>
      <c r="C107" s="138">
        <v>0.24</v>
      </c>
      <c r="D107" s="138">
        <v>4.5</v>
      </c>
      <c r="E107" s="138"/>
      <c r="F107" s="138"/>
      <c r="G107" s="138"/>
      <c r="H107" s="138"/>
      <c r="I107" s="138"/>
      <c r="J107" s="138"/>
      <c r="K107" s="138"/>
      <c r="L107" s="138"/>
      <c r="M107" s="138"/>
      <c r="N107" s="138"/>
      <c r="O107" s="138"/>
      <c r="P107" s="138"/>
      <c r="Q107" s="138"/>
      <c r="R107" s="138"/>
      <c r="S107" s="138"/>
      <c r="T107" s="138"/>
      <c r="U107" s="138"/>
      <c r="V107" s="138"/>
      <c r="W107" s="139"/>
    </row>
    <row r="108" spans="1:23" x14ac:dyDescent="0.25">
      <c r="A108" s="81" t="s">
        <v>722</v>
      </c>
      <c r="B108" s="138">
        <v>500</v>
      </c>
      <c r="C108" s="138">
        <v>0.24</v>
      </c>
      <c r="D108" s="138">
        <v>3.5</v>
      </c>
      <c r="E108" s="138"/>
      <c r="F108" s="138"/>
      <c r="G108" s="138"/>
      <c r="H108" s="138"/>
      <c r="I108" s="138"/>
      <c r="J108" s="138"/>
      <c r="K108" s="138"/>
      <c r="L108" s="138"/>
      <c r="M108" s="138"/>
      <c r="N108" s="138"/>
      <c r="O108" s="138"/>
      <c r="P108" s="138"/>
      <c r="Q108" s="138"/>
      <c r="R108" s="138"/>
      <c r="S108" s="138"/>
      <c r="T108" s="138"/>
      <c r="U108" s="138"/>
      <c r="V108" s="138"/>
      <c r="W108" s="139"/>
    </row>
    <row r="109" spans="1:23" x14ac:dyDescent="0.25">
      <c r="A109" s="81" t="s">
        <v>1695</v>
      </c>
      <c r="B109" s="138">
        <v>400</v>
      </c>
      <c r="C109" s="138">
        <v>0.13</v>
      </c>
      <c r="D109" s="138">
        <v>2.9</v>
      </c>
      <c r="E109" s="138"/>
      <c r="F109" s="138"/>
      <c r="G109" s="138"/>
      <c r="H109" s="138"/>
      <c r="I109" s="138"/>
      <c r="J109" s="138"/>
      <c r="K109" s="138"/>
      <c r="L109" s="138"/>
      <c r="M109" s="138"/>
      <c r="N109" s="138"/>
      <c r="O109" s="138"/>
      <c r="P109" s="138"/>
      <c r="Q109" s="138"/>
      <c r="R109" s="138"/>
      <c r="S109" s="138"/>
      <c r="T109" s="138"/>
      <c r="U109" s="138"/>
      <c r="V109" s="138"/>
      <c r="W109" s="139"/>
    </row>
    <row r="110" spans="1:23" x14ac:dyDescent="0.25">
      <c r="A110" s="81" t="s">
        <v>212</v>
      </c>
      <c r="B110" s="138">
        <v>275</v>
      </c>
      <c r="C110" s="138">
        <v>0.13</v>
      </c>
      <c r="D110" s="138">
        <v>1.9</v>
      </c>
      <c r="E110" s="138"/>
      <c r="F110" s="138"/>
      <c r="G110" s="138"/>
      <c r="H110" s="138"/>
      <c r="I110" s="138"/>
      <c r="J110" s="138"/>
      <c r="K110" s="138"/>
      <c r="L110" s="138"/>
      <c r="M110" s="138"/>
      <c r="N110" s="138"/>
      <c r="O110" s="138"/>
      <c r="P110" s="138"/>
      <c r="Q110" s="138"/>
      <c r="R110" s="138"/>
      <c r="S110" s="138"/>
      <c r="T110" s="138"/>
      <c r="U110" s="138"/>
      <c r="V110" s="138"/>
      <c r="W110" s="139"/>
    </row>
    <row r="111" spans="1:23" x14ac:dyDescent="0.25">
      <c r="A111" s="81" t="s">
        <v>351</v>
      </c>
      <c r="B111" s="138">
        <v>275</v>
      </c>
      <c r="C111" s="138">
        <v>0.13</v>
      </c>
      <c r="D111" s="138">
        <v>1.9</v>
      </c>
      <c r="E111" s="138"/>
      <c r="F111" s="138"/>
      <c r="G111" s="138"/>
      <c r="H111" s="138"/>
      <c r="I111" s="138"/>
      <c r="J111" s="138"/>
      <c r="K111" s="138"/>
      <c r="L111" s="138"/>
      <c r="M111" s="138"/>
      <c r="N111" s="138"/>
      <c r="O111" s="138"/>
      <c r="P111" s="138"/>
      <c r="Q111" s="138"/>
      <c r="R111" s="138"/>
      <c r="S111" s="138"/>
      <c r="T111" s="138"/>
      <c r="U111" s="138"/>
      <c r="V111" s="138"/>
      <c r="W111" s="139"/>
    </row>
    <row r="112" spans="1:23" x14ac:dyDescent="0.25">
      <c r="A112" s="81" t="s">
        <v>1936</v>
      </c>
      <c r="B112" s="138">
        <v>350</v>
      </c>
      <c r="C112" s="138">
        <v>0.13</v>
      </c>
      <c r="D112" s="138">
        <v>2.8</v>
      </c>
      <c r="E112" s="138"/>
      <c r="F112" s="138"/>
      <c r="G112" s="138"/>
      <c r="H112" s="138"/>
      <c r="I112" s="138"/>
      <c r="J112" s="138"/>
      <c r="K112" s="138"/>
      <c r="L112" s="138"/>
      <c r="M112" s="138"/>
      <c r="N112" s="138"/>
      <c r="O112" s="138"/>
      <c r="P112" s="138"/>
      <c r="Q112" s="138"/>
      <c r="R112" s="138"/>
      <c r="S112" s="138"/>
      <c r="T112" s="138"/>
      <c r="U112" s="138"/>
      <c r="V112" s="138"/>
      <c r="W112" s="139"/>
    </row>
    <row r="113" spans="1:23" ht="13.25" thickBot="1" x14ac:dyDescent="0.3">
      <c r="A113" s="831" t="s">
        <v>637</v>
      </c>
      <c r="B113" s="832">
        <v>275</v>
      </c>
      <c r="C113" s="832">
        <v>0.13</v>
      </c>
      <c r="D113" s="832">
        <v>2.6</v>
      </c>
      <c r="E113" s="832"/>
      <c r="F113" s="832"/>
      <c r="G113" s="832"/>
      <c r="H113" s="832"/>
      <c r="I113" s="832"/>
      <c r="J113" s="832"/>
      <c r="K113" s="832"/>
      <c r="L113" s="832"/>
      <c r="M113" s="832"/>
      <c r="N113" s="832"/>
      <c r="O113" s="832"/>
      <c r="P113" s="832"/>
      <c r="Q113" s="832"/>
      <c r="R113" s="832"/>
      <c r="S113" s="832"/>
      <c r="T113" s="832"/>
      <c r="U113" s="832"/>
      <c r="V113" s="832"/>
      <c r="W113" s="833"/>
    </row>
    <row r="115" spans="1:23" x14ac:dyDescent="0.25">
      <c r="A115" s="82" t="s">
        <v>1801</v>
      </c>
      <c r="B115" s="138"/>
      <c r="C115" s="138"/>
      <c r="D115" s="138"/>
      <c r="E115" s="138"/>
      <c r="F115" s="138"/>
      <c r="G115" s="837"/>
      <c r="H115" s="837"/>
      <c r="I115" s="837"/>
      <c r="J115" s="837"/>
      <c r="K115" s="837"/>
      <c r="L115" s="837"/>
      <c r="M115" s="837"/>
      <c r="N115" s="837"/>
      <c r="O115" s="837"/>
      <c r="P115" s="837"/>
      <c r="Q115" s="837"/>
      <c r="R115" s="837"/>
      <c r="S115" s="837"/>
    </row>
    <row r="116" spans="1:23" x14ac:dyDescent="0.25">
      <c r="A116" s="138"/>
      <c r="B116" s="138" t="s">
        <v>873</v>
      </c>
      <c r="C116" s="138" t="s">
        <v>370</v>
      </c>
      <c r="D116" s="138" t="s">
        <v>371</v>
      </c>
      <c r="H116" s="837"/>
      <c r="I116" s="837"/>
      <c r="J116" s="837"/>
      <c r="K116" s="837"/>
      <c r="L116" s="837"/>
      <c r="M116" s="837"/>
      <c r="N116" s="837"/>
      <c r="O116" s="837"/>
      <c r="P116" s="837"/>
      <c r="Q116" s="837"/>
      <c r="R116" s="837"/>
      <c r="S116" s="837"/>
    </row>
    <row r="117" spans="1:23" x14ac:dyDescent="0.25">
      <c r="A117" s="138" t="s">
        <v>516</v>
      </c>
      <c r="B117" s="138">
        <v>48.5</v>
      </c>
      <c r="C117" s="138">
        <v>0.19</v>
      </c>
      <c r="D117" s="138">
        <v>0.4</v>
      </c>
      <c r="E117" s="138" t="s">
        <v>561</v>
      </c>
      <c r="I117" s="837"/>
      <c r="J117" s="837"/>
      <c r="K117" s="837"/>
      <c r="L117" s="837"/>
      <c r="M117" s="837"/>
      <c r="N117" s="837"/>
      <c r="O117" s="837"/>
      <c r="P117" s="837"/>
      <c r="Q117" s="837"/>
      <c r="R117" s="837"/>
      <c r="S117" s="837"/>
    </row>
    <row r="118" spans="1:23" x14ac:dyDescent="0.25">
      <c r="A118" s="138"/>
      <c r="B118" s="138">
        <v>28</v>
      </c>
      <c r="C118" s="138">
        <v>0.13</v>
      </c>
      <c r="D118" s="138">
        <v>0.32</v>
      </c>
      <c r="E118" s="138" t="s">
        <v>562</v>
      </c>
      <c r="I118" s="837"/>
      <c r="J118" s="837"/>
      <c r="K118" s="837"/>
      <c r="L118" s="837"/>
      <c r="M118" s="837"/>
      <c r="N118" s="837"/>
      <c r="O118" s="837"/>
      <c r="P118" s="837"/>
      <c r="Q118" s="837"/>
      <c r="R118" s="837"/>
      <c r="S118" s="837"/>
    </row>
    <row r="119" spans="1:23" x14ac:dyDescent="0.25">
      <c r="A119" s="138" t="s">
        <v>544</v>
      </c>
      <c r="B119" s="138">
        <v>38.5</v>
      </c>
      <c r="C119" s="138">
        <v>0.18</v>
      </c>
      <c r="D119" s="138">
        <v>0.3</v>
      </c>
      <c r="E119" s="138" t="s">
        <v>561</v>
      </c>
      <c r="I119" s="837"/>
      <c r="J119" s="837"/>
      <c r="K119" s="837"/>
      <c r="L119" s="837"/>
      <c r="M119" s="837"/>
      <c r="N119" s="837"/>
      <c r="O119" s="837"/>
      <c r="P119" s="837"/>
      <c r="Q119" s="837"/>
      <c r="R119" s="837"/>
      <c r="S119" s="837"/>
    </row>
    <row r="120" spans="1:23" x14ac:dyDescent="0.25">
      <c r="A120" s="138"/>
      <c r="B120" s="138">
        <v>30</v>
      </c>
      <c r="C120" s="138">
        <v>0.13</v>
      </c>
      <c r="D120" s="138">
        <v>0.35</v>
      </c>
      <c r="E120" s="138" t="s">
        <v>562</v>
      </c>
      <c r="I120" s="837"/>
      <c r="J120" s="837"/>
      <c r="K120" s="837"/>
      <c r="L120" s="837"/>
      <c r="M120" s="837"/>
      <c r="N120" s="837"/>
      <c r="O120" s="837"/>
      <c r="P120" s="837"/>
      <c r="Q120" s="837"/>
      <c r="R120" s="837"/>
      <c r="S120" s="837"/>
    </row>
    <row r="121" spans="1:23" x14ac:dyDescent="0.25">
      <c r="A121" s="138" t="s">
        <v>550</v>
      </c>
      <c r="B121" s="138">
        <v>217</v>
      </c>
      <c r="C121" s="138">
        <v>0.26</v>
      </c>
      <c r="D121" s="138">
        <v>2.4900000000000002</v>
      </c>
      <c r="E121" s="138" t="s">
        <v>561</v>
      </c>
      <c r="I121" s="837"/>
      <c r="J121" s="837"/>
      <c r="K121" s="837"/>
      <c r="L121" s="837"/>
      <c r="M121" s="837"/>
      <c r="N121" s="837"/>
      <c r="O121" s="837"/>
      <c r="P121" s="837"/>
      <c r="Q121" s="837"/>
      <c r="R121" s="837"/>
      <c r="S121" s="837"/>
    </row>
    <row r="122" spans="1:23" x14ac:dyDescent="0.25">
      <c r="A122" s="138"/>
      <c r="B122" s="138">
        <v>217</v>
      </c>
      <c r="C122" s="138">
        <v>0.21</v>
      </c>
      <c r="D122" s="138">
        <v>2.4900000000000002</v>
      </c>
      <c r="E122" s="138" t="s">
        <v>562</v>
      </c>
      <c r="I122" s="837"/>
      <c r="J122" s="837"/>
      <c r="K122" s="837"/>
      <c r="L122" s="837"/>
      <c r="M122" s="837"/>
      <c r="N122" s="837"/>
      <c r="O122" s="837"/>
      <c r="P122" s="837"/>
      <c r="Q122" s="837"/>
      <c r="R122" s="837"/>
      <c r="S122" s="837"/>
    </row>
    <row r="123" spans="1:23" x14ac:dyDescent="0.25">
      <c r="A123" s="138" t="s">
        <v>557</v>
      </c>
      <c r="B123" s="138">
        <v>377</v>
      </c>
      <c r="C123" s="138">
        <v>0.3</v>
      </c>
      <c r="D123" s="138">
        <v>2.13</v>
      </c>
      <c r="E123" s="138" t="s">
        <v>561</v>
      </c>
      <c r="I123" s="837"/>
      <c r="J123" s="837"/>
      <c r="K123" s="837"/>
      <c r="L123" s="837"/>
      <c r="M123" s="837"/>
      <c r="N123" s="837"/>
      <c r="O123" s="837"/>
      <c r="P123" s="837"/>
      <c r="Q123" s="837"/>
      <c r="R123" s="837"/>
      <c r="S123" s="837"/>
    </row>
    <row r="124" spans="1:23" x14ac:dyDescent="0.25">
      <c r="A124" s="138"/>
      <c r="B124" s="138">
        <v>238</v>
      </c>
      <c r="C124" s="138">
        <v>0.26</v>
      </c>
      <c r="D124" s="138">
        <v>1.72</v>
      </c>
      <c r="E124" s="138" t="s">
        <v>562</v>
      </c>
      <c r="I124" s="837"/>
      <c r="J124" s="837"/>
      <c r="K124" s="837"/>
      <c r="L124" s="837"/>
      <c r="M124" s="837"/>
      <c r="N124" s="837"/>
      <c r="O124" s="837"/>
      <c r="P124" s="837"/>
      <c r="Q124" s="837"/>
      <c r="R124" s="837"/>
      <c r="S124" s="837"/>
    </row>
    <row r="125" spans="1:23" x14ac:dyDescent="0.25">
      <c r="A125" s="138" t="s">
        <v>558</v>
      </c>
      <c r="B125" s="138">
        <v>130</v>
      </c>
      <c r="C125" s="138">
        <v>0.33</v>
      </c>
      <c r="D125" s="138">
        <v>0.94</v>
      </c>
      <c r="E125" s="138" t="s">
        <v>561</v>
      </c>
      <c r="I125" s="837"/>
      <c r="J125" s="837"/>
      <c r="K125" s="837"/>
      <c r="L125" s="837"/>
      <c r="M125" s="837"/>
      <c r="N125" s="837"/>
      <c r="O125" s="837"/>
      <c r="P125" s="837"/>
      <c r="Q125" s="837"/>
      <c r="R125" s="837"/>
      <c r="S125" s="837"/>
    </row>
    <row r="126" spans="1:23" x14ac:dyDescent="0.25">
      <c r="A126" s="138"/>
      <c r="B126" s="138">
        <v>130</v>
      </c>
      <c r="C126" s="138">
        <v>0.26</v>
      </c>
      <c r="D126" s="138">
        <v>0.94</v>
      </c>
      <c r="E126" s="138" t="s">
        <v>562</v>
      </c>
      <c r="I126" s="837"/>
      <c r="J126" s="837"/>
      <c r="K126" s="837"/>
      <c r="L126" s="837"/>
      <c r="M126" s="837"/>
      <c r="N126" s="837"/>
      <c r="O126" s="837"/>
      <c r="P126" s="837"/>
      <c r="Q126" s="837"/>
      <c r="R126" s="837"/>
      <c r="S126" s="837"/>
    </row>
    <row r="127" spans="1:23" x14ac:dyDescent="0.25">
      <c r="A127" s="138" t="s">
        <v>559</v>
      </c>
      <c r="B127" s="138">
        <v>1.8</v>
      </c>
      <c r="C127" s="138">
        <v>0.39</v>
      </c>
      <c r="D127" s="138">
        <v>0.02</v>
      </c>
      <c r="E127" s="138" t="s">
        <v>561</v>
      </c>
      <c r="I127" s="837"/>
      <c r="J127" s="837"/>
      <c r="K127" s="837"/>
      <c r="L127" s="837"/>
      <c r="M127" s="837"/>
      <c r="N127" s="837"/>
      <c r="O127" s="837"/>
      <c r="P127" s="837"/>
      <c r="Q127" s="837"/>
      <c r="R127" s="837"/>
      <c r="S127" s="837"/>
    </row>
    <row r="128" spans="1:23" x14ac:dyDescent="0.25">
      <c r="A128" s="138" t="s">
        <v>559</v>
      </c>
      <c r="B128" s="138">
        <v>1.8</v>
      </c>
      <c r="C128" s="138">
        <v>0.39</v>
      </c>
      <c r="D128" s="138">
        <v>0.02</v>
      </c>
      <c r="E128" s="138" t="s">
        <v>562</v>
      </c>
      <c r="I128" s="837"/>
      <c r="J128" s="837"/>
      <c r="K128" s="837"/>
      <c r="L128" s="837"/>
      <c r="M128" s="837"/>
      <c r="N128" s="837"/>
      <c r="O128" s="837"/>
      <c r="P128" s="837"/>
      <c r="Q128" s="837"/>
      <c r="R128" s="837"/>
      <c r="S128" s="837"/>
    </row>
    <row r="129" spans="1:19" x14ac:dyDescent="0.25">
      <c r="A129" s="138" t="s">
        <v>560</v>
      </c>
      <c r="B129" s="138">
        <v>1.8</v>
      </c>
      <c r="C129" s="138">
        <v>0.39</v>
      </c>
      <c r="D129" s="138">
        <v>0.02</v>
      </c>
      <c r="E129" s="138" t="s">
        <v>561</v>
      </c>
      <c r="I129" s="837"/>
      <c r="J129" s="837"/>
      <c r="K129" s="837"/>
      <c r="L129" s="837"/>
      <c r="M129" s="837"/>
      <c r="N129" s="837"/>
      <c r="O129" s="837"/>
      <c r="P129" s="837"/>
      <c r="Q129" s="837"/>
      <c r="R129" s="837"/>
      <c r="S129" s="837"/>
    </row>
    <row r="130" spans="1:19" x14ac:dyDescent="0.25">
      <c r="A130" s="138" t="s">
        <v>560</v>
      </c>
      <c r="B130" s="138">
        <v>1.8</v>
      </c>
      <c r="C130" s="138">
        <v>0.39</v>
      </c>
      <c r="D130" s="138">
        <v>0.02</v>
      </c>
      <c r="E130" s="138" t="s">
        <v>562</v>
      </c>
      <c r="I130" s="837"/>
      <c r="J130" s="837"/>
      <c r="K130" s="837"/>
      <c r="L130" s="837"/>
      <c r="M130" s="837"/>
      <c r="N130" s="837"/>
      <c r="O130" s="837"/>
      <c r="P130" s="837"/>
      <c r="Q130" s="837"/>
      <c r="R130" s="837"/>
      <c r="S130" s="837"/>
    </row>
    <row r="131" spans="1:19" x14ac:dyDescent="0.25">
      <c r="A131" s="138" t="s">
        <v>513</v>
      </c>
      <c r="B131" s="138">
        <v>0.9</v>
      </c>
      <c r="C131" s="138">
        <v>0.36</v>
      </c>
      <c r="D131" s="138">
        <v>0.01</v>
      </c>
      <c r="E131" s="138" t="s">
        <v>561</v>
      </c>
      <c r="I131" s="837"/>
      <c r="J131" s="837"/>
      <c r="K131" s="837"/>
      <c r="L131" s="837"/>
      <c r="M131" s="837"/>
      <c r="N131" s="837"/>
      <c r="O131" s="837"/>
      <c r="P131" s="837"/>
      <c r="Q131" s="837"/>
      <c r="R131" s="837"/>
      <c r="S131" s="837"/>
    </row>
    <row r="132" spans="1:19" x14ac:dyDescent="0.25">
      <c r="A132" s="138" t="s">
        <v>513</v>
      </c>
      <c r="B132" s="138">
        <v>0.9</v>
      </c>
      <c r="C132" s="138">
        <v>0.36</v>
      </c>
      <c r="D132" s="138">
        <v>0.01</v>
      </c>
      <c r="E132" s="138" t="s">
        <v>562</v>
      </c>
      <c r="I132" s="837"/>
      <c r="J132" s="837"/>
      <c r="K132" s="837"/>
      <c r="L132" s="837"/>
      <c r="M132" s="837"/>
      <c r="N132" s="837"/>
      <c r="O132" s="837"/>
      <c r="P132" s="837"/>
      <c r="Q132" s="837"/>
      <c r="R132" s="837"/>
      <c r="S132" s="837"/>
    </row>
    <row r="133" spans="1:19" x14ac:dyDescent="0.25">
      <c r="A133" s="138" t="s">
        <v>514</v>
      </c>
      <c r="B133" s="138">
        <v>6.8</v>
      </c>
      <c r="C133" s="138">
        <v>0.36</v>
      </c>
      <c r="D133" s="138">
        <v>7.0000000000000007E-2</v>
      </c>
      <c r="E133" s="138" t="s">
        <v>561</v>
      </c>
      <c r="I133" s="837"/>
      <c r="J133" s="837"/>
      <c r="K133" s="837"/>
      <c r="L133" s="837"/>
      <c r="M133" s="837"/>
      <c r="N133" s="837"/>
      <c r="O133" s="837"/>
      <c r="P133" s="837"/>
      <c r="Q133" s="837"/>
      <c r="R133" s="837"/>
      <c r="S133" s="837"/>
    </row>
    <row r="134" spans="1:19" x14ac:dyDescent="0.25">
      <c r="A134" s="138" t="s">
        <v>514</v>
      </c>
      <c r="B134" s="138">
        <v>6.8</v>
      </c>
      <c r="C134" s="138">
        <v>0.36</v>
      </c>
      <c r="D134" s="138">
        <v>7.0000000000000007E-2</v>
      </c>
      <c r="E134" s="138" t="s">
        <v>562</v>
      </c>
      <c r="I134" s="837"/>
      <c r="J134" s="837"/>
      <c r="K134" s="837"/>
      <c r="L134" s="837"/>
      <c r="M134" s="837"/>
      <c r="N134" s="837"/>
      <c r="O134" s="837"/>
      <c r="P134" s="837"/>
      <c r="Q134" s="837"/>
      <c r="R134" s="837"/>
      <c r="S134" s="837"/>
    </row>
    <row r="135" spans="1:19" x14ac:dyDescent="0.25">
      <c r="A135" s="138" t="s">
        <v>515</v>
      </c>
      <c r="B135" s="138">
        <v>2.7</v>
      </c>
      <c r="C135" s="138">
        <v>0.36</v>
      </c>
      <c r="D135" s="138">
        <v>0.02</v>
      </c>
      <c r="E135" s="138" t="s">
        <v>561</v>
      </c>
    </row>
    <row r="136" spans="1:19" x14ac:dyDescent="0.25">
      <c r="A136" s="138"/>
      <c r="B136" s="138">
        <v>2.7</v>
      </c>
      <c r="C136" s="138">
        <v>0.24</v>
      </c>
      <c r="D136" s="138">
        <v>0.02</v>
      </c>
      <c r="E136" s="138" t="s">
        <v>562</v>
      </c>
    </row>
    <row r="137" spans="1:19" ht="13.25" thickBot="1" x14ac:dyDescent="0.3"/>
    <row r="138" spans="1:19" x14ac:dyDescent="0.25">
      <c r="A138" s="16" t="s">
        <v>376</v>
      </c>
      <c r="B138" s="826"/>
      <c r="C138" s="826" t="s">
        <v>2049</v>
      </c>
      <c r="D138" s="826" t="s">
        <v>771</v>
      </c>
      <c r="E138" s="826" t="s">
        <v>721</v>
      </c>
      <c r="F138" s="826" t="s">
        <v>722</v>
      </c>
      <c r="G138" s="826" t="s">
        <v>1695</v>
      </c>
      <c r="H138" s="826" t="s">
        <v>212</v>
      </c>
      <c r="I138" s="826" t="s">
        <v>351</v>
      </c>
      <c r="J138" s="826" t="s">
        <v>1936</v>
      </c>
      <c r="K138" s="827" t="s">
        <v>720</v>
      </c>
    </row>
    <row r="139" spans="1:19" ht="25.35" x14ac:dyDescent="0.25">
      <c r="A139" s="81"/>
      <c r="B139" s="138" t="s">
        <v>344</v>
      </c>
      <c r="C139" s="138">
        <v>0.44</v>
      </c>
      <c r="D139" s="138">
        <v>0.48</v>
      </c>
      <c r="E139" s="138">
        <v>0.35</v>
      </c>
      <c r="F139" s="138">
        <v>0.44</v>
      </c>
      <c r="G139" s="138">
        <v>0.48</v>
      </c>
      <c r="H139" s="138">
        <v>0.6</v>
      </c>
      <c r="I139" s="138">
        <v>0.7</v>
      </c>
      <c r="J139" s="138">
        <v>0.47</v>
      </c>
      <c r="K139" s="139">
        <v>0.47</v>
      </c>
      <c r="N139" s="389" t="s">
        <v>1016</v>
      </c>
    </row>
    <row r="140" spans="1:19" x14ac:dyDescent="0.25">
      <c r="A140" s="81"/>
      <c r="B140" s="138" t="s">
        <v>345</v>
      </c>
      <c r="C140" s="138">
        <v>0.31</v>
      </c>
      <c r="D140" s="138">
        <v>0.33</v>
      </c>
      <c r="E140" s="138">
        <v>0.35</v>
      </c>
      <c r="F140" s="138">
        <v>0.5</v>
      </c>
      <c r="G140" s="138">
        <v>0.36</v>
      </c>
      <c r="H140" s="138">
        <v>0.63</v>
      </c>
      <c r="I140" s="138">
        <v>0.79</v>
      </c>
      <c r="J140" s="138">
        <v>0.34</v>
      </c>
      <c r="K140" s="139">
        <v>0.34</v>
      </c>
      <c r="N140" s="14" t="s">
        <v>1020</v>
      </c>
    </row>
    <row r="141" spans="1:19" x14ac:dyDescent="0.25">
      <c r="A141" s="81"/>
      <c r="B141" s="138" t="s">
        <v>372</v>
      </c>
      <c r="C141" s="138">
        <v>0.42</v>
      </c>
      <c r="D141" s="138">
        <v>0.51</v>
      </c>
      <c r="E141" s="138">
        <v>0.55000000000000004</v>
      </c>
      <c r="F141" s="138">
        <v>0.53</v>
      </c>
      <c r="G141" s="138">
        <v>1.57</v>
      </c>
      <c r="H141" s="138">
        <v>1.57</v>
      </c>
      <c r="I141" s="138">
        <v>1.57</v>
      </c>
      <c r="J141" s="138">
        <v>0.42</v>
      </c>
      <c r="K141" s="139">
        <v>0.42</v>
      </c>
      <c r="N141" s="14" t="s">
        <v>543</v>
      </c>
    </row>
    <row r="142" spans="1:19" x14ac:dyDescent="0.25">
      <c r="A142" s="81"/>
      <c r="B142" s="138" t="s">
        <v>509</v>
      </c>
      <c r="C142" s="138">
        <v>0.24</v>
      </c>
      <c r="D142" s="138">
        <v>0.42</v>
      </c>
      <c r="E142" s="138">
        <v>0.46</v>
      </c>
      <c r="F142" s="138">
        <v>0.46</v>
      </c>
      <c r="G142" s="138">
        <v>0.55000000000000004</v>
      </c>
      <c r="H142" s="138">
        <v>0.55000000000000004</v>
      </c>
      <c r="I142" s="138">
        <v>0.55000000000000004</v>
      </c>
      <c r="J142" s="138">
        <v>0.24</v>
      </c>
      <c r="K142" s="139">
        <v>0.24</v>
      </c>
      <c r="N142" s="14" t="s">
        <v>516</v>
      </c>
    </row>
    <row r="143" spans="1:19" x14ac:dyDescent="0.25">
      <c r="A143" s="81"/>
      <c r="B143" s="138" t="s">
        <v>510</v>
      </c>
      <c r="C143" s="138">
        <v>0.83</v>
      </c>
      <c r="D143" s="138">
        <v>0.96</v>
      </c>
      <c r="E143" s="138">
        <v>0.82</v>
      </c>
      <c r="F143" s="138">
        <v>0.82</v>
      </c>
      <c r="G143" s="138">
        <v>0.82</v>
      </c>
      <c r="H143" s="138">
        <v>0.82</v>
      </c>
      <c r="I143" s="138">
        <v>0.82</v>
      </c>
      <c r="J143" s="138">
        <v>0.82</v>
      </c>
      <c r="K143" s="139">
        <v>0.82</v>
      </c>
      <c r="N143" s="14" t="s">
        <v>544</v>
      </c>
    </row>
    <row r="144" spans="1:19" x14ac:dyDescent="0.25">
      <c r="A144" s="81"/>
      <c r="B144" s="138" t="s">
        <v>511</v>
      </c>
      <c r="C144" s="138">
        <v>0.62</v>
      </c>
      <c r="D144" s="138">
        <v>0.55000000000000004</v>
      </c>
      <c r="E144" s="138">
        <v>0.6</v>
      </c>
      <c r="F144" s="138">
        <v>0.6</v>
      </c>
      <c r="G144" s="138">
        <v>0.6</v>
      </c>
      <c r="H144" s="138">
        <v>0.6</v>
      </c>
      <c r="I144" s="138">
        <v>0.6</v>
      </c>
      <c r="J144" s="138">
        <v>0.6</v>
      </c>
      <c r="K144" s="139">
        <v>0.6</v>
      </c>
      <c r="N144" s="14" t="s">
        <v>550</v>
      </c>
    </row>
    <row r="145" spans="1:14" x14ac:dyDescent="0.25">
      <c r="A145" s="81"/>
      <c r="B145" s="138" t="s">
        <v>512</v>
      </c>
      <c r="C145" s="138">
        <v>0.83</v>
      </c>
      <c r="D145" s="138">
        <v>0.83</v>
      </c>
      <c r="E145" s="138">
        <v>0.82</v>
      </c>
      <c r="F145" s="138">
        <v>0.82</v>
      </c>
      <c r="G145" s="138">
        <v>0.82</v>
      </c>
      <c r="H145" s="138">
        <v>0.82</v>
      </c>
      <c r="I145" s="138">
        <v>0.82</v>
      </c>
      <c r="J145" s="138">
        <v>0.82</v>
      </c>
      <c r="K145" s="139">
        <v>0.82</v>
      </c>
      <c r="N145" s="14" t="s">
        <v>747</v>
      </c>
    </row>
    <row r="146" spans="1:14" x14ac:dyDescent="0.25">
      <c r="A146" s="81"/>
      <c r="B146" s="138" t="s">
        <v>513</v>
      </c>
      <c r="C146" s="138">
        <v>1.1000000000000001</v>
      </c>
      <c r="D146" s="138">
        <v>1.1000000000000001</v>
      </c>
      <c r="E146" s="138">
        <v>1.1000000000000001</v>
      </c>
      <c r="F146" s="138">
        <v>1.1000000000000001</v>
      </c>
      <c r="G146" s="138">
        <v>1.1000000000000001</v>
      </c>
      <c r="H146" s="138">
        <v>1.1000000000000001</v>
      </c>
      <c r="I146" s="138">
        <v>1.1000000000000001</v>
      </c>
      <c r="J146" s="138">
        <v>1.1000000000000001</v>
      </c>
      <c r="K146" s="139">
        <v>1.1000000000000001</v>
      </c>
      <c r="N146" s="14" t="s">
        <v>612</v>
      </c>
    </row>
    <row r="147" spans="1:14" x14ac:dyDescent="0.25">
      <c r="A147" s="81"/>
      <c r="B147" s="138" t="s">
        <v>514</v>
      </c>
      <c r="C147" s="138">
        <v>0.74</v>
      </c>
      <c r="D147" s="138">
        <v>0.74</v>
      </c>
      <c r="E147" s="138">
        <v>0.74</v>
      </c>
      <c r="F147" s="138">
        <v>0.74</v>
      </c>
      <c r="G147" s="138">
        <v>0.74</v>
      </c>
      <c r="H147" s="138">
        <v>0.74</v>
      </c>
      <c r="I147" s="138">
        <v>0.74</v>
      </c>
      <c r="J147" s="138">
        <v>0.74</v>
      </c>
      <c r="K147" s="139">
        <v>0.74</v>
      </c>
      <c r="N147" s="14" t="s">
        <v>614</v>
      </c>
    </row>
    <row r="148" spans="1:14" x14ac:dyDescent="0.25">
      <c r="A148" s="81"/>
      <c r="B148" s="138" t="s">
        <v>515</v>
      </c>
      <c r="C148" s="138">
        <v>0.83</v>
      </c>
      <c r="D148" s="138">
        <v>0.83</v>
      </c>
      <c r="E148" s="138">
        <v>0.83</v>
      </c>
      <c r="F148" s="138">
        <v>0.83</v>
      </c>
      <c r="G148" s="138">
        <v>0.83</v>
      </c>
      <c r="H148" s="138">
        <v>0.83</v>
      </c>
      <c r="I148" s="138">
        <v>0.83</v>
      </c>
      <c r="J148" s="138">
        <v>0.83</v>
      </c>
      <c r="K148" s="139">
        <v>0.83</v>
      </c>
      <c r="N148" s="14" t="s">
        <v>557</v>
      </c>
    </row>
    <row r="149" spans="1:14" x14ac:dyDescent="0.25">
      <c r="A149" s="81"/>
      <c r="B149" s="138" t="s">
        <v>516</v>
      </c>
      <c r="C149" s="138">
        <v>0.42</v>
      </c>
      <c r="D149" s="138">
        <v>0.85</v>
      </c>
      <c r="E149" s="138">
        <v>0.9</v>
      </c>
      <c r="F149" s="138">
        <v>1.1299999999999999</v>
      </c>
      <c r="G149" s="138">
        <v>1.17</v>
      </c>
      <c r="H149" s="138">
        <v>1.17</v>
      </c>
      <c r="I149" s="138">
        <v>1.17</v>
      </c>
      <c r="J149" s="138">
        <v>1.17</v>
      </c>
      <c r="K149" s="139">
        <v>1.17</v>
      </c>
      <c r="N149" s="14" t="s">
        <v>1034</v>
      </c>
    </row>
    <row r="150" spans="1:14" x14ac:dyDescent="0.25">
      <c r="A150" s="81"/>
      <c r="B150" s="138" t="s">
        <v>544</v>
      </c>
      <c r="C150" s="138">
        <v>0.45</v>
      </c>
      <c r="D150" s="138">
        <v>1.28</v>
      </c>
      <c r="E150" s="138">
        <v>1.28</v>
      </c>
      <c r="F150" s="138">
        <v>1.42</v>
      </c>
      <c r="G150" s="138">
        <v>1.37</v>
      </c>
      <c r="H150" s="138">
        <v>1.37</v>
      </c>
      <c r="I150" s="138">
        <v>1.37</v>
      </c>
      <c r="J150" s="138">
        <v>1.37</v>
      </c>
      <c r="K150" s="139">
        <v>1.37</v>
      </c>
      <c r="N150" s="14" t="s">
        <v>1048</v>
      </c>
    </row>
    <row r="151" spans="1:14" x14ac:dyDescent="0.25">
      <c r="A151" s="81"/>
      <c r="B151" s="138" t="s">
        <v>545</v>
      </c>
      <c r="C151" s="138">
        <v>0.3</v>
      </c>
      <c r="D151" s="138">
        <v>0.26</v>
      </c>
      <c r="E151" s="138">
        <v>0.3</v>
      </c>
      <c r="F151" s="138">
        <v>0.3</v>
      </c>
      <c r="G151" s="138">
        <v>0.46</v>
      </c>
      <c r="H151" s="138">
        <v>0.46</v>
      </c>
      <c r="I151" s="138">
        <v>0.46</v>
      </c>
      <c r="J151" s="138">
        <v>0.46</v>
      </c>
      <c r="K151" s="139">
        <v>0.46</v>
      </c>
      <c r="N151" s="14" t="s">
        <v>1049</v>
      </c>
    </row>
    <row r="152" spans="1:14" x14ac:dyDescent="0.25">
      <c r="A152" s="81"/>
      <c r="B152" s="138" t="s">
        <v>546</v>
      </c>
      <c r="C152" s="138">
        <v>0.38</v>
      </c>
      <c r="D152" s="138">
        <v>0.38</v>
      </c>
      <c r="E152" s="138">
        <v>0.38</v>
      </c>
      <c r="F152" s="138">
        <v>0.38</v>
      </c>
      <c r="G152" s="138">
        <v>0.46</v>
      </c>
      <c r="H152" s="138">
        <v>0.46</v>
      </c>
      <c r="I152" s="138">
        <v>0.46</v>
      </c>
      <c r="J152" s="138">
        <v>0.46</v>
      </c>
      <c r="K152" s="139">
        <v>0.46</v>
      </c>
      <c r="N152" s="14" t="s">
        <v>859</v>
      </c>
    </row>
    <row r="153" spans="1:14" x14ac:dyDescent="0.25">
      <c r="A153" s="81"/>
      <c r="B153" s="138" t="s">
        <v>373</v>
      </c>
      <c r="C153" s="138">
        <v>0.32</v>
      </c>
      <c r="D153" s="138">
        <v>0.32</v>
      </c>
      <c r="E153" s="138">
        <v>0.32</v>
      </c>
      <c r="F153" s="138">
        <v>0.32</v>
      </c>
      <c r="G153" s="138">
        <v>0.32</v>
      </c>
      <c r="H153" s="138">
        <v>0.32</v>
      </c>
      <c r="I153" s="138">
        <v>0.32</v>
      </c>
      <c r="J153" s="138">
        <v>0.32</v>
      </c>
      <c r="K153" s="139">
        <v>0.32</v>
      </c>
      <c r="N153" s="14" t="s">
        <v>430</v>
      </c>
    </row>
    <row r="154" spans="1:14" x14ac:dyDescent="0.25">
      <c r="A154" s="81"/>
      <c r="B154" s="138" t="s">
        <v>547</v>
      </c>
      <c r="C154" s="138">
        <v>4.59</v>
      </c>
      <c r="D154" s="138">
        <v>4.59</v>
      </c>
      <c r="E154" s="138">
        <v>4.59</v>
      </c>
      <c r="F154" s="138">
        <v>4.59</v>
      </c>
      <c r="G154" s="138">
        <v>4.59</v>
      </c>
      <c r="H154" s="138">
        <v>4.59</v>
      </c>
      <c r="I154" s="138">
        <v>4.59</v>
      </c>
      <c r="J154" s="138">
        <v>4.59</v>
      </c>
      <c r="K154" s="139">
        <v>4.59</v>
      </c>
      <c r="N154" s="14" t="s">
        <v>431</v>
      </c>
    </row>
    <row r="155" spans="1:14" x14ac:dyDescent="0.25">
      <c r="A155" s="81"/>
      <c r="B155" s="138" t="s">
        <v>548</v>
      </c>
      <c r="C155" s="138">
        <v>8.1</v>
      </c>
      <c r="D155" s="138">
        <v>8.1</v>
      </c>
      <c r="E155" s="138">
        <v>8.1</v>
      </c>
      <c r="F155" s="138">
        <v>8.1</v>
      </c>
      <c r="G155" s="138">
        <v>8.1</v>
      </c>
      <c r="H155" s="138">
        <v>8.1</v>
      </c>
      <c r="I155" s="138">
        <v>8.1</v>
      </c>
      <c r="J155" s="138">
        <v>8.1</v>
      </c>
      <c r="K155" s="139">
        <v>8.1</v>
      </c>
      <c r="N155" s="14" t="s">
        <v>510</v>
      </c>
    </row>
    <row r="156" spans="1:14" ht="13.25" thickBot="1" x14ac:dyDescent="0.3">
      <c r="A156" s="831"/>
      <c r="B156" s="832" t="s">
        <v>549</v>
      </c>
      <c r="C156" s="832">
        <v>12</v>
      </c>
      <c r="D156" s="832">
        <v>12</v>
      </c>
      <c r="E156" s="832">
        <v>12</v>
      </c>
      <c r="F156" s="832">
        <v>12</v>
      </c>
      <c r="G156" s="832">
        <v>12</v>
      </c>
      <c r="H156" s="832">
        <v>12</v>
      </c>
      <c r="I156" s="832">
        <v>12</v>
      </c>
      <c r="J156" s="832">
        <v>12</v>
      </c>
      <c r="K156" s="833">
        <v>12</v>
      </c>
      <c r="N156" s="14" t="s">
        <v>511</v>
      </c>
    </row>
    <row r="157" spans="1:14" x14ac:dyDescent="0.25">
      <c r="N157" s="14" t="s">
        <v>514</v>
      </c>
    </row>
    <row r="158" spans="1:14" x14ac:dyDescent="0.25">
      <c r="N158" s="14" t="s">
        <v>515</v>
      </c>
    </row>
    <row r="162" spans="1:7" x14ac:dyDescent="0.25">
      <c r="A162" s="87"/>
      <c r="B162" s="87" t="s">
        <v>1015</v>
      </c>
      <c r="C162" s="87" t="s">
        <v>1224</v>
      </c>
      <c r="D162" s="837"/>
      <c r="E162" s="837"/>
      <c r="F162" s="837"/>
      <c r="G162" s="837"/>
    </row>
    <row r="163" spans="1:7" x14ac:dyDescent="0.25">
      <c r="A163" s="87" t="s">
        <v>1225</v>
      </c>
      <c r="B163" s="87">
        <v>3</v>
      </c>
      <c r="C163" s="87"/>
      <c r="D163" s="837"/>
      <c r="E163" s="837"/>
      <c r="F163" s="837"/>
      <c r="G163" s="837"/>
    </row>
    <row r="164" spans="1:7" x14ac:dyDescent="0.25">
      <c r="A164" s="87" t="s">
        <v>745</v>
      </c>
      <c r="B164" s="87">
        <v>6.5</v>
      </c>
      <c r="C164" s="87"/>
      <c r="D164" s="837"/>
      <c r="E164" s="837"/>
      <c r="F164" s="837"/>
      <c r="G164" s="837"/>
    </row>
    <row r="165" spans="1:7" x14ac:dyDescent="0.25">
      <c r="A165" s="87" t="s">
        <v>1226</v>
      </c>
      <c r="B165" s="87">
        <v>6.5</v>
      </c>
      <c r="C165" s="87"/>
      <c r="D165" s="837"/>
      <c r="E165" s="837"/>
      <c r="F165" s="837"/>
      <c r="G165" s="837"/>
    </row>
    <row r="166" spans="1:7" x14ac:dyDescent="0.25">
      <c r="A166" s="87" t="s">
        <v>433</v>
      </c>
      <c r="B166" s="87">
        <v>6.5</v>
      </c>
      <c r="C166" s="87"/>
      <c r="D166" s="837"/>
    </row>
    <row r="167" spans="1:7" x14ac:dyDescent="0.25">
      <c r="A167" s="837"/>
      <c r="B167" s="837"/>
      <c r="C167" s="837"/>
      <c r="D167" s="837"/>
    </row>
    <row r="168" spans="1:7" x14ac:dyDescent="0.25">
      <c r="A168" s="837"/>
      <c r="B168" s="837"/>
      <c r="C168" s="837"/>
      <c r="D168" s="837"/>
    </row>
    <row r="169" spans="1:7" x14ac:dyDescent="0.25">
      <c r="A169" s="87" t="s">
        <v>436</v>
      </c>
      <c r="B169" s="87">
        <v>4.5</v>
      </c>
      <c r="C169" s="837"/>
      <c r="D169" s="837"/>
    </row>
    <row r="170" spans="1:7" x14ac:dyDescent="0.25">
      <c r="A170" s="87" t="s">
        <v>592</v>
      </c>
      <c r="B170" s="87">
        <v>6.5</v>
      </c>
      <c r="C170" s="837"/>
      <c r="D170" s="837"/>
    </row>
    <row r="171" spans="1:7" x14ac:dyDescent="0.25">
      <c r="A171" s="837"/>
      <c r="B171" s="837"/>
      <c r="C171" s="837"/>
      <c r="D171" s="837"/>
      <c r="E171" s="837"/>
      <c r="F171" s="837"/>
      <c r="G171" s="837"/>
    </row>
    <row r="173" spans="1:7" x14ac:dyDescent="0.25">
      <c r="A173" s="87"/>
      <c r="B173" s="87" t="s">
        <v>434</v>
      </c>
      <c r="C173" s="87" t="s">
        <v>1224</v>
      </c>
    </row>
    <row r="174" spans="1:7" x14ac:dyDescent="0.25">
      <c r="A174" s="87" t="s">
        <v>435</v>
      </c>
      <c r="B174" s="87">
        <v>8</v>
      </c>
      <c r="C174" s="838">
        <v>0.8</v>
      </c>
    </row>
    <row r="175" spans="1:7" x14ac:dyDescent="0.25">
      <c r="A175" s="87" t="s">
        <v>746</v>
      </c>
      <c r="B175" s="87">
        <v>7</v>
      </c>
      <c r="C175" s="838">
        <v>0.7</v>
      </c>
    </row>
    <row r="176" spans="1:7" x14ac:dyDescent="0.25">
      <c r="A176" s="87" t="s">
        <v>437</v>
      </c>
      <c r="B176" s="87">
        <v>6</v>
      </c>
      <c r="C176" s="838">
        <v>0.6</v>
      </c>
    </row>
    <row r="177" spans="1:7" x14ac:dyDescent="0.25">
      <c r="A177" s="87" t="s">
        <v>877</v>
      </c>
      <c r="B177" s="87">
        <v>4.5</v>
      </c>
      <c r="C177" s="838">
        <v>0.5</v>
      </c>
    </row>
    <row r="180" spans="1:7" x14ac:dyDescent="0.25">
      <c r="A180" s="86"/>
      <c r="B180" s="86" t="s">
        <v>109</v>
      </c>
      <c r="C180" s="86" t="s">
        <v>111</v>
      </c>
      <c r="D180" s="86" t="s">
        <v>110</v>
      </c>
      <c r="E180" s="86" t="s">
        <v>114</v>
      </c>
      <c r="F180" s="86" t="s">
        <v>112</v>
      </c>
      <c r="G180" s="86" t="s">
        <v>1659</v>
      </c>
    </row>
    <row r="181" spans="1:7" ht="25.35" x14ac:dyDescent="0.25">
      <c r="A181" s="289" t="s">
        <v>107</v>
      </c>
      <c r="B181" s="87" t="s">
        <v>1020</v>
      </c>
      <c r="C181" s="839" t="s">
        <v>1016</v>
      </c>
      <c r="D181" s="87" t="s">
        <v>1020</v>
      </c>
      <c r="E181" s="87" t="s">
        <v>1020</v>
      </c>
      <c r="F181" s="87" t="s">
        <v>1020</v>
      </c>
      <c r="G181" s="86">
        <v>0.02</v>
      </c>
    </row>
    <row r="182" spans="1:7" x14ac:dyDescent="0.25">
      <c r="A182" s="289" t="s">
        <v>543</v>
      </c>
      <c r="B182" s="87" t="s">
        <v>1443</v>
      </c>
      <c r="C182" s="87" t="s">
        <v>1444</v>
      </c>
      <c r="D182" s="87" t="s">
        <v>1444</v>
      </c>
      <c r="E182" s="87" t="s">
        <v>1444</v>
      </c>
      <c r="F182" s="87" t="s">
        <v>1444</v>
      </c>
      <c r="G182" s="86">
        <v>0.02</v>
      </c>
    </row>
    <row r="183" spans="1:7" x14ac:dyDescent="0.25">
      <c r="A183" s="289" t="s">
        <v>516</v>
      </c>
      <c r="B183" s="87" t="s">
        <v>516</v>
      </c>
      <c r="C183" s="87" t="s">
        <v>516</v>
      </c>
      <c r="D183" s="87" t="s">
        <v>516</v>
      </c>
      <c r="E183" s="87" t="s">
        <v>516</v>
      </c>
      <c r="F183" s="87" t="s">
        <v>516</v>
      </c>
      <c r="G183" s="86">
        <v>0.01</v>
      </c>
    </row>
    <row r="187" spans="1:7" x14ac:dyDescent="0.25">
      <c r="A187" s="87" t="s">
        <v>539</v>
      </c>
      <c r="B187" s="87">
        <v>0</v>
      </c>
    </row>
    <row r="188" spans="1:7" x14ac:dyDescent="0.25">
      <c r="A188" s="87" t="s">
        <v>770</v>
      </c>
      <c r="B188" s="87">
        <v>5.0000000000000001E-3</v>
      </c>
    </row>
    <row r="189" spans="1:7" x14ac:dyDescent="0.25">
      <c r="A189" s="87" t="s">
        <v>772</v>
      </c>
      <c r="B189" s="87">
        <v>0.02</v>
      </c>
    </row>
    <row r="190" spans="1:7" x14ac:dyDescent="0.25">
      <c r="A190" s="87" t="s">
        <v>1105</v>
      </c>
      <c r="B190" s="87">
        <v>5.0000000000000001E-3</v>
      </c>
    </row>
    <row r="191" spans="1:7" x14ac:dyDescent="0.25">
      <c r="A191" s="87" t="s">
        <v>1106</v>
      </c>
      <c r="B191" s="87">
        <v>0</v>
      </c>
    </row>
    <row r="192" spans="1:7" x14ac:dyDescent="0.25">
      <c r="A192" s="87" t="s">
        <v>723</v>
      </c>
      <c r="B192" s="87">
        <v>0</v>
      </c>
    </row>
    <row r="193" spans="1:2" x14ac:dyDescent="0.25">
      <c r="A193" s="87" t="s">
        <v>724</v>
      </c>
      <c r="B193" s="87">
        <v>2E-3</v>
      </c>
    </row>
    <row r="194" spans="1:2" x14ac:dyDescent="0.25">
      <c r="A194" s="87" t="s">
        <v>638</v>
      </c>
      <c r="B194" s="87">
        <v>7.0000000000000007E-2</v>
      </c>
    </row>
    <row r="195" spans="1:2" x14ac:dyDescent="0.25">
      <c r="A195" s="87" t="s">
        <v>639</v>
      </c>
      <c r="B195" s="87">
        <v>6.0000000000000001E-3</v>
      </c>
    </row>
    <row r="196" spans="1:2" x14ac:dyDescent="0.25">
      <c r="A196" s="87" t="s">
        <v>640</v>
      </c>
      <c r="B196" s="87">
        <v>6.0000000000000001E-3</v>
      </c>
    </row>
    <row r="197" spans="1:2" x14ac:dyDescent="0.25">
      <c r="A197" s="87" t="s">
        <v>641</v>
      </c>
      <c r="B197" s="87">
        <v>0.1</v>
      </c>
    </row>
    <row r="198" spans="1:2" x14ac:dyDescent="0.25">
      <c r="A198" s="87" t="s">
        <v>834</v>
      </c>
      <c r="B198" s="87">
        <v>0.01</v>
      </c>
    </row>
    <row r="199" spans="1:2" x14ac:dyDescent="0.25">
      <c r="A199" s="87" t="s">
        <v>835</v>
      </c>
      <c r="B199" s="87">
        <v>1E-3</v>
      </c>
    </row>
    <row r="200" spans="1:2" x14ac:dyDescent="0.25">
      <c r="A200" s="87" t="s">
        <v>836</v>
      </c>
      <c r="B200" s="87">
        <v>1E-3</v>
      </c>
    </row>
    <row r="201" spans="1:2" x14ac:dyDescent="0.25">
      <c r="A201" s="87" t="s">
        <v>868</v>
      </c>
      <c r="B201" s="87">
        <v>0.01</v>
      </c>
    </row>
    <row r="202" spans="1:2" x14ac:dyDescent="0.25">
      <c r="A202" s="87" t="s">
        <v>936</v>
      </c>
      <c r="B202" s="87">
        <v>5.0000000000000001E-3</v>
      </c>
    </row>
    <row r="203" spans="1:2" x14ac:dyDescent="0.25">
      <c r="A203" s="87" t="s">
        <v>993</v>
      </c>
      <c r="B203" s="88" t="s">
        <v>7</v>
      </c>
    </row>
  </sheetData>
  <sheetProtection password="838D" sheet="1" objects="1" scenarios="1"/>
  <customSheetViews>
    <customSheetView guid="{BD1481C3-A8C6-46E4-9B09-3BB5EA0E455E}" scale="75" showRuler="0">
      <selection activeCell="D50" sqref="D50"/>
      <pageMargins left="0.7" right="0.7" top="0.75" bottom="0.75" header="0.3" footer="0.3"/>
    </customSheetView>
  </customSheetViews>
  <mergeCells count="6">
    <mergeCell ref="E79:M79"/>
    <mergeCell ref="E91:M91"/>
    <mergeCell ref="E104:M104"/>
    <mergeCell ref="E27:M27"/>
    <mergeCell ref="E52:M52"/>
    <mergeCell ref="E65:M65"/>
  </mergeCells>
  <phoneticPr fontId="13" type="noConversion"/>
  <dataValidations count="2">
    <dataValidation type="list" allowBlank="1" showInputMessage="1" showErrorMessage="1" sqref="K6" xr:uid="{00000000-0002-0000-0C00-000000000000}">
      <formula1>$AA$7:$AA$15</formula1>
    </dataValidation>
    <dataValidation type="list" allowBlank="1" showInputMessage="1" showErrorMessage="1" sqref="K9:K11" xr:uid="{00000000-0002-0000-0C00-000001000000}">
      <formula1>$A$7:$A$22</formula1>
    </dataValidation>
  </dataValidations>
  <pageMargins left="0.75" right="0.75" top="1" bottom="1" header="0.5" footer="0.5"/>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56"/>
  <sheetViews>
    <sheetView workbookViewId="0">
      <selection activeCell="B26" sqref="B26"/>
    </sheetView>
  </sheetViews>
  <sheetFormatPr defaultColWidth="13.21875" defaultRowHeight="12.7" x14ac:dyDescent="0.25"/>
  <cols>
    <col min="1" max="1" width="26.33203125" style="60" customWidth="1" collapsed="1"/>
    <col min="2" max="2" width="27.21875" style="60" customWidth="1" collapsed="1"/>
    <col min="3" max="16384" width="13.21875" style="60" collapsed="1"/>
  </cols>
  <sheetData>
    <row r="1" spans="1:2" x14ac:dyDescent="0.25">
      <c r="A1" s="60" t="s">
        <v>615</v>
      </c>
    </row>
    <row r="3" spans="1:2" x14ac:dyDescent="0.25">
      <c r="A3" s="844" t="s">
        <v>1946</v>
      </c>
      <c r="B3" s="840" t="s">
        <v>445</v>
      </c>
    </row>
    <row r="4" spans="1:2" x14ac:dyDescent="0.25">
      <c r="A4" s="841" t="s">
        <v>441</v>
      </c>
      <c r="B4" s="840">
        <v>1E-3</v>
      </c>
    </row>
    <row r="5" spans="1:2" x14ac:dyDescent="0.25">
      <c r="A5" s="842" t="s">
        <v>442</v>
      </c>
      <c r="B5" s="840">
        <v>1</v>
      </c>
    </row>
    <row r="6" spans="1:2" x14ac:dyDescent="0.25">
      <c r="A6" s="841" t="s">
        <v>443</v>
      </c>
      <c r="B6" s="840">
        <v>0.90718474000000004</v>
      </c>
    </row>
    <row r="7" spans="1:2" x14ac:dyDescent="0.25">
      <c r="A7" s="840" t="s">
        <v>444</v>
      </c>
      <c r="B7" s="840">
        <v>1</v>
      </c>
    </row>
    <row r="11" spans="1:2" x14ac:dyDescent="0.25">
      <c r="A11" s="844" t="s">
        <v>1946</v>
      </c>
      <c r="B11" s="840" t="s">
        <v>1947</v>
      </c>
    </row>
    <row r="12" spans="1:2" x14ac:dyDescent="0.25">
      <c r="A12" s="841" t="s">
        <v>1360</v>
      </c>
      <c r="B12" s="840">
        <v>1000</v>
      </c>
    </row>
    <row r="13" spans="1:2" x14ac:dyDescent="0.25">
      <c r="A13" s="842" t="s">
        <v>1948</v>
      </c>
      <c r="B13" s="840">
        <v>2.4700000000000002</v>
      </c>
    </row>
    <row r="14" spans="1:2" x14ac:dyDescent="0.25">
      <c r="A14" s="842" t="s">
        <v>1949</v>
      </c>
      <c r="B14" s="840">
        <v>2470</v>
      </c>
    </row>
    <row r="18" spans="1:5" x14ac:dyDescent="0.25">
      <c r="A18" s="844" t="s">
        <v>1946</v>
      </c>
      <c r="B18" s="405"/>
    </row>
    <row r="19" spans="1:5" x14ac:dyDescent="0.25">
      <c r="A19" s="842" t="s">
        <v>1950</v>
      </c>
      <c r="B19" s="840">
        <v>1</v>
      </c>
    </row>
    <row r="20" spans="1:5" x14ac:dyDescent="0.25">
      <c r="A20" s="842" t="s">
        <v>1948</v>
      </c>
      <c r="B20" s="840">
        <f>1/0.404686</f>
        <v>2.4710516301527603</v>
      </c>
    </row>
    <row r="21" spans="1:5" x14ac:dyDescent="0.25">
      <c r="A21" s="842" t="s">
        <v>1915</v>
      </c>
      <c r="B21" s="840">
        <f>0.45359237</f>
        <v>0.45359237000000002</v>
      </c>
    </row>
    <row r="22" spans="1:5" x14ac:dyDescent="0.25">
      <c r="A22" s="842" t="s">
        <v>293</v>
      </c>
      <c r="B22" s="840">
        <f>0.453592/0.404686</f>
        <v>1.1208492510242509</v>
      </c>
    </row>
    <row r="23" spans="1:5" x14ac:dyDescent="0.25">
      <c r="A23" s="842" t="s">
        <v>294</v>
      </c>
      <c r="B23" s="840">
        <v>2.8349523099999999E-2</v>
      </c>
    </row>
    <row r="24" spans="1:5" x14ac:dyDescent="0.25">
      <c r="A24" s="842" t="s">
        <v>438</v>
      </c>
      <c r="B24" s="840">
        <f>0.0283495231/0.404686</f>
        <v>7.0053135270308334E-2</v>
      </c>
    </row>
    <row r="25" spans="1:5" x14ac:dyDescent="0.25">
      <c r="A25" s="842" t="s">
        <v>439</v>
      </c>
      <c r="B25" s="840">
        <f>0.0283495231*11.11/8.4</f>
        <v>3.7495619242976189E-2</v>
      </c>
    </row>
    <row r="26" spans="1:5" x14ac:dyDescent="0.25">
      <c r="A26" s="842" t="s">
        <v>440</v>
      </c>
      <c r="B26" s="840">
        <f>B25/0.404686</f>
        <v>9.2653611053943527E-2</v>
      </c>
    </row>
    <row r="27" spans="1:5" x14ac:dyDescent="0.25">
      <c r="A27" s="405" t="s">
        <v>1041</v>
      </c>
      <c r="B27" s="840">
        <f>1191*B25</f>
        <v>44.65728251838464</v>
      </c>
    </row>
    <row r="28" spans="1:5" x14ac:dyDescent="0.25">
      <c r="A28" s="405" t="s">
        <v>1040</v>
      </c>
      <c r="B28" s="840">
        <f>1191*B26</f>
        <v>110.35045076524673</v>
      </c>
    </row>
    <row r="31" spans="1:5" x14ac:dyDescent="0.25">
      <c r="A31" s="1369" t="s">
        <v>1946</v>
      </c>
      <c r="B31" s="1370"/>
      <c r="C31" s="1371"/>
      <c r="D31" s="1371"/>
      <c r="E31" s="1371"/>
    </row>
    <row r="32" spans="1:5" x14ac:dyDescent="0.25">
      <c r="A32" s="1370" t="s">
        <v>605</v>
      </c>
      <c r="B32" s="1370">
        <v>3.6</v>
      </c>
      <c r="C32" s="1371"/>
      <c r="D32" s="1371"/>
      <c r="E32" s="1371"/>
    </row>
    <row r="33" spans="1:5" x14ac:dyDescent="0.25">
      <c r="A33" s="1370" t="s">
        <v>602</v>
      </c>
      <c r="B33" s="1370">
        <v>1</v>
      </c>
      <c r="C33" s="1371"/>
      <c r="D33" s="1371"/>
      <c r="E33" s="1371"/>
    </row>
    <row r="34" spans="1:5" x14ac:dyDescent="0.25">
      <c r="A34" s="1370" t="s">
        <v>233</v>
      </c>
      <c r="B34" s="1370">
        <v>105.5</v>
      </c>
      <c r="C34" s="1371"/>
      <c r="D34" s="1371"/>
      <c r="E34" s="1371"/>
    </row>
    <row r="35" spans="1:5" x14ac:dyDescent="0.25">
      <c r="A35" s="1370" t="s">
        <v>234</v>
      </c>
      <c r="B35" s="1370">
        <v>1.0549999999999999E-3</v>
      </c>
      <c r="C35" s="1371"/>
      <c r="D35" s="1371"/>
      <c r="E35" s="1371"/>
    </row>
    <row r="36" spans="1:5" x14ac:dyDescent="0.25">
      <c r="A36" s="1372" t="s">
        <v>651</v>
      </c>
      <c r="B36" s="1372"/>
      <c r="C36" s="1371"/>
      <c r="D36" s="1371"/>
      <c r="E36" s="1371"/>
    </row>
    <row r="37" spans="1:5" x14ac:dyDescent="0.25">
      <c r="A37" s="1372" t="s">
        <v>2018</v>
      </c>
      <c r="B37" s="1372"/>
      <c r="C37" s="1371"/>
      <c r="D37" s="1371"/>
      <c r="E37" s="1371"/>
    </row>
    <row r="38" spans="1:5" x14ac:dyDescent="0.25">
      <c r="A38" s="1373"/>
      <c r="B38" s="1372"/>
      <c r="C38" s="1371"/>
      <c r="D38" s="1371"/>
      <c r="E38" s="1371"/>
    </row>
    <row r="39" spans="1:5" x14ac:dyDescent="0.25">
      <c r="A39" s="1369" t="s">
        <v>1946</v>
      </c>
      <c r="B39" s="1370"/>
      <c r="C39" s="1371"/>
      <c r="D39" s="1371"/>
      <c r="E39" s="1371"/>
    </row>
    <row r="40" spans="1:5" x14ac:dyDescent="0.25">
      <c r="A40" s="1370" t="s">
        <v>651</v>
      </c>
      <c r="B40" s="1370">
        <v>1</v>
      </c>
      <c r="C40" s="1371"/>
      <c r="D40" s="1371"/>
      <c r="E40" s="1371"/>
    </row>
    <row r="41" spans="1:5" x14ac:dyDescent="0.25">
      <c r="A41" s="1370" t="s">
        <v>446</v>
      </c>
      <c r="B41" s="1370">
        <v>1000</v>
      </c>
      <c r="C41" s="1371"/>
      <c r="D41" s="1371"/>
      <c r="E41" s="1371"/>
    </row>
    <row r="42" spans="1:5" x14ac:dyDescent="0.25">
      <c r="A42" s="1370" t="s">
        <v>1427</v>
      </c>
      <c r="B42" s="1370">
        <v>0.45359237000000002</v>
      </c>
      <c r="C42" s="1371"/>
      <c r="D42" s="1371"/>
      <c r="E42" s="1371"/>
    </row>
    <row r="43" spans="1:5" x14ac:dyDescent="0.25">
      <c r="A43" s="1370" t="s">
        <v>634</v>
      </c>
      <c r="B43" s="1370">
        <v>907.18474000000003</v>
      </c>
      <c r="C43" s="1371"/>
      <c r="D43" s="1371"/>
      <c r="E43" s="1371"/>
    </row>
    <row r="44" spans="1:5" x14ac:dyDescent="0.25">
      <c r="A44" s="1371"/>
      <c r="B44" s="1371"/>
      <c r="C44" s="1371"/>
      <c r="D44" s="1371"/>
      <c r="E44" s="1371"/>
    </row>
    <row r="45" spans="1:5" x14ac:dyDescent="0.25">
      <c r="A45" s="1370" t="s">
        <v>1946</v>
      </c>
      <c r="B45" s="1370" t="s">
        <v>766</v>
      </c>
      <c r="C45" s="1371"/>
      <c r="D45" s="1371"/>
      <c r="E45" s="1371"/>
    </row>
    <row r="46" spans="1:5" x14ac:dyDescent="0.25">
      <c r="A46" s="1370" t="str">
        <f t="shared" ref="A46:A51" si="0">A32</f>
        <v>kWh</v>
      </c>
      <c r="B46" s="1374">
        <f>B32/E$47</f>
        <v>7.5789473684210532E-2</v>
      </c>
      <c r="C46" s="1371"/>
      <c r="D46" s="1371"/>
      <c r="E46" s="1371" t="s">
        <v>767</v>
      </c>
    </row>
    <row r="47" spans="1:5" x14ac:dyDescent="0.25">
      <c r="A47" s="1370" t="str">
        <f t="shared" si="0"/>
        <v>MJ</v>
      </c>
      <c r="B47" s="1374">
        <f>B33/E$47</f>
        <v>2.1052631578947368E-2</v>
      </c>
      <c r="C47" s="1371"/>
      <c r="D47" s="1371"/>
      <c r="E47" s="1375">
        <f>'9.DefaultFactors'!S14</f>
        <v>47.5</v>
      </c>
    </row>
    <row r="48" spans="1:5" x14ac:dyDescent="0.25">
      <c r="A48" s="1370" t="str">
        <f t="shared" si="0"/>
        <v>therms</v>
      </c>
      <c r="B48" s="1374">
        <f>B34/E$47</f>
        <v>2.2210526315789472</v>
      </c>
      <c r="C48" s="1371"/>
      <c r="D48" s="1371"/>
      <c r="E48" s="1371"/>
    </row>
    <row r="49" spans="1:5" x14ac:dyDescent="0.25">
      <c r="A49" s="1370" t="str">
        <f t="shared" si="0"/>
        <v>Btu</v>
      </c>
      <c r="B49" s="1374">
        <f>B35/E$47</f>
        <v>2.2210526315789473E-5</v>
      </c>
      <c r="C49" s="1371"/>
      <c r="D49" s="1371"/>
      <c r="E49" s="1371"/>
    </row>
    <row r="50" spans="1:5" x14ac:dyDescent="0.25">
      <c r="A50" s="1370" t="str">
        <f t="shared" si="0"/>
        <v>kg</v>
      </c>
      <c r="B50" s="1374">
        <v>1</v>
      </c>
      <c r="C50" s="1371"/>
      <c r="D50" s="1371"/>
      <c r="E50" s="1371"/>
    </row>
    <row r="51" spans="1:5" x14ac:dyDescent="0.25">
      <c r="A51" s="1370" t="str">
        <f t="shared" si="0"/>
        <v>cubic metres</v>
      </c>
      <c r="B51" s="1374">
        <v>0.71399999999999997</v>
      </c>
      <c r="C51" s="1371"/>
      <c r="D51" s="1371"/>
      <c r="E51" s="1371"/>
    </row>
    <row r="52" spans="1:5" x14ac:dyDescent="0.25">
      <c r="A52" s="455"/>
      <c r="B52" s="448"/>
    </row>
    <row r="53" spans="1:5" x14ac:dyDescent="0.25">
      <c r="A53" s="843" t="s">
        <v>1946</v>
      </c>
      <c r="B53" s="840"/>
    </row>
    <row r="54" spans="1:5" x14ac:dyDescent="0.25">
      <c r="A54" s="840" t="s">
        <v>1544</v>
      </c>
      <c r="B54" s="840">
        <v>1</v>
      </c>
    </row>
    <row r="55" spans="1:5" x14ac:dyDescent="0.25">
      <c r="A55" s="840" t="s">
        <v>276</v>
      </c>
      <c r="B55" s="840">
        <v>3.785412</v>
      </c>
    </row>
    <row r="56" spans="1:5" x14ac:dyDescent="0.25">
      <c r="A56" s="840" t="s">
        <v>277</v>
      </c>
      <c r="B56" s="840">
        <v>4.5460900000000004</v>
      </c>
    </row>
  </sheetData>
  <sheetProtection password="838D" sheet="1" objects="1" scenarios="1"/>
  <customSheetViews>
    <customSheetView guid="{BD1481C3-A8C6-46E4-9B09-3BB5EA0E455E}" showRuler="0">
      <selection activeCell="A28" sqref="A28"/>
      <pageMargins left="0.7" right="0.7" top="0.75" bottom="0.75" header="0.3" footer="0.3"/>
    </customSheetView>
  </customSheetViews>
  <phoneticPr fontId="3" type="noConversion"/>
  <pageMargins left="0.75" right="0.75" top="1" bottom="1" header="0.5" footer="0.5"/>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I65"/>
  <sheetViews>
    <sheetView workbookViewId="0">
      <selection activeCell="K22" sqref="K22"/>
    </sheetView>
  </sheetViews>
  <sheetFormatPr defaultColWidth="8.77734375" defaultRowHeight="12.7" x14ac:dyDescent="0.25"/>
  <cols>
    <col min="1" max="1" width="23.44140625" style="60" customWidth="1" collapsed="1"/>
    <col min="2" max="3" width="19.44140625" style="60" customWidth="1" collapsed="1"/>
    <col min="4" max="4" width="13.44140625" style="60" customWidth="1" collapsed="1"/>
    <col min="5" max="9" width="13.77734375" style="60" customWidth="1" collapsed="1"/>
    <col min="10" max="16384" width="8.77734375" style="60" collapsed="1"/>
  </cols>
  <sheetData>
    <row r="1" spans="1:7" ht="15.55" x14ac:dyDescent="0.3">
      <c r="A1" s="1363" t="s">
        <v>1923</v>
      </c>
    </row>
    <row r="2" spans="1:7" hidden="1" x14ac:dyDescent="0.25">
      <c r="A2" s="287"/>
      <c r="B2" s="287" t="s">
        <v>1921</v>
      </c>
      <c r="C2" s="287" t="s">
        <v>1268</v>
      </c>
      <c r="D2" s="287" t="s">
        <v>1969</v>
      </c>
      <c r="E2" s="287" t="s">
        <v>1584</v>
      </c>
      <c r="F2" s="287" t="s">
        <v>1425</v>
      </c>
    </row>
    <row r="3" spans="1:7" hidden="1" x14ac:dyDescent="0.25">
      <c r="A3" s="287" t="s">
        <v>1451</v>
      </c>
      <c r="B3" s="146">
        <v>120</v>
      </c>
      <c r="C3" s="146">
        <v>5</v>
      </c>
      <c r="D3" s="146">
        <v>8</v>
      </c>
      <c r="E3" s="845">
        <f>(200.37+20.5*C3+10.04*B3)/D3</f>
        <v>188.45875000000001</v>
      </c>
      <c r="F3" s="60" t="str">
        <f ca="1">OFFSET('A1. Submodels &amp; data'!C$425,SUMIF('A1. Submodels &amp; data'!B426:B454,A3,'A1. Submodels &amp; data'!A426:A454),0)</f>
        <v>Grain</v>
      </c>
    </row>
    <row r="4" spans="1:7" hidden="1" x14ac:dyDescent="0.25">
      <c r="A4" s="287" t="s">
        <v>1922</v>
      </c>
      <c r="B4" s="146">
        <v>140</v>
      </c>
      <c r="C4" s="146">
        <v>12</v>
      </c>
      <c r="D4" s="146">
        <v>50</v>
      </c>
      <c r="E4" s="845">
        <f t="shared" ref="E4:E10" si="0">(200.37+20.5*C4+10.04*B4)/D4</f>
        <v>37.039399999999993</v>
      </c>
      <c r="F4" s="60" t="str">
        <f ca="1">OFFSET('A1. Submodels &amp; data'!C$425,SUMIF('A1. Submodels &amp; data'!B428:B455,A4,'A1. Submodels &amp; data'!A428:A455),0)</f>
        <v>Tuber</v>
      </c>
    </row>
    <row r="5" spans="1:7" hidden="1" x14ac:dyDescent="0.25">
      <c r="A5" s="287" t="s">
        <v>1210</v>
      </c>
      <c r="B5" s="146">
        <v>0</v>
      </c>
      <c r="C5" s="146">
        <v>1</v>
      </c>
      <c r="D5" s="146">
        <v>3.5</v>
      </c>
      <c r="E5" s="845">
        <f t="shared" si="0"/>
        <v>63.105714285714285</v>
      </c>
      <c r="F5" s="60" t="str">
        <f ca="1">OFFSET('A1. Submodels &amp; data'!C$425,SUMIF('A1. Submodels &amp; data'!B429:B455,A5,'A1. Submodels &amp; data'!A429:A455),0)</f>
        <v>Gross classification</v>
      </c>
    </row>
    <row r="6" spans="1:7" hidden="1" x14ac:dyDescent="0.25">
      <c r="A6" s="287" t="s">
        <v>1211</v>
      </c>
      <c r="B6" s="146">
        <v>0</v>
      </c>
      <c r="C6" s="146">
        <v>1</v>
      </c>
      <c r="D6" s="146">
        <v>3.5</v>
      </c>
      <c r="E6" s="845">
        <f t="shared" si="0"/>
        <v>63.105714285714285</v>
      </c>
      <c r="F6" s="60" t="str">
        <f ca="1">OFFSET('A1. Submodels &amp; data'!C$425,SUMIF('A1. Submodels &amp; data'!B430:B456,A6,'A1. Submodels &amp; data'!A430:A456),0)</f>
        <v>Gross classification</v>
      </c>
    </row>
    <row r="7" spans="1:7" hidden="1" x14ac:dyDescent="0.25">
      <c r="A7" s="287" t="s">
        <v>1212</v>
      </c>
      <c r="B7" s="146">
        <v>100</v>
      </c>
      <c r="C7" s="146">
        <v>5</v>
      </c>
      <c r="D7" s="146">
        <v>6</v>
      </c>
      <c r="E7" s="845">
        <f t="shared" si="0"/>
        <v>217.81166666666664</v>
      </c>
      <c r="F7" s="60" t="str">
        <f ca="1">OFFSET('A1. Submodels &amp; data'!C$425,SUMIF('A1. Submodels &amp; data'!B432:B456,A7,'A1. Submodels &amp; data'!A432:A456),0)</f>
        <v>Gross classification</v>
      </c>
    </row>
    <row r="8" spans="1:7" hidden="1" x14ac:dyDescent="0.25">
      <c r="A8" s="287" t="s">
        <v>1342</v>
      </c>
      <c r="B8" s="146">
        <v>84</v>
      </c>
      <c r="C8" s="146">
        <v>2.78</v>
      </c>
      <c r="D8" s="146">
        <f>160*70/2.201/1000/0.405</f>
        <v>12.564434796753439</v>
      </c>
      <c r="E8" s="845">
        <f t="shared" si="0"/>
        <v>87.606009964285704</v>
      </c>
      <c r="F8" s="60" t="s">
        <v>1329</v>
      </c>
    </row>
    <row r="9" spans="1:7" hidden="1" x14ac:dyDescent="0.25">
      <c r="A9" s="287" t="s">
        <v>1341</v>
      </c>
      <c r="B9" s="146">
        <v>0</v>
      </c>
      <c r="C9" s="146">
        <v>2.69</v>
      </c>
      <c r="D9" s="146">
        <f>42*60/2.201/1000/0.405</f>
        <v>2.8269978292695233</v>
      </c>
      <c r="E9" s="845">
        <f t="shared" si="0"/>
        <v>90.383868482142873</v>
      </c>
      <c r="F9" s="60" t="s">
        <v>2072</v>
      </c>
    </row>
    <row r="10" spans="1:7" hidden="1" x14ac:dyDescent="0.25">
      <c r="A10" s="287" t="s">
        <v>1214</v>
      </c>
      <c r="B10" s="146"/>
      <c r="C10" s="146"/>
      <c r="D10" s="146"/>
      <c r="E10" s="845" t="e">
        <f t="shared" si="0"/>
        <v>#DIV/0!</v>
      </c>
      <c r="F10" s="60" t="str">
        <f ca="1">OFFSET('A1. Submodels &amp; data'!C$425,SUMIF('A1. Submodels &amp; data'!B435:B458,A10,'A1. Submodels &amp; data'!A435:A458),0)</f>
        <v>Gross classification</v>
      </c>
    </row>
    <row r="11" spans="1:7" hidden="1" x14ac:dyDescent="0.25">
      <c r="G11" s="60" t="s">
        <v>1209</v>
      </c>
    </row>
    <row r="12" spans="1:7" hidden="1" x14ac:dyDescent="0.25">
      <c r="G12" s="60" t="s">
        <v>5</v>
      </c>
    </row>
    <row r="13" spans="1:7" hidden="1" x14ac:dyDescent="0.25">
      <c r="G13" s="60" t="s">
        <v>6</v>
      </c>
    </row>
    <row r="14" spans="1:7" hidden="1" x14ac:dyDescent="0.25">
      <c r="G14" s="60" t="s">
        <v>9</v>
      </c>
    </row>
    <row r="15" spans="1:7" hidden="1" x14ac:dyDescent="0.25">
      <c r="G15" s="60" t="s">
        <v>71</v>
      </c>
    </row>
    <row r="16" spans="1:7" hidden="1" x14ac:dyDescent="0.25"/>
    <row r="17" spans="1:9" hidden="1" x14ac:dyDescent="0.25">
      <c r="G17" s="60" t="s">
        <v>1970</v>
      </c>
    </row>
    <row r="19" spans="1:9" ht="14.4" x14ac:dyDescent="0.3">
      <c r="A19" s="1303" t="s">
        <v>72</v>
      </c>
      <c r="B19"/>
      <c r="C19"/>
      <c r="D19"/>
      <c r="E19" s="1304"/>
      <c r="F19"/>
      <c r="G19" s="1304"/>
      <c r="H19" s="1305"/>
      <c r="I19"/>
    </row>
    <row r="20" spans="1:9" ht="51.3" x14ac:dyDescent="0.3">
      <c r="A20" s="1306" t="s">
        <v>73</v>
      </c>
      <c r="B20" s="1307" t="s">
        <v>80</v>
      </c>
      <c r="C20" s="1308"/>
      <c r="D20" s="1309"/>
      <c r="E20" s="1415" t="s">
        <v>1978</v>
      </c>
      <c r="F20" s="1309" t="s">
        <v>348</v>
      </c>
      <c r="G20" s="1310" t="s">
        <v>187</v>
      </c>
      <c r="H20" s="1309">
        <v>20.5</v>
      </c>
      <c r="I20" s="1311" t="s">
        <v>188</v>
      </c>
    </row>
    <row r="21" spans="1:9" ht="63.95" x14ac:dyDescent="0.3">
      <c r="A21" s="1312"/>
      <c r="B21" s="1313" t="s">
        <v>377</v>
      </c>
      <c r="C21" s="1313" t="s">
        <v>378</v>
      </c>
      <c r="D21" s="1314" t="s">
        <v>379</v>
      </c>
      <c r="E21" s="1349">
        <v>160.04</v>
      </c>
      <c r="F21" s="1315">
        <f>H22</f>
        <v>51.25</v>
      </c>
      <c r="G21" s="1316" t="s">
        <v>380</v>
      </c>
      <c r="H21" s="1317">
        <v>2.5</v>
      </c>
      <c r="I21" s="1350">
        <f>H22+E21</f>
        <v>211.29</v>
      </c>
    </row>
    <row r="22" spans="1:9" ht="77.2" customHeight="1" x14ac:dyDescent="0.3">
      <c r="A22" s="1318" t="s">
        <v>488</v>
      </c>
      <c r="B22" s="1319">
        <v>3.3</v>
      </c>
      <c r="C22" s="1319">
        <v>6.6</v>
      </c>
      <c r="D22" s="1317">
        <f>AVERAGE(B22:C22)</f>
        <v>4.9499999999999993</v>
      </c>
      <c r="E22" t="s">
        <v>381</v>
      </c>
      <c r="F22" s="1302">
        <f>44/28</f>
        <v>1.5714285714285714</v>
      </c>
      <c r="G22" s="1320" t="s">
        <v>382</v>
      </c>
      <c r="H22" s="1321">
        <f>H21*H20</f>
        <v>51.25</v>
      </c>
      <c r="I22"/>
    </row>
    <row r="23" spans="1:9" ht="14.4" x14ac:dyDescent="0.3">
      <c r="A23" s="1318" t="s">
        <v>489</v>
      </c>
      <c r="B23" s="1319">
        <v>0.36</v>
      </c>
      <c r="C23" s="1319">
        <v>1.1000000000000001</v>
      </c>
      <c r="D23" s="1317">
        <f>AVERAGE(B23:C23)</f>
        <v>0.73</v>
      </c>
      <c r="E23" s="1304"/>
      <c r="F23"/>
      <c r="G23" s="1304"/>
      <c r="H23" s="1305"/>
      <c r="I23"/>
    </row>
    <row r="24" spans="1:9" ht="14.4" x14ac:dyDescent="0.3">
      <c r="A24" s="1322" t="s">
        <v>490</v>
      </c>
      <c r="B24" s="1323">
        <v>0.36</v>
      </c>
      <c r="C24" s="1323">
        <v>0.73</v>
      </c>
      <c r="D24" s="1321">
        <f>AVERAGE(B24:C24)</f>
        <v>0.54499999999999993</v>
      </c>
      <c r="E24" s="1304"/>
      <c r="F24"/>
      <c r="G24" s="1304"/>
      <c r="H24" s="1305"/>
      <c r="I24"/>
    </row>
    <row r="25" spans="1:9" ht="14.4" x14ac:dyDescent="0.3">
      <c r="A25" s="1313"/>
      <c r="B25" s="1319"/>
      <c r="C25" s="1319"/>
      <c r="D25" s="1319"/>
      <c r="E25" s="1304"/>
      <c r="F25"/>
      <c r="G25" s="1304"/>
      <c r="H25" s="1305"/>
      <c r="I25"/>
    </row>
    <row r="26" spans="1:9" ht="14.4" x14ac:dyDescent="0.3">
      <c r="A26" s="1313"/>
      <c r="B26" s="1319"/>
      <c r="C26" s="1319"/>
      <c r="D26" s="1319"/>
      <c r="E26" s="1304"/>
      <c r="F26"/>
      <c r="G26" s="1304"/>
      <c r="H26" s="1305"/>
      <c r="I26"/>
    </row>
    <row r="27" spans="1:9" ht="70.599999999999994" customHeight="1" x14ac:dyDescent="0.3">
      <c r="A27" s="1324"/>
      <c r="B27" s="1319"/>
      <c r="C27" s="1319"/>
      <c r="D27" s="1319"/>
      <c r="E27" s="1325" t="s">
        <v>383</v>
      </c>
      <c r="F27" s="1340" t="s">
        <v>251</v>
      </c>
      <c r="G27" s="1325" t="s">
        <v>384</v>
      </c>
      <c r="H27" s="1326" t="s">
        <v>270</v>
      </c>
      <c r="I27" s="1327" t="s">
        <v>250</v>
      </c>
    </row>
    <row r="28" spans="1:9" ht="28.8" x14ac:dyDescent="0.3">
      <c r="A28" s="1328" t="s">
        <v>385</v>
      </c>
      <c r="B28" s="1329" t="s">
        <v>488</v>
      </c>
      <c r="C28" s="1329" t="s">
        <v>386</v>
      </c>
      <c r="D28" s="1339" t="s">
        <v>387</v>
      </c>
      <c r="E28" s="1330"/>
      <c r="F28" s="1313"/>
      <c r="G28" s="1330"/>
      <c r="H28" s="1331"/>
      <c r="I28" s="1332"/>
    </row>
    <row r="29" spans="1:9" ht="14.4" x14ac:dyDescent="0.3">
      <c r="A29" s="1364" t="s">
        <v>998</v>
      </c>
      <c r="B29" s="1313"/>
      <c r="C29" s="1313"/>
      <c r="D29" s="1313"/>
      <c r="E29" s="1330"/>
      <c r="F29" s="1313"/>
      <c r="G29" s="1330"/>
      <c r="H29" s="1331"/>
      <c r="I29" s="1332">
        <v>19</v>
      </c>
    </row>
    <row r="30" spans="1:9" ht="14.4" x14ac:dyDescent="0.3">
      <c r="A30" s="1302" t="s">
        <v>388</v>
      </c>
      <c r="B30" s="1333">
        <v>4</v>
      </c>
      <c r="C30" s="1334">
        <v>15.928600000000001</v>
      </c>
      <c r="D30" s="1335">
        <v>30.298649999999999</v>
      </c>
      <c r="E30" s="1304">
        <f>0.013*B30*44/28*296</f>
        <v>24.187428571428569</v>
      </c>
      <c r="F30">
        <v>1.5</v>
      </c>
      <c r="G30" s="1304">
        <f>(B30*$D$22+C30*$D$23+D30*$D$24)+E30</f>
        <v>72.128070821428565</v>
      </c>
      <c r="H30" s="1336">
        <f t="shared" ref="H30:H58" si="1">G30/F30</f>
        <v>48.085380547619046</v>
      </c>
      <c r="I30" s="1337">
        <f>H30+($I$21/F30)</f>
        <v>188.94538054761904</v>
      </c>
    </row>
    <row r="31" spans="1:9" ht="14.4" x14ac:dyDescent="0.3">
      <c r="A31" t="s">
        <v>389</v>
      </c>
      <c r="B31" s="1333">
        <v>65</v>
      </c>
      <c r="C31" s="1334">
        <v>24.001999999999999</v>
      </c>
      <c r="D31" s="1335">
        <v>45.655499999999996</v>
      </c>
      <c r="E31" s="1304">
        <f t="shared" ref="E31:E58" si="2">0.013*B31*44/28*296</f>
        <v>393.04571428571427</v>
      </c>
      <c r="F31">
        <v>2.5</v>
      </c>
      <c r="G31" s="1304">
        <f t="shared" ref="G31:G58" si="3">(B31*$D$22+C31*$D$23+D31*$D$24)+E31</f>
        <v>757.19942178571421</v>
      </c>
      <c r="H31" s="1336">
        <f t="shared" si="1"/>
        <v>302.87976871428566</v>
      </c>
      <c r="I31" s="1337">
        <f t="shared" ref="I31:I58" si="4">H31+($I$21/F31)</f>
        <v>387.39576871428562</v>
      </c>
    </row>
    <row r="32" spans="1:9" ht="25.95" x14ac:dyDescent="0.3">
      <c r="A32" s="1302" t="s">
        <v>390</v>
      </c>
      <c r="B32" s="1333">
        <v>0</v>
      </c>
      <c r="C32" s="1334">
        <v>0</v>
      </c>
      <c r="D32" s="1335">
        <v>0</v>
      </c>
      <c r="E32" s="1304">
        <f t="shared" si="2"/>
        <v>0</v>
      </c>
      <c r="F32">
        <v>5</v>
      </c>
      <c r="G32" s="1304">
        <f t="shared" si="3"/>
        <v>0</v>
      </c>
      <c r="H32" s="1336">
        <f t="shared" si="1"/>
        <v>0</v>
      </c>
      <c r="I32" s="1337">
        <f t="shared" si="4"/>
        <v>42.257999999999996</v>
      </c>
    </row>
    <row r="33" spans="1:9" ht="14.4" x14ac:dyDescent="0.3">
      <c r="A33" s="1302" t="s">
        <v>391</v>
      </c>
      <c r="B33" s="1333">
        <v>0</v>
      </c>
      <c r="C33" s="1334">
        <v>0</v>
      </c>
      <c r="D33" s="1335">
        <v>0</v>
      </c>
      <c r="E33" s="1304">
        <f t="shared" si="2"/>
        <v>0</v>
      </c>
      <c r="F33">
        <v>6</v>
      </c>
      <c r="G33" s="1304">
        <f t="shared" si="3"/>
        <v>0</v>
      </c>
      <c r="H33" s="1336">
        <f t="shared" si="1"/>
        <v>0</v>
      </c>
      <c r="I33" s="1337">
        <f t="shared" si="4"/>
        <v>35.214999999999996</v>
      </c>
    </row>
    <row r="34" spans="1:9" ht="14.4" x14ac:dyDescent="0.3">
      <c r="A34" s="1302" t="s">
        <v>392</v>
      </c>
      <c r="B34" s="1333"/>
      <c r="C34" s="1334">
        <v>29.457000000000001</v>
      </c>
      <c r="D34" s="1335">
        <v>199.22399999999999</v>
      </c>
      <c r="E34" s="1304">
        <f t="shared" si="2"/>
        <v>0</v>
      </c>
      <c r="F34">
        <v>17.5</v>
      </c>
      <c r="G34" s="1304">
        <f t="shared" si="3"/>
        <v>130.08068999999998</v>
      </c>
      <c r="H34" s="1336">
        <f t="shared" si="1"/>
        <v>7.4331822857142846</v>
      </c>
      <c r="I34" s="1337">
        <f t="shared" si="4"/>
        <v>19.50689657142857</v>
      </c>
    </row>
    <row r="35" spans="1:9" ht="14.4" x14ac:dyDescent="0.3">
      <c r="A35" s="1302" t="s">
        <v>393</v>
      </c>
      <c r="B35" s="1333">
        <v>162</v>
      </c>
      <c r="C35" s="1335">
        <v>31.857200000000002</v>
      </c>
      <c r="D35" s="1335">
        <v>200.88419999999999</v>
      </c>
      <c r="E35" s="1304">
        <f t="shared" si="2"/>
        <v>979.59085714285709</v>
      </c>
      <c r="F35">
        <v>15</v>
      </c>
      <c r="G35" s="1304">
        <f t="shared" si="3"/>
        <v>1914.228502142857</v>
      </c>
      <c r="H35" s="1336">
        <f t="shared" si="1"/>
        <v>127.61523347619047</v>
      </c>
      <c r="I35" s="1337">
        <f t="shared" si="4"/>
        <v>141.70123347619048</v>
      </c>
    </row>
    <row r="36" spans="1:9" ht="14.4" x14ac:dyDescent="0.3">
      <c r="A36" s="1302" t="s">
        <v>394</v>
      </c>
      <c r="B36" s="1333">
        <v>0</v>
      </c>
      <c r="C36" s="1334">
        <v>29.457000000000001</v>
      </c>
      <c r="D36" s="1335">
        <v>60.182249999999996</v>
      </c>
      <c r="E36" s="1304">
        <f t="shared" si="2"/>
        <v>0</v>
      </c>
      <c r="F36">
        <v>3</v>
      </c>
      <c r="G36" s="1304">
        <f t="shared" si="3"/>
        <v>54.302936249999988</v>
      </c>
      <c r="H36" s="1336">
        <f t="shared" si="1"/>
        <v>18.100978749999996</v>
      </c>
      <c r="I36" s="1337">
        <f t="shared" si="4"/>
        <v>88.530978749999989</v>
      </c>
    </row>
    <row r="37" spans="1:9" ht="14.4" x14ac:dyDescent="0.3">
      <c r="A37" s="1302" t="s">
        <v>395</v>
      </c>
      <c r="B37" s="1333">
        <v>4</v>
      </c>
      <c r="C37" s="1334">
        <v>15.928600000000001</v>
      </c>
      <c r="D37" s="1335">
        <v>30.298649999999999</v>
      </c>
      <c r="E37" s="1304">
        <f t="shared" si="2"/>
        <v>24.187428571428569</v>
      </c>
      <c r="F37">
        <v>1.6</v>
      </c>
      <c r="G37" s="1304">
        <f t="shared" si="3"/>
        <v>72.128070821428565</v>
      </c>
      <c r="H37" s="1336">
        <f t="shared" si="1"/>
        <v>45.08004426339285</v>
      </c>
      <c r="I37" s="1337">
        <f t="shared" si="4"/>
        <v>177.13629426339281</v>
      </c>
    </row>
    <row r="38" spans="1:9" ht="14.4" x14ac:dyDescent="0.3">
      <c r="A38" s="1302" t="s">
        <v>1527</v>
      </c>
      <c r="B38" s="1333">
        <v>170</v>
      </c>
      <c r="C38" s="1334">
        <v>36.657600000000002</v>
      </c>
      <c r="D38" s="1335">
        <v>64.747799999999998</v>
      </c>
      <c r="E38" s="1304">
        <f t="shared" si="2"/>
        <v>1027.9657142857143</v>
      </c>
      <c r="F38">
        <v>7.9</v>
      </c>
      <c r="G38" s="1304">
        <f t="shared" si="3"/>
        <v>1931.513313285714</v>
      </c>
      <c r="H38" s="1336">
        <f t="shared" si="1"/>
        <v>244.4953561121157</v>
      </c>
      <c r="I38" s="1337">
        <f t="shared" si="4"/>
        <v>271.24092573236885</v>
      </c>
    </row>
    <row r="39" spans="1:9" ht="14.4" x14ac:dyDescent="0.3">
      <c r="A39" s="1302" t="s">
        <v>1381</v>
      </c>
      <c r="B39" s="1333">
        <v>60</v>
      </c>
      <c r="C39" s="1334">
        <v>17.456</v>
      </c>
      <c r="D39" s="1335">
        <v>58.106999999999999</v>
      </c>
      <c r="E39" s="1304">
        <f t="shared" si="2"/>
        <v>362.81142857142851</v>
      </c>
      <c r="F39">
        <v>3</v>
      </c>
      <c r="G39" s="1304">
        <f t="shared" si="3"/>
        <v>704.22262357142847</v>
      </c>
      <c r="H39" s="1336">
        <f t="shared" si="1"/>
        <v>234.74087452380948</v>
      </c>
      <c r="I39" s="1337">
        <f t="shared" si="4"/>
        <v>305.17087452380946</v>
      </c>
    </row>
    <row r="40" spans="1:9" ht="14.4" x14ac:dyDescent="0.3">
      <c r="A40" s="1302" t="s">
        <v>1382</v>
      </c>
      <c r="B40" s="1333">
        <v>70</v>
      </c>
      <c r="C40" s="1334">
        <v>15.274000000000001</v>
      </c>
      <c r="D40" s="1335">
        <v>87.160499999999999</v>
      </c>
      <c r="E40" s="1304">
        <f t="shared" si="2"/>
        <v>423.28</v>
      </c>
      <c r="F40">
        <v>5</v>
      </c>
      <c r="G40" s="1304">
        <f t="shared" si="3"/>
        <v>828.43249249999985</v>
      </c>
      <c r="H40" s="1336">
        <f t="shared" si="1"/>
        <v>165.68649849999997</v>
      </c>
      <c r="I40" s="1337">
        <f t="shared" si="4"/>
        <v>207.94449849999995</v>
      </c>
    </row>
    <row r="41" spans="1:9" ht="14.4" x14ac:dyDescent="0.3">
      <c r="A41" s="1302" t="s">
        <v>396</v>
      </c>
      <c r="B41" s="1333">
        <v>57.5</v>
      </c>
      <c r="C41" s="1334">
        <v>16.365000000000002</v>
      </c>
      <c r="D41" s="1335">
        <v>0</v>
      </c>
      <c r="E41" s="1304">
        <f t="shared" si="2"/>
        <v>347.69428571428568</v>
      </c>
      <c r="F41">
        <v>2</v>
      </c>
      <c r="G41" s="1304">
        <f t="shared" si="3"/>
        <v>644.26573571428571</v>
      </c>
      <c r="H41" s="1336">
        <f t="shared" si="1"/>
        <v>322.13286785714286</v>
      </c>
      <c r="I41" s="1337">
        <f t="shared" si="4"/>
        <v>427.77786785714284</v>
      </c>
    </row>
    <row r="42" spans="1:9" ht="25.95" x14ac:dyDescent="0.3">
      <c r="A42" s="1302" t="s">
        <v>397</v>
      </c>
      <c r="B42" s="1333">
        <v>12.5</v>
      </c>
      <c r="C42" s="1334">
        <v>15.273999999999999</v>
      </c>
      <c r="D42" s="1335">
        <v>20.752499999999998</v>
      </c>
      <c r="E42" s="1304">
        <f t="shared" si="2"/>
        <v>75.585714285714303</v>
      </c>
      <c r="F42">
        <v>1.64</v>
      </c>
      <c r="G42" s="1304">
        <f t="shared" si="3"/>
        <v>159.9208467857143</v>
      </c>
      <c r="H42" s="1336">
        <f t="shared" si="1"/>
        <v>97.512711454703847</v>
      </c>
      <c r="I42" s="1337">
        <f t="shared" si="4"/>
        <v>226.34807730836241</v>
      </c>
    </row>
    <row r="43" spans="1:9" ht="14.4" x14ac:dyDescent="0.3">
      <c r="A43" s="1302" t="s">
        <v>1922</v>
      </c>
      <c r="B43" s="1338">
        <v>108.68092105263158</v>
      </c>
      <c r="C43" s="1334">
        <v>64.156542105263156</v>
      </c>
      <c r="D43" s="1335">
        <v>130.7025217105263</v>
      </c>
      <c r="E43" s="1304">
        <f t="shared" si="2"/>
        <v>657.17800375939839</v>
      </c>
      <c r="F43">
        <v>16.8</v>
      </c>
      <c r="G43" s="1304">
        <f t="shared" si="3"/>
        <v>1313.2157130390035</v>
      </c>
      <c r="H43" s="1336">
        <f t="shared" si="1"/>
        <v>78.16760196660735</v>
      </c>
      <c r="I43" s="1337">
        <f t="shared" si="4"/>
        <v>90.744387680893055</v>
      </c>
    </row>
    <row r="44" spans="1:9" ht="14.4" x14ac:dyDescent="0.3">
      <c r="A44" s="1302" t="s">
        <v>1383</v>
      </c>
      <c r="B44" s="1333">
        <v>103</v>
      </c>
      <c r="C44" s="1334">
        <v>17.892400000000002</v>
      </c>
      <c r="D44" s="1335">
        <v>29.0535</v>
      </c>
      <c r="E44" s="1304">
        <f t="shared" si="2"/>
        <v>622.82628571428575</v>
      </c>
      <c r="F44">
        <v>7.5</v>
      </c>
      <c r="G44" s="1304">
        <f t="shared" si="3"/>
        <v>1161.5718952142856</v>
      </c>
      <c r="H44" s="1336">
        <f t="shared" si="1"/>
        <v>154.87625269523809</v>
      </c>
      <c r="I44" s="1337">
        <f t="shared" si="4"/>
        <v>183.04825269523809</v>
      </c>
    </row>
    <row r="45" spans="1:9" ht="14.4" x14ac:dyDescent="0.3">
      <c r="A45" s="1302" t="s">
        <v>1379</v>
      </c>
      <c r="B45" s="1333">
        <v>120</v>
      </c>
      <c r="C45" s="1334">
        <v>52.368000000000002</v>
      </c>
      <c r="D45" s="1335">
        <v>83.009999999999991</v>
      </c>
      <c r="E45" s="1304">
        <f t="shared" si="2"/>
        <v>725.62285714285701</v>
      </c>
      <c r="F45">
        <v>5.9</v>
      </c>
      <c r="G45" s="1304">
        <f t="shared" si="3"/>
        <v>1403.091947142857</v>
      </c>
      <c r="H45" s="1336">
        <f t="shared" si="1"/>
        <v>237.81219443099269</v>
      </c>
      <c r="I45" s="1337">
        <f t="shared" si="4"/>
        <v>273.62405883777234</v>
      </c>
    </row>
    <row r="46" spans="1:9" ht="14.4" x14ac:dyDescent="0.3">
      <c r="A46" s="1302" t="s">
        <v>398</v>
      </c>
      <c r="B46" s="1333">
        <v>58.37</v>
      </c>
      <c r="C46" s="1334">
        <v>16.081340000000001</v>
      </c>
      <c r="D46" s="1335">
        <v>0</v>
      </c>
      <c r="E46" s="1304">
        <f t="shared" si="2"/>
        <v>352.95505142857138</v>
      </c>
      <c r="F46">
        <v>2</v>
      </c>
      <c r="G46" s="1304">
        <f t="shared" si="3"/>
        <v>653.62592962857138</v>
      </c>
      <c r="H46" s="1336">
        <f t="shared" si="1"/>
        <v>326.81296481428569</v>
      </c>
      <c r="I46" s="1337">
        <f t="shared" si="4"/>
        <v>432.45796481428567</v>
      </c>
    </row>
    <row r="47" spans="1:9" ht="14.4" x14ac:dyDescent="0.3">
      <c r="A47" s="1302" t="s">
        <v>1380</v>
      </c>
      <c r="B47" s="1333">
        <v>60</v>
      </c>
      <c r="C47" s="1334">
        <v>17.456</v>
      </c>
      <c r="D47" s="1335">
        <v>41.504999999999995</v>
      </c>
      <c r="E47" s="1304">
        <f t="shared" si="2"/>
        <v>362.81142857142851</v>
      </c>
      <c r="F47">
        <v>6</v>
      </c>
      <c r="G47" s="1304">
        <f t="shared" si="3"/>
        <v>695.17453357142847</v>
      </c>
      <c r="H47" s="1336">
        <f t="shared" si="1"/>
        <v>115.86242226190474</v>
      </c>
      <c r="I47" s="1337">
        <f t="shared" si="4"/>
        <v>151.07742226190473</v>
      </c>
    </row>
    <row r="48" spans="1:9" ht="14.4" x14ac:dyDescent="0.3">
      <c r="A48" s="1302" t="s">
        <v>1341</v>
      </c>
      <c r="B48" s="1333">
        <v>0</v>
      </c>
      <c r="C48" s="1334">
        <v>15.274000000000001</v>
      </c>
      <c r="D48" s="1335">
        <v>62.257499999999993</v>
      </c>
      <c r="E48" s="1304">
        <f t="shared" si="2"/>
        <v>0</v>
      </c>
      <c r="F48">
        <v>2.6</v>
      </c>
      <c r="G48" s="1304">
        <f t="shared" si="3"/>
        <v>45.080357499999991</v>
      </c>
      <c r="H48" s="1336">
        <f t="shared" si="1"/>
        <v>17.338599038461535</v>
      </c>
      <c r="I48" s="1337">
        <f t="shared" si="4"/>
        <v>98.603983653846143</v>
      </c>
    </row>
    <row r="49" spans="1:9" ht="14.4" x14ac:dyDescent="0.3">
      <c r="A49" s="1302" t="s">
        <v>732</v>
      </c>
      <c r="B49" s="1333">
        <v>120</v>
      </c>
      <c r="C49" s="1334">
        <v>43.64</v>
      </c>
      <c r="D49" s="1335">
        <v>83.009999999999991</v>
      </c>
      <c r="E49" s="1304">
        <f t="shared" si="2"/>
        <v>725.62285714285701</v>
      </c>
      <c r="F49">
        <v>4.8</v>
      </c>
      <c r="G49" s="1304">
        <f t="shared" si="3"/>
        <v>1396.7205071428571</v>
      </c>
      <c r="H49" s="1336">
        <f t="shared" si="1"/>
        <v>290.98343898809526</v>
      </c>
      <c r="I49" s="1337">
        <f t="shared" si="4"/>
        <v>335.00218898809527</v>
      </c>
    </row>
    <row r="50" spans="1:9" ht="14.4" x14ac:dyDescent="0.3">
      <c r="A50" s="1302" t="s">
        <v>733</v>
      </c>
      <c r="B50" s="1333"/>
      <c r="C50" s="1334">
        <v>43.64</v>
      </c>
      <c r="D50" s="1335">
        <v>166.01999999999998</v>
      </c>
      <c r="E50" s="1304">
        <f t="shared" si="2"/>
        <v>0</v>
      </c>
      <c r="F50">
        <v>33</v>
      </c>
      <c r="G50" s="1304">
        <f t="shared" si="3"/>
        <v>122.33809999999997</v>
      </c>
      <c r="H50" s="1336">
        <f t="shared" si="1"/>
        <v>3.7072151515151504</v>
      </c>
      <c r="I50" s="1337">
        <f t="shared" si="4"/>
        <v>10.109942424242423</v>
      </c>
    </row>
    <row r="51" spans="1:9" ht="14.4" x14ac:dyDescent="0.3">
      <c r="A51" s="1302" t="s">
        <v>870</v>
      </c>
      <c r="B51" s="1333">
        <v>65</v>
      </c>
      <c r="C51" s="1334">
        <v>34.911999999999999</v>
      </c>
      <c r="D51" s="1335">
        <v>99.611999999999995</v>
      </c>
      <c r="E51" s="1304">
        <f t="shared" si="2"/>
        <v>393.04571428571427</v>
      </c>
      <c r="F51">
        <v>3.5</v>
      </c>
      <c r="G51" s="1304">
        <f t="shared" si="3"/>
        <v>794.57001428571425</v>
      </c>
      <c r="H51" s="1336">
        <f t="shared" si="1"/>
        <v>227.02000408163264</v>
      </c>
      <c r="I51" s="1337">
        <f t="shared" si="4"/>
        <v>287.38857551020408</v>
      </c>
    </row>
    <row r="52" spans="1:9" ht="14.4" x14ac:dyDescent="0.3">
      <c r="A52" s="1302" t="s">
        <v>871</v>
      </c>
      <c r="B52" s="1333">
        <v>59</v>
      </c>
      <c r="C52" s="1334">
        <v>53.2408</v>
      </c>
      <c r="D52" s="1335">
        <v>146.0976</v>
      </c>
      <c r="E52" s="1304">
        <f t="shared" si="2"/>
        <v>356.76457142857146</v>
      </c>
      <c r="F52">
        <v>10</v>
      </c>
      <c r="G52" s="1304">
        <f t="shared" si="3"/>
        <v>767.30354742857139</v>
      </c>
      <c r="H52" s="1336">
        <f t="shared" si="1"/>
        <v>76.730354742857145</v>
      </c>
      <c r="I52" s="1337">
        <f t="shared" si="4"/>
        <v>97.859354742857136</v>
      </c>
    </row>
    <row r="53" spans="1:9" ht="25.95" x14ac:dyDescent="0.3">
      <c r="A53" s="1302" t="s">
        <v>403</v>
      </c>
      <c r="B53" s="1333">
        <v>0</v>
      </c>
      <c r="C53" s="1334">
        <v>17.456</v>
      </c>
      <c r="D53" s="1335">
        <v>49.805999999999997</v>
      </c>
      <c r="E53" s="1304">
        <f t="shared" si="2"/>
        <v>0</v>
      </c>
      <c r="F53">
        <v>8</v>
      </c>
      <c r="G53" s="1304">
        <f t="shared" si="3"/>
        <v>39.887149999999991</v>
      </c>
      <c r="H53" s="1336">
        <f t="shared" si="1"/>
        <v>4.9858937499999989</v>
      </c>
      <c r="I53" s="1337">
        <f t="shared" si="4"/>
        <v>31.397143749999998</v>
      </c>
    </row>
    <row r="54" spans="1:9" ht="38.6" x14ac:dyDescent="0.3">
      <c r="A54" s="1302" t="s">
        <v>402</v>
      </c>
      <c r="B54" s="1333">
        <v>275</v>
      </c>
      <c r="C54" s="1334">
        <v>8.7279999999999998</v>
      </c>
      <c r="D54" s="1335">
        <v>0</v>
      </c>
      <c r="E54" s="1304">
        <f t="shared" si="2"/>
        <v>1662.8857142857141</v>
      </c>
      <c r="F54">
        <v>7.5</v>
      </c>
      <c r="G54" s="1304">
        <f t="shared" si="3"/>
        <v>3030.507154285714</v>
      </c>
      <c r="H54" s="1336">
        <f t="shared" si="1"/>
        <v>404.06762057142856</v>
      </c>
      <c r="I54" s="1337">
        <f t="shared" si="4"/>
        <v>432.23962057142859</v>
      </c>
    </row>
    <row r="55" spans="1:9" ht="14.4" x14ac:dyDescent="0.3">
      <c r="A55" s="1302" t="s">
        <v>400</v>
      </c>
      <c r="B55" s="1333">
        <v>0</v>
      </c>
      <c r="C55" s="1334">
        <v>15.274000000000001</v>
      </c>
      <c r="D55" s="1335">
        <v>29.0535</v>
      </c>
      <c r="E55" s="1304">
        <f t="shared" si="2"/>
        <v>0</v>
      </c>
      <c r="F55">
        <v>5.25</v>
      </c>
      <c r="G55" s="1304">
        <f t="shared" si="3"/>
        <v>26.984177499999998</v>
      </c>
      <c r="H55" s="1336">
        <f t="shared" si="1"/>
        <v>5.1398433333333333</v>
      </c>
      <c r="I55" s="1337">
        <f t="shared" si="4"/>
        <v>45.385557619047617</v>
      </c>
    </row>
    <row r="56" spans="1:9" ht="14.4" x14ac:dyDescent="0.3">
      <c r="A56" s="1302" t="s">
        <v>401</v>
      </c>
      <c r="B56" s="1333">
        <v>60</v>
      </c>
      <c r="C56" s="1334">
        <v>26.184000000000001</v>
      </c>
      <c r="D56" s="1335">
        <v>99.611999999999995</v>
      </c>
      <c r="E56" s="1304">
        <f t="shared" si="2"/>
        <v>362.81142857142851</v>
      </c>
      <c r="F56">
        <v>6.7</v>
      </c>
      <c r="G56" s="1304">
        <f t="shared" si="3"/>
        <v>733.21428857142848</v>
      </c>
      <c r="H56" s="1336">
        <f t="shared" si="1"/>
        <v>109.43496844349679</v>
      </c>
      <c r="I56" s="1337">
        <f t="shared" si="4"/>
        <v>140.97078933901918</v>
      </c>
    </row>
    <row r="57" spans="1:9" ht="14.4" x14ac:dyDescent="0.3">
      <c r="A57" s="1302" t="s">
        <v>224</v>
      </c>
      <c r="B57" s="1333">
        <v>140</v>
      </c>
      <c r="C57" s="1334">
        <v>52.368000000000002</v>
      </c>
      <c r="D57" s="1335">
        <v>99.611999999999995</v>
      </c>
      <c r="E57" s="1304">
        <f t="shared" si="2"/>
        <v>846.56</v>
      </c>
      <c r="F57">
        <v>6.8</v>
      </c>
      <c r="G57" s="1304">
        <f t="shared" si="3"/>
        <v>1632.0771799999998</v>
      </c>
      <c r="H57" s="1336">
        <f t="shared" si="1"/>
        <v>240.01134999999996</v>
      </c>
      <c r="I57" s="1337">
        <f t="shared" si="4"/>
        <v>271.0834088235294</v>
      </c>
    </row>
    <row r="58" spans="1:9" ht="14.4" x14ac:dyDescent="0.3">
      <c r="A58" s="1302" t="s">
        <v>225</v>
      </c>
      <c r="B58" s="1333">
        <v>40</v>
      </c>
      <c r="C58" s="1334">
        <v>26.184000000000001</v>
      </c>
      <c r="D58" s="1335">
        <v>33.204000000000001</v>
      </c>
      <c r="E58" s="1304">
        <f t="shared" si="2"/>
        <v>241.87428571428575</v>
      </c>
      <c r="F58">
        <v>18</v>
      </c>
      <c r="G58" s="1304">
        <f t="shared" si="3"/>
        <v>477.08478571428572</v>
      </c>
      <c r="H58" s="1336">
        <f t="shared" si="1"/>
        <v>26.504710317460319</v>
      </c>
      <c r="I58" s="1337">
        <f t="shared" si="4"/>
        <v>38.243043650793652</v>
      </c>
    </row>
    <row r="59" spans="1:9" ht="33" customHeight="1" x14ac:dyDescent="0.25">
      <c r="B59" s="1416" t="s">
        <v>1297</v>
      </c>
      <c r="C59" s="1416" t="s">
        <v>1298</v>
      </c>
      <c r="D59" s="1416" t="s">
        <v>1969</v>
      </c>
      <c r="E59" s="1368" t="s">
        <v>1584</v>
      </c>
      <c r="I59" s="1341">
        <f>AVERAGE(I30:I58)</f>
        <v>187.53129281406066</v>
      </c>
    </row>
    <row r="60" spans="1:9" x14ac:dyDescent="0.25">
      <c r="A60" s="1296" t="str">
        <f>IF(ISBLANK(Import!A385),"User defined 1",Import!A385)</f>
        <v>User defined 1</v>
      </c>
      <c r="B60" s="1296">
        <f>IF(ISBLANK(Import!B385)," ",Import!B385)</f>
        <v>0</v>
      </c>
      <c r="C60" s="1296">
        <f>IF(ISBLANK(Import!C385)," ",Import!C385)</f>
        <v>0</v>
      </c>
      <c r="D60" s="1296">
        <f>IF(ISBLANK(Import!D385)," ",Import!D385)</f>
        <v>0</v>
      </c>
      <c r="E60" s="60" t="e">
        <f>IF(ISBLANK(Import!E385)," ",Import!E385)</f>
        <v>#DIV/0!</v>
      </c>
    </row>
    <row r="61" spans="1:9" x14ac:dyDescent="0.25">
      <c r="A61" s="1296" t="str">
        <f>IF(ISBLANK(Import!A386),"User defined 2",Import!A386)</f>
        <v>User defined 2</v>
      </c>
      <c r="B61" s="1296">
        <f>IF(ISBLANK(Import!B386)," ",Import!B386)</f>
        <v>0</v>
      </c>
      <c r="C61" s="1296">
        <f>IF(ISBLANK(Import!C386)," ",Import!C386)</f>
        <v>0</v>
      </c>
      <c r="D61" s="1296">
        <f>IF(ISBLANK(Import!D386)," ",Import!D386)</f>
        <v>0</v>
      </c>
      <c r="E61" s="60" t="e">
        <f>IF(ISBLANK(Import!E386)," ",Import!E386)</f>
        <v>#DIV/0!</v>
      </c>
    </row>
    <row r="62" spans="1:9" x14ac:dyDescent="0.25">
      <c r="A62" s="1296" t="str">
        <f>IF(ISBLANK(Import!A387),"User defined 3",Import!A387)</f>
        <v>User defined 3</v>
      </c>
      <c r="B62" s="1296">
        <f>IF(ISBLANK(Import!B387)," ",Import!B387)</f>
        <v>0</v>
      </c>
      <c r="C62" s="1296">
        <f>IF(ISBLANK(Import!C387)," ",Import!C387)</f>
        <v>0</v>
      </c>
      <c r="D62" s="1296">
        <f>IF(ISBLANK(Import!D387)," ",Import!D387)</f>
        <v>0</v>
      </c>
      <c r="E62" s="60" t="e">
        <f>IF(ISBLANK(Import!E387)," ",Import!E387)</f>
        <v>#DIV/0!</v>
      </c>
    </row>
    <row r="63" spans="1:9" x14ac:dyDescent="0.25">
      <c r="A63" s="1296" t="str">
        <f>IF(ISBLANK(Import!A388),"User defined 4",Import!A388)</f>
        <v>User defined 4</v>
      </c>
      <c r="B63" s="1296">
        <f>IF(ISBLANK(Import!B388)," ",Import!B388)</f>
        <v>0</v>
      </c>
      <c r="C63" s="1296">
        <f>IF(ISBLANK(Import!C388)," ",Import!C388)</f>
        <v>0</v>
      </c>
      <c r="D63" s="1296">
        <f>IF(ISBLANK(Import!D388)," ",Import!D388)</f>
        <v>0</v>
      </c>
      <c r="E63" s="60" t="e">
        <f>IF(ISBLANK(Import!E388)," ",Import!E388)</f>
        <v>#DIV/0!</v>
      </c>
    </row>
    <row r="64" spans="1:9" x14ac:dyDescent="0.25">
      <c r="A64" s="1296" t="str">
        <f>IF(ISBLANK(Import!A389),"User defined 5",Import!A389)</f>
        <v>User defined 5</v>
      </c>
      <c r="B64" s="1296">
        <f>IF(ISBLANK(Import!B389)," ",Import!B389)</f>
        <v>0</v>
      </c>
      <c r="C64" s="1296">
        <f>IF(ISBLANK(Import!C389)," ",Import!C389)</f>
        <v>0</v>
      </c>
      <c r="D64" s="1296">
        <f>IF(ISBLANK(Import!D389)," ",Import!D389)</f>
        <v>0</v>
      </c>
      <c r="E64" s="60" t="e">
        <f>IF(ISBLANK(Import!E389)," ",Import!E389)</f>
        <v>#DIV/0!</v>
      </c>
    </row>
    <row r="65" spans="1:5" x14ac:dyDescent="0.25">
      <c r="A65" s="1296" t="str">
        <f>IF(ISBLANK(Import!A390),"User defined 6",Import!A390)</f>
        <v>User defined 6</v>
      </c>
      <c r="B65" s="1296">
        <f>IF(ISBLANK(Import!B390)," ",Import!B390)</f>
        <v>0</v>
      </c>
      <c r="C65" s="1296">
        <f>IF(ISBLANK(Import!C390)," ",Import!C390)</f>
        <v>0</v>
      </c>
      <c r="D65" s="1296">
        <f>IF(ISBLANK(Import!D390)," ",Import!D390)</f>
        <v>0</v>
      </c>
      <c r="E65" s="60" t="e">
        <f>IF(ISBLANK(Import!E390)," ",Import!E390)</f>
        <v>#DIV/0!</v>
      </c>
    </row>
  </sheetData>
  <sheetProtection password="838D" sheet="1"/>
  <phoneticPr fontId="39" type="noConversion"/>
  <hyperlinks>
    <hyperlink ref="A19" r:id="rId1" xr:uid="{00000000-0004-0000-0E00-000000000000}"/>
  </hyperlinks>
  <pageMargins left="0.75" right="0.75" top="1" bottom="1" header="0.5" footer="0.5"/>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A74"/>
  <sheetViews>
    <sheetView workbookViewId="0">
      <selection activeCell="C10" sqref="C10"/>
    </sheetView>
  </sheetViews>
  <sheetFormatPr defaultColWidth="9.21875" defaultRowHeight="12.7" x14ac:dyDescent="0.25"/>
  <cols>
    <col min="1" max="1" width="25.44140625" style="60" customWidth="1" collapsed="1"/>
    <col min="2" max="2" width="29.33203125" style="274" customWidth="1" collapsed="1"/>
    <col min="3" max="3" width="9" style="60" customWidth="1" collapsed="1"/>
    <col min="4" max="4" width="11" style="60" customWidth="1" collapsed="1"/>
    <col min="5" max="5" width="11.33203125" style="60" customWidth="1" collapsed="1"/>
    <col min="6" max="6" width="9" style="60" customWidth="1" collapsed="1"/>
    <col min="7" max="23" width="9.21875" style="60" collapsed="1"/>
    <col min="24" max="26" width="10" style="60" customWidth="1" collapsed="1"/>
    <col min="27" max="16384" width="9.21875" style="60" collapsed="1"/>
  </cols>
  <sheetData>
    <row r="1" spans="1:27" x14ac:dyDescent="0.25">
      <c r="A1" s="1287"/>
    </row>
    <row r="2" spans="1:27" s="1" customFormat="1" ht="51" customHeight="1" x14ac:dyDescent="0.25">
      <c r="A2" s="2573" t="s">
        <v>69</v>
      </c>
      <c r="B2" s="2574"/>
      <c r="C2" s="2574"/>
      <c r="D2" s="2574"/>
      <c r="E2" s="2574"/>
      <c r="F2" s="2574"/>
      <c r="G2" s="2574"/>
      <c r="H2" s="2574"/>
      <c r="I2" s="2574"/>
      <c r="J2" s="2574"/>
      <c r="K2" s="2574"/>
      <c r="L2" s="2574"/>
      <c r="M2" s="2574"/>
    </row>
    <row r="3" spans="1:27" ht="30.85" customHeight="1" thickBot="1" x14ac:dyDescent="0.3">
      <c r="A3" s="846" t="s">
        <v>1343</v>
      </c>
      <c r="B3" s="1343" t="s">
        <v>1344</v>
      </c>
      <c r="C3" s="846" t="s">
        <v>906</v>
      </c>
      <c r="D3" s="846" t="s">
        <v>890</v>
      </c>
      <c r="E3" s="134" t="s">
        <v>891</v>
      </c>
      <c r="F3" s="134" t="s">
        <v>1345</v>
      </c>
      <c r="G3" s="1342" t="s">
        <v>488</v>
      </c>
      <c r="H3" s="134" t="s">
        <v>489</v>
      </c>
      <c r="I3" s="134" t="s">
        <v>490</v>
      </c>
      <c r="J3" s="1342" t="s">
        <v>426</v>
      </c>
      <c r="K3" s="1342" t="s">
        <v>427</v>
      </c>
      <c r="L3" s="134" t="s">
        <v>428</v>
      </c>
      <c r="M3" s="134" t="s">
        <v>586</v>
      </c>
      <c r="N3" s="134" t="s">
        <v>587</v>
      </c>
      <c r="O3" s="134" t="s">
        <v>588</v>
      </c>
      <c r="P3" s="134" t="s">
        <v>589</v>
      </c>
      <c r="Q3" s="134" t="s">
        <v>590</v>
      </c>
      <c r="R3" s="135" t="s">
        <v>1037</v>
      </c>
      <c r="S3" s="135" t="s">
        <v>893</v>
      </c>
      <c r="T3" s="135" t="s">
        <v>894</v>
      </c>
      <c r="U3" s="135" t="s">
        <v>889</v>
      </c>
      <c r="V3" s="135" t="s">
        <v>1346</v>
      </c>
      <c r="W3" s="135" t="s">
        <v>1347</v>
      </c>
      <c r="X3" s="135" t="s">
        <v>1348</v>
      </c>
      <c r="Y3" s="135" t="s">
        <v>1349</v>
      </c>
      <c r="Z3" s="287" t="s">
        <v>98</v>
      </c>
      <c r="AA3" s="60" t="str">
        <f>'A1. Submodels &amp; data'!AC16</f>
        <v>synthetic/FYM/Compost/lime</v>
      </c>
    </row>
    <row r="4" spans="1:27" ht="13.25" thickBot="1" x14ac:dyDescent="0.3">
      <c r="A4" s="1348" t="str">
        <f>IF(ISBLANK(Import!A396),"",Import!A396)</f>
        <v/>
      </c>
      <c r="B4" s="1202" t="str">
        <f>IF(ISBLANK(Import!B396),"",Import!B396)</f>
        <v/>
      </c>
      <c r="C4" s="207">
        <f ca="1">OFFSET('A1. Submodels &amp; data'!D$18,SUMIF('A1. Submodels &amp; data'!$B$19:$B$53,$B4,'A1. Submodels &amp; data'!$D$19:$D$53),0)</f>
        <v>0</v>
      </c>
      <c r="D4" s="207">
        <f ca="1">OFFSET('A1. Submodels &amp; data'!F$18,SUMIF('A1. Submodels &amp; data'!$B$19:$B$53,$B4,'A1. Submodels &amp; data'!$D$19:$D$53),0)</f>
        <v>0</v>
      </c>
      <c r="E4" s="207">
        <f ca="1">OFFSET('A1. Submodels &amp; data'!G$18,SUMIF('A1. Submodels &amp; data'!$B$19:$B$53,$B4,'A1. Submodels &amp; data'!$D$19:$D$53),0)</f>
        <v>0</v>
      </c>
      <c r="F4" s="847">
        <f ca="1">OFFSET('A1. Submodels &amp; data'!H$18,SUMIF('A1. Submodels &amp; data'!$B$19:$B$53,$B4,'A1. Submodels &amp; data'!$D$19:$D$53),0)</f>
        <v>0</v>
      </c>
      <c r="G4" s="848">
        <f ca="1">IF(C10=0,OFFSET('A1. Submodels &amp; data'!I$18,SUMIF('A1. Submodels &amp; data'!$B$19:$B$53,$B4,'A1. Submodels &amp; data'!$D$19:$D$53),0),C10/100)</f>
        <v>0</v>
      </c>
      <c r="H4" s="847">
        <f ca="1">0.436*J4</f>
        <v>0</v>
      </c>
      <c r="I4" s="847">
        <f ca="1">38/46*K4</f>
        <v>0</v>
      </c>
      <c r="J4" s="848">
        <f ca="1">IF(D10=0,OFFSET('A1. Submodels &amp; data'!L$18,SUMIF('A1. Submodels &amp; data'!$B$19:$B$53,$B4,'A1. Submodels &amp; data'!$D$19:$D$53),0),D10/100)</f>
        <v>0</v>
      </c>
      <c r="K4" s="848">
        <f ca="1">IF(E10=0,OFFSET('A1. Submodels &amp; data'!M$18,SUMIF('A1. Submodels &amp; data'!$B$19:$B$53,$B4,'A1. Submodels &amp; data'!$D$19:$D$53),0),E10/100)</f>
        <v>0</v>
      </c>
      <c r="L4" s="847">
        <f ca="1">OFFSET('A1. Submodels &amp; data'!N$18,SUMIF('A1. Submodels &amp; data'!$B$19:$B$53,$B4,'A1. Submodels &amp; data'!$D$19:$D$53),0)</f>
        <v>0</v>
      </c>
      <c r="M4" s="847">
        <f ca="1">OFFSET('A1. Submodels &amp; data'!O$18,SUMIF('A1. Submodels &amp; data'!$B$19:$B$53,$B4,'A1. Submodels &amp; data'!$D$19:$D$53),0)</f>
        <v>0</v>
      </c>
      <c r="N4" s="847">
        <f ca="1">OFFSET('A1. Submodels &amp; data'!P$18,SUMIF('A1. Submodels &amp; data'!$B$19:$B$53,$B4,'A1. Submodels &amp; data'!$D$19:$D$53),0)</f>
        <v>0</v>
      </c>
      <c r="O4" s="847">
        <f ca="1">OFFSET('A1. Submodels &amp; data'!Q$18,SUMIF('A1. Submodels &amp; data'!$B$19:$B$53,$B4,'A1. Submodels &amp; data'!$D$19:$D$53),0)</f>
        <v>0</v>
      </c>
      <c r="P4" s="847">
        <f ca="1">OFFSET('A1. Submodels &amp; data'!R$18,SUMIF('A1. Submodels &amp; data'!$B$19:$B$53,$B4,'A1. Submodels &amp; data'!$D$19:$D$53),0)</f>
        <v>0</v>
      </c>
      <c r="Q4" s="847">
        <f ca="1">OFFSET('A1. Submodels &amp; data'!S$18,SUMIF('A1. Submodels &amp; data'!$B$19:$B$53,$B4,'A1. Submodels &amp; data'!$D$19:$D$53),0)</f>
        <v>0</v>
      </c>
      <c r="R4" s="207">
        <f ca="1">OFFSET('A1. Submodels &amp; data'!T$18,SUMIF('A1. Submodels &amp; data'!$B$19:$B$53,$B4,'A1. Submodels &amp; data'!$D$19:$D$53),0)</f>
        <v>0</v>
      </c>
      <c r="S4" s="207">
        <f ca="1">OFFSET('A1. Submodels &amp; data'!U$18,SUMIF('A1. Submodels &amp; data'!$B$19:$B$53,$B4,'A1. Submodels &amp; data'!$D$19:$D$53),0)</f>
        <v>0</v>
      </c>
      <c r="T4" s="207">
        <f ca="1">OFFSET('A1. Submodels &amp; data'!V$18,SUMIF('A1. Submodels &amp; data'!$B$19:$B$53,$B4,'A1. Submodels &amp; data'!$D$19:$D$53),0)</f>
        <v>0</v>
      </c>
      <c r="U4" s="207">
        <f ca="1">OFFSET('A1. Submodels &amp; data'!W$18,SUMIF('A1. Submodels &amp; data'!$B$19:$B$53,$B4,'A1. Submodels &amp; data'!$D$19:$D$53),0)</f>
        <v>0</v>
      </c>
      <c r="V4" s="207">
        <f ca="1">OFFSET('A1. Submodels &amp; data'!X$18,SUMIF('A1. Submodels &amp; data'!$B$19:$B$53,$B4,'A1. Submodels &amp; data'!$D$19:$D$53),0)</f>
        <v>0</v>
      </c>
      <c r="W4" s="207">
        <f ca="1">OFFSET('A1. Submodels &amp; data'!Y$18,SUMIF('A1. Submodels &amp; data'!$B$19:$B$53,$B4,'A1. Submodels &amp; data'!$D$19:$D$53),0)</f>
        <v>0</v>
      </c>
      <c r="X4" s="207">
        <f ca="1">OFFSET('A1. Submodels &amp; data'!Z$18,SUMIF('A1. Submodels &amp; data'!$B$19:$B$53,$B4,'A1. Submodels &amp; data'!$D$19:$D$53),0)</f>
        <v>0</v>
      </c>
      <c r="Y4" s="732">
        <f ca="1">OFFSET('A1. Submodels &amp; data'!AA$18,SUMIF('A1. Submodels &amp; data'!$B$19:$B$53,$B4,'A1. Submodels &amp; data'!$D$19:$D$53),0)</f>
        <v>0</v>
      </c>
      <c r="Z4" s="732">
        <f ca="1">OFFSET('A1. Submodels &amp; data'!AB$18,SUMIF('A1. Submodels &amp; data'!$B$19:$B$53,$B4,'A1. Submodels &amp; data'!$D$19:$D$53),0)</f>
        <v>0</v>
      </c>
      <c r="AA4" s="732">
        <f ca="1">OFFSET('A1. Submodels &amp; data'!AC$18,SUMIF('A1. Submodels &amp; data'!$B$19:$B$53,$B4,'A1. Submodels &amp; data'!$D$19:$D$53),0)</f>
        <v>0</v>
      </c>
    </row>
    <row r="5" spans="1:27" ht="13.25" thickBot="1" x14ac:dyDescent="0.3">
      <c r="A5" s="1348" t="str">
        <f>IF(ISBLANK(Import!A397),"",Import!A397)</f>
        <v/>
      </c>
      <c r="B5" s="1202" t="str">
        <f>IF(ISBLANK(Import!B397),"",Import!B397)</f>
        <v/>
      </c>
      <c r="C5" s="181">
        <f ca="1">OFFSET('A1. Submodels &amp; data'!D$18,SUMIF('A1. Submodels &amp; data'!$B$19:$B$53,$B5,'A1. Submodels &amp; data'!$D$19:$D$53),0)</f>
        <v>0</v>
      </c>
      <c r="D5" s="181">
        <f ca="1">OFFSET('A1. Submodels &amp; data'!F$18,SUMIF('A1. Submodels &amp; data'!$B$19:$B$53,$B5,'A1. Submodels &amp; data'!$D$19:$D$53),0)</f>
        <v>0</v>
      </c>
      <c r="E5" s="181">
        <f ca="1">OFFSET('A1. Submodels &amp; data'!G$18,SUMIF('A1. Submodels &amp; data'!$B$19:$B$53,$B5,'A1. Submodels &amp; data'!$D$19:$D$53),0)</f>
        <v>0</v>
      </c>
      <c r="F5" s="848">
        <f ca="1">OFFSET('A1. Submodels &amp; data'!H$18,SUMIF('A1. Submodels &amp; data'!$B$19:$B$53,$B5,'A1. Submodels &amp; data'!$D$19:$D$53),0)</f>
        <v>0</v>
      </c>
      <c r="G5" s="848">
        <f ca="1">IF(C11=0,OFFSET('A1. Submodels &amp; data'!I$18,SUMIF('A1. Submodels &amp; data'!$B$19:$B$53,$B5,'A1. Submodels &amp; data'!$D$19:$D$53),0),C11/100)</f>
        <v>0</v>
      </c>
      <c r="H5" s="848">
        <f ca="1">0.436*J5</f>
        <v>0</v>
      </c>
      <c r="I5" s="848">
        <f ca="1">38/46*K5</f>
        <v>0</v>
      </c>
      <c r="J5" s="848">
        <f ca="1">IF(D11=0,OFFSET('A1. Submodels &amp; data'!L$18,SUMIF('A1. Submodels &amp; data'!$B$19:$B$53,$B5,'A1. Submodels &amp; data'!$D$19:$D$53),0),D11/100)</f>
        <v>0</v>
      </c>
      <c r="K5" s="848">
        <f ca="1">IF(E11=0,OFFSET('A1. Submodels &amp; data'!M$18,SUMIF('A1. Submodels &amp; data'!$B$19:$B$53,$B5,'A1. Submodels &amp; data'!$D$19:$D$53),0),E11/100)</f>
        <v>0</v>
      </c>
      <c r="L5" s="848">
        <f ca="1">OFFSET('A1. Submodels &amp; data'!N$18,SUMIF('A1. Submodels &amp; data'!$B$19:$B$53,$B5,'A1. Submodels &amp; data'!$D$19:$D$53),0)</f>
        <v>0</v>
      </c>
      <c r="M5" s="848">
        <f ca="1">OFFSET('A1. Submodels &amp; data'!O$18,SUMIF('A1. Submodels &amp; data'!$B$19:$B$53,$B5,'A1. Submodels &amp; data'!$D$19:$D$53),0)</f>
        <v>0</v>
      </c>
      <c r="N5" s="848">
        <f ca="1">OFFSET('A1. Submodels &amp; data'!P$18,SUMIF('A1. Submodels &amp; data'!$B$19:$B$53,$B5,'A1. Submodels &amp; data'!$D$19:$D$53),0)</f>
        <v>0</v>
      </c>
      <c r="O5" s="848">
        <f ca="1">OFFSET('A1. Submodels &amp; data'!Q$18,SUMIF('A1. Submodels &amp; data'!$B$19:$B$53,$B5,'A1. Submodels &amp; data'!$D$19:$D$53),0)</f>
        <v>0</v>
      </c>
      <c r="P5" s="848">
        <f ca="1">OFFSET('A1. Submodels &amp; data'!R$18,SUMIF('A1. Submodels &amp; data'!$B$19:$B$53,$B5,'A1. Submodels &amp; data'!$D$19:$D$53),0)</f>
        <v>0</v>
      </c>
      <c r="Q5" s="848">
        <f ca="1">OFFSET('A1. Submodels &amp; data'!S$18,SUMIF('A1. Submodels &amp; data'!$B$19:$B$53,$B5,'A1. Submodels &amp; data'!$D$19:$D$53),0)</f>
        <v>0</v>
      </c>
      <c r="R5" s="181">
        <f ca="1">OFFSET('A1. Submodels &amp; data'!T$18,SUMIF('A1. Submodels &amp; data'!$B$19:$B$53,$B5,'A1. Submodels &amp; data'!$D$19:$D$53),0)</f>
        <v>0</v>
      </c>
      <c r="S5" s="181">
        <f ca="1">OFFSET('A1. Submodels &amp; data'!U$18,SUMIF('A1. Submodels &amp; data'!$B$19:$B$53,$B5,'A1. Submodels &amp; data'!$D$19:$D$53),0)</f>
        <v>0</v>
      </c>
      <c r="T5" s="181">
        <f ca="1">OFFSET('A1. Submodels &amp; data'!V$18,SUMIF('A1. Submodels &amp; data'!$B$19:$B$53,$B5,'A1. Submodels &amp; data'!$D$19:$D$53),0)</f>
        <v>0</v>
      </c>
      <c r="U5" s="181">
        <f ca="1">OFFSET('A1. Submodels &amp; data'!W$18,SUMIF('A1. Submodels &amp; data'!$B$19:$B$53,$B5,'A1. Submodels &amp; data'!$D$19:$D$53),0)</f>
        <v>0</v>
      </c>
      <c r="V5" s="181">
        <f ca="1">OFFSET('A1. Submodels &amp; data'!X$18,SUMIF('A1. Submodels &amp; data'!$B$19:$B$53,$B5,'A1. Submodels &amp; data'!$D$19:$D$53),0)</f>
        <v>0</v>
      </c>
      <c r="W5" s="181">
        <f ca="1">OFFSET('A1. Submodels &amp; data'!Y$18,SUMIF('A1. Submodels &amp; data'!$B$19:$B$53,$B5,'A1. Submodels &amp; data'!$D$19:$D$53),0)</f>
        <v>0</v>
      </c>
      <c r="X5" s="181">
        <f ca="1">OFFSET('A1. Submodels &amp; data'!Z$18,SUMIF('A1. Submodels &amp; data'!$B$19:$B$53,$B5,'A1. Submodels &amp; data'!$D$19:$D$53),0)</f>
        <v>0</v>
      </c>
      <c r="Y5" s="227">
        <f ca="1">OFFSET('A1. Submodels &amp; data'!AA$18,SUMIF('A1. Submodels &amp; data'!$B$19:$B$53,$B5,'A1. Submodels &amp; data'!$D$19:$D$53),0)</f>
        <v>0</v>
      </c>
      <c r="Z5" s="732">
        <f ca="1">OFFSET('A1. Submodels &amp; data'!AB$18,SUMIF('A1. Submodels &amp; data'!$B$19:$B$53,$B5,'A1. Submodels &amp; data'!$D$19:$D$53),0)</f>
        <v>0</v>
      </c>
      <c r="AA5" s="732">
        <f ca="1">OFFSET('A1. Submodels &amp; data'!AC$18,SUMIF('A1. Submodels &amp; data'!$B$19:$B$53,$B5,'A1. Submodels &amp; data'!$D$19:$D$53),0)</f>
        <v>0</v>
      </c>
    </row>
    <row r="6" spans="1:27" ht="13.25" thickBot="1" x14ac:dyDescent="0.3">
      <c r="A6" s="1348" t="str">
        <f>IF(ISBLANK(Import!A398),"",Import!A398)</f>
        <v/>
      </c>
      <c r="B6" s="1202" t="str">
        <f>IF(ISBLANK(Import!B398),"",Import!B398)</f>
        <v/>
      </c>
      <c r="C6" s="181">
        <f ca="1">OFFSET('A1. Submodels &amp; data'!D$18,SUMIF('A1. Submodels &amp; data'!$B$19:$B$53,$B6,'A1. Submodels &amp; data'!$D$19:$D$53),0)</f>
        <v>0</v>
      </c>
      <c r="D6" s="181">
        <f ca="1">OFFSET('A1. Submodels &amp; data'!F$18,SUMIF('A1. Submodels &amp; data'!$B$19:$B$53,$B6,'A1. Submodels &amp; data'!$D$19:$D$53),0)</f>
        <v>0</v>
      </c>
      <c r="E6" s="181">
        <f ca="1">OFFSET('A1. Submodels &amp; data'!G$18,SUMIF('A1. Submodels &amp; data'!$B$19:$B$53,$B6,'A1. Submodels &amp; data'!$D$19:$D$53),0)</f>
        <v>0</v>
      </c>
      <c r="F6" s="848">
        <f ca="1">OFFSET('A1. Submodels &amp; data'!H$18,SUMIF('A1. Submodels &amp; data'!$B$19:$B$53,$B6,'A1. Submodels &amp; data'!$D$19:$D$53),0)</f>
        <v>0</v>
      </c>
      <c r="G6" s="848">
        <f ca="1">IF(C12=0,OFFSET('A1. Submodels &amp; data'!I$18,SUMIF('A1. Submodels &amp; data'!$B$19:$B$53,$B6,'A1. Submodels &amp; data'!$D$19:$D$53),0),C12/100)</f>
        <v>0</v>
      </c>
      <c r="H6" s="848">
        <f ca="1">0.436*J6</f>
        <v>0</v>
      </c>
      <c r="I6" s="848">
        <f ca="1">38/46*K6</f>
        <v>0</v>
      </c>
      <c r="J6" s="848">
        <f ca="1">IF(D12=0,OFFSET('A1. Submodels &amp; data'!L$18,SUMIF('A1. Submodels &amp; data'!$B$19:$B$53,$B6,'A1. Submodels &amp; data'!$D$19:$D$53),0),D12/100)</f>
        <v>0</v>
      </c>
      <c r="K6" s="848">
        <f ca="1">IF(E12=0,OFFSET('A1. Submodels &amp; data'!M$18,SUMIF('A1. Submodels &amp; data'!$B$19:$B$53,$B6,'A1. Submodels &amp; data'!$D$19:$D$53),0),E12/100)</f>
        <v>0</v>
      </c>
      <c r="L6" s="848">
        <f ca="1">OFFSET('A1. Submodels &amp; data'!N$18,SUMIF('A1. Submodels &amp; data'!$B$19:$B$53,$B6,'A1. Submodels &amp; data'!$D$19:$D$53),0)</f>
        <v>0</v>
      </c>
      <c r="M6" s="848">
        <f ca="1">OFFSET('A1. Submodels &amp; data'!O$18,SUMIF('A1. Submodels &amp; data'!$B$19:$B$53,$B6,'A1. Submodels &amp; data'!$D$19:$D$53),0)</f>
        <v>0</v>
      </c>
      <c r="N6" s="848">
        <f ca="1">OFFSET('A1. Submodels &amp; data'!P$18,SUMIF('A1. Submodels &amp; data'!$B$19:$B$53,$B6,'A1. Submodels &amp; data'!$D$19:$D$53),0)</f>
        <v>0</v>
      </c>
      <c r="O6" s="848">
        <f ca="1">OFFSET('A1. Submodels &amp; data'!Q$18,SUMIF('A1. Submodels &amp; data'!$B$19:$B$53,$B6,'A1. Submodels &amp; data'!$D$19:$D$53),0)</f>
        <v>0</v>
      </c>
      <c r="P6" s="848">
        <f ca="1">OFFSET('A1. Submodels &amp; data'!R$18,SUMIF('A1. Submodels &amp; data'!$B$19:$B$53,$B6,'A1. Submodels &amp; data'!$D$19:$D$53),0)</f>
        <v>0</v>
      </c>
      <c r="Q6" s="848">
        <f ca="1">OFFSET('A1. Submodels &amp; data'!S$18,SUMIF('A1. Submodels &amp; data'!$B$19:$B$53,$B6,'A1. Submodels &amp; data'!$D$19:$D$53),0)</f>
        <v>0</v>
      </c>
      <c r="R6" s="181">
        <f ca="1">OFFSET('A1. Submodels &amp; data'!T$18,SUMIF('A1. Submodels &amp; data'!$B$19:$B$53,$B6,'A1. Submodels &amp; data'!$D$19:$D$53),0)</f>
        <v>0</v>
      </c>
      <c r="S6" s="181">
        <f ca="1">OFFSET('A1. Submodels &amp; data'!U$18,SUMIF('A1. Submodels &amp; data'!$B$19:$B$53,$B6,'A1. Submodels &amp; data'!$D$19:$D$53),0)</f>
        <v>0</v>
      </c>
      <c r="T6" s="181">
        <f ca="1">OFFSET('A1. Submodels &amp; data'!V$18,SUMIF('A1. Submodels &amp; data'!$B$19:$B$53,$B6,'A1. Submodels &amp; data'!$D$19:$D$53),0)</f>
        <v>0</v>
      </c>
      <c r="U6" s="181">
        <f ca="1">OFFSET('A1. Submodels &amp; data'!W$18,SUMIF('A1. Submodels &amp; data'!$B$19:$B$53,$B6,'A1. Submodels &amp; data'!$D$19:$D$53),0)</f>
        <v>0</v>
      </c>
      <c r="V6" s="181">
        <f ca="1">OFFSET('A1. Submodels &amp; data'!X$18,SUMIF('A1. Submodels &amp; data'!$B$19:$B$53,$B6,'A1. Submodels &amp; data'!$D$19:$D$53),0)</f>
        <v>0</v>
      </c>
      <c r="W6" s="181">
        <f ca="1">OFFSET('A1. Submodels &amp; data'!Y$18,SUMIF('A1. Submodels &amp; data'!$B$19:$B$53,$B6,'A1. Submodels &amp; data'!$D$19:$D$53),0)</f>
        <v>0</v>
      </c>
      <c r="X6" s="181">
        <f ca="1">OFFSET('A1. Submodels &amp; data'!Z$18,SUMIF('A1. Submodels &amp; data'!$B$19:$B$53,$B6,'A1. Submodels &amp; data'!$D$19:$D$53),0)</f>
        <v>0</v>
      </c>
      <c r="Y6" s="227">
        <f ca="1">OFFSET('A1. Submodels &amp; data'!AA$18,SUMIF('A1. Submodels &amp; data'!$B$19:$B$53,$B6,'A1. Submodels &amp; data'!$D$19:$D$53),0)</f>
        <v>0</v>
      </c>
      <c r="Z6" s="732">
        <f ca="1">OFFSET('A1. Submodels &amp; data'!AB$18,SUMIF('A1. Submodels &amp; data'!$B$19:$B$53,$B6,'A1. Submodels &amp; data'!$D$19:$D$53),0)</f>
        <v>0</v>
      </c>
      <c r="AA6" s="732">
        <f ca="1">OFFSET('A1. Submodels &amp; data'!AC$18,SUMIF('A1. Submodels &amp; data'!$B$19:$B$53,$B6,'A1. Submodels &amp; data'!$D$19:$D$53),0)</f>
        <v>0</v>
      </c>
    </row>
    <row r="7" spans="1:27" x14ac:dyDescent="0.25">
      <c r="A7" s="1348" t="str">
        <f>IF(ISBLANK(Import!A399),"",Import!A399)</f>
        <v/>
      </c>
      <c r="B7" s="1202" t="str">
        <f>IF(ISBLANK(Import!B399),"",Import!B399)</f>
        <v/>
      </c>
      <c r="C7" s="181">
        <f ca="1">OFFSET('A1. Submodels &amp; data'!D$18,SUMIF('A1. Submodels &amp; data'!$B$19:$B$53,$B7,'A1. Submodels &amp; data'!$D$19:$D$53),0)</f>
        <v>0</v>
      </c>
      <c r="D7" s="181">
        <f ca="1">OFFSET('A1. Submodels &amp; data'!F$18,SUMIF('A1. Submodels &amp; data'!$B$19:$B$53,$B7,'A1. Submodels &amp; data'!$D$19:$D$53),0)</f>
        <v>0</v>
      </c>
      <c r="E7" s="181">
        <f ca="1">OFFSET('A1. Submodels &amp; data'!G$18,SUMIF('A1. Submodels &amp; data'!$B$19:$B$53,$B7,'A1. Submodels &amp; data'!$D$19:$D$53),0)</f>
        <v>0</v>
      </c>
      <c r="F7" s="848">
        <f ca="1">OFFSET('A1. Submodels &amp; data'!H$18,SUMIF('A1. Submodels &amp; data'!$B$19:$B$53,$B7,'A1. Submodels &amp; data'!$D$19:$D$53),0)</f>
        <v>0</v>
      </c>
      <c r="G7" s="848">
        <f ca="1">IF(C13=0,OFFSET('A1. Submodels &amp; data'!I$18,SUMIF('A1. Submodels &amp; data'!$B$19:$B$53,$B7,'A1. Submodels &amp; data'!$D$19:$D$53),0),C13/100)</f>
        <v>0</v>
      </c>
      <c r="H7" s="848">
        <f ca="1">0.436*J7</f>
        <v>0</v>
      </c>
      <c r="I7" s="848">
        <f ca="1">38/46*K7</f>
        <v>0</v>
      </c>
      <c r="J7" s="848">
        <f ca="1">IF(D13=0,OFFSET('A1. Submodels &amp; data'!L$18,SUMIF('A1. Submodels &amp; data'!$B$19:$B$53,$B7,'A1. Submodels &amp; data'!$D$19:$D$53),0),D13/100)</f>
        <v>0</v>
      </c>
      <c r="K7" s="848">
        <f ca="1">IF(E13=0,OFFSET('A1. Submodels &amp; data'!M$18,SUMIF('A1. Submodels &amp; data'!$B$19:$B$53,$B7,'A1. Submodels &amp; data'!$D$19:$D$53),0),E13/100)</f>
        <v>0</v>
      </c>
      <c r="L7" s="848">
        <f ca="1">OFFSET('A1. Submodels &amp; data'!N$18,SUMIF('A1. Submodels &amp; data'!$B$19:$B$53,$B7,'A1. Submodels &amp; data'!$D$19:$D$53),0)</f>
        <v>0</v>
      </c>
      <c r="M7" s="848">
        <f ca="1">OFFSET('A1. Submodels &amp; data'!O$18,SUMIF('A1. Submodels &amp; data'!$B$19:$B$53,$B7,'A1. Submodels &amp; data'!$D$19:$D$53),0)</f>
        <v>0</v>
      </c>
      <c r="N7" s="848">
        <f ca="1">OFFSET('A1. Submodels &amp; data'!P$18,SUMIF('A1. Submodels &amp; data'!$B$19:$B$53,$B7,'A1. Submodels &amp; data'!$D$19:$D$53),0)</f>
        <v>0</v>
      </c>
      <c r="O7" s="848">
        <f ca="1">OFFSET('A1. Submodels &amp; data'!Q$18,SUMIF('A1. Submodels &amp; data'!$B$19:$B$53,$B7,'A1. Submodels &amp; data'!$D$19:$D$53),0)</f>
        <v>0</v>
      </c>
      <c r="P7" s="848">
        <f ca="1">OFFSET('A1. Submodels &amp; data'!R$18,SUMIF('A1. Submodels &amp; data'!$B$19:$B$53,$B7,'A1. Submodels &amp; data'!$D$19:$D$53),0)</f>
        <v>0</v>
      </c>
      <c r="Q7" s="848">
        <f ca="1">OFFSET('A1. Submodels &amp; data'!S$18,SUMIF('A1. Submodels &amp; data'!$B$19:$B$53,$B7,'A1. Submodels &amp; data'!$D$19:$D$53),0)</f>
        <v>0</v>
      </c>
      <c r="R7" s="181">
        <f ca="1">OFFSET('A1. Submodels &amp; data'!T$18,SUMIF('A1. Submodels &amp; data'!$B$19:$B$53,$B7,'A1. Submodels &amp; data'!$D$19:$D$53),0)</f>
        <v>0</v>
      </c>
      <c r="S7" s="181">
        <f ca="1">OFFSET('A1. Submodels &amp; data'!U$18,SUMIF('A1. Submodels &amp; data'!$B$19:$B$53,$B7,'A1. Submodels &amp; data'!$D$19:$D$53),0)</f>
        <v>0</v>
      </c>
      <c r="T7" s="181">
        <f ca="1">OFFSET('A1. Submodels &amp; data'!V$18,SUMIF('A1. Submodels &amp; data'!$B$19:$B$53,$B7,'A1. Submodels &amp; data'!$D$19:$D$53),0)</f>
        <v>0</v>
      </c>
      <c r="U7" s="181">
        <f ca="1">OFFSET('A1. Submodels &amp; data'!W$18,SUMIF('A1. Submodels &amp; data'!$B$19:$B$53,$B7,'A1. Submodels &amp; data'!$D$19:$D$53),0)</f>
        <v>0</v>
      </c>
      <c r="V7" s="181">
        <f ca="1">OFFSET('A1. Submodels &amp; data'!X$18,SUMIF('A1. Submodels &amp; data'!$B$19:$B$53,$B7,'A1. Submodels &amp; data'!$D$19:$D$53),0)</f>
        <v>0</v>
      </c>
      <c r="W7" s="181">
        <f ca="1">OFFSET('A1. Submodels &amp; data'!Y$18,SUMIF('A1. Submodels &amp; data'!$B$19:$B$53,$B7,'A1. Submodels &amp; data'!$D$19:$D$53),0)</f>
        <v>0</v>
      </c>
      <c r="X7" s="181">
        <f ca="1">OFFSET('A1. Submodels &amp; data'!Z$18,SUMIF('A1. Submodels &amp; data'!$B$19:$B$53,$B7,'A1. Submodels &amp; data'!$D$19:$D$53),0)</f>
        <v>0</v>
      </c>
      <c r="Y7" s="227">
        <f ca="1">OFFSET('A1. Submodels &amp; data'!AA$18,SUMIF('A1. Submodels &amp; data'!$B$19:$B$53,$B7,'A1. Submodels &amp; data'!$D$19:$D$53),0)</f>
        <v>0</v>
      </c>
      <c r="Z7" s="732">
        <f ca="1">OFFSET('A1. Submodels &amp; data'!AB$18,SUMIF('A1. Submodels &amp; data'!$B$19:$B$53,$B7,'A1. Submodels &amp; data'!$D$19:$D$53),0)</f>
        <v>0</v>
      </c>
      <c r="AA7" s="732">
        <f ca="1">OFFSET('A1. Submodels &amp; data'!AC$18,SUMIF('A1. Submodels &amp; data'!$B$19:$B$53,$B7,'A1. Submodels &amp; data'!$D$19:$D$53),0)</f>
        <v>0</v>
      </c>
    </row>
    <row r="9" spans="1:27" ht="26.25" customHeight="1" x14ac:dyDescent="0.25">
      <c r="A9" s="1345" t="s">
        <v>271</v>
      </c>
      <c r="B9" s="2584" t="s">
        <v>999</v>
      </c>
      <c r="C9" s="1346" t="s">
        <v>488</v>
      </c>
      <c r="D9" s="1344" t="s">
        <v>903</v>
      </c>
      <c r="E9" s="1344" t="s">
        <v>904</v>
      </c>
      <c r="I9" s="2587" t="s">
        <v>1000</v>
      </c>
      <c r="J9" s="2588"/>
      <c r="K9" s="2589"/>
      <c r="L9" s="1346" t="s">
        <v>488</v>
      </c>
      <c r="M9" s="1344" t="s">
        <v>1436</v>
      </c>
      <c r="N9" s="1344" t="s">
        <v>1437</v>
      </c>
    </row>
    <row r="10" spans="1:27" x14ac:dyDescent="0.25">
      <c r="A10" s="752" t="str">
        <f>A4</f>
        <v/>
      </c>
      <c r="B10" s="2585"/>
      <c r="C10" s="1208">
        <f>IF(ISBLANK(Import!C396)," ",Import!C396)</f>
        <v>0</v>
      </c>
      <c r="D10" s="1208">
        <f>IF(ISBLANK(Import!D396)," ",Import!D396)</f>
        <v>0</v>
      </c>
      <c r="E10" s="1208">
        <f>IF(ISBLANK(Import!E396)," ",Import!E396)</f>
        <v>0</v>
      </c>
      <c r="I10" s="2590"/>
      <c r="J10" s="2591"/>
      <c r="K10" s="2592"/>
      <c r="L10" s="1347">
        <f ca="1">OFFSET('A1. Submodels &amp; data'!I$18,SUMIF('A1. Submodels &amp; data'!$B$19:$B$53,$B4,'A1. Submodels &amp; data'!$D$19:$D$53),0)</f>
        <v>0</v>
      </c>
      <c r="M10" s="1347">
        <f ca="1">OFFSET('A1. Submodels &amp; data'!L$18,SUMIF('A1. Submodels &amp; data'!$B$19:$B$53,$B4,'A1. Submodels &amp; data'!$D$19:$D$53),0)</f>
        <v>0</v>
      </c>
      <c r="N10" s="1347">
        <f ca="1">OFFSET('A1. Submodels &amp; data'!M$18,SUMIF('A1. Submodels &amp; data'!$B$19:$B$53,$B4,'A1. Submodels &amp; data'!$D$19:$D$53),0)</f>
        <v>0</v>
      </c>
    </row>
    <row r="11" spans="1:27" x14ac:dyDescent="0.25">
      <c r="A11" s="752" t="str">
        <f>A5</f>
        <v/>
      </c>
      <c r="B11" s="2585"/>
      <c r="C11" s="1208">
        <f>IF(ISBLANK(Import!C397)," ",Import!C397)</f>
        <v>0</v>
      </c>
      <c r="D11" s="1208">
        <f>IF(ISBLANK(Import!D397)," ",Import!D397)</f>
        <v>0</v>
      </c>
      <c r="E11" s="1208">
        <f>IF(ISBLANK(Import!E397)," ",Import!E397)</f>
        <v>0</v>
      </c>
      <c r="I11" s="2590"/>
      <c r="J11" s="2591"/>
      <c r="K11" s="2592"/>
      <c r="L11" s="1347">
        <f ca="1">OFFSET('A1. Submodels &amp; data'!I$18,SUMIF('A1. Submodels &amp; data'!$B$19:$B$53,$B5,'A1. Submodels &amp; data'!$D$19:$D$53),0)</f>
        <v>0</v>
      </c>
      <c r="M11" s="1347">
        <f ca="1">OFFSET('A1. Submodels &amp; data'!L$18,SUMIF('A1. Submodels &amp; data'!$B$19:$B$53,$B5,'A1. Submodels &amp; data'!$D$19:$D$53),0)</f>
        <v>0</v>
      </c>
      <c r="N11" s="1347">
        <f ca="1">OFFSET('A1. Submodels &amp; data'!M$18,SUMIF('A1. Submodels &amp; data'!$B$19:$B$53,$B5,'A1. Submodels &amp; data'!$D$19:$D$53),0)</f>
        <v>0</v>
      </c>
    </row>
    <row r="12" spans="1:27" x14ac:dyDescent="0.25">
      <c r="A12" s="752" t="str">
        <f>A6</f>
        <v/>
      </c>
      <c r="B12" s="2585"/>
      <c r="C12" s="1208">
        <f>IF(ISBLANK(Import!C398)," ",Import!C398)</f>
        <v>0</v>
      </c>
      <c r="D12" s="1208">
        <f>IF(ISBLANK(Import!D398)," ",Import!D398)</f>
        <v>0</v>
      </c>
      <c r="E12" s="1208">
        <f>IF(ISBLANK(Import!E398)," ",Import!E398)</f>
        <v>0</v>
      </c>
      <c r="I12" s="2590"/>
      <c r="J12" s="2591"/>
      <c r="K12" s="2592"/>
      <c r="L12" s="1347">
        <f ca="1">OFFSET('A1. Submodels &amp; data'!I$18,SUMIF('A1. Submodels &amp; data'!$B$19:$B$53,$B6,'A1. Submodels &amp; data'!$D$19:$D$53),0)</f>
        <v>0</v>
      </c>
      <c r="M12" s="1347">
        <f ca="1">OFFSET('A1. Submodels &amp; data'!L$18,SUMIF('A1. Submodels &amp; data'!$B$19:$B$53,$B6,'A1. Submodels &amp; data'!$D$19:$D$53),0)</f>
        <v>0</v>
      </c>
      <c r="N12" s="1347">
        <f ca="1">OFFSET('A1. Submodels &amp; data'!M$18,SUMIF('A1. Submodels &amp; data'!$B$19:$B$53,$B6,'A1. Submodels &amp; data'!$D$19:$D$53),0)</f>
        <v>0</v>
      </c>
    </row>
    <row r="13" spans="1:27" x14ac:dyDescent="0.25">
      <c r="A13" s="752" t="str">
        <f>A7</f>
        <v/>
      </c>
      <c r="B13" s="2586"/>
      <c r="C13" s="1208">
        <f>IF(ISBLANK(Import!C399)," ",Import!C399)</f>
        <v>0</v>
      </c>
      <c r="D13" s="1208">
        <f>IF(ISBLANK(Import!D399)," ",Import!D399)</f>
        <v>0</v>
      </c>
      <c r="E13" s="1208">
        <f>IF(ISBLANK(Import!E399)," ",Import!E399)</f>
        <v>0</v>
      </c>
      <c r="I13" s="2593"/>
      <c r="J13" s="2594"/>
      <c r="K13" s="2595"/>
      <c r="L13" s="1347">
        <f ca="1">OFFSET('A1. Submodels &amp; data'!I$18,SUMIF('A1. Submodels &amp; data'!$B$19:$B$53,$B7,'A1. Submodels &amp; data'!$D$19:$D$53),0)</f>
        <v>0</v>
      </c>
      <c r="M13" s="1347">
        <f ca="1">OFFSET('A1. Submodels &amp; data'!L$18,SUMIF('A1. Submodels &amp; data'!$B$19:$B$53,$B7,'A1. Submodels &amp; data'!$D$19:$D$53),0)</f>
        <v>0</v>
      </c>
      <c r="N13" s="1347">
        <f ca="1">OFFSET('A1. Submodels &amp; data'!M$18,SUMIF('A1. Submodels &amp; data'!$B$19:$B$53,$B7,'A1. Submodels &amp; data'!$D$19:$D$53),0)</f>
        <v>0</v>
      </c>
    </row>
    <row r="16" spans="1:27" ht="47.95" customHeight="1" x14ac:dyDescent="0.25">
      <c r="B16" s="2596" t="s">
        <v>1762</v>
      </c>
      <c r="C16" s="2597"/>
      <c r="D16" s="2598"/>
    </row>
    <row r="17" spans="1:12" ht="12.85" customHeight="1" x14ac:dyDescent="0.25">
      <c r="E17" s="274"/>
      <c r="F17" s="274"/>
      <c r="G17" s="274"/>
      <c r="H17" s="274"/>
      <c r="I17" s="274"/>
      <c r="J17" s="274"/>
      <c r="K17" s="274"/>
      <c r="L17" s="274"/>
    </row>
    <row r="18" spans="1:12" x14ac:dyDescent="0.25">
      <c r="E18" s="274"/>
      <c r="F18" s="274"/>
      <c r="G18" s="274"/>
      <c r="H18" s="274"/>
      <c r="I18" s="274"/>
      <c r="J18" s="274"/>
      <c r="K18" s="274"/>
      <c r="L18" s="274"/>
    </row>
    <row r="22" spans="1:12" x14ac:dyDescent="0.25">
      <c r="A22" s="2575" t="s">
        <v>40</v>
      </c>
      <c r="B22" s="2576"/>
      <c r="C22" s="2576"/>
      <c r="D22" s="2577"/>
    </row>
    <row r="23" spans="1:12" x14ac:dyDescent="0.25">
      <c r="A23" s="2578"/>
      <c r="B23" s="2579"/>
      <c r="C23" s="2579"/>
      <c r="D23" s="2580"/>
    </row>
    <row r="24" spans="1:12" x14ac:dyDescent="0.25">
      <c r="A24" s="2581"/>
      <c r="B24" s="2582"/>
      <c r="C24" s="2582"/>
      <c r="D24" s="2583"/>
    </row>
    <row r="27" spans="1:12" x14ac:dyDescent="0.25">
      <c r="A27" s="1515" t="s">
        <v>41</v>
      </c>
    </row>
    <row r="40" spans="1:20" x14ac:dyDescent="0.25">
      <c r="A40" s="60" t="s">
        <v>1946</v>
      </c>
    </row>
    <row r="41" spans="1:20" x14ac:dyDescent="0.25">
      <c r="A41" s="741" t="str">
        <f>'A1. Submodels &amp; data'!B19</f>
        <v>Ammonium Bicarbonate</v>
      </c>
    </row>
    <row r="42" spans="1:20" x14ac:dyDescent="0.25">
      <c r="A42" s="741" t="str">
        <f>'A1. Submodels &amp; data'!B20</f>
        <v>Ammonium nitrate</v>
      </c>
    </row>
    <row r="43" spans="1:20" x14ac:dyDescent="0.25">
      <c r="A43" s="741" t="str">
        <f>'A1. Submodels &amp; data'!B21</f>
        <v>Ammonium sulphate</v>
      </c>
    </row>
    <row r="44" spans="1:20" x14ac:dyDescent="0.25">
      <c r="A44" s="741" t="str">
        <f>'A1. Submodels &amp; data'!B23</f>
        <v>Anhydrous ammonia</v>
      </c>
    </row>
    <row r="45" spans="1:20" x14ac:dyDescent="0.25">
      <c r="A45" s="741" t="str">
        <f>'A1. Submodels &amp; data'!B24</f>
        <v>Calcium ammonium nitrate</v>
      </c>
    </row>
    <row r="46" spans="1:20" x14ac:dyDescent="0.25">
      <c r="A46" s="741" t="str">
        <f>'A1. Submodels &amp; data'!B25</f>
        <v>Calcium nitrate</v>
      </c>
    </row>
    <row r="47" spans="1:20" x14ac:dyDescent="0.25">
      <c r="A47" s="741" t="str">
        <f>'A1. Submodels &amp; data'!B26</f>
        <v>Compound NK</v>
      </c>
      <c r="J47" s="291"/>
      <c r="K47" s="291"/>
      <c r="L47" s="291"/>
      <c r="M47" s="291"/>
      <c r="N47" s="291"/>
      <c r="O47" s="291"/>
      <c r="P47" s="291"/>
      <c r="Q47" s="291"/>
      <c r="R47" s="291"/>
      <c r="S47" s="291"/>
      <c r="T47" s="291"/>
    </row>
    <row r="48" spans="1:20" x14ac:dyDescent="0.25">
      <c r="A48" s="741" t="str">
        <f>'A1. Submodels &amp; data'!B27</f>
        <v>Compound NPK</v>
      </c>
      <c r="J48" s="291"/>
      <c r="K48" s="291"/>
      <c r="L48" s="291"/>
      <c r="M48" s="291"/>
      <c r="N48" s="291"/>
      <c r="O48" s="291"/>
      <c r="P48" s="291"/>
      <c r="Q48" s="291"/>
      <c r="R48" s="291"/>
      <c r="S48" s="291"/>
      <c r="T48" s="291"/>
    </row>
    <row r="49" spans="1:20" x14ac:dyDescent="0.25">
      <c r="A49" s="741" t="str">
        <f>'A1. Submodels &amp; data'!B28</f>
        <v>Diammonium phosphate</v>
      </c>
      <c r="J49" s="291"/>
      <c r="K49" s="291"/>
      <c r="L49" s="291"/>
      <c r="M49" s="291"/>
      <c r="N49" s="291"/>
      <c r="O49" s="291"/>
      <c r="P49" s="291"/>
      <c r="Q49" s="291"/>
      <c r="R49" s="291"/>
      <c r="S49" s="291"/>
      <c r="T49" s="291"/>
    </row>
    <row r="50" spans="1:20" x14ac:dyDescent="0.25">
      <c r="A50" s="741" t="str">
        <f>'A1. Submodels &amp; data'!B29</f>
        <v>Kainit / Magnesium Sulphate</v>
      </c>
    </row>
    <row r="51" spans="1:20" x14ac:dyDescent="0.25">
      <c r="A51" s="741" t="str">
        <f>'A1. Submodels &amp; data'!B30</f>
        <v>Lime</v>
      </c>
    </row>
    <row r="52" spans="1:20" x14ac:dyDescent="0.25">
      <c r="A52" s="741" t="str">
        <f>'A1. Submodels &amp; data'!B31</f>
        <v>Limestone</v>
      </c>
    </row>
    <row r="53" spans="1:20" x14ac:dyDescent="0.25">
      <c r="A53" s="741" t="str">
        <f>'A1. Submodels &amp; data'!B32</f>
        <v>Lime, algal</v>
      </c>
    </row>
    <row r="54" spans="1:20" x14ac:dyDescent="0.25">
      <c r="A54" s="741" t="str">
        <f>'A1. Submodels &amp; data'!B33</f>
        <v>Monoammonium phosphate</v>
      </c>
    </row>
    <row r="55" spans="1:20" x14ac:dyDescent="0.25">
      <c r="A55" s="741" t="str">
        <f>'A1. Submodels &amp; data'!B34</f>
        <v>Muriate of potash / Potassium Chloride</v>
      </c>
    </row>
    <row r="56" spans="1:20" x14ac:dyDescent="0.25">
      <c r="A56" s="741" t="str">
        <f>'A1. Submodels &amp; data'!B35</f>
        <v>Phosphate/Rock Phosphate</v>
      </c>
    </row>
    <row r="57" spans="1:20" x14ac:dyDescent="0.25">
      <c r="A57" s="741" t="str">
        <f>'A1. Submodels &amp; data'!B36</f>
        <v>Potassium sulphate</v>
      </c>
    </row>
    <row r="58" spans="1:20" x14ac:dyDescent="0.25">
      <c r="A58" s="741" t="str">
        <f>'A1. Submodels &amp; data'!B37</f>
        <v>Super phosphate</v>
      </c>
    </row>
    <row r="59" spans="1:20" x14ac:dyDescent="0.25">
      <c r="A59" s="741" t="str">
        <f>'A1. Submodels &amp; data'!B38</f>
        <v>Triple super phosphate</v>
      </c>
    </row>
    <row r="60" spans="1:20" x14ac:dyDescent="0.25">
      <c r="A60" s="741" t="str">
        <f>'A1. Submodels &amp; data'!B39</f>
        <v>Urea</v>
      </c>
    </row>
    <row r="61" spans="1:20" x14ac:dyDescent="0.25">
      <c r="A61" s="741" t="str">
        <f>'A1. Submodels &amp; data'!B40</f>
        <v>Urea ammonium nitrate solution</v>
      </c>
    </row>
    <row r="62" spans="1:20" x14ac:dyDescent="0.25">
      <c r="A62" s="741" t="str">
        <f>'A1. Submodels &amp; data'!B41</f>
        <v>Compost (zero emissions)</v>
      </c>
    </row>
    <row r="63" spans="1:20" x14ac:dyDescent="0.25">
      <c r="A63" s="741" t="str">
        <f>'A1. Submodels &amp; data'!B42</f>
        <v>Compost (fully aerated production)</v>
      </c>
    </row>
    <row r="64" spans="1:20" x14ac:dyDescent="0.25">
      <c r="A64" s="741" t="str">
        <f>'A1. Submodels &amp; data'!B43</f>
        <v>Compost (non-fully aerated production)</v>
      </c>
    </row>
    <row r="65" spans="1:1" x14ac:dyDescent="0.25">
      <c r="A65" s="741" t="str">
        <f>'A1. Submodels &amp; data'!B44</f>
        <v>Cattle Farmyard manure</v>
      </c>
    </row>
    <row r="66" spans="1:1" x14ac:dyDescent="0.25">
      <c r="A66" s="741" t="str">
        <f>'A1. Submodels &amp; data'!B45</f>
        <v>Pig Farmyard manure</v>
      </c>
    </row>
    <row r="67" spans="1:1" x14ac:dyDescent="0.25">
      <c r="A67" s="741" t="str">
        <f>'A1. Submodels &amp; data'!B46</f>
        <v>Sheep Farmyard manure</v>
      </c>
    </row>
    <row r="68" spans="1:1" x14ac:dyDescent="0.25">
      <c r="A68" s="741" t="str">
        <f>'A1. Submodels &amp; data'!B47</f>
        <v>Horse Farmyard Manure</v>
      </c>
    </row>
    <row r="69" spans="1:1" x14ac:dyDescent="0.25">
      <c r="A69" s="741" t="str">
        <f>'A1. Submodels &amp; data'!B48</f>
        <v>Poultry layer manure</v>
      </c>
    </row>
    <row r="70" spans="1:1" x14ac:dyDescent="0.25">
      <c r="A70" s="741" t="str">
        <f>'A1. Submodels &amp; data'!B49</f>
        <v>Broiler/Turkey litter</v>
      </c>
    </row>
    <row r="71" spans="1:1" x14ac:dyDescent="0.25">
      <c r="A71" s="741" t="str">
        <f>'A1. Submodels &amp; data'!B50</f>
        <v>Cattle Slurry</v>
      </c>
    </row>
    <row r="72" spans="1:1" x14ac:dyDescent="0.25">
      <c r="A72" s="741" t="str">
        <f>'A1. Submodels &amp; data'!B51</f>
        <v>Pig slurry</v>
      </c>
    </row>
    <row r="73" spans="1:1" x14ac:dyDescent="0.25">
      <c r="A73" s="741" t="str">
        <f>'A1. Submodels &amp; data'!B52</f>
        <v>Separated Pig slurry - liquid part</v>
      </c>
    </row>
    <row r="74" spans="1:1" x14ac:dyDescent="0.25">
      <c r="A74" s="741" t="str">
        <f>'A1. Submodels &amp; data'!B53</f>
        <v>Separated Pig slurry - solid part</v>
      </c>
    </row>
  </sheetData>
  <mergeCells count="5">
    <mergeCell ref="A2:M2"/>
    <mergeCell ref="A22:D24"/>
    <mergeCell ref="B9:B13"/>
    <mergeCell ref="I9:K13"/>
    <mergeCell ref="B16:D16"/>
  </mergeCells>
  <phoneticPr fontId="40" type="noConversion"/>
  <dataValidations xWindow="1272" yWindow="389" count="5">
    <dataValidation allowBlank="1" showInputMessage="1" showErrorMessage="1" prompt="Below is the P2O5 percentage assumed to be in your fertiliser. This value is commonly called the &quot;P&quot; value, or second number of a combination fertiliser. For example, if your fertiliser is NPK 10-15-5 that means it's 10% Nitrogen, 15% P2O5, and 5% K2O." sqref="D9 M9" xr:uid="{00000000-0002-0000-0F00-000000000000}"/>
    <dataValidation allowBlank="1" showInputMessage="1" showErrorMessage="1" prompt="Below is the K2O percentage assumed to be in your fertiliser. This value is commonly called the &quot;K&quot; value, or third number of a combination fertiliser. For example, if your fertiliser is NPK 10-15-5 that means it's 10% Nitrogen, 15% P2O5, and 5% K2O." sqref="E9 N9" xr:uid="{00000000-0002-0000-0F00-000001000000}"/>
    <dataValidation allowBlank="1" showInputMessage="1" showErrorMessage="1" prompt="Below is the Nitrogen percentage assumed to be in your fertiliser. This value is the &quot;N&quot; value, or first  number of a combination fertiliser. For example, if your fertiliser is NPK 10-15-5 that means it's 10% Nitrogen, 15% P2O5, and 5% K2O." sqref="C9 L9" xr:uid="{00000000-0002-0000-0F00-000002000000}"/>
    <dataValidation type="decimal" allowBlank="1" showInputMessage="1" showErrorMessage="1" sqref="C10:E13" xr:uid="{00000000-0002-0000-0F00-000003000000}">
      <formula1>0</formula1>
      <formula2>100</formula2>
    </dataValidation>
    <dataValidation type="list" allowBlank="1" showInputMessage="1" sqref="B4:B7" xr:uid="{00000000-0002-0000-0F00-000004000000}">
      <formula1>$A$40:$A$74</formula1>
    </dataValidation>
  </dataValidations>
  <pageMargins left="0.75" right="0.75" top="1" bottom="1" header="0.5" footer="0.5"/>
  <pageSetup paperSize="9" orientation="portrait" horizontalDpi="429496729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Q507"/>
  <sheetViews>
    <sheetView topLeftCell="A346" workbookViewId="0">
      <selection activeCell="C357" sqref="C357"/>
    </sheetView>
  </sheetViews>
  <sheetFormatPr defaultColWidth="11.44140625" defaultRowHeight="12.7" x14ac:dyDescent="0.25"/>
  <cols>
    <col min="1" max="1" width="24.77734375" style="1148" customWidth="1" collapsed="1"/>
    <col min="2" max="2" width="18.77734375" style="1154" customWidth="1" collapsed="1"/>
    <col min="3" max="3" width="18.21875" style="1153" customWidth="1" collapsed="1"/>
    <col min="4" max="4" width="20" style="1154" customWidth="1" collapsed="1"/>
    <col min="5" max="5" width="12.44140625" style="1153" customWidth="1" collapsed="1"/>
    <col min="6" max="6" width="16.44140625" style="1153" customWidth="1" collapsed="1"/>
    <col min="7" max="7" width="12.6640625" style="1153" customWidth="1" collapsed="1"/>
    <col min="8" max="8" width="12.44140625" style="1153" customWidth="1" collapsed="1"/>
    <col min="9" max="9" width="12.6640625" style="1153" customWidth="1" collapsed="1"/>
    <col min="10" max="16384" width="11.44140625" style="1153" collapsed="1"/>
  </cols>
  <sheetData>
    <row r="1" spans="1:5" s="1147" customFormat="1" x14ac:dyDescent="0.25">
      <c r="A1" s="1145" t="s">
        <v>1178</v>
      </c>
      <c r="B1" s="1146"/>
      <c r="D1" s="1146"/>
    </row>
    <row r="2" spans="1:5" s="1147" customFormat="1" x14ac:dyDescent="0.25">
      <c r="A2" s="1145"/>
      <c r="B2" s="1146" t="s">
        <v>1179</v>
      </c>
      <c r="C2" s="1147" t="s">
        <v>906</v>
      </c>
      <c r="D2" s="1146" t="s">
        <v>1011</v>
      </c>
    </row>
    <row r="3" spans="1:5" x14ac:dyDescent="0.25">
      <c r="B3" s="1149" t="s">
        <v>1790</v>
      </c>
      <c r="C3" s="1150" t="s">
        <v>653</v>
      </c>
      <c r="D3" s="1247" t="str">
        <f>'1.GeneralInfo'!E5</f>
        <v/>
      </c>
      <c r="E3" s="1152"/>
    </row>
    <row r="4" spans="1:5" x14ac:dyDescent="0.25">
      <c r="B4" s="1149" t="s">
        <v>1791</v>
      </c>
      <c r="C4" s="1150" t="s">
        <v>654</v>
      </c>
      <c r="D4" s="1247">
        <f>'1.GeneralInfo'!E6</f>
        <v>2020</v>
      </c>
      <c r="E4" s="1152"/>
    </row>
    <row r="5" spans="1:5" x14ac:dyDescent="0.25">
      <c r="B5" s="1149" t="s">
        <v>1180</v>
      </c>
      <c r="C5" s="1150" t="s">
        <v>655</v>
      </c>
      <c r="D5" s="1245" t="str">
        <f>'1.GeneralInfo'!E7</f>
        <v xml:space="preserve"> - United Kingdom</v>
      </c>
      <c r="E5" s="1152"/>
    </row>
    <row r="6" spans="1:5" x14ac:dyDescent="0.25">
      <c r="B6" s="1149" t="s">
        <v>1429</v>
      </c>
      <c r="C6" s="1150"/>
      <c r="D6" s="1246" t="str">
        <f>'1.GeneralInfo'!E8</f>
        <v>Metric</v>
      </c>
      <c r="E6" s="1152"/>
    </row>
    <row r="7" spans="1:5" x14ac:dyDescent="0.25">
      <c r="B7" s="1149" t="s">
        <v>933</v>
      </c>
      <c r="C7" s="1150" t="s">
        <v>656</v>
      </c>
      <c r="D7" s="1155" t="str">
        <f>'1.GeneralInfo'!E11</f>
        <v>Winter wheat</v>
      </c>
      <c r="E7" s="1152"/>
    </row>
    <row r="8" spans="1:5" x14ac:dyDescent="0.25">
      <c r="B8" s="1149" t="s">
        <v>711</v>
      </c>
      <c r="C8" s="1150" t="s">
        <v>657</v>
      </c>
      <c r="D8" s="1163">
        <f>'1.GeneralInfo'!E12</f>
        <v>7.2</v>
      </c>
    </row>
    <row r="9" spans="1:5" ht="25.35" x14ac:dyDescent="0.25">
      <c r="B9" s="1149" t="s">
        <v>1262</v>
      </c>
      <c r="C9" s="1150" t="s">
        <v>658</v>
      </c>
      <c r="D9" s="1155">
        <f>'1.GeneralInfo'!E13</f>
        <v>0</v>
      </c>
    </row>
    <row r="10" spans="1:5" ht="25.35" x14ac:dyDescent="0.25">
      <c r="B10" s="1149" t="s">
        <v>710</v>
      </c>
      <c r="C10" s="1150" t="s">
        <v>659</v>
      </c>
      <c r="D10" s="1155">
        <f>'1.GeneralInfo'!E14</f>
        <v>61.92</v>
      </c>
    </row>
    <row r="11" spans="1:5" x14ac:dyDescent="0.25">
      <c r="B11" s="1149"/>
      <c r="C11" s="1150"/>
      <c r="D11" s="1151"/>
    </row>
    <row r="12" spans="1:5" x14ac:dyDescent="0.25">
      <c r="B12" s="1149"/>
      <c r="C12" s="1150"/>
      <c r="D12" s="1151"/>
    </row>
    <row r="13" spans="1:5" ht="25.35" x14ac:dyDescent="0.25">
      <c r="B13" s="1146" t="s">
        <v>1085</v>
      </c>
      <c r="C13" s="1150"/>
      <c r="D13" s="1151" t="str">
        <f>'1.GeneralInfo'!F12</f>
        <v>hectares</v>
      </c>
      <c r="E13" s="1152"/>
    </row>
    <row r="14" spans="1:5" x14ac:dyDescent="0.25">
      <c r="B14" s="1146" t="s">
        <v>1086</v>
      </c>
      <c r="C14" s="1150"/>
      <c r="D14" s="1151">
        <f>'1.GeneralInfo'!F13</f>
        <v>0</v>
      </c>
      <c r="E14" s="1152"/>
    </row>
    <row r="15" spans="1:5" x14ac:dyDescent="0.25">
      <c r="B15" s="1146" t="s">
        <v>1087</v>
      </c>
      <c r="C15" s="1150"/>
      <c r="D15" s="1151" t="str">
        <f ca="1">'1.GeneralInfo'!F14</f>
        <v xml:space="preserve">tonnes </v>
      </c>
      <c r="E15" s="1152"/>
    </row>
    <row r="16" spans="1:5" x14ac:dyDescent="0.25">
      <c r="B16" s="1146"/>
      <c r="C16" s="1150"/>
      <c r="D16" s="1155"/>
      <c r="E16" s="1152"/>
    </row>
    <row r="17" spans="1:10" x14ac:dyDescent="0.25">
      <c r="B17" s="1146"/>
      <c r="C17" s="1150"/>
      <c r="D17" s="1156"/>
      <c r="E17" s="1152"/>
    </row>
    <row r="18" spans="1:10" x14ac:dyDescent="0.25">
      <c r="B18" s="1149" t="s">
        <v>849</v>
      </c>
      <c r="C18" s="1150" t="s">
        <v>660</v>
      </c>
      <c r="D18" s="1156" t="str">
        <f>'1.GeneralInfo'!E17</f>
        <v>Temperate</v>
      </c>
      <c r="E18" s="1152"/>
    </row>
    <row r="19" spans="1:10" ht="38.049999999999997" x14ac:dyDescent="0.25">
      <c r="B19" s="1149" t="s">
        <v>70</v>
      </c>
      <c r="C19" s="1150"/>
      <c r="D19" s="1157">
        <f>'1.GeneralInfo'!E18</f>
        <v>10</v>
      </c>
      <c r="E19" s="1152"/>
    </row>
    <row r="20" spans="1:10" x14ac:dyDescent="0.25">
      <c r="B20" s="1149"/>
      <c r="C20" s="1150"/>
      <c r="D20" s="1156"/>
      <c r="E20" s="1152"/>
    </row>
    <row r="21" spans="1:10" ht="25.35" x14ac:dyDescent="0.25">
      <c r="B21" s="1146" t="s">
        <v>1088</v>
      </c>
      <c r="C21" s="1150"/>
      <c r="D21" s="1156" t="str">
        <f ca="1">'1.GeneralInfo'!F18</f>
        <v>°C</v>
      </c>
      <c r="E21" s="1152"/>
    </row>
    <row r="22" spans="1:10" x14ac:dyDescent="0.25">
      <c r="B22" s="1149"/>
      <c r="C22" s="1150"/>
      <c r="D22" s="1156"/>
      <c r="E22" s="1152"/>
    </row>
    <row r="23" spans="1:10" x14ac:dyDescent="0.25">
      <c r="B23" s="1149" t="s">
        <v>850</v>
      </c>
      <c r="C23" s="1150" t="s">
        <v>417</v>
      </c>
      <c r="D23" s="1156" t="str">
        <f>'2.CropManagement'!E5</f>
        <v>Winter wheat</v>
      </c>
      <c r="E23" s="1152"/>
    </row>
    <row r="24" spans="1:10" x14ac:dyDescent="0.25">
      <c r="B24" s="1149" t="s">
        <v>851</v>
      </c>
      <c r="C24" s="1150" t="s">
        <v>418</v>
      </c>
      <c r="D24" s="1156" t="str">
        <f>'2.CropManagement'!E12</f>
        <v>Medium</v>
      </c>
      <c r="E24" s="1152"/>
    </row>
    <row r="25" spans="1:10" x14ac:dyDescent="0.25">
      <c r="B25" s="1149" t="s">
        <v>1896</v>
      </c>
      <c r="C25" s="1150" t="s">
        <v>419</v>
      </c>
      <c r="D25" s="1156" t="str">
        <f>'2.CropManagement'!E13</f>
        <v>1.72 &lt; SOM &lt;= 5.16</v>
      </c>
      <c r="E25" s="1152"/>
    </row>
    <row r="26" spans="1:10" x14ac:dyDescent="0.25">
      <c r="B26" s="1149" t="s">
        <v>531</v>
      </c>
      <c r="C26" s="1150"/>
      <c r="D26" s="1156" t="str">
        <f>'2.CropManagement'!E14</f>
        <v>Moist</v>
      </c>
      <c r="E26" s="1152"/>
    </row>
    <row r="27" spans="1:10" x14ac:dyDescent="0.25">
      <c r="B27" s="1149" t="s">
        <v>887</v>
      </c>
      <c r="C27" s="1150" t="s">
        <v>420</v>
      </c>
      <c r="D27" s="1156" t="str">
        <f>'2.CropManagement'!E15</f>
        <v>Good</v>
      </c>
      <c r="E27" s="1152"/>
    </row>
    <row r="28" spans="1:10" x14ac:dyDescent="0.25">
      <c r="B28" s="1149" t="s">
        <v>852</v>
      </c>
      <c r="C28" s="1150" t="s">
        <v>421</v>
      </c>
      <c r="D28" s="1156" t="str">
        <f>'2.CropManagement'!E16</f>
        <v>5.5 &lt; pH &lt;= 7.3</v>
      </c>
      <c r="E28" s="1152"/>
    </row>
    <row r="29" spans="1:10" ht="25.35" x14ac:dyDescent="0.25">
      <c r="B29" s="1158" t="s">
        <v>469</v>
      </c>
      <c r="C29" s="1150"/>
      <c r="D29" s="1156"/>
      <c r="E29" s="1152"/>
    </row>
    <row r="30" spans="1:10" x14ac:dyDescent="0.25">
      <c r="B30" s="1149"/>
      <c r="C30" s="1150"/>
      <c r="D30" s="1156"/>
      <c r="E30" s="1152"/>
    </row>
    <row r="31" spans="1:10" s="1147" customFormat="1" x14ac:dyDescent="0.25">
      <c r="A31" s="1145"/>
      <c r="B31" s="1149"/>
      <c r="C31" s="1150"/>
      <c r="D31" s="1149" t="s">
        <v>649</v>
      </c>
      <c r="E31" s="1150" t="s">
        <v>1129</v>
      </c>
      <c r="F31" s="1150" t="s">
        <v>1263</v>
      </c>
      <c r="G31" s="1150" t="s">
        <v>682</v>
      </c>
      <c r="H31" s="1150" t="s">
        <v>1104</v>
      </c>
      <c r="I31" s="1147" t="s">
        <v>218</v>
      </c>
      <c r="J31" s="1147" t="s">
        <v>1433</v>
      </c>
    </row>
    <row r="32" spans="1:10" ht="25.35" x14ac:dyDescent="0.25">
      <c r="B32" s="1149" t="s">
        <v>815</v>
      </c>
      <c r="C32" s="1150" t="s">
        <v>470</v>
      </c>
      <c r="D32" s="1156" t="str">
        <f>'2.CropManagement'!E19</f>
        <v>Ammonium nitrate - 35% N</v>
      </c>
      <c r="E32" s="1156" t="str">
        <f>'2.CropManagement'!F19</f>
        <v>N</v>
      </c>
      <c r="F32" s="1157">
        <f>'2.CropManagement'!G19</f>
        <v>220</v>
      </c>
      <c r="G32" s="1156" t="str">
        <f ca="1">'2.CropManagement'!H19</f>
        <v>kg/ha</v>
      </c>
      <c r="H32" s="1156">
        <f>'2.CropManagement'!I19</f>
        <v>0</v>
      </c>
      <c r="I32" s="1159" t="str">
        <f>'2.CropManagement'!J19</f>
        <v>None</v>
      </c>
      <c r="J32" s="1159" t="str">
        <f>'2.CropManagement'!K19</f>
        <v>Current tech</v>
      </c>
    </row>
    <row r="33" spans="2:10" x14ac:dyDescent="0.25">
      <c r="B33" s="1149" t="s">
        <v>816</v>
      </c>
      <c r="C33" s="1150" t="s">
        <v>471</v>
      </c>
      <c r="D33" s="1156" t="str">
        <f>'2.CropManagement'!E20</f>
        <v>[Select]</v>
      </c>
      <c r="E33" s="1156">
        <f>'2.CropManagement'!F20</f>
        <v>0</v>
      </c>
      <c r="F33" s="1157">
        <f>'2.CropManagement'!G20</f>
        <v>0</v>
      </c>
      <c r="G33" s="1156" t="str">
        <f ca="1">'2.CropManagement'!H20</f>
        <v>kg/ha</v>
      </c>
      <c r="H33" s="1156">
        <f>'2.CropManagement'!I20</f>
        <v>0</v>
      </c>
      <c r="I33" s="1159" t="str">
        <f>'2.CropManagement'!J20</f>
        <v>None</v>
      </c>
      <c r="J33" s="1159" t="str">
        <f>'2.CropManagement'!K20</f>
        <v>Current tech</v>
      </c>
    </row>
    <row r="34" spans="2:10" x14ac:dyDescent="0.25">
      <c r="B34" s="1149" t="s">
        <v>817</v>
      </c>
      <c r="C34" s="1150" t="s">
        <v>472</v>
      </c>
      <c r="D34" s="1156" t="str">
        <f>'2.CropManagement'!E21</f>
        <v>[Select]</v>
      </c>
      <c r="E34" s="1156">
        <f>'2.CropManagement'!F21</f>
        <v>0</v>
      </c>
      <c r="F34" s="1157">
        <f>'2.CropManagement'!G21</f>
        <v>0</v>
      </c>
      <c r="G34" s="1156" t="str">
        <f ca="1">'2.CropManagement'!H21</f>
        <v>kg/ha</v>
      </c>
      <c r="H34" s="1156">
        <f>'2.CropManagement'!I21</f>
        <v>0</v>
      </c>
      <c r="I34" s="1159" t="str">
        <f>'2.CropManagement'!J21</f>
        <v>None</v>
      </c>
      <c r="J34" s="1159" t="str">
        <f>'2.CropManagement'!K21</f>
        <v>Current tech</v>
      </c>
    </row>
    <row r="35" spans="2:10" x14ac:dyDescent="0.25">
      <c r="B35" s="1149" t="s">
        <v>818</v>
      </c>
      <c r="C35" s="1150" t="s">
        <v>473</v>
      </c>
      <c r="D35" s="1156" t="str">
        <f>'2.CropManagement'!E22</f>
        <v>[Select]</v>
      </c>
      <c r="E35" s="1156">
        <f>'2.CropManagement'!F22</f>
        <v>0</v>
      </c>
      <c r="F35" s="1157">
        <f>'2.CropManagement'!G22</f>
        <v>0</v>
      </c>
      <c r="G35" s="1156" t="str">
        <f ca="1">'2.CropManagement'!H22</f>
        <v>kg/ha</v>
      </c>
      <c r="H35" s="1156">
        <f>'2.CropManagement'!I22</f>
        <v>0</v>
      </c>
      <c r="I35" s="1159" t="str">
        <f>'2.CropManagement'!J22</f>
        <v>None</v>
      </c>
      <c r="J35" s="1159" t="str">
        <f>'2.CropManagement'!K22</f>
        <v>Current tech</v>
      </c>
    </row>
    <row r="36" spans="2:10" x14ac:dyDescent="0.25">
      <c r="B36" s="1149" t="s">
        <v>819</v>
      </c>
      <c r="C36" s="1150" t="s">
        <v>474</v>
      </c>
      <c r="D36" s="1156" t="str">
        <f>'2.CropManagement'!E23</f>
        <v>[Select]</v>
      </c>
      <c r="E36" s="1156">
        <f>'2.CropManagement'!F23</f>
        <v>0</v>
      </c>
      <c r="F36" s="1157">
        <f>'2.CropManagement'!G23</f>
        <v>0</v>
      </c>
      <c r="G36" s="1156" t="str">
        <f ca="1">'2.CropManagement'!H23</f>
        <v>kg/ha</v>
      </c>
      <c r="H36" s="1156">
        <f>'2.CropManagement'!I23</f>
        <v>0</v>
      </c>
      <c r="I36" s="1159" t="str">
        <f>'2.CropManagement'!J23</f>
        <v>None</v>
      </c>
      <c r="J36" s="1159" t="str">
        <f>'2.CropManagement'!K23</f>
        <v>Current tech</v>
      </c>
    </row>
    <row r="37" spans="2:10" x14ac:dyDescent="0.25">
      <c r="B37" s="1149" t="s">
        <v>820</v>
      </c>
      <c r="C37" s="1150" t="s">
        <v>475</v>
      </c>
      <c r="D37" s="1156" t="str">
        <f>'2.CropManagement'!E24</f>
        <v>[Select]</v>
      </c>
      <c r="E37" s="1156">
        <f>'2.CropManagement'!F24</f>
        <v>0</v>
      </c>
      <c r="F37" s="1157">
        <f>'2.CropManagement'!G24</f>
        <v>0</v>
      </c>
      <c r="G37" s="1156" t="str">
        <f ca="1">'2.CropManagement'!H24</f>
        <v>kg/ha</v>
      </c>
      <c r="H37" s="1156">
        <f>'2.CropManagement'!I24</f>
        <v>0</v>
      </c>
      <c r="I37" s="1159" t="str">
        <f>'2.CropManagement'!J24</f>
        <v>None</v>
      </c>
      <c r="J37" s="1159" t="str">
        <f>'2.CropManagement'!K24</f>
        <v>Current tech</v>
      </c>
    </row>
    <row r="38" spans="2:10" x14ac:dyDescent="0.25">
      <c r="B38" s="1149"/>
      <c r="C38" s="1150"/>
      <c r="D38" s="1156"/>
      <c r="E38" s="1152"/>
      <c r="F38" s="1152"/>
      <c r="G38" s="1152"/>
      <c r="H38" s="1152"/>
      <c r="I38" s="1159"/>
    </row>
    <row r="39" spans="2:10" x14ac:dyDescent="0.25">
      <c r="B39" s="1149"/>
      <c r="C39" s="1150"/>
      <c r="D39" s="1156"/>
      <c r="E39" s="1152"/>
      <c r="F39" s="1152"/>
      <c r="G39" s="1152"/>
      <c r="H39" s="1152"/>
      <c r="I39" s="1159"/>
    </row>
    <row r="40" spans="2:10" x14ac:dyDescent="0.25">
      <c r="B40" s="1149"/>
      <c r="C40" s="1150"/>
      <c r="D40" s="1156"/>
      <c r="E40" s="1152"/>
      <c r="I40" s="1167"/>
    </row>
    <row r="41" spans="2:10" x14ac:dyDescent="0.25">
      <c r="B41" s="1149"/>
      <c r="C41" s="1150"/>
      <c r="D41" s="1156"/>
      <c r="E41" s="1152"/>
    </row>
    <row r="42" spans="2:10" x14ac:dyDescent="0.25">
      <c r="B42" s="1149"/>
      <c r="C42" s="1150"/>
      <c r="D42" s="1156"/>
      <c r="E42" s="1152"/>
    </row>
    <row r="43" spans="2:10" x14ac:dyDescent="0.25">
      <c r="B43" s="1146" t="s">
        <v>713</v>
      </c>
      <c r="C43" s="1150"/>
      <c r="D43" s="1156"/>
      <c r="E43" s="1152"/>
    </row>
    <row r="44" spans="2:10" ht="25.35" x14ac:dyDescent="0.25">
      <c r="B44" s="1149" t="s">
        <v>681</v>
      </c>
      <c r="C44" s="1150" t="s">
        <v>476</v>
      </c>
      <c r="D44" s="1157">
        <f>'2.CropManagement'!E27</f>
        <v>10.257999999999999</v>
      </c>
      <c r="E44" s="1152"/>
    </row>
    <row r="45" spans="2:10" x14ac:dyDescent="0.25">
      <c r="B45" s="1149"/>
      <c r="C45" s="1150"/>
      <c r="D45" s="1156"/>
      <c r="E45" s="1152"/>
    </row>
    <row r="46" spans="2:10" x14ac:dyDescent="0.25">
      <c r="B46" s="1149"/>
      <c r="C46" s="1150"/>
      <c r="D46" s="1156"/>
    </row>
    <row r="47" spans="2:10" x14ac:dyDescent="0.25">
      <c r="B47" s="1149"/>
      <c r="C47" s="1150"/>
      <c r="D47" s="1156"/>
      <c r="E47" s="1147" t="s">
        <v>1264</v>
      </c>
      <c r="F47" s="1160"/>
    </row>
    <row r="48" spans="2:10" x14ac:dyDescent="0.25">
      <c r="B48" s="1149" t="s">
        <v>356</v>
      </c>
      <c r="C48" s="1150"/>
      <c r="D48" s="1156">
        <f>'2.CropManagement'!E30</f>
        <v>0</v>
      </c>
      <c r="E48" s="1161" t="str">
        <f>'2.CropManagement'!F30</f>
        <v>tonnes/ha</v>
      </c>
      <c r="F48" s="1162"/>
    </row>
    <row r="49" spans="1:8" ht="25.35" x14ac:dyDescent="0.25">
      <c r="B49" s="1149" t="s">
        <v>357</v>
      </c>
      <c r="C49" s="1150"/>
      <c r="D49" s="1156" t="str">
        <f>IF('2.CropManagement'!E31="[Select]",'2.CropManagement'!Y41,'2.CropManagement'!E31)</f>
        <v>Left on field; Incorporated or mulch</v>
      </c>
      <c r="E49" s="1152"/>
    </row>
    <row r="50" spans="1:8" s="1167" customFormat="1" ht="25.35" x14ac:dyDescent="0.25">
      <c r="A50" s="1278"/>
      <c r="B50" s="1146" t="s">
        <v>284</v>
      </c>
      <c r="C50" s="1150"/>
      <c r="D50" s="1151" t="str">
        <f>'2.CropManagement'!I30</f>
        <v>Rice</v>
      </c>
      <c r="E50" s="1159"/>
    </row>
    <row r="51" spans="1:8" x14ac:dyDescent="0.25">
      <c r="B51" s="1156"/>
      <c r="C51" s="1152"/>
      <c r="D51" s="1156"/>
      <c r="E51" s="1152"/>
    </row>
    <row r="52" spans="1:8" s="1147" customFormat="1" x14ac:dyDescent="0.25">
      <c r="A52" s="1145" t="s">
        <v>1089</v>
      </c>
      <c r="B52" s="1146"/>
      <c r="D52" s="1146" t="s">
        <v>1090</v>
      </c>
      <c r="E52" s="1147" t="s">
        <v>774</v>
      </c>
      <c r="F52" s="1160"/>
      <c r="G52" s="1147" t="s">
        <v>2073</v>
      </c>
      <c r="H52" s="1147" t="s">
        <v>1091</v>
      </c>
    </row>
    <row r="53" spans="1:8" ht="25.35" x14ac:dyDescent="0.25">
      <c r="B53" s="1156" t="s">
        <v>814</v>
      </c>
      <c r="D53" s="1248">
        <f ca="1">'2.CropManagement'!D38</f>
        <v>0</v>
      </c>
      <c r="E53" s="1248">
        <f ca="1">'2.CropManagement'!E38</f>
        <v>0</v>
      </c>
      <c r="F53" s="1249"/>
      <c r="G53" s="1250">
        <f>'2.CropManagement'!F38</f>
        <v>0</v>
      </c>
      <c r="H53" s="1250">
        <f ca="1">'2.CropManagement'!G38</f>
        <v>0</v>
      </c>
    </row>
    <row r="54" spans="1:8" x14ac:dyDescent="0.25">
      <c r="B54" s="1156" t="s">
        <v>1433</v>
      </c>
      <c r="D54" s="1248">
        <f ca="1">'2.CropManagement'!D36</f>
        <v>9685.028571428571</v>
      </c>
      <c r="E54" s="1248">
        <f>'2.CropManagement'!E36</f>
        <v>0</v>
      </c>
      <c r="F54" s="1249"/>
      <c r="G54" s="1250">
        <f>'2.CropManagement'!F36</f>
        <v>0</v>
      </c>
      <c r="H54" s="1250">
        <f ca="1">'2.CropManagement'!G36</f>
        <v>9685.028571428571</v>
      </c>
    </row>
    <row r="55" spans="1:8" x14ac:dyDescent="0.25">
      <c r="B55" s="1156" t="s">
        <v>1809</v>
      </c>
      <c r="D55" s="1248">
        <f ca="1">'2.CropManagement'!D40</f>
        <v>1514.0808</v>
      </c>
      <c r="E55" s="1248">
        <f>'2.CropManagement'!E40</f>
        <v>0</v>
      </c>
      <c r="F55" s="1249"/>
      <c r="G55" s="1250">
        <f>'2.CropManagement'!F40</f>
        <v>0</v>
      </c>
      <c r="H55" s="1250">
        <f ca="1">'2.CropManagement'!G40</f>
        <v>1514.0808</v>
      </c>
    </row>
    <row r="56" spans="1:8" x14ac:dyDescent="0.25">
      <c r="B56" s="1156" t="s">
        <v>481</v>
      </c>
      <c r="D56" s="1248">
        <f ca="1">'3.Sequestration'!E42</f>
        <v>-9266.3999999998941</v>
      </c>
      <c r="E56" s="1250"/>
      <c r="F56" s="1249"/>
      <c r="G56" s="1250"/>
      <c r="H56" s="1250">
        <f ca="1">D56</f>
        <v>-9266.3999999998941</v>
      </c>
    </row>
    <row r="57" spans="1:8" ht="25.35" x14ac:dyDescent="0.25">
      <c r="B57" s="1156" t="s">
        <v>355</v>
      </c>
      <c r="D57" s="1248">
        <f>'2.CropManagement'!D41</f>
        <v>0</v>
      </c>
      <c r="E57" s="1248">
        <f ca="1">'2.CropManagement'!E41</f>
        <v>0</v>
      </c>
      <c r="F57" s="1251"/>
      <c r="G57" s="1248">
        <f>'2.CropManagement'!F41</f>
        <v>0</v>
      </c>
      <c r="H57" s="1248">
        <f ca="1">'2.CropManagement'!G41</f>
        <v>0</v>
      </c>
    </row>
    <row r="58" spans="1:8" x14ac:dyDescent="0.25">
      <c r="B58" s="1156" t="s">
        <v>1401</v>
      </c>
      <c r="D58" s="1252">
        <f ca="1">'2.CropManagement'!D42</f>
        <v>11199.109371428571</v>
      </c>
      <c r="E58" s="1252">
        <f ca="1">'2.CropManagement'!E42</f>
        <v>3.994962566793518</v>
      </c>
      <c r="F58" s="1251"/>
      <c r="G58" s="1252">
        <f>'2.CropManagement'!F42</f>
        <v>0</v>
      </c>
      <c r="H58" s="1252">
        <f ca="1">'2.CropManagement'!G42</f>
        <v>12381.618291199451</v>
      </c>
    </row>
    <row r="59" spans="1:8" s="1167" customFormat="1" ht="25.35" x14ac:dyDescent="0.25">
      <c r="A59" s="1278"/>
      <c r="B59" s="1280" t="s">
        <v>684</v>
      </c>
      <c r="D59" s="1285"/>
      <c r="E59" s="1285"/>
      <c r="F59" s="1286"/>
      <c r="G59" s="1285">
        <f>'2.CropManagement'!F39</f>
        <v>0</v>
      </c>
      <c r="H59" s="1285">
        <f>'2.CropManagement'!G39</f>
        <v>0</v>
      </c>
    </row>
    <row r="60" spans="1:8" s="1147" customFormat="1" x14ac:dyDescent="0.25">
      <c r="A60" s="1145" t="s">
        <v>1092</v>
      </c>
      <c r="B60" s="1146"/>
      <c r="D60" s="1146"/>
    </row>
    <row r="61" spans="1:8" x14ac:dyDescent="0.25">
      <c r="B61" s="1149" t="s">
        <v>1667</v>
      </c>
      <c r="C61" s="1150"/>
      <c r="D61" s="1151" t="str">
        <f>'3.Sequestration'!E4</f>
        <v>No</v>
      </c>
      <c r="E61" s="1167"/>
      <c r="F61" s="1167"/>
    </row>
    <row r="62" spans="1:8" ht="25.35" x14ac:dyDescent="0.25">
      <c r="B62" s="1146" t="s">
        <v>1093</v>
      </c>
      <c r="D62" s="1244">
        <f>'3.Sequestration'!F4</f>
        <v>0</v>
      </c>
      <c r="E62" s="1159"/>
      <c r="F62" s="1159"/>
    </row>
    <row r="63" spans="1:8" ht="25.35" x14ac:dyDescent="0.25">
      <c r="B63" s="1146" t="s">
        <v>1094</v>
      </c>
      <c r="D63" s="1151">
        <f>'3.Sequestration'!G4</f>
        <v>0</v>
      </c>
      <c r="E63" s="1159"/>
      <c r="F63" s="1159"/>
    </row>
    <row r="64" spans="1:8" ht="25.35" x14ac:dyDescent="0.25">
      <c r="B64" s="1149" t="s">
        <v>1619</v>
      </c>
      <c r="D64" s="1151" t="str">
        <f>'3.Sequestration'!E7</f>
        <v>[select]</v>
      </c>
      <c r="F64" s="1159"/>
    </row>
    <row r="65" spans="1:10" ht="38.049999999999997" x14ac:dyDescent="0.25">
      <c r="B65" s="1146" t="s">
        <v>1095</v>
      </c>
      <c r="D65" s="1244">
        <f>'3.Sequestration'!F7</f>
        <v>0</v>
      </c>
      <c r="E65" s="1159"/>
      <c r="F65" s="1159"/>
    </row>
    <row r="66" spans="1:10" ht="25.35" x14ac:dyDescent="0.25">
      <c r="B66" s="1149" t="s">
        <v>1620</v>
      </c>
      <c r="D66" s="1151" t="str">
        <f>'3.Sequestration'!E9</f>
        <v>[select]</v>
      </c>
      <c r="F66" s="1159"/>
    </row>
    <row r="67" spans="1:10" ht="25.35" x14ac:dyDescent="0.25">
      <c r="B67" s="1146" t="s">
        <v>482</v>
      </c>
      <c r="D67" s="1244">
        <f>'3.Sequestration'!F9</f>
        <v>0</v>
      </c>
      <c r="E67" s="1159"/>
      <c r="F67" s="1159"/>
    </row>
    <row r="68" spans="1:10" x14ac:dyDescent="0.25">
      <c r="B68" s="1149"/>
      <c r="D68" s="1151"/>
      <c r="E68" s="1159"/>
      <c r="F68" s="1159"/>
    </row>
    <row r="69" spans="1:10" x14ac:dyDescent="0.25">
      <c r="B69" s="1149"/>
      <c r="D69" s="1151"/>
      <c r="E69" s="1159"/>
      <c r="F69" s="1159"/>
    </row>
    <row r="70" spans="1:10" s="1167" customFormat="1" x14ac:dyDescent="0.25">
      <c r="A70" s="1145" t="s">
        <v>714</v>
      </c>
      <c r="B70" s="1149"/>
      <c r="D70" s="1280" t="s">
        <v>483</v>
      </c>
      <c r="E70" s="1147" t="s">
        <v>593</v>
      </c>
      <c r="F70" s="1147" t="s">
        <v>594</v>
      </c>
    </row>
    <row r="71" spans="1:10" ht="25.35" x14ac:dyDescent="0.25">
      <c r="B71" s="1149" t="s">
        <v>484</v>
      </c>
      <c r="D71" s="1151" t="str">
        <f>'3.Sequestration'!E12</f>
        <v>Conventional to Reduced</v>
      </c>
      <c r="E71" s="1151">
        <f>'3.Sequestration'!F12</f>
        <v>1</v>
      </c>
      <c r="F71" s="1151">
        <f>'3.Sequestration'!G12</f>
        <v>100</v>
      </c>
    </row>
    <row r="72" spans="1:10" ht="25.35" x14ac:dyDescent="0.25">
      <c r="B72" s="1168" t="s">
        <v>485</v>
      </c>
      <c r="C72" s="1169"/>
      <c r="D72" s="1170"/>
      <c r="E72" s="1162"/>
      <c r="F72" s="1162"/>
    </row>
    <row r="73" spans="1:10" ht="38.049999999999997" x14ac:dyDescent="0.25">
      <c r="B73" s="1158" t="s">
        <v>1916</v>
      </c>
      <c r="D73" s="1151"/>
      <c r="E73" s="1159"/>
      <c r="F73" s="1159"/>
    </row>
    <row r="74" spans="1:10" x14ac:dyDescent="0.25">
      <c r="B74" s="1149"/>
      <c r="D74" s="1151"/>
      <c r="E74" s="1159"/>
      <c r="F74" s="1159"/>
    </row>
    <row r="75" spans="1:10" s="1147" customFormat="1" x14ac:dyDescent="0.25">
      <c r="A75" s="1145"/>
      <c r="B75" s="1149"/>
      <c r="D75" s="1146" t="s">
        <v>1798</v>
      </c>
      <c r="E75" s="1147" t="s">
        <v>1237</v>
      </c>
      <c r="F75" s="1150"/>
      <c r="G75" s="1147" t="s">
        <v>11</v>
      </c>
      <c r="H75" s="1147" t="s">
        <v>1238</v>
      </c>
      <c r="I75" s="1147" t="s">
        <v>493</v>
      </c>
      <c r="J75" s="1147" t="s">
        <v>321</v>
      </c>
    </row>
    <row r="76" spans="1:10" x14ac:dyDescent="0.25">
      <c r="B76" s="1149" t="s">
        <v>315</v>
      </c>
      <c r="D76" s="1151" t="str">
        <f>'3.Sequestration'!E21</f>
        <v>[select]</v>
      </c>
      <c r="E76" s="1159">
        <f>'3.Sequestration'!F21</f>
        <v>0</v>
      </c>
      <c r="F76" s="1159" t="str">
        <f ca="1">IF('3.Sequestration'!G21=0,"",'3.Sequestration'!G21)</f>
        <v/>
      </c>
      <c r="G76" s="1179">
        <f>'3.Sequestration'!H21</f>
        <v>0</v>
      </c>
      <c r="H76" s="1179">
        <f>'3.Sequestration'!I21</f>
        <v>0</v>
      </c>
      <c r="I76" s="1159" t="str">
        <f ca="1">'3.Sequestration'!J21</f>
        <v>cm</v>
      </c>
      <c r="J76" s="1254">
        <f>'3.Sequestration'!K21</f>
        <v>0</v>
      </c>
    </row>
    <row r="77" spans="1:10" x14ac:dyDescent="0.25">
      <c r="B77" s="1149" t="s">
        <v>1681</v>
      </c>
      <c r="D77" s="1151" t="str">
        <f>'3.Sequestration'!E22</f>
        <v>[select]</v>
      </c>
      <c r="E77" s="1159">
        <f>'3.Sequestration'!F22</f>
        <v>0</v>
      </c>
      <c r="F77" s="1159" t="str">
        <f ca="1">IF('3.Sequestration'!G22=0,"",'3.Sequestration'!G22)</f>
        <v/>
      </c>
      <c r="G77" s="1179">
        <f>'3.Sequestration'!H22</f>
        <v>0</v>
      </c>
      <c r="H77" s="1179">
        <f>'3.Sequestration'!I22</f>
        <v>0</v>
      </c>
      <c r="I77" s="1159" t="str">
        <f ca="1">'3.Sequestration'!J22</f>
        <v>cm</v>
      </c>
      <c r="J77" s="1254">
        <f>'3.Sequestration'!K22</f>
        <v>0</v>
      </c>
    </row>
    <row r="78" spans="1:10" x14ac:dyDescent="0.25">
      <c r="B78" s="1149" t="s">
        <v>1682</v>
      </c>
      <c r="D78" s="1151" t="str">
        <f>'3.Sequestration'!E23</f>
        <v>[select]</v>
      </c>
      <c r="E78" s="1159">
        <f>'3.Sequestration'!F23</f>
        <v>0</v>
      </c>
      <c r="F78" s="1159" t="str">
        <f ca="1">IF('3.Sequestration'!G23=0,"",'3.Sequestration'!G23)</f>
        <v/>
      </c>
      <c r="G78" s="1179">
        <f>'3.Sequestration'!H23</f>
        <v>0</v>
      </c>
      <c r="H78" s="1179">
        <f>'3.Sequestration'!I23</f>
        <v>0</v>
      </c>
      <c r="I78" s="1159" t="str">
        <f ca="1">'3.Sequestration'!J23</f>
        <v>cm</v>
      </c>
      <c r="J78" s="1254">
        <f>'3.Sequestration'!K23</f>
        <v>0</v>
      </c>
    </row>
    <row r="79" spans="1:10" x14ac:dyDescent="0.25">
      <c r="B79" s="1149" t="s">
        <v>1545</v>
      </c>
      <c r="D79" s="1151" t="str">
        <f>'3.Sequestration'!E24</f>
        <v>[select]</v>
      </c>
      <c r="E79" s="1159">
        <f>'3.Sequestration'!F24</f>
        <v>0</v>
      </c>
      <c r="F79" s="1159" t="str">
        <f ca="1">IF('3.Sequestration'!G24=0,"",'3.Sequestration'!G24)</f>
        <v/>
      </c>
      <c r="G79" s="1179">
        <f>'3.Sequestration'!H24</f>
        <v>0</v>
      </c>
      <c r="H79" s="1179">
        <f>'3.Sequestration'!I24</f>
        <v>0</v>
      </c>
      <c r="I79" s="1159" t="str">
        <f ca="1">'3.Sequestration'!J24</f>
        <v>cm</v>
      </c>
      <c r="J79" s="1254">
        <f>'3.Sequestration'!K24</f>
        <v>0</v>
      </c>
    </row>
    <row r="80" spans="1:10" x14ac:dyDescent="0.25">
      <c r="B80" s="1149" t="s">
        <v>1424</v>
      </c>
      <c r="D80" s="1151" t="str">
        <f>'3.Sequestration'!E25</f>
        <v>[select]</v>
      </c>
      <c r="E80" s="1159">
        <f>'3.Sequestration'!F25</f>
        <v>0</v>
      </c>
      <c r="F80" s="1159" t="str">
        <f ca="1">IF('3.Sequestration'!G25=0,"",'3.Sequestration'!G25)</f>
        <v/>
      </c>
      <c r="G80" s="1179">
        <f>'3.Sequestration'!H25</f>
        <v>0</v>
      </c>
      <c r="H80" s="1179">
        <f>'3.Sequestration'!I25</f>
        <v>0</v>
      </c>
      <c r="I80" s="1159" t="str">
        <f ca="1">'3.Sequestration'!J25</f>
        <v>cm</v>
      </c>
      <c r="J80" s="1254">
        <f>'3.Sequestration'!K25</f>
        <v>0</v>
      </c>
    </row>
    <row r="81" spans="1:10" x14ac:dyDescent="0.25">
      <c r="B81" s="1149" t="s">
        <v>1995</v>
      </c>
      <c r="D81" s="1151" t="str">
        <f>'3.Sequestration'!E26</f>
        <v>[select]</v>
      </c>
      <c r="E81" s="1159">
        <f>'3.Sequestration'!F26</f>
        <v>0</v>
      </c>
      <c r="F81" s="1159" t="str">
        <f ca="1">IF('3.Sequestration'!G26=0,"",'3.Sequestration'!G26)</f>
        <v/>
      </c>
      <c r="G81" s="1179">
        <f>'3.Sequestration'!H26</f>
        <v>0</v>
      </c>
      <c r="H81" s="1179">
        <f>'3.Sequestration'!I26</f>
        <v>0</v>
      </c>
      <c r="I81" s="1159" t="str">
        <f ca="1">'3.Sequestration'!J26</f>
        <v>cm</v>
      </c>
      <c r="J81" s="1254">
        <f>'3.Sequestration'!K26</f>
        <v>0</v>
      </c>
    </row>
    <row r="82" spans="1:10" x14ac:dyDescent="0.25">
      <c r="B82" s="1149" t="s">
        <v>1819</v>
      </c>
      <c r="D82" s="1151" t="str">
        <f>'3.Sequestration'!E27</f>
        <v>[select]</v>
      </c>
      <c r="E82" s="1159">
        <f>'3.Sequestration'!F27</f>
        <v>0</v>
      </c>
      <c r="F82" s="1159" t="str">
        <f ca="1">IF('3.Sequestration'!G27=0,"",'3.Sequestration'!G27)</f>
        <v/>
      </c>
      <c r="G82" s="1179">
        <f>'3.Sequestration'!H27</f>
        <v>0</v>
      </c>
      <c r="H82" s="1179">
        <f>'3.Sequestration'!I27</f>
        <v>0</v>
      </c>
      <c r="I82" s="1159" t="str">
        <f ca="1">'3.Sequestration'!J27</f>
        <v>cm</v>
      </c>
      <c r="J82" s="1254">
        <f>'3.Sequestration'!K27</f>
        <v>0</v>
      </c>
    </row>
    <row r="83" spans="1:10" x14ac:dyDescent="0.25">
      <c r="B83" s="1149" t="s">
        <v>1820</v>
      </c>
      <c r="D83" s="1151" t="str">
        <f>'3.Sequestration'!E28</f>
        <v>[select]</v>
      </c>
      <c r="E83" s="1159">
        <f>'3.Sequestration'!F28</f>
        <v>0</v>
      </c>
      <c r="F83" s="1159" t="str">
        <f ca="1">IF('3.Sequestration'!G28=0,"",'3.Sequestration'!G28)</f>
        <v/>
      </c>
      <c r="G83" s="1179">
        <f>'3.Sequestration'!H28</f>
        <v>0</v>
      </c>
      <c r="H83" s="1179">
        <f>'3.Sequestration'!I28</f>
        <v>0</v>
      </c>
      <c r="I83" s="1159" t="str">
        <f ca="1">'3.Sequestration'!J28</f>
        <v>cm</v>
      </c>
      <c r="J83" s="1254">
        <f>'3.Sequestration'!K28</f>
        <v>0</v>
      </c>
    </row>
    <row r="84" spans="1:10" x14ac:dyDescent="0.25">
      <c r="B84" s="1149" t="s">
        <v>1821</v>
      </c>
      <c r="D84" s="1151" t="str">
        <f>'3.Sequestration'!E29</f>
        <v>[select]</v>
      </c>
      <c r="E84" s="1159">
        <f>'3.Sequestration'!F29</f>
        <v>0</v>
      </c>
      <c r="F84" s="1159" t="str">
        <f ca="1">IF('3.Sequestration'!G29=0,"",'3.Sequestration'!G29)</f>
        <v/>
      </c>
      <c r="G84" s="1179">
        <f>'3.Sequestration'!H29</f>
        <v>0</v>
      </c>
      <c r="H84" s="1179">
        <f>'3.Sequestration'!I29</f>
        <v>0</v>
      </c>
      <c r="I84" s="1159" t="str">
        <f ca="1">'3.Sequestration'!J29</f>
        <v>cm</v>
      </c>
      <c r="J84" s="1254">
        <f>'3.Sequestration'!K29</f>
        <v>0</v>
      </c>
    </row>
    <row r="85" spans="1:10" x14ac:dyDescent="0.25">
      <c r="B85" s="1149" t="s">
        <v>1822</v>
      </c>
      <c r="D85" s="1151" t="str">
        <f>'3.Sequestration'!E30</f>
        <v>[select]</v>
      </c>
      <c r="E85" s="1159">
        <f>'3.Sequestration'!F30</f>
        <v>0</v>
      </c>
      <c r="F85" s="1159" t="str">
        <f ca="1">IF('3.Sequestration'!G30=0,"",'3.Sequestration'!G30)</f>
        <v/>
      </c>
      <c r="G85" s="1179">
        <f>'3.Sequestration'!H30</f>
        <v>0</v>
      </c>
      <c r="H85" s="1179">
        <f>'3.Sequestration'!I30</f>
        <v>0</v>
      </c>
      <c r="I85" s="1159" t="str">
        <f ca="1">'3.Sequestration'!J30</f>
        <v>cm</v>
      </c>
      <c r="J85" s="1254">
        <f>'3.Sequestration'!K30</f>
        <v>0</v>
      </c>
    </row>
    <row r="86" spans="1:10" x14ac:dyDescent="0.25">
      <c r="B86" s="1149"/>
    </row>
    <row r="87" spans="1:10" x14ac:dyDescent="0.25">
      <c r="B87" s="1149"/>
    </row>
    <row r="88" spans="1:10" x14ac:dyDescent="0.25">
      <c r="A88" s="1145" t="s">
        <v>1096</v>
      </c>
      <c r="B88" s="1149"/>
    </row>
    <row r="89" spans="1:10" x14ac:dyDescent="0.25">
      <c r="B89" s="1149" t="s">
        <v>1097</v>
      </c>
      <c r="C89" s="1154" t="str">
        <f>'3.Sequestration'!E37</f>
        <v>kg CO2 eq</v>
      </c>
    </row>
    <row r="90" spans="1:10" ht="24.8" x14ac:dyDescent="0.25">
      <c r="B90" s="1284" t="s">
        <v>316</v>
      </c>
      <c r="C90" s="1246">
        <f ca="1">'3.Sequestration'!E38</f>
        <v>0</v>
      </c>
    </row>
    <row r="91" spans="1:10" ht="36.9" x14ac:dyDescent="0.25">
      <c r="B91" s="1284" t="s">
        <v>317</v>
      </c>
      <c r="C91" s="1246">
        <f ca="1">'3.Sequestration'!E39</f>
        <v>0</v>
      </c>
    </row>
    <row r="92" spans="1:10" x14ac:dyDescent="0.25">
      <c r="B92" s="1149" t="s">
        <v>34</v>
      </c>
      <c r="C92" s="1246">
        <f ca="1">'3.Sequestration'!E40</f>
        <v>-9266.3999999998941</v>
      </c>
    </row>
    <row r="93" spans="1:10" x14ac:dyDescent="0.25">
      <c r="B93" s="1149"/>
      <c r="C93" s="1246"/>
    </row>
    <row r="94" spans="1:10" x14ac:dyDescent="0.25">
      <c r="B94" s="1284" t="s">
        <v>318</v>
      </c>
      <c r="C94" s="1246">
        <f ca="1">'3.Sequestration'!E42</f>
        <v>-9266.3999999998941</v>
      </c>
    </row>
    <row r="95" spans="1:10" ht="25.35" x14ac:dyDescent="0.25">
      <c r="B95" s="1149" t="s">
        <v>1098</v>
      </c>
      <c r="C95" s="1154" t="str">
        <f>'3.Sequestration'!I37</f>
        <v>kg CO2 eq</v>
      </c>
    </row>
    <row r="96" spans="1:10" ht="36.9" x14ac:dyDescent="0.25">
      <c r="B96" s="1284" t="s">
        <v>532</v>
      </c>
      <c r="C96" s="1246">
        <f ca="1">'3.Sequestration'!I38</f>
        <v>0</v>
      </c>
    </row>
    <row r="97" spans="1:11" ht="36.9" x14ac:dyDescent="0.25">
      <c r="B97" s="1284" t="s">
        <v>352</v>
      </c>
      <c r="C97" s="1246">
        <f ca="1">'3.Sequestration'!I39</f>
        <v>0</v>
      </c>
    </row>
    <row r="98" spans="1:11" ht="25.35" x14ac:dyDescent="0.25">
      <c r="B98" s="1149" t="s">
        <v>1600</v>
      </c>
      <c r="C98" s="1246">
        <f ca="1">'3.Sequestration'!I40</f>
        <v>-9266.3999999998941</v>
      </c>
    </row>
    <row r="99" spans="1:11" x14ac:dyDescent="0.25">
      <c r="B99" s="1149"/>
      <c r="C99" s="1246"/>
    </row>
    <row r="100" spans="1:11" x14ac:dyDescent="0.25">
      <c r="B100" s="1284" t="s">
        <v>353</v>
      </c>
      <c r="C100" s="1246">
        <f ca="1">'3.Sequestration'!I42</f>
        <v>-9266.3999999998941</v>
      </c>
    </row>
    <row r="102" spans="1:11" x14ac:dyDescent="0.25">
      <c r="A102" s="1259"/>
      <c r="B102" s="1166"/>
      <c r="C102" s="1175"/>
      <c r="D102" s="1176"/>
      <c r="E102" s="1175"/>
    </row>
    <row r="103" spans="1:11" s="1169" customFormat="1" x14ac:dyDescent="0.25">
      <c r="A103" s="1145" t="s">
        <v>944</v>
      </c>
      <c r="B103" s="1154"/>
      <c r="C103" s="1175"/>
      <c r="D103" s="1176"/>
      <c r="E103" s="1175"/>
      <c r="F103" s="1153"/>
      <c r="G103" s="1153"/>
      <c r="H103" s="1153"/>
      <c r="I103" s="1153"/>
      <c r="J103" s="1153"/>
      <c r="K103" s="1153"/>
    </row>
    <row r="104" spans="1:11" s="1169" customFormat="1" x14ac:dyDescent="0.25">
      <c r="A104" s="1148"/>
      <c r="B104" s="1154"/>
      <c r="C104" s="1175"/>
      <c r="D104" s="1177" t="s">
        <v>652</v>
      </c>
      <c r="E104" s="1178" t="s">
        <v>1945</v>
      </c>
      <c r="F104" s="1153"/>
      <c r="G104" s="1153"/>
      <c r="H104" s="1153"/>
      <c r="I104" s="1153"/>
      <c r="J104" s="1153"/>
      <c r="K104" s="1153"/>
    </row>
    <row r="105" spans="1:11" s="1169" customFormat="1" ht="25.35" x14ac:dyDescent="0.25">
      <c r="A105" s="1148"/>
      <c r="B105" s="1146" t="s">
        <v>712</v>
      </c>
      <c r="C105" s="1175" t="s">
        <v>505</v>
      </c>
      <c r="D105" s="1155">
        <f>'5.FieldEnergyUse'!E7</f>
        <v>0</v>
      </c>
      <c r="E105" s="1179" t="str">
        <f>'5.FieldEnergyUse'!F7</f>
        <v>kWh</v>
      </c>
      <c r="F105" s="1153"/>
      <c r="G105" s="1153"/>
      <c r="H105" s="1153"/>
      <c r="I105" s="1153"/>
      <c r="J105" s="1153"/>
      <c r="K105" s="1153"/>
    </row>
    <row r="106" spans="1:11" s="1169" customFormat="1" ht="50.7" x14ac:dyDescent="0.25">
      <c r="A106" s="1148"/>
      <c r="B106" s="1146" t="s">
        <v>621</v>
      </c>
      <c r="C106" s="1175" t="s">
        <v>506</v>
      </c>
      <c r="D106" s="1155">
        <f>'5.FieldEnergyUse'!E8</f>
        <v>0</v>
      </c>
      <c r="E106" s="1179" t="str">
        <f>'5.FieldEnergyUse'!F8</f>
        <v>kWh</v>
      </c>
      <c r="F106" s="1153"/>
      <c r="G106" s="1153"/>
      <c r="H106" s="1153"/>
      <c r="I106" s="1153"/>
      <c r="J106" s="1153"/>
      <c r="K106" s="1153"/>
    </row>
    <row r="107" spans="1:11" s="1169" customFormat="1" ht="38.049999999999997" x14ac:dyDescent="0.25">
      <c r="A107" s="1148"/>
      <c r="B107" s="1146" t="s">
        <v>622</v>
      </c>
      <c r="C107" s="1175" t="s">
        <v>507</v>
      </c>
      <c r="D107" s="1155">
        <f>'5.FieldEnergyUse'!E9</f>
        <v>0</v>
      </c>
      <c r="E107" s="1179" t="str">
        <f>'5.FieldEnergyUse'!F9</f>
        <v>kWh</v>
      </c>
      <c r="F107" s="1153"/>
      <c r="G107" s="1153"/>
      <c r="H107" s="1153"/>
      <c r="I107" s="1153"/>
      <c r="J107" s="1153"/>
      <c r="K107" s="1153"/>
    </row>
    <row r="108" spans="1:11" s="1160" customFormat="1" ht="38.049999999999997" x14ac:dyDescent="0.25">
      <c r="A108" s="1148"/>
      <c r="B108" s="1146" t="s">
        <v>787</v>
      </c>
      <c r="C108" s="1175" t="s">
        <v>508</v>
      </c>
      <c r="D108" s="1155">
        <f>'5.FieldEnergyUse'!E10</f>
        <v>0</v>
      </c>
      <c r="E108" s="1179" t="str">
        <f>'5.FieldEnergyUse'!F10</f>
        <v>kWh</v>
      </c>
      <c r="F108" s="1153"/>
      <c r="G108" s="1153"/>
      <c r="H108" s="1153"/>
      <c r="I108" s="1153"/>
      <c r="J108" s="1153"/>
      <c r="K108" s="1153"/>
    </row>
    <row r="109" spans="1:11" s="1169" customFormat="1" x14ac:dyDescent="0.25">
      <c r="A109" s="1148"/>
      <c r="B109" s="1146"/>
      <c r="C109" s="1175"/>
      <c r="D109" s="1155"/>
      <c r="E109" s="1179"/>
      <c r="F109" s="1153"/>
      <c r="G109" s="1153"/>
      <c r="H109" s="1153"/>
      <c r="I109" s="1153"/>
      <c r="J109" s="1153"/>
      <c r="K109" s="1153"/>
    </row>
    <row r="110" spans="1:11" s="1169" customFormat="1" x14ac:dyDescent="0.25">
      <c r="A110" s="1148"/>
      <c r="B110" s="1146"/>
      <c r="C110" s="1175"/>
      <c r="D110" s="1155"/>
      <c r="E110" s="1179"/>
      <c r="F110" s="1153"/>
      <c r="G110" s="1153"/>
      <c r="H110" s="1153"/>
      <c r="I110" s="1153"/>
      <c r="J110" s="1153"/>
      <c r="K110" s="1153"/>
    </row>
    <row r="111" spans="1:11" s="1169" customFormat="1" x14ac:dyDescent="0.25">
      <c r="A111" s="1148"/>
      <c r="B111" s="1146"/>
      <c r="C111" s="1175"/>
      <c r="D111" s="1177" t="s">
        <v>652</v>
      </c>
      <c r="E111" s="1178" t="s">
        <v>1945</v>
      </c>
      <c r="F111" s="1153"/>
      <c r="G111" s="1153"/>
      <c r="H111" s="1153"/>
      <c r="I111" s="1153"/>
      <c r="J111" s="1153"/>
      <c r="K111" s="1153"/>
    </row>
    <row r="112" spans="1:11" s="1169" customFormat="1" x14ac:dyDescent="0.25">
      <c r="A112" s="1148"/>
      <c r="B112" s="1146" t="s">
        <v>1099</v>
      </c>
      <c r="C112" s="1175" t="s">
        <v>486</v>
      </c>
      <c r="D112" s="1155">
        <f>'5.FieldEnergyUse'!E14</f>
        <v>0</v>
      </c>
      <c r="E112" s="1179" t="str">
        <f ca="1">'5.FieldEnergyUse'!F14</f>
        <v>litres</v>
      </c>
      <c r="F112" s="1153"/>
      <c r="G112" s="1153"/>
      <c r="H112" s="1153"/>
      <c r="I112" s="1153"/>
      <c r="J112" s="1153"/>
      <c r="K112" s="1153"/>
    </row>
    <row r="113" spans="1:11" s="1169" customFormat="1" x14ac:dyDescent="0.25">
      <c r="A113" s="1148"/>
      <c r="B113" s="1174" t="s">
        <v>487</v>
      </c>
      <c r="C113" s="1172" t="s">
        <v>161</v>
      </c>
      <c r="D113" s="1155"/>
      <c r="E113" s="1179"/>
      <c r="F113" s="1153"/>
      <c r="G113" s="1153"/>
      <c r="H113" s="1153"/>
      <c r="I113" s="1153"/>
      <c r="J113" s="1153"/>
      <c r="K113" s="1153"/>
    </row>
    <row r="114" spans="1:11" s="1169" customFormat="1" x14ac:dyDescent="0.25">
      <c r="A114" s="1148"/>
      <c r="B114" s="1146"/>
      <c r="C114" s="1175"/>
      <c r="D114" s="1155"/>
      <c r="E114" s="1179"/>
      <c r="F114" s="1153"/>
      <c r="G114" s="1153"/>
      <c r="H114" s="1153"/>
      <c r="I114" s="1153"/>
      <c r="J114" s="1153"/>
      <c r="K114" s="1153"/>
    </row>
    <row r="115" spans="1:11" s="1169" customFormat="1" x14ac:dyDescent="0.25">
      <c r="A115" s="1148"/>
      <c r="B115" s="1146" t="s">
        <v>1100</v>
      </c>
      <c r="C115" s="1175" t="s">
        <v>162</v>
      </c>
      <c r="D115" s="1155">
        <f>'5.FieldEnergyUse'!E15</f>
        <v>0</v>
      </c>
      <c r="E115" s="1179" t="str">
        <f ca="1">'5.FieldEnergyUse'!F15</f>
        <v>litres</v>
      </c>
      <c r="F115" s="1153"/>
      <c r="G115" s="1153"/>
      <c r="H115" s="1153"/>
      <c r="I115" s="1153"/>
      <c r="J115" s="1153"/>
      <c r="K115" s="1153"/>
    </row>
    <row r="116" spans="1:11" s="1169" customFormat="1" x14ac:dyDescent="0.25">
      <c r="A116" s="1148"/>
      <c r="B116" s="1174" t="s">
        <v>517</v>
      </c>
      <c r="C116" s="1172" t="s">
        <v>327</v>
      </c>
      <c r="D116" s="1155"/>
      <c r="E116" s="1179"/>
      <c r="F116" s="1153"/>
      <c r="G116" s="1153"/>
      <c r="H116" s="1153"/>
      <c r="I116" s="1153"/>
      <c r="J116" s="1153"/>
      <c r="K116" s="1153"/>
    </row>
    <row r="117" spans="1:11" s="1169" customFormat="1" x14ac:dyDescent="0.25">
      <c r="A117" s="1148"/>
      <c r="B117" s="1146"/>
      <c r="C117" s="1175"/>
      <c r="D117" s="1155"/>
      <c r="E117" s="1179"/>
      <c r="F117" s="1153"/>
      <c r="G117" s="1153"/>
      <c r="H117" s="1153"/>
      <c r="I117" s="1153"/>
      <c r="J117" s="1153"/>
      <c r="K117" s="1153"/>
    </row>
    <row r="118" spans="1:11" s="1169" customFormat="1" x14ac:dyDescent="0.25">
      <c r="A118" s="1148"/>
      <c r="B118" s="1146" t="s">
        <v>1101</v>
      </c>
      <c r="C118" s="1175" t="s">
        <v>328</v>
      </c>
      <c r="D118" s="1155">
        <f>'5.FieldEnergyUse'!E16</f>
        <v>0</v>
      </c>
      <c r="E118" s="1179" t="str">
        <f ca="1">'5.FieldEnergyUse'!F16</f>
        <v>litres</v>
      </c>
      <c r="F118" s="1153"/>
      <c r="G118" s="1153"/>
      <c r="H118" s="1153"/>
      <c r="I118" s="1153"/>
      <c r="J118" s="1153"/>
      <c r="K118" s="1153"/>
    </row>
    <row r="119" spans="1:11" s="1169" customFormat="1" x14ac:dyDescent="0.25">
      <c r="A119" s="1148"/>
      <c r="B119" s="1174" t="s">
        <v>329</v>
      </c>
      <c r="C119" s="1172" t="s">
        <v>330</v>
      </c>
      <c r="D119" s="1155"/>
      <c r="E119" s="1179"/>
      <c r="F119" s="1153"/>
      <c r="G119" s="1153"/>
      <c r="H119" s="1153"/>
      <c r="I119" s="1153"/>
      <c r="J119" s="1153"/>
      <c r="K119" s="1153"/>
    </row>
    <row r="120" spans="1:11" s="1169" customFormat="1" x14ac:dyDescent="0.25">
      <c r="A120" s="1148"/>
      <c r="B120" s="1146"/>
      <c r="C120" s="1175"/>
      <c r="D120" s="1155"/>
      <c r="E120" s="1179"/>
      <c r="F120" s="1153"/>
      <c r="G120" s="1153"/>
      <c r="H120" s="1153"/>
      <c r="I120" s="1153"/>
      <c r="J120" s="1153"/>
      <c r="K120" s="1153"/>
    </row>
    <row r="121" spans="1:11" s="1169" customFormat="1" x14ac:dyDescent="0.25">
      <c r="A121" s="1148"/>
      <c r="B121" s="1146" t="s">
        <v>1102</v>
      </c>
      <c r="C121" s="1175" t="s">
        <v>331</v>
      </c>
      <c r="D121" s="1155">
        <f>'5.FieldEnergyUse'!E17</f>
        <v>0</v>
      </c>
      <c r="E121" s="1155" t="str">
        <f ca="1">'5.FieldEnergyUse'!F17</f>
        <v>litres</v>
      </c>
      <c r="F121" s="1153"/>
      <c r="G121" s="1153"/>
      <c r="H121" s="1153"/>
      <c r="I121" s="1153"/>
      <c r="J121" s="1153"/>
      <c r="K121" s="1153"/>
    </row>
    <row r="122" spans="1:11" s="1169" customFormat="1" x14ac:dyDescent="0.25">
      <c r="A122" s="1148"/>
      <c r="B122" s="1174" t="s">
        <v>332</v>
      </c>
      <c r="C122" s="1172" t="s">
        <v>333</v>
      </c>
      <c r="D122" s="1155"/>
      <c r="E122" s="1179"/>
      <c r="F122" s="1153"/>
      <c r="G122" s="1153"/>
      <c r="H122" s="1153"/>
      <c r="I122" s="1153"/>
      <c r="J122" s="1153"/>
      <c r="K122" s="1153"/>
    </row>
    <row r="123" spans="1:11" s="1169" customFormat="1" x14ac:dyDescent="0.25">
      <c r="A123" s="1148"/>
      <c r="B123" s="1154"/>
      <c r="C123" s="1175"/>
      <c r="D123" s="1155"/>
      <c r="E123" s="1179"/>
      <c r="F123" s="1153"/>
      <c r="G123" s="1153"/>
      <c r="H123" s="1153"/>
      <c r="I123" s="1153"/>
      <c r="J123" s="1153"/>
      <c r="K123" s="1153"/>
    </row>
    <row r="124" spans="1:11" s="1169" customFormat="1" x14ac:dyDescent="0.25">
      <c r="A124" s="1148"/>
      <c r="B124" s="1154"/>
      <c r="C124" s="1175"/>
      <c r="D124" s="1155"/>
      <c r="E124" s="1179"/>
      <c r="F124" s="1153"/>
      <c r="G124" s="1153"/>
      <c r="H124" s="1153"/>
      <c r="I124" s="1153"/>
      <c r="J124" s="1153"/>
      <c r="K124" s="1153"/>
    </row>
    <row r="125" spans="1:11" s="1169" customFormat="1" x14ac:dyDescent="0.25">
      <c r="A125" s="1148"/>
      <c r="B125" s="1146" t="s">
        <v>22</v>
      </c>
      <c r="C125" s="1175" t="s">
        <v>334</v>
      </c>
      <c r="D125" s="1155" t="str">
        <f>'5.FieldEnergyUse'!E32</f>
        <v>Diesel</v>
      </c>
      <c r="E125" s="1173"/>
      <c r="F125" s="1153"/>
      <c r="G125" s="1153"/>
      <c r="H125" s="1153"/>
      <c r="I125" s="1153"/>
      <c r="J125" s="1153"/>
      <c r="K125" s="1153"/>
    </row>
    <row r="126" spans="1:11" s="1169" customFormat="1" x14ac:dyDescent="0.25">
      <c r="A126" s="1148"/>
      <c r="B126" s="1154"/>
      <c r="C126" s="1175"/>
      <c r="D126" s="1155"/>
      <c r="E126" s="1179"/>
      <c r="F126" s="1153"/>
      <c r="G126" s="1153"/>
      <c r="H126" s="1153"/>
      <c r="I126" s="1153"/>
      <c r="J126" s="1153"/>
      <c r="K126" s="1153"/>
    </row>
    <row r="127" spans="1:11" s="1169" customFormat="1" x14ac:dyDescent="0.25">
      <c r="A127" s="1148"/>
      <c r="B127" s="1154"/>
      <c r="C127" s="1175"/>
      <c r="D127" s="1155"/>
      <c r="E127" s="1179"/>
      <c r="F127" s="1153"/>
      <c r="G127" s="1153"/>
      <c r="H127" s="1153"/>
      <c r="I127" s="1153"/>
      <c r="J127" s="1153"/>
      <c r="K127" s="1153"/>
    </row>
    <row r="128" spans="1:11" s="1169" customFormat="1" ht="25.35" x14ac:dyDescent="0.25">
      <c r="A128" s="1148"/>
      <c r="B128" s="1154"/>
      <c r="C128" s="1175"/>
      <c r="D128" s="1176" t="s">
        <v>24</v>
      </c>
      <c r="E128" s="1175" t="s">
        <v>335</v>
      </c>
      <c r="F128" s="1153"/>
      <c r="G128" s="1153"/>
      <c r="H128" s="1153"/>
      <c r="I128" s="1153"/>
      <c r="J128" s="1153"/>
      <c r="K128" s="1153"/>
    </row>
    <row r="129" spans="1:11" s="1169" customFormat="1" x14ac:dyDescent="0.25">
      <c r="A129" s="1148"/>
      <c r="B129" s="1176" t="s">
        <v>1462</v>
      </c>
      <c r="C129" s="1175" t="s">
        <v>336</v>
      </c>
      <c r="D129" s="1155">
        <f>'5.FieldEnergyUse'!E36</f>
        <v>0</v>
      </c>
      <c r="E129" s="1179">
        <f ca="1">'5.FieldEnergyUse'!F36</f>
        <v>0</v>
      </c>
      <c r="F129" s="1153"/>
      <c r="G129" s="1153"/>
      <c r="H129" s="1153"/>
      <c r="I129" s="1153"/>
      <c r="J129" s="1153"/>
      <c r="K129" s="1153"/>
    </row>
    <row r="130" spans="1:11" s="1169" customFormat="1" x14ac:dyDescent="0.25">
      <c r="A130" s="1148"/>
      <c r="B130" s="1176" t="s">
        <v>1462</v>
      </c>
      <c r="C130" s="1175" t="s">
        <v>337</v>
      </c>
      <c r="D130" s="1155">
        <f>'5.FieldEnergyUse'!E37</f>
        <v>0</v>
      </c>
      <c r="E130" s="1179">
        <f ca="1">'5.FieldEnergyUse'!F37</f>
        <v>0</v>
      </c>
      <c r="F130" s="1153"/>
      <c r="G130" s="1153"/>
      <c r="H130" s="1153"/>
      <c r="I130" s="1153"/>
      <c r="J130" s="1153"/>
      <c r="K130" s="1153"/>
    </row>
    <row r="131" spans="1:11" s="1169" customFormat="1" x14ac:dyDescent="0.25">
      <c r="A131" s="1148"/>
      <c r="B131" s="1176" t="s">
        <v>1462</v>
      </c>
      <c r="C131" s="1175" t="s">
        <v>338</v>
      </c>
      <c r="D131" s="1155">
        <f>'5.FieldEnergyUse'!E38</f>
        <v>0</v>
      </c>
      <c r="E131" s="1179">
        <f ca="1">'5.FieldEnergyUse'!F38</f>
        <v>0</v>
      </c>
      <c r="F131" s="1153"/>
      <c r="G131" s="1153"/>
      <c r="H131" s="1153"/>
      <c r="I131" s="1153"/>
      <c r="J131" s="1153"/>
      <c r="K131" s="1153"/>
    </row>
    <row r="132" spans="1:11" s="1169" customFormat="1" x14ac:dyDescent="0.25">
      <c r="A132" s="1148"/>
      <c r="B132" s="1176" t="s">
        <v>1462</v>
      </c>
      <c r="C132" s="1175" t="s">
        <v>339</v>
      </c>
      <c r="D132" s="1155">
        <f>'5.FieldEnergyUse'!E39</f>
        <v>1</v>
      </c>
      <c r="E132" s="1179">
        <f ca="1">'5.FieldEnergyUse'!F39</f>
        <v>37.69791639254386</v>
      </c>
      <c r="F132" s="1153"/>
      <c r="G132" s="1153"/>
      <c r="H132" s="1153"/>
      <c r="I132" s="1153"/>
      <c r="J132" s="1153"/>
      <c r="K132" s="1153"/>
    </row>
    <row r="133" spans="1:11" s="1169" customFormat="1" x14ac:dyDescent="0.25">
      <c r="A133" s="1148"/>
      <c r="B133" s="1176" t="s">
        <v>1462</v>
      </c>
      <c r="C133" s="1175" t="s">
        <v>340</v>
      </c>
      <c r="D133" s="1155">
        <f>'5.FieldEnergyUse'!E40</f>
        <v>0</v>
      </c>
      <c r="E133" s="1179">
        <f ca="1">'5.FieldEnergyUse'!F40</f>
        <v>0</v>
      </c>
      <c r="F133" s="1153"/>
      <c r="G133" s="1153"/>
      <c r="H133" s="1153"/>
      <c r="I133" s="1153"/>
      <c r="J133" s="1153"/>
      <c r="K133" s="1153"/>
    </row>
    <row r="134" spans="1:11" s="1169" customFormat="1" x14ac:dyDescent="0.25">
      <c r="A134" s="1148"/>
      <c r="B134" s="1176" t="s">
        <v>1462</v>
      </c>
      <c r="C134" s="1175" t="s">
        <v>341</v>
      </c>
      <c r="D134" s="1155">
        <f>'5.FieldEnergyUse'!E41</f>
        <v>0</v>
      </c>
      <c r="E134" s="1179">
        <f ca="1">'5.FieldEnergyUse'!F41</f>
        <v>0</v>
      </c>
      <c r="F134" s="1153"/>
      <c r="G134" s="1153"/>
      <c r="H134" s="1153"/>
      <c r="I134" s="1153"/>
      <c r="J134" s="1153"/>
      <c r="K134" s="1153"/>
    </row>
    <row r="135" spans="1:11" s="1169" customFormat="1" x14ac:dyDescent="0.25">
      <c r="A135" s="1148"/>
      <c r="B135" s="1176" t="s">
        <v>1462</v>
      </c>
      <c r="C135" s="1175" t="s">
        <v>342</v>
      </c>
      <c r="D135" s="1155">
        <f>'5.FieldEnergyUse'!E42</f>
        <v>0</v>
      </c>
      <c r="E135" s="1179">
        <f ca="1">'5.FieldEnergyUse'!F42</f>
        <v>0</v>
      </c>
      <c r="F135" s="1153"/>
      <c r="G135" s="1153"/>
      <c r="H135" s="1153"/>
      <c r="I135" s="1153"/>
      <c r="J135" s="1153"/>
      <c r="K135" s="1153"/>
    </row>
    <row r="136" spans="1:11" s="1169" customFormat="1" x14ac:dyDescent="0.25">
      <c r="A136" s="1148"/>
      <c r="B136" s="1176" t="s">
        <v>1462</v>
      </c>
      <c r="C136" s="1175" t="s">
        <v>1753</v>
      </c>
      <c r="D136" s="1155">
        <f>'5.FieldEnergyUse'!E43</f>
        <v>1</v>
      </c>
      <c r="E136" s="1179">
        <f ca="1">'5.FieldEnergyUse'!F43</f>
        <v>4.2420684210526316</v>
      </c>
      <c r="F136" s="1153"/>
      <c r="G136" s="1153"/>
      <c r="H136" s="1153"/>
      <c r="I136" s="1153"/>
      <c r="J136" s="1153"/>
      <c r="K136" s="1153"/>
    </row>
    <row r="137" spans="1:11" s="1169" customFormat="1" x14ac:dyDescent="0.25">
      <c r="A137" s="1148"/>
      <c r="B137" s="1176" t="s">
        <v>1462</v>
      </c>
      <c r="C137" s="1175" t="s">
        <v>1754</v>
      </c>
      <c r="D137" s="1155">
        <f>'5.FieldEnergyUse'!E44</f>
        <v>0</v>
      </c>
      <c r="E137" s="1179">
        <f ca="1">'5.FieldEnergyUse'!F44</f>
        <v>0</v>
      </c>
      <c r="F137" s="1153"/>
      <c r="G137" s="1153"/>
      <c r="H137" s="1153"/>
      <c r="I137" s="1153"/>
      <c r="J137" s="1153"/>
      <c r="K137" s="1153"/>
    </row>
    <row r="138" spans="1:11" s="1169" customFormat="1" x14ac:dyDescent="0.25">
      <c r="A138" s="1148"/>
      <c r="B138" s="1176" t="s">
        <v>1462</v>
      </c>
      <c r="C138" s="1175" t="s">
        <v>1755</v>
      </c>
      <c r="D138" s="1155">
        <f>'5.FieldEnergyUse'!E45</f>
        <v>0</v>
      </c>
      <c r="E138" s="1179">
        <f ca="1">'5.FieldEnergyUse'!F45</f>
        <v>0</v>
      </c>
      <c r="F138" s="1153"/>
      <c r="G138" s="1153"/>
      <c r="H138" s="1153"/>
      <c r="I138" s="1153"/>
      <c r="J138" s="1153"/>
      <c r="K138" s="1153"/>
    </row>
    <row r="139" spans="1:11" s="1169" customFormat="1" x14ac:dyDescent="0.25">
      <c r="A139" s="1148"/>
      <c r="B139" s="1176" t="s">
        <v>1462</v>
      </c>
      <c r="C139" s="1175" t="s">
        <v>1756</v>
      </c>
      <c r="D139" s="1155">
        <f>'5.FieldEnergyUse'!E46</f>
        <v>0</v>
      </c>
      <c r="E139" s="1179">
        <f ca="1">'5.FieldEnergyUse'!F46</f>
        <v>0</v>
      </c>
      <c r="F139" s="1153"/>
      <c r="G139" s="1153"/>
      <c r="H139" s="1153"/>
      <c r="I139" s="1153"/>
      <c r="J139" s="1153"/>
      <c r="K139" s="1153"/>
    </row>
    <row r="140" spans="1:11" s="1169" customFormat="1" x14ac:dyDescent="0.25">
      <c r="A140" s="1148"/>
      <c r="B140" s="1176" t="s">
        <v>1462</v>
      </c>
      <c r="C140" s="1175" t="s">
        <v>1757</v>
      </c>
      <c r="D140" s="1155">
        <f>'5.FieldEnergyUse'!E47</f>
        <v>0</v>
      </c>
      <c r="E140" s="1179">
        <f ca="1">'5.FieldEnergyUse'!F47</f>
        <v>0</v>
      </c>
      <c r="F140" s="1153"/>
      <c r="G140" s="1153"/>
      <c r="H140" s="1153"/>
      <c r="I140" s="1153"/>
      <c r="J140" s="1153"/>
      <c r="K140" s="1153"/>
    </row>
    <row r="141" spans="1:11" s="1169" customFormat="1" x14ac:dyDescent="0.25">
      <c r="A141" s="1148"/>
      <c r="B141" s="1176" t="s">
        <v>1462</v>
      </c>
      <c r="C141" s="1175" t="s">
        <v>1758</v>
      </c>
      <c r="D141" s="1155">
        <f>'5.FieldEnergyUse'!E48</f>
        <v>0</v>
      </c>
      <c r="E141" s="1179">
        <f ca="1">'5.FieldEnergyUse'!F48</f>
        <v>0</v>
      </c>
      <c r="F141" s="1153"/>
      <c r="G141" s="1153"/>
      <c r="H141" s="1153"/>
      <c r="I141" s="1153"/>
      <c r="J141" s="1153"/>
      <c r="K141" s="1153"/>
    </row>
    <row r="142" spans="1:11" s="1169" customFormat="1" x14ac:dyDescent="0.25">
      <c r="A142" s="1148"/>
      <c r="B142" s="1176" t="s">
        <v>1462</v>
      </c>
      <c r="C142" s="1175" t="s">
        <v>1759</v>
      </c>
      <c r="D142" s="1155">
        <f>'5.FieldEnergyUse'!E49</f>
        <v>0</v>
      </c>
      <c r="E142" s="1179">
        <f ca="1">'5.FieldEnergyUse'!F49</f>
        <v>0</v>
      </c>
      <c r="F142" s="1153"/>
      <c r="G142" s="1153"/>
      <c r="H142" s="1153"/>
      <c r="I142" s="1153"/>
      <c r="J142" s="1153"/>
      <c r="K142" s="1153"/>
    </row>
    <row r="143" spans="1:11" s="1169" customFormat="1" x14ac:dyDescent="0.25">
      <c r="A143" s="1148"/>
      <c r="B143" s="1176" t="s">
        <v>1462</v>
      </c>
      <c r="C143" s="1175" t="s">
        <v>1760</v>
      </c>
      <c r="D143" s="1155">
        <f>'5.FieldEnergyUse'!E50</f>
        <v>2</v>
      </c>
      <c r="E143" s="1179">
        <f ca="1">'5.FieldEnergyUse'!F50</f>
        <v>7.8122807017543847</v>
      </c>
      <c r="F143" s="1153"/>
      <c r="G143" s="1153"/>
      <c r="H143" s="1153"/>
      <c r="I143" s="1153"/>
      <c r="J143" s="1153"/>
      <c r="K143" s="1153"/>
    </row>
    <row r="144" spans="1:11" s="1169" customFormat="1" x14ac:dyDescent="0.25">
      <c r="A144" s="1148"/>
      <c r="B144" s="1176" t="s">
        <v>1462</v>
      </c>
      <c r="C144" s="1175" t="s">
        <v>1698</v>
      </c>
      <c r="D144" s="1155" t="str">
        <f>'5.FieldEnergyUse'!E51</f>
        <v>0</v>
      </c>
      <c r="E144" s="1179">
        <f ca="1">'5.FieldEnergyUse'!F51</f>
        <v>0</v>
      </c>
      <c r="F144" s="1153"/>
      <c r="G144" s="1153"/>
      <c r="H144" s="1153"/>
      <c r="I144" s="1153"/>
      <c r="J144" s="1153"/>
      <c r="K144" s="1153"/>
    </row>
    <row r="145" spans="1:11" s="1169" customFormat="1" x14ac:dyDescent="0.25">
      <c r="A145" s="1148"/>
      <c r="B145" s="1176" t="s">
        <v>1462</v>
      </c>
      <c r="C145" s="1175" t="s">
        <v>1699</v>
      </c>
      <c r="D145" s="1155">
        <f>'5.FieldEnergyUse'!E52</f>
        <v>0</v>
      </c>
      <c r="E145" s="1179">
        <f ca="1">'5.FieldEnergyUse'!F52</f>
        <v>0</v>
      </c>
      <c r="F145" s="1153"/>
      <c r="G145" s="1153"/>
      <c r="H145" s="1153"/>
      <c r="I145" s="1153"/>
      <c r="J145" s="1153"/>
      <c r="K145" s="1153"/>
    </row>
    <row r="146" spans="1:11" s="1169" customFormat="1" x14ac:dyDescent="0.25">
      <c r="A146" s="1148"/>
      <c r="B146" s="1176" t="s">
        <v>1462</v>
      </c>
      <c r="C146" s="1175" t="s">
        <v>1700</v>
      </c>
      <c r="D146" s="1155">
        <f>'5.FieldEnergyUse'!E53</f>
        <v>0</v>
      </c>
      <c r="E146" s="1179">
        <f ca="1">'5.FieldEnergyUse'!F53</f>
        <v>0</v>
      </c>
      <c r="F146" s="1153"/>
      <c r="G146" s="1153"/>
      <c r="H146" s="1153"/>
      <c r="I146" s="1153"/>
      <c r="J146" s="1153"/>
      <c r="K146" s="1153"/>
    </row>
    <row r="147" spans="1:11" s="1169" customFormat="1" x14ac:dyDescent="0.25">
      <c r="A147" s="1148"/>
      <c r="B147" s="1176" t="s">
        <v>1462</v>
      </c>
      <c r="C147" s="1175" t="s">
        <v>1701</v>
      </c>
      <c r="D147" s="1155">
        <f>'5.FieldEnergyUse'!E54</f>
        <v>0</v>
      </c>
      <c r="E147" s="1179">
        <f ca="1">'5.FieldEnergyUse'!F54</f>
        <v>0</v>
      </c>
      <c r="F147" s="1153"/>
      <c r="G147" s="1153"/>
      <c r="H147" s="1153"/>
      <c r="I147" s="1153"/>
      <c r="J147" s="1153"/>
      <c r="K147" s="1153"/>
    </row>
    <row r="148" spans="1:11" s="1169" customFormat="1" x14ac:dyDescent="0.25">
      <c r="A148" s="1148"/>
      <c r="B148" s="1176" t="s">
        <v>1462</v>
      </c>
      <c r="C148" s="1175" t="s">
        <v>1702</v>
      </c>
      <c r="D148" s="1155">
        <f>'5.FieldEnergyUse'!E55</f>
        <v>0</v>
      </c>
      <c r="E148" s="1179">
        <f ca="1">'5.FieldEnergyUse'!F55</f>
        <v>0</v>
      </c>
      <c r="F148" s="1153"/>
      <c r="G148" s="1153"/>
      <c r="H148" s="1153"/>
      <c r="I148" s="1153"/>
      <c r="J148" s="1153"/>
      <c r="K148" s="1153"/>
    </row>
    <row r="149" spans="1:11" s="1169" customFormat="1" x14ac:dyDescent="0.25">
      <c r="A149" s="1148"/>
      <c r="B149" s="1176" t="s">
        <v>1462</v>
      </c>
      <c r="C149" s="1175" t="s">
        <v>1703</v>
      </c>
      <c r="D149" s="1155">
        <f>'5.FieldEnergyUse'!E56</f>
        <v>0</v>
      </c>
      <c r="E149" s="1179">
        <f ca="1">'5.FieldEnergyUse'!F56</f>
        <v>0</v>
      </c>
      <c r="F149" s="1153"/>
      <c r="G149" s="1153"/>
      <c r="H149" s="1153"/>
      <c r="I149" s="1153"/>
      <c r="J149" s="1153"/>
      <c r="K149" s="1153"/>
    </row>
    <row r="150" spans="1:11" s="1169" customFormat="1" x14ac:dyDescent="0.25">
      <c r="A150" s="1148"/>
      <c r="B150" s="1176" t="s">
        <v>1462</v>
      </c>
      <c r="C150" s="1175" t="s">
        <v>1704</v>
      </c>
      <c r="D150" s="1155">
        <f>'5.FieldEnergyUse'!E57</f>
        <v>0</v>
      </c>
      <c r="E150" s="1179">
        <f ca="1">'5.FieldEnergyUse'!F57</f>
        <v>0</v>
      </c>
      <c r="F150" s="1153"/>
      <c r="G150" s="1153"/>
      <c r="H150" s="1153"/>
      <c r="I150" s="1153"/>
      <c r="J150" s="1153"/>
      <c r="K150" s="1153"/>
    </row>
    <row r="151" spans="1:11" s="1169" customFormat="1" x14ac:dyDescent="0.25">
      <c r="A151" s="1148"/>
      <c r="B151" s="1176"/>
      <c r="C151" s="1175"/>
      <c r="D151" s="1155"/>
      <c r="E151" s="1179"/>
      <c r="F151" s="1153"/>
      <c r="G151" s="1153"/>
      <c r="H151" s="1153"/>
      <c r="I151" s="1153"/>
      <c r="J151" s="1153"/>
      <c r="K151" s="1153"/>
    </row>
    <row r="152" spans="1:11" s="1169" customFormat="1" x14ac:dyDescent="0.25">
      <c r="A152" s="1148"/>
      <c r="B152" s="1176"/>
      <c r="C152" s="1175"/>
      <c r="D152" s="1155"/>
      <c r="E152" s="1179"/>
      <c r="F152" s="1153"/>
      <c r="G152" s="1153"/>
      <c r="H152" s="1153"/>
      <c r="I152" s="1153"/>
      <c r="J152" s="1153"/>
      <c r="K152" s="1153"/>
    </row>
    <row r="153" spans="1:11" s="1169" customFormat="1" x14ac:dyDescent="0.25">
      <c r="A153" s="1148"/>
      <c r="B153" s="1176" t="s">
        <v>1705</v>
      </c>
      <c r="C153" s="1175" t="s">
        <v>1706</v>
      </c>
      <c r="D153" s="1155">
        <f>'5.FieldEnergyUse'!E60</f>
        <v>4</v>
      </c>
      <c r="E153" s="1179">
        <f ca="1">'5.FieldEnergyUse'!F60</f>
        <v>40.32</v>
      </c>
      <c r="F153" s="1153"/>
      <c r="G153" s="1153"/>
      <c r="H153" s="1153"/>
      <c r="I153" s="1153"/>
      <c r="J153" s="1153"/>
      <c r="K153" s="1153"/>
    </row>
    <row r="154" spans="1:11" s="1169" customFormat="1" x14ac:dyDescent="0.25">
      <c r="A154" s="1148"/>
      <c r="B154" s="1176" t="s">
        <v>1705</v>
      </c>
      <c r="C154" s="1175" t="s">
        <v>1707</v>
      </c>
      <c r="D154" s="1155">
        <f>'5.FieldEnergyUse'!E61</f>
        <v>3</v>
      </c>
      <c r="E154" s="1179">
        <f ca="1">'5.FieldEnergyUse'!F61</f>
        <v>21.6</v>
      </c>
      <c r="F154" s="1153"/>
      <c r="G154" s="1153"/>
      <c r="H154" s="1153"/>
      <c r="I154" s="1153"/>
      <c r="J154" s="1153"/>
      <c r="K154" s="1153"/>
    </row>
    <row r="155" spans="1:11" s="1169" customFormat="1" x14ac:dyDescent="0.25">
      <c r="A155" s="1148"/>
      <c r="B155" s="1176" t="s">
        <v>1705</v>
      </c>
      <c r="C155" s="1175" t="s">
        <v>1708</v>
      </c>
      <c r="D155" s="1155">
        <f>'5.FieldEnergyUse'!E62</f>
        <v>0</v>
      </c>
      <c r="E155" s="1179">
        <f ca="1">'5.FieldEnergyUse'!F62</f>
        <v>0</v>
      </c>
      <c r="F155" s="1153"/>
      <c r="G155" s="1153"/>
      <c r="H155" s="1153"/>
      <c r="I155" s="1153"/>
      <c r="J155" s="1153"/>
      <c r="K155" s="1153"/>
    </row>
    <row r="156" spans="1:11" s="1169" customFormat="1" x14ac:dyDescent="0.25">
      <c r="A156" s="1148"/>
      <c r="B156" s="1176"/>
      <c r="C156" s="1175"/>
      <c r="D156" s="1155"/>
      <c r="E156" s="1179"/>
      <c r="F156" s="1153"/>
      <c r="G156" s="1153"/>
      <c r="H156" s="1153"/>
      <c r="I156" s="1153"/>
      <c r="J156" s="1153"/>
      <c r="K156" s="1153"/>
    </row>
    <row r="157" spans="1:11" s="1169" customFormat="1" x14ac:dyDescent="0.25">
      <c r="A157" s="1148"/>
      <c r="B157" s="1176"/>
      <c r="C157" s="1175"/>
      <c r="D157" s="1155"/>
      <c r="E157" s="1179"/>
      <c r="F157" s="1153"/>
      <c r="G157" s="1153"/>
      <c r="H157" s="1153"/>
      <c r="I157" s="1153"/>
      <c r="J157" s="1153"/>
      <c r="K157" s="1153"/>
    </row>
    <row r="158" spans="1:11" s="1169" customFormat="1" x14ac:dyDescent="0.25">
      <c r="A158" s="1148"/>
      <c r="B158" s="1176"/>
      <c r="C158" s="1175"/>
      <c r="D158" s="1155"/>
      <c r="E158" s="1179"/>
      <c r="F158" s="1153"/>
      <c r="G158" s="1153"/>
      <c r="H158" s="1153"/>
      <c r="I158" s="1153"/>
      <c r="J158" s="1153"/>
      <c r="K158" s="1153"/>
    </row>
    <row r="159" spans="1:11" s="1169" customFormat="1" x14ac:dyDescent="0.25">
      <c r="A159" s="1148"/>
      <c r="B159" s="1176"/>
      <c r="C159" s="1175"/>
      <c r="D159" s="1155"/>
      <c r="E159" s="1179"/>
      <c r="F159" s="1153"/>
      <c r="G159" s="1153"/>
      <c r="H159" s="1153"/>
      <c r="I159" s="1153"/>
      <c r="J159" s="1153"/>
      <c r="K159" s="1153"/>
    </row>
    <row r="160" spans="1:11" s="1169" customFormat="1" x14ac:dyDescent="0.25">
      <c r="A160" s="1148"/>
      <c r="B160" s="1176" t="s">
        <v>150</v>
      </c>
      <c r="C160" s="1175" t="s">
        <v>1709</v>
      </c>
      <c r="D160" s="1155">
        <f>'5.FieldEnergyUse'!E67</f>
        <v>0</v>
      </c>
      <c r="E160" s="1155">
        <f ca="1">'5.FieldEnergyUse'!F67</f>
        <v>0</v>
      </c>
      <c r="F160" s="1153"/>
      <c r="G160" s="1153"/>
      <c r="H160" s="1153"/>
      <c r="I160" s="1153"/>
      <c r="J160" s="1153"/>
      <c r="K160" s="1153"/>
    </row>
    <row r="161" spans="1:11" s="1169" customFormat="1" x14ac:dyDescent="0.25">
      <c r="A161" s="1148"/>
      <c r="B161" s="1176" t="s">
        <v>150</v>
      </c>
      <c r="C161" s="1175" t="s">
        <v>1710</v>
      </c>
      <c r="D161" s="1155">
        <f>'5.FieldEnergyUse'!E68</f>
        <v>0</v>
      </c>
      <c r="E161" s="1155">
        <f ca="1">'5.FieldEnergyUse'!F68</f>
        <v>0</v>
      </c>
      <c r="F161" s="1153"/>
      <c r="G161" s="1153"/>
      <c r="H161" s="1153"/>
      <c r="I161" s="1153"/>
      <c r="J161" s="1153"/>
      <c r="K161" s="1153"/>
    </row>
    <row r="162" spans="1:11" s="1169" customFormat="1" x14ac:dyDescent="0.25">
      <c r="A162" s="1148"/>
      <c r="B162" s="1176" t="s">
        <v>150</v>
      </c>
      <c r="C162" s="1175" t="s">
        <v>1711</v>
      </c>
      <c r="D162" s="1155">
        <f>'5.FieldEnergyUse'!E69</f>
        <v>0</v>
      </c>
      <c r="E162" s="1155">
        <f ca="1">'5.FieldEnergyUse'!F69</f>
        <v>0</v>
      </c>
      <c r="F162" s="1153"/>
      <c r="G162" s="1153"/>
      <c r="H162" s="1153"/>
      <c r="I162" s="1153"/>
      <c r="J162" s="1153"/>
      <c r="K162" s="1153"/>
    </row>
    <row r="163" spans="1:11" s="1169" customFormat="1" x14ac:dyDescent="0.25">
      <c r="A163" s="1148"/>
      <c r="B163" s="1176" t="s">
        <v>150</v>
      </c>
      <c r="C163" s="1175" t="s">
        <v>1712</v>
      </c>
      <c r="D163" s="1155">
        <f>'5.FieldEnergyUse'!E70</f>
        <v>0</v>
      </c>
      <c r="E163" s="1155">
        <f ca="1">'5.FieldEnergyUse'!F70</f>
        <v>0</v>
      </c>
      <c r="F163" s="1153"/>
      <c r="G163" s="1153"/>
      <c r="H163" s="1153"/>
      <c r="I163" s="1153"/>
      <c r="J163" s="1153"/>
      <c r="K163" s="1153"/>
    </row>
    <row r="164" spans="1:11" s="1169" customFormat="1" x14ac:dyDescent="0.25">
      <c r="A164" s="1148"/>
      <c r="B164" s="1176" t="s">
        <v>150</v>
      </c>
      <c r="C164" s="1175" t="s">
        <v>1713</v>
      </c>
      <c r="D164" s="1155">
        <f>'5.FieldEnergyUse'!E71</f>
        <v>0</v>
      </c>
      <c r="E164" s="1155">
        <f ca="1">'5.FieldEnergyUse'!F71</f>
        <v>0</v>
      </c>
      <c r="F164" s="1153"/>
      <c r="G164" s="1153"/>
      <c r="H164" s="1153"/>
      <c r="I164" s="1153"/>
      <c r="J164" s="1153"/>
      <c r="K164" s="1153"/>
    </row>
    <row r="165" spans="1:11" s="1169" customFormat="1" x14ac:dyDescent="0.25">
      <c r="A165" s="1148"/>
      <c r="B165" s="1176" t="s">
        <v>150</v>
      </c>
      <c r="C165" s="1175" t="s">
        <v>1714</v>
      </c>
      <c r="D165" s="1155">
        <f>'5.FieldEnergyUse'!E72</f>
        <v>0</v>
      </c>
      <c r="E165" s="1155">
        <f ca="1">'5.FieldEnergyUse'!F72</f>
        <v>0</v>
      </c>
      <c r="F165" s="1153"/>
      <c r="G165" s="1153"/>
      <c r="H165" s="1153"/>
      <c r="I165" s="1153"/>
      <c r="J165" s="1153"/>
      <c r="K165" s="1153"/>
    </row>
    <row r="166" spans="1:11" s="1169" customFormat="1" x14ac:dyDescent="0.25">
      <c r="A166" s="1148"/>
      <c r="B166" s="1176" t="s">
        <v>150</v>
      </c>
      <c r="C166" s="1175" t="s">
        <v>1715</v>
      </c>
      <c r="D166" s="1155">
        <f>'5.FieldEnergyUse'!E73</f>
        <v>0</v>
      </c>
      <c r="E166" s="1155">
        <f ca="1">'5.FieldEnergyUse'!F73</f>
        <v>0</v>
      </c>
      <c r="F166" s="1153"/>
      <c r="G166" s="1153"/>
      <c r="H166" s="1153"/>
      <c r="I166" s="1153"/>
      <c r="J166" s="1153"/>
      <c r="K166" s="1153"/>
    </row>
    <row r="167" spans="1:11" s="1169" customFormat="1" x14ac:dyDescent="0.25">
      <c r="A167" s="1148"/>
      <c r="B167" s="1176" t="s">
        <v>150</v>
      </c>
      <c r="C167" s="1175" t="s">
        <v>1716</v>
      </c>
      <c r="D167" s="1155">
        <f>'5.FieldEnergyUse'!E74</f>
        <v>0</v>
      </c>
      <c r="E167" s="1155">
        <f ca="1">'5.FieldEnergyUse'!F74</f>
        <v>0</v>
      </c>
      <c r="F167" s="1153"/>
      <c r="G167" s="1153"/>
      <c r="H167" s="1153"/>
      <c r="I167" s="1153"/>
      <c r="J167" s="1153"/>
      <c r="K167" s="1153"/>
    </row>
    <row r="168" spans="1:11" s="1169" customFormat="1" x14ac:dyDescent="0.25">
      <c r="A168" s="1148"/>
      <c r="B168" s="1176" t="s">
        <v>150</v>
      </c>
      <c r="C168" s="1175" t="s">
        <v>1717</v>
      </c>
      <c r="D168" s="1155">
        <f>'5.FieldEnergyUse'!E75</f>
        <v>0</v>
      </c>
      <c r="E168" s="1155">
        <f ca="1">'5.FieldEnergyUse'!F75</f>
        <v>0</v>
      </c>
      <c r="F168" s="1153"/>
      <c r="G168" s="1153"/>
      <c r="H168" s="1153"/>
      <c r="I168" s="1153"/>
      <c r="J168" s="1153"/>
      <c r="K168" s="1153"/>
    </row>
    <row r="169" spans="1:11" s="1169" customFormat="1" x14ac:dyDescent="0.25">
      <c r="A169" s="1148"/>
      <c r="B169" s="1176" t="s">
        <v>150</v>
      </c>
      <c r="C169" s="1175" t="s">
        <v>1718</v>
      </c>
      <c r="D169" s="1155">
        <f>'5.FieldEnergyUse'!E76</f>
        <v>0</v>
      </c>
      <c r="E169" s="1155">
        <f ca="1">'5.FieldEnergyUse'!F76</f>
        <v>0</v>
      </c>
      <c r="F169" s="1153"/>
      <c r="G169" s="1153"/>
      <c r="H169" s="1153"/>
      <c r="I169" s="1153"/>
      <c r="J169" s="1153"/>
      <c r="K169" s="1153"/>
    </row>
    <row r="170" spans="1:11" s="1169" customFormat="1" x14ac:dyDescent="0.25">
      <c r="A170" s="1148"/>
      <c r="B170" s="1176" t="s">
        <v>150</v>
      </c>
      <c r="C170" s="1175" t="s">
        <v>2000</v>
      </c>
      <c r="D170" s="1155">
        <f>'5.FieldEnergyUse'!E77</f>
        <v>0</v>
      </c>
      <c r="E170" s="1155">
        <f ca="1">'5.FieldEnergyUse'!F77</f>
        <v>0</v>
      </c>
      <c r="F170" s="1153"/>
      <c r="G170" s="1153"/>
      <c r="H170" s="1153"/>
      <c r="I170" s="1153"/>
      <c r="J170" s="1153"/>
      <c r="K170" s="1153"/>
    </row>
    <row r="171" spans="1:11" s="1169" customFormat="1" x14ac:dyDescent="0.25">
      <c r="A171" s="1148"/>
      <c r="B171" s="1176" t="s">
        <v>150</v>
      </c>
      <c r="C171" s="1175" t="s">
        <v>2001</v>
      </c>
      <c r="D171" s="1155">
        <f>'5.FieldEnergyUse'!E78</f>
        <v>0</v>
      </c>
      <c r="E171" s="1155">
        <f ca="1">'5.FieldEnergyUse'!F78</f>
        <v>0</v>
      </c>
      <c r="F171" s="1153"/>
      <c r="G171" s="1153"/>
      <c r="H171" s="1153"/>
      <c r="I171" s="1153"/>
      <c r="J171" s="1153"/>
      <c r="K171" s="1153"/>
    </row>
    <row r="172" spans="1:11" x14ac:dyDescent="0.25">
      <c r="B172" s="1176" t="s">
        <v>150</v>
      </c>
      <c r="C172" s="1175" t="s">
        <v>2002</v>
      </c>
      <c r="D172" s="1155">
        <f>'5.FieldEnergyUse'!E79</f>
        <v>0</v>
      </c>
      <c r="E172" s="1155">
        <f ca="1">'5.FieldEnergyUse'!F79</f>
        <v>0</v>
      </c>
    </row>
    <row r="173" spans="1:11" x14ac:dyDescent="0.25">
      <c r="B173" s="1176" t="s">
        <v>150</v>
      </c>
      <c r="C173" s="1175" t="s">
        <v>1764</v>
      </c>
      <c r="D173" s="1155">
        <f>'5.FieldEnergyUse'!E80</f>
        <v>0</v>
      </c>
      <c r="E173" s="1155">
        <f ca="1">'5.FieldEnergyUse'!F80</f>
        <v>0</v>
      </c>
    </row>
    <row r="174" spans="1:11" x14ac:dyDescent="0.25">
      <c r="B174" s="1176" t="s">
        <v>150</v>
      </c>
      <c r="C174" s="1175" t="s">
        <v>1765</v>
      </c>
      <c r="D174" s="1155">
        <f>'5.FieldEnergyUse'!E82</f>
        <v>0</v>
      </c>
      <c r="E174" s="1155">
        <f ca="1">'5.FieldEnergyUse'!F82</f>
        <v>0</v>
      </c>
    </row>
    <row r="175" spans="1:11" x14ac:dyDescent="0.25">
      <c r="B175" s="1177" t="s">
        <v>150</v>
      </c>
      <c r="C175" s="1179"/>
      <c r="D175" s="1155">
        <f>'5.FieldEnergyUse'!E81</f>
        <v>0</v>
      </c>
      <c r="E175" s="1155">
        <f ca="1">'5.FieldEnergyUse'!F81</f>
        <v>0</v>
      </c>
    </row>
    <row r="176" spans="1:11" x14ac:dyDescent="0.25">
      <c r="B176" s="1176"/>
      <c r="C176" s="1179"/>
      <c r="D176" s="1155"/>
    </row>
    <row r="177" spans="1:6" ht="14.4" x14ac:dyDescent="0.3">
      <c r="B177" s="1283" t="s">
        <v>2009</v>
      </c>
      <c r="C177" s="1147"/>
      <c r="D177" s="1155">
        <f ca="1">'5.FieldEnergyUse'!E85</f>
        <v>111.67226551535086</v>
      </c>
    </row>
    <row r="178" spans="1:6" x14ac:dyDescent="0.25">
      <c r="B178" s="1176" t="s">
        <v>2074</v>
      </c>
      <c r="C178" s="1147"/>
      <c r="D178" s="1245">
        <f ca="1">'5.FieldEnergyUse'!E86</f>
        <v>299.2816715811403</v>
      </c>
      <c r="E178" s="1179"/>
    </row>
    <row r="179" spans="1:6" x14ac:dyDescent="0.25">
      <c r="B179" s="1176"/>
      <c r="D179" s="1155"/>
      <c r="E179" s="1179"/>
    </row>
    <row r="180" spans="1:6" x14ac:dyDescent="0.25">
      <c r="B180" s="1176"/>
      <c r="D180" s="1155"/>
      <c r="E180" s="1179"/>
    </row>
    <row r="181" spans="1:6" x14ac:dyDescent="0.25">
      <c r="D181" s="1155"/>
      <c r="E181" s="1179"/>
    </row>
    <row r="182" spans="1:6" x14ac:dyDescent="0.25">
      <c r="D182" s="1155"/>
      <c r="E182" s="1179"/>
    </row>
    <row r="183" spans="1:6" x14ac:dyDescent="0.25">
      <c r="D183" s="1155"/>
      <c r="E183" s="1179"/>
    </row>
    <row r="184" spans="1:6" x14ac:dyDescent="0.25">
      <c r="D184" s="1155"/>
      <c r="E184" s="1179"/>
    </row>
    <row r="185" spans="1:6" x14ac:dyDescent="0.25">
      <c r="A185" s="1145" t="s">
        <v>1103</v>
      </c>
      <c r="C185" s="1175"/>
      <c r="D185" s="1176" t="s">
        <v>1127</v>
      </c>
      <c r="E185" s="1175" t="str">
        <f>'5.FieldEnergyUse'!F95</f>
        <v>kg CO2 eq</v>
      </c>
      <c r="F185" s="1175"/>
    </row>
    <row r="186" spans="1:6" x14ac:dyDescent="0.25">
      <c r="C186" s="1175" t="s">
        <v>205</v>
      </c>
      <c r="D186" s="1155">
        <f>'5.FieldEnergyUse'!E96</f>
        <v>0</v>
      </c>
      <c r="E186" s="1255">
        <f>'5.FieldEnergyUse'!F96</f>
        <v>0</v>
      </c>
      <c r="F186" s="1179"/>
    </row>
    <row r="187" spans="1:6" x14ac:dyDescent="0.25">
      <c r="C187" s="1175" t="s">
        <v>1721</v>
      </c>
      <c r="D187" s="1155">
        <f>'5.FieldEnergyUse'!E97</f>
        <v>0</v>
      </c>
      <c r="E187" s="1255">
        <f>'5.FieldEnergyUse'!F97</f>
        <v>0</v>
      </c>
      <c r="F187" s="1179"/>
    </row>
    <row r="188" spans="1:6" x14ac:dyDescent="0.25">
      <c r="C188" s="1175" t="s">
        <v>23</v>
      </c>
      <c r="D188" s="1155">
        <f ca="1">'5.FieldEnergyUse'!E98</f>
        <v>4232.3788630317968</v>
      </c>
      <c r="E188" s="1255">
        <f ca="1">'5.FieldEnergyUse'!F98</f>
        <v>299.2816715811403</v>
      </c>
      <c r="F188" s="1179"/>
    </row>
    <row r="189" spans="1:6" x14ac:dyDescent="0.25">
      <c r="C189" s="1175" t="s">
        <v>1788</v>
      </c>
      <c r="D189" s="1155">
        <f ca="1">'5.FieldEnergyUse'!E99</f>
        <v>0</v>
      </c>
      <c r="E189" s="1255">
        <f ca="1">'5.FieldEnergyUse'!F99</f>
        <v>0</v>
      </c>
      <c r="F189" s="1179"/>
    </row>
    <row r="190" spans="1:6" x14ac:dyDescent="0.25">
      <c r="C190" s="1175" t="s">
        <v>1789</v>
      </c>
      <c r="D190" s="1155">
        <f ca="1">'5.FieldEnergyUse'!E100</f>
        <v>0</v>
      </c>
      <c r="E190" s="1255">
        <f ca="1">'5.FieldEnergyUse'!F100</f>
        <v>0</v>
      </c>
      <c r="F190" s="1179"/>
    </row>
    <row r="191" spans="1:6" x14ac:dyDescent="0.25">
      <c r="C191" s="1175" t="s">
        <v>1543</v>
      </c>
      <c r="D191" s="1155">
        <f ca="1">'5.FieldEnergyUse'!E101</f>
        <v>0</v>
      </c>
      <c r="E191" s="1255">
        <f ca="1">'5.FieldEnergyUse'!F101</f>
        <v>0</v>
      </c>
      <c r="F191" s="1179"/>
    </row>
    <row r="192" spans="1:6" x14ac:dyDescent="0.25">
      <c r="C192" s="1175" t="s">
        <v>1362</v>
      </c>
      <c r="D192" s="1155">
        <f ca="1">'5.FieldEnergyUse'!E103</f>
        <v>4232.3788630317968</v>
      </c>
      <c r="E192" s="1255">
        <f ca="1">'5.FieldEnergyUse'!F103</f>
        <v>299.2816715811403</v>
      </c>
      <c r="F192" s="1179"/>
    </row>
    <row r="193" spans="1:6" x14ac:dyDescent="0.25">
      <c r="C193" s="1175" t="s">
        <v>1363</v>
      </c>
      <c r="D193" s="1155">
        <f ca="1">'5.FieldEnergyUse'!E104</f>
        <v>587.8303976433051</v>
      </c>
      <c r="E193" s="1255">
        <f ca="1">'5.FieldEnergyUse'!F104</f>
        <v>41.566898830713932</v>
      </c>
      <c r="F193" s="1179"/>
    </row>
    <row r="194" spans="1:6" x14ac:dyDescent="0.25">
      <c r="C194" s="1272" t="s">
        <v>1021</v>
      </c>
      <c r="D194" s="1155">
        <f ca="1">'5.FieldEnergyUse'!E102</f>
        <v>0</v>
      </c>
      <c r="E194" s="1245">
        <f ca="1">'5.FieldEnergyUse'!F102</f>
        <v>0</v>
      </c>
      <c r="F194" s="1179"/>
    </row>
    <row r="195" spans="1:6" x14ac:dyDescent="0.25">
      <c r="D195" s="1155"/>
      <c r="E195" s="1179"/>
    </row>
    <row r="196" spans="1:6" x14ac:dyDescent="0.25">
      <c r="A196" s="1145" t="s">
        <v>687</v>
      </c>
      <c r="D196" s="1155"/>
      <c r="E196" s="1179"/>
    </row>
    <row r="197" spans="1:6" ht="25.35" x14ac:dyDescent="0.25">
      <c r="B197" s="1176" t="s">
        <v>196</v>
      </c>
      <c r="C197" s="1175" t="s">
        <v>197</v>
      </c>
      <c r="D197" s="1155">
        <f>'6.PrimaryProcessing'!F6</f>
        <v>0</v>
      </c>
      <c r="E197" s="1179" t="str">
        <f>'6.PrimaryProcessing'!G6</f>
        <v>kWh</v>
      </c>
    </row>
    <row r="198" spans="1:6" ht="50.7" x14ac:dyDescent="0.25">
      <c r="B198" s="1176" t="s">
        <v>231</v>
      </c>
      <c r="C198" s="1175" t="s">
        <v>198</v>
      </c>
      <c r="D198" s="1155">
        <f>'6.PrimaryProcessing'!F7</f>
        <v>0</v>
      </c>
      <c r="E198" s="1179" t="str">
        <f>'6.PrimaryProcessing'!G7</f>
        <v>kWh</v>
      </c>
    </row>
    <row r="199" spans="1:6" ht="38.049999999999997" x14ac:dyDescent="0.25">
      <c r="B199" s="1176" t="s">
        <v>232</v>
      </c>
      <c r="C199" s="1175" t="s">
        <v>199</v>
      </c>
      <c r="D199" s="1155">
        <f>'6.PrimaryProcessing'!F8</f>
        <v>0</v>
      </c>
      <c r="E199" s="1179" t="str">
        <f>'6.PrimaryProcessing'!G8</f>
        <v>kWh</v>
      </c>
    </row>
    <row r="200" spans="1:6" ht="38.049999999999997" x14ac:dyDescent="0.25">
      <c r="B200" s="1176" t="s">
        <v>787</v>
      </c>
      <c r="C200" s="1175" t="s">
        <v>200</v>
      </c>
      <c r="D200" s="1155">
        <f>'6.PrimaryProcessing'!F9</f>
        <v>0</v>
      </c>
      <c r="E200" s="1179" t="str">
        <f>'6.PrimaryProcessing'!G9</f>
        <v>kWh</v>
      </c>
    </row>
    <row r="201" spans="1:6" x14ac:dyDescent="0.25">
      <c r="B201" s="1176"/>
      <c r="C201" s="1175"/>
      <c r="D201" s="1155"/>
      <c r="E201" s="1179"/>
    </row>
    <row r="202" spans="1:6" x14ac:dyDescent="0.25">
      <c r="B202" s="1176"/>
      <c r="C202" s="1175"/>
      <c r="D202" s="1155"/>
      <c r="E202" s="1179"/>
    </row>
    <row r="203" spans="1:6" x14ac:dyDescent="0.25">
      <c r="B203" s="1176"/>
      <c r="C203" s="1175"/>
      <c r="D203" s="1176" t="s">
        <v>652</v>
      </c>
      <c r="E203" s="1175" t="s">
        <v>1945</v>
      </c>
    </row>
    <row r="204" spans="1:6" ht="38.049999999999997" x14ac:dyDescent="0.25">
      <c r="B204" s="1176" t="s">
        <v>872</v>
      </c>
      <c r="C204" s="1175" t="s">
        <v>201</v>
      </c>
      <c r="D204" s="1155">
        <f>'6.PrimaryProcessing'!F13</f>
        <v>0</v>
      </c>
      <c r="E204" s="1179" t="str">
        <f ca="1">'6.PrimaryProcessing'!G13</f>
        <v>litres</v>
      </c>
    </row>
    <row r="205" spans="1:6" x14ac:dyDescent="0.25">
      <c r="B205" s="1176"/>
      <c r="C205" s="1175"/>
      <c r="D205" s="1155"/>
      <c r="E205" s="1179"/>
    </row>
    <row r="206" spans="1:6" x14ac:dyDescent="0.25">
      <c r="B206" s="1176"/>
      <c r="C206" s="1175"/>
      <c r="D206" s="1176" t="s">
        <v>652</v>
      </c>
      <c r="E206" s="1175" t="s">
        <v>1945</v>
      </c>
    </row>
    <row r="207" spans="1:6" ht="25.35" x14ac:dyDescent="0.25">
      <c r="B207" s="1176" t="s">
        <v>674</v>
      </c>
      <c r="C207" s="1175" t="s">
        <v>202</v>
      </c>
      <c r="D207" s="1155">
        <f>'6.PrimaryProcessing'!F16</f>
        <v>0</v>
      </c>
      <c r="E207" s="1179" t="str">
        <f ca="1">'6.PrimaryProcessing'!G16</f>
        <v>kg</v>
      </c>
    </row>
    <row r="208" spans="1:6" x14ac:dyDescent="0.25">
      <c r="B208" s="1176" t="s">
        <v>788</v>
      </c>
      <c r="C208" s="1175" t="s">
        <v>203</v>
      </c>
      <c r="D208" s="1155">
        <f>'6.PrimaryProcessing'!F17</f>
        <v>0</v>
      </c>
      <c r="E208" s="1179" t="str">
        <f ca="1">'6.PrimaryProcessing'!G17</f>
        <v>kg</v>
      </c>
    </row>
    <row r="209" spans="1:7" x14ac:dyDescent="0.25">
      <c r="B209" s="1176" t="s">
        <v>811</v>
      </c>
      <c r="C209" s="1175" t="s">
        <v>204</v>
      </c>
      <c r="D209" s="1155">
        <f>'6.PrimaryProcessing'!F18</f>
        <v>0</v>
      </c>
      <c r="E209" s="1179" t="str">
        <f ca="1">'6.PrimaryProcessing'!G18</f>
        <v>kg</v>
      </c>
    </row>
    <row r="210" spans="1:7" x14ac:dyDescent="0.25">
      <c r="B210" s="1176" t="s">
        <v>677</v>
      </c>
      <c r="C210" s="1175" t="s">
        <v>235</v>
      </c>
      <c r="D210" s="1155">
        <f>'6.PrimaryProcessing'!F19</f>
        <v>0</v>
      </c>
      <c r="E210" s="1179" t="str">
        <f>'6.PrimaryProcessing'!G19</f>
        <v>therms</v>
      </c>
    </row>
    <row r="211" spans="1:7" x14ac:dyDescent="0.25">
      <c r="B211" s="1176" t="s">
        <v>678</v>
      </c>
      <c r="C211" s="1175" t="s">
        <v>742</v>
      </c>
      <c r="D211" s="1155">
        <f>'6.PrimaryProcessing'!F20</f>
        <v>0</v>
      </c>
      <c r="E211" s="1179" t="str">
        <f ca="1">'6.PrimaryProcessing'!G20</f>
        <v>litres</v>
      </c>
    </row>
    <row r="212" spans="1:7" ht="38.049999999999997" x14ac:dyDescent="0.25">
      <c r="B212" s="1176" t="s">
        <v>869</v>
      </c>
      <c r="C212" s="1175" t="s">
        <v>901</v>
      </c>
      <c r="D212" s="1155">
        <f>'6.PrimaryProcessing'!F22</f>
        <v>0</v>
      </c>
      <c r="E212" s="1179" t="str">
        <f>'6.PrimaryProcessing'!G22</f>
        <v>[Select]</v>
      </c>
    </row>
    <row r="213" spans="1:7" x14ac:dyDescent="0.25">
      <c r="B213" s="1176" t="s">
        <v>68</v>
      </c>
      <c r="C213" s="1175" t="s">
        <v>743</v>
      </c>
      <c r="D213" s="1155">
        <f>'6.PrimaryProcessing'!F21</f>
        <v>0</v>
      </c>
      <c r="E213" s="1179" t="str">
        <f ca="1">'6.PrimaryProcessing'!G21</f>
        <v>litres</v>
      </c>
    </row>
    <row r="214" spans="1:7" x14ac:dyDescent="0.25">
      <c r="D214" s="1155"/>
      <c r="E214" s="1179"/>
    </row>
    <row r="215" spans="1:7" x14ac:dyDescent="0.25">
      <c r="C215" s="1179"/>
      <c r="D215" s="1155"/>
      <c r="E215" s="1517" t="s">
        <v>1264</v>
      </c>
      <c r="F215" s="1179" t="s">
        <v>307</v>
      </c>
      <c r="G215" s="1179"/>
    </row>
    <row r="216" spans="1:7" x14ac:dyDescent="0.25">
      <c r="C216" s="1179" t="s">
        <v>363</v>
      </c>
      <c r="D216" s="1155">
        <f>'6.PrimaryProcessing'!F26</f>
        <v>0</v>
      </c>
      <c r="E216" s="1155" t="str">
        <f ca="1">'6.PrimaryProcessing'!G26</f>
        <v>litres</v>
      </c>
      <c r="F216" s="1179"/>
      <c r="G216" s="1179"/>
    </row>
    <row r="217" spans="1:7" x14ac:dyDescent="0.25">
      <c r="C217" s="1179" t="s">
        <v>301</v>
      </c>
      <c r="D217" s="1155">
        <f>'6.PrimaryProcessing'!F27</f>
        <v>0</v>
      </c>
      <c r="E217" s="1155" t="str">
        <f>'6.PrimaryProcessing'!G27</f>
        <v>mg/litre</v>
      </c>
      <c r="F217" s="1155" t="str">
        <f>'6.PrimaryProcessing'!H27</f>
        <v>[Select]</v>
      </c>
      <c r="G217" s="1179"/>
    </row>
    <row r="218" spans="1:7" ht="25.35" x14ac:dyDescent="0.25">
      <c r="C218" s="1179" t="s">
        <v>1974</v>
      </c>
      <c r="D218" s="1155" t="str">
        <f>'6.PrimaryProcessing'!F28</f>
        <v>None - river/lake/sea discharge</v>
      </c>
      <c r="E218" s="1155"/>
      <c r="F218" s="1179" t="str">
        <f>'6.PrimaryProcessing'!H28</f>
        <v/>
      </c>
      <c r="G218" s="1179"/>
    </row>
    <row r="220" spans="1:7" x14ac:dyDescent="0.25">
      <c r="A220" s="1145" t="s">
        <v>688</v>
      </c>
      <c r="C220" s="1175"/>
      <c r="D220" s="1176" t="s">
        <v>1127</v>
      </c>
      <c r="E220" s="1175" t="str">
        <f>"emissions"&amp;" "&amp;'6.PrimaryProcessing'!F34</f>
        <v>emissions kg CO2 eq</v>
      </c>
      <c r="F220" s="1175"/>
    </row>
    <row r="221" spans="1:7" x14ac:dyDescent="0.25">
      <c r="C221" s="1175" t="s">
        <v>536</v>
      </c>
      <c r="D221" s="1155">
        <f>'6.PrimaryProcessing'!E35</f>
        <v>0</v>
      </c>
      <c r="E221" s="1245">
        <f>'6.PrimaryProcessing'!F35</f>
        <v>0</v>
      </c>
      <c r="F221" s="1179"/>
    </row>
    <row r="222" spans="1:7" x14ac:dyDescent="0.25">
      <c r="C222" s="1175" t="s">
        <v>537</v>
      </c>
      <c r="D222" s="1155">
        <f>'6.PrimaryProcessing'!E36</f>
        <v>0</v>
      </c>
      <c r="E222" s="1245">
        <f>'6.PrimaryProcessing'!F36</f>
        <v>0</v>
      </c>
      <c r="F222" s="1179"/>
    </row>
    <row r="223" spans="1:7" x14ac:dyDescent="0.25">
      <c r="C223" s="1175" t="s">
        <v>608</v>
      </c>
      <c r="D223" s="1155">
        <f ca="1">'6.PrimaryProcessing'!E37</f>
        <v>0</v>
      </c>
      <c r="E223" s="1245">
        <f ca="1">'6.PrimaryProcessing'!F37</f>
        <v>0</v>
      </c>
      <c r="F223" s="1179"/>
    </row>
    <row r="224" spans="1:7" x14ac:dyDescent="0.25">
      <c r="C224" s="1175" t="s">
        <v>607</v>
      </c>
      <c r="D224" s="1155">
        <f ca="1">'6.PrimaryProcessing'!E38</f>
        <v>0</v>
      </c>
      <c r="E224" s="1245">
        <f ca="1">'6.PrimaryProcessing'!F38</f>
        <v>0</v>
      </c>
      <c r="F224" s="1179"/>
    </row>
    <row r="225" spans="1:8" ht="18" customHeight="1" x14ac:dyDescent="0.25">
      <c r="C225" s="1175" t="s">
        <v>2072</v>
      </c>
      <c r="D225" s="1155">
        <f>'6.PrimaryProcessing'!E39</f>
        <v>0</v>
      </c>
      <c r="E225" s="1245">
        <f>'6.PrimaryProcessing'!F39</f>
        <v>0</v>
      </c>
      <c r="F225" s="1179"/>
    </row>
    <row r="226" spans="1:8" ht="18" customHeight="1" x14ac:dyDescent="0.25">
      <c r="C226" s="1175" t="s">
        <v>304</v>
      </c>
      <c r="D226" s="1155">
        <f>'6.PrimaryProcessing'!E40</f>
        <v>0</v>
      </c>
      <c r="E226" s="1245">
        <f ca="1">'6.PrimaryProcessing'!F40</f>
        <v>0</v>
      </c>
      <c r="F226" s="1179"/>
    </row>
    <row r="227" spans="1:8" ht="18" customHeight="1" x14ac:dyDescent="0.25">
      <c r="C227" s="1175" t="s">
        <v>619</v>
      </c>
      <c r="D227" s="1155">
        <f ca="1">'6.PrimaryProcessing'!E41</f>
        <v>0</v>
      </c>
      <c r="E227" s="1245">
        <f ca="1">'6.PrimaryProcessing'!F41</f>
        <v>0</v>
      </c>
      <c r="F227" s="1179"/>
    </row>
    <row r="228" spans="1:8" x14ac:dyDescent="0.25">
      <c r="C228" s="1175" t="s">
        <v>237</v>
      </c>
      <c r="D228" s="1155">
        <f ca="1">'6.PrimaryProcessing'!E42</f>
        <v>0</v>
      </c>
      <c r="E228" s="1245">
        <f ca="1">'6.PrimaryProcessing'!F42</f>
        <v>0</v>
      </c>
      <c r="F228" s="1179"/>
    </row>
    <row r="229" spans="1:8" x14ac:dyDescent="0.25">
      <c r="C229" s="1175"/>
      <c r="D229" s="1155"/>
      <c r="E229" s="1179"/>
      <c r="F229" s="1179"/>
    </row>
    <row r="231" spans="1:8" x14ac:dyDescent="0.25">
      <c r="A231" s="1145" t="s">
        <v>689</v>
      </c>
    </row>
    <row r="232" spans="1:8" x14ac:dyDescent="0.25">
      <c r="A232" s="1145"/>
      <c r="C232" s="1175" t="s">
        <v>2061</v>
      </c>
      <c r="D232" s="1176" t="s">
        <v>2062</v>
      </c>
      <c r="E232" s="1175" t="s">
        <v>1458</v>
      </c>
      <c r="F232" s="1175" t="s">
        <v>2062</v>
      </c>
      <c r="G232" s="1175" t="s">
        <v>1459</v>
      </c>
      <c r="H232" s="1175" t="s">
        <v>494</v>
      </c>
    </row>
    <row r="233" spans="1:8" x14ac:dyDescent="0.25">
      <c r="B233" s="1177" t="s">
        <v>1456</v>
      </c>
      <c r="C233" s="1179">
        <f>'7.Transport'!E4</f>
        <v>0</v>
      </c>
      <c r="D233" s="1155" t="str">
        <f ca="1">'7.Transport'!F4</f>
        <v xml:space="preserve">tonnes </v>
      </c>
      <c r="E233" s="1179">
        <f>'7.Transport'!G4</f>
        <v>0</v>
      </c>
      <c r="F233" s="1179" t="str">
        <f ca="1">'7.Transport'!H4</f>
        <v>km</v>
      </c>
      <c r="G233" s="1179" t="str">
        <f>'7.Transport'!I4</f>
        <v/>
      </c>
      <c r="H233" s="1179" t="str">
        <f>'7.Transport'!J4</f>
        <v>yes - returning empty</v>
      </c>
    </row>
    <row r="234" spans="1:8" x14ac:dyDescent="0.25">
      <c r="B234" s="1177" t="s">
        <v>1456</v>
      </c>
      <c r="C234" s="1179">
        <f>'7.Transport'!E5</f>
        <v>0</v>
      </c>
      <c r="D234" s="1155" t="str">
        <f ca="1">'7.Transport'!F5</f>
        <v xml:space="preserve">tonnes </v>
      </c>
      <c r="E234" s="1179">
        <f>'7.Transport'!G5</f>
        <v>0</v>
      </c>
      <c r="F234" s="1179" t="str">
        <f ca="1">'7.Transport'!H5</f>
        <v>km</v>
      </c>
      <c r="G234" s="1179" t="str">
        <f>'7.Transport'!I5</f>
        <v/>
      </c>
      <c r="H234" s="1179" t="str">
        <f>'7.Transport'!J5</f>
        <v>yes - returning empty</v>
      </c>
    </row>
    <row r="235" spans="1:8" x14ac:dyDescent="0.25">
      <c r="B235" s="1177" t="s">
        <v>1456</v>
      </c>
      <c r="C235" s="1179">
        <f>'7.Transport'!E6</f>
        <v>0</v>
      </c>
      <c r="D235" s="1155" t="str">
        <f ca="1">'7.Transport'!F6</f>
        <v xml:space="preserve">tonnes </v>
      </c>
      <c r="E235" s="1179">
        <f>'7.Transport'!G6</f>
        <v>0</v>
      </c>
      <c r="F235" s="1179" t="str">
        <f ca="1">'7.Transport'!H6</f>
        <v>km</v>
      </c>
      <c r="G235" s="1179" t="str">
        <f>'7.Transport'!I6</f>
        <v/>
      </c>
      <c r="H235" s="1179" t="str">
        <f>'7.Transport'!J6</f>
        <v>yes - returning empty</v>
      </c>
    </row>
    <row r="236" spans="1:8" x14ac:dyDescent="0.25">
      <c r="B236" s="1177" t="s">
        <v>1456</v>
      </c>
      <c r="C236" s="1179">
        <f>'7.Transport'!E7</f>
        <v>0</v>
      </c>
      <c r="D236" s="1155" t="str">
        <f ca="1">'7.Transport'!F7</f>
        <v xml:space="preserve">tonnes </v>
      </c>
      <c r="E236" s="1179">
        <f>'7.Transport'!G7</f>
        <v>0</v>
      </c>
      <c r="F236" s="1179" t="str">
        <f ca="1">'7.Transport'!H7</f>
        <v>km</v>
      </c>
      <c r="G236" s="1179" t="str">
        <f>'7.Transport'!I7</f>
        <v/>
      </c>
      <c r="H236" s="1179" t="str">
        <f>'7.Transport'!J7</f>
        <v>yes - returning empty</v>
      </c>
    </row>
    <row r="237" spans="1:8" x14ac:dyDescent="0.25">
      <c r="B237" s="1177" t="s">
        <v>1456</v>
      </c>
      <c r="C237" s="1179">
        <f>'7.Transport'!E8</f>
        <v>0</v>
      </c>
      <c r="D237" s="1155" t="str">
        <f ca="1">'7.Transport'!F8</f>
        <v xml:space="preserve">tonnes </v>
      </c>
      <c r="E237" s="1179">
        <f>'7.Transport'!G8</f>
        <v>0</v>
      </c>
      <c r="F237" s="1179" t="str">
        <f ca="1">'7.Transport'!H8</f>
        <v>km</v>
      </c>
      <c r="G237" s="1179" t="str">
        <f>'7.Transport'!I8</f>
        <v/>
      </c>
      <c r="H237" s="1179" t="str">
        <f>'7.Transport'!J8</f>
        <v>yes - returning empty</v>
      </c>
    </row>
    <row r="238" spans="1:8" x14ac:dyDescent="0.25">
      <c r="B238" s="1177" t="s">
        <v>1456</v>
      </c>
      <c r="C238" s="1179">
        <f>'7.Transport'!E9</f>
        <v>0</v>
      </c>
      <c r="D238" s="1155" t="str">
        <f ca="1">'7.Transport'!F9</f>
        <v xml:space="preserve">tonnes </v>
      </c>
      <c r="E238" s="1179">
        <f>'7.Transport'!G9</f>
        <v>0</v>
      </c>
      <c r="F238" s="1179" t="str">
        <f ca="1">'7.Transport'!H9</f>
        <v>km</v>
      </c>
      <c r="G238" s="1179" t="str">
        <f>'7.Transport'!I9</f>
        <v/>
      </c>
      <c r="H238" s="1179" t="str">
        <f>'7.Transport'!J9</f>
        <v>yes - returning empty</v>
      </c>
    </row>
    <row r="239" spans="1:8" x14ac:dyDescent="0.25">
      <c r="B239" s="1177" t="s">
        <v>1456</v>
      </c>
      <c r="C239" s="1179">
        <f>'7.Transport'!E10</f>
        <v>0</v>
      </c>
      <c r="D239" s="1155" t="str">
        <f ca="1">'7.Transport'!F10</f>
        <v xml:space="preserve">tonnes </v>
      </c>
      <c r="E239" s="1179">
        <f>'7.Transport'!G10</f>
        <v>0</v>
      </c>
      <c r="F239" s="1179" t="str">
        <f ca="1">'7.Transport'!H10</f>
        <v>km</v>
      </c>
      <c r="G239" s="1179" t="str">
        <f>'7.Transport'!I10</f>
        <v/>
      </c>
      <c r="H239" s="1179" t="str">
        <f>'7.Transport'!J10</f>
        <v>yes - returning empty</v>
      </c>
    </row>
    <row r="240" spans="1:8" x14ac:dyDescent="0.25">
      <c r="B240" s="1177" t="s">
        <v>1456</v>
      </c>
      <c r="C240" s="1179">
        <f>'7.Transport'!E11</f>
        <v>0</v>
      </c>
      <c r="D240" s="1155" t="str">
        <f ca="1">'7.Transport'!F11</f>
        <v xml:space="preserve">tonnes </v>
      </c>
      <c r="E240" s="1179">
        <f>'7.Transport'!G11</f>
        <v>0</v>
      </c>
      <c r="F240" s="1179" t="str">
        <f ca="1">'7.Transport'!H11</f>
        <v>km</v>
      </c>
      <c r="G240" s="1179" t="str">
        <f>'7.Transport'!I11</f>
        <v/>
      </c>
      <c r="H240" s="1179" t="str">
        <f>'7.Transport'!J11</f>
        <v>yes - returning empty</v>
      </c>
    </row>
    <row r="241" spans="2:8" x14ac:dyDescent="0.25">
      <c r="B241" s="1177"/>
      <c r="C241" s="1179"/>
      <c r="D241" s="1155"/>
      <c r="E241" s="1179"/>
      <c r="F241" s="1179"/>
      <c r="G241" s="1179"/>
      <c r="H241" s="1179"/>
    </row>
    <row r="242" spans="2:8" x14ac:dyDescent="0.25">
      <c r="C242" s="1175" t="s">
        <v>2061</v>
      </c>
      <c r="D242" s="1176" t="s">
        <v>2062</v>
      </c>
      <c r="E242" s="1175" t="s">
        <v>1458</v>
      </c>
      <c r="F242" s="1175" t="s">
        <v>2062</v>
      </c>
      <c r="G242" s="1180" t="s">
        <v>1273</v>
      </c>
      <c r="H242" s="1175"/>
    </row>
    <row r="243" spans="2:8" x14ac:dyDescent="0.25">
      <c r="B243" s="1177" t="s">
        <v>1457</v>
      </c>
      <c r="C243" s="1179">
        <f>'7.Transport'!E14</f>
        <v>0</v>
      </c>
      <c r="D243" s="1155" t="str">
        <f ca="1">'7.Transport'!F14</f>
        <v xml:space="preserve">tonnes </v>
      </c>
      <c r="E243" s="1179">
        <f>'7.Transport'!G14</f>
        <v>0</v>
      </c>
      <c r="F243" s="1179" t="str">
        <f ca="1">'7.Transport'!H14</f>
        <v>km</v>
      </c>
      <c r="G243" s="1179"/>
      <c r="H243" s="1179"/>
    </row>
    <row r="244" spans="2:8" x14ac:dyDescent="0.25">
      <c r="B244" s="1177" t="s">
        <v>1457</v>
      </c>
      <c r="C244" s="1179">
        <f>'7.Transport'!E15</f>
        <v>0</v>
      </c>
      <c r="D244" s="1155" t="str">
        <f ca="1">'7.Transport'!F15</f>
        <v xml:space="preserve">tonnes </v>
      </c>
      <c r="E244" s="1179">
        <f>'7.Transport'!G15</f>
        <v>0</v>
      </c>
      <c r="F244" s="1179" t="str">
        <f ca="1">'7.Transport'!H15</f>
        <v>km</v>
      </c>
      <c r="G244" s="1179"/>
      <c r="H244" s="1179"/>
    </row>
    <row r="245" spans="2:8" x14ac:dyDescent="0.25">
      <c r="B245" s="1177" t="s">
        <v>1457</v>
      </c>
      <c r="C245" s="1179">
        <f>'7.Transport'!E16</f>
        <v>0</v>
      </c>
      <c r="D245" s="1155" t="str">
        <f ca="1">'7.Transport'!F16</f>
        <v xml:space="preserve">tonnes </v>
      </c>
      <c r="E245" s="1179">
        <f>'7.Transport'!G16</f>
        <v>0</v>
      </c>
      <c r="F245" s="1179" t="str">
        <f ca="1">'7.Transport'!H16</f>
        <v>km</v>
      </c>
      <c r="G245" s="1179"/>
      <c r="H245" s="1179"/>
    </row>
    <row r="246" spans="2:8" x14ac:dyDescent="0.25">
      <c r="B246" s="1177" t="s">
        <v>1457</v>
      </c>
      <c r="C246" s="1179">
        <f>'7.Transport'!E17</f>
        <v>0</v>
      </c>
      <c r="D246" s="1155" t="str">
        <f ca="1">'7.Transport'!F17</f>
        <v xml:space="preserve">tonnes </v>
      </c>
      <c r="E246" s="1179">
        <f>'7.Transport'!G17</f>
        <v>0</v>
      </c>
      <c r="F246" s="1179" t="str">
        <f ca="1">'7.Transport'!H17</f>
        <v>km</v>
      </c>
      <c r="G246" s="1179"/>
      <c r="H246" s="1179"/>
    </row>
    <row r="247" spans="2:8" x14ac:dyDescent="0.25">
      <c r="B247" s="1177" t="s">
        <v>1457</v>
      </c>
      <c r="C247" s="1179">
        <f>'7.Transport'!E18</f>
        <v>0</v>
      </c>
      <c r="D247" s="1155" t="str">
        <f ca="1">'7.Transport'!F18</f>
        <v xml:space="preserve">tonnes </v>
      </c>
      <c r="E247" s="1179">
        <f>'7.Transport'!G18</f>
        <v>0</v>
      </c>
      <c r="F247" s="1179" t="str">
        <f ca="1">'7.Transport'!H18</f>
        <v>km</v>
      </c>
      <c r="G247" s="1179"/>
      <c r="H247" s="1179"/>
    </row>
    <row r="248" spans="2:8" x14ac:dyDescent="0.25">
      <c r="B248" s="1177" t="s">
        <v>1457</v>
      </c>
      <c r="C248" s="1179">
        <f>'7.Transport'!E19</f>
        <v>0</v>
      </c>
      <c r="D248" s="1155" t="str">
        <f ca="1">'7.Transport'!F19</f>
        <v xml:space="preserve">tonnes </v>
      </c>
      <c r="E248" s="1179">
        <f>'7.Transport'!G19</f>
        <v>0</v>
      </c>
      <c r="F248" s="1179" t="str">
        <f ca="1">'7.Transport'!H19</f>
        <v>km</v>
      </c>
      <c r="G248" s="1179"/>
      <c r="H248" s="1179"/>
    </row>
    <row r="249" spans="2:8" x14ac:dyDescent="0.25">
      <c r="B249" s="1177" t="s">
        <v>1457</v>
      </c>
      <c r="C249" s="1179">
        <f>'7.Transport'!E20</f>
        <v>0</v>
      </c>
      <c r="D249" s="1155" t="str">
        <f ca="1">'7.Transport'!F20</f>
        <v xml:space="preserve">tonnes </v>
      </c>
      <c r="E249" s="1179">
        <f>'7.Transport'!G20</f>
        <v>0</v>
      </c>
      <c r="F249" s="1179" t="str">
        <f ca="1">'7.Transport'!H20</f>
        <v>km</v>
      </c>
      <c r="G249" s="1179"/>
      <c r="H249" s="1179"/>
    </row>
    <row r="250" spans="2:8" x14ac:dyDescent="0.25">
      <c r="B250" s="1177" t="s">
        <v>1457</v>
      </c>
      <c r="C250" s="1179">
        <f>'7.Transport'!E21</f>
        <v>0</v>
      </c>
      <c r="D250" s="1155" t="str">
        <f ca="1">'7.Transport'!F21</f>
        <v xml:space="preserve">tonnes </v>
      </c>
      <c r="E250" s="1179">
        <f>'7.Transport'!G21</f>
        <v>0</v>
      </c>
      <c r="F250" s="1179" t="str">
        <f ca="1">'7.Transport'!H21</f>
        <v>km</v>
      </c>
      <c r="G250" s="1179"/>
      <c r="H250" s="1179"/>
    </row>
    <row r="251" spans="2:8" x14ac:dyDescent="0.25">
      <c r="B251" s="1177"/>
      <c r="C251" s="1179"/>
      <c r="D251" s="1155"/>
      <c r="E251" s="1179"/>
      <c r="F251" s="1179"/>
      <c r="G251" s="1179"/>
      <c r="H251" s="1179"/>
    </row>
    <row r="252" spans="2:8" x14ac:dyDescent="0.25">
      <c r="C252" s="1175" t="s">
        <v>2061</v>
      </c>
      <c r="D252" s="1176" t="s">
        <v>2062</v>
      </c>
      <c r="E252" s="1175" t="s">
        <v>1458</v>
      </c>
      <c r="F252" s="1175" t="s">
        <v>2062</v>
      </c>
      <c r="G252" s="1175" t="s">
        <v>1273</v>
      </c>
      <c r="H252" s="1175"/>
    </row>
    <row r="253" spans="2:8" x14ac:dyDescent="0.25">
      <c r="B253" s="1177" t="s">
        <v>1460</v>
      </c>
      <c r="C253" s="1179">
        <f>'7.Transport'!E24</f>
        <v>0</v>
      </c>
      <c r="D253" s="1155" t="str">
        <f ca="1">'7.Transport'!F24</f>
        <v xml:space="preserve">tonnes </v>
      </c>
      <c r="E253" s="1179">
        <f>'7.Transport'!G24</f>
        <v>0</v>
      </c>
      <c r="F253" s="1179" t="str">
        <f ca="1">'7.Transport'!H24</f>
        <v>km</v>
      </c>
      <c r="G253" s="1179" t="str">
        <f>'7.Transport'!I24</f>
        <v>Very Short Haul</v>
      </c>
      <c r="H253" s="1179"/>
    </row>
    <row r="254" spans="2:8" x14ac:dyDescent="0.25">
      <c r="B254" s="1177" t="s">
        <v>1460</v>
      </c>
      <c r="C254" s="1179">
        <f>'7.Transport'!E25</f>
        <v>0</v>
      </c>
      <c r="D254" s="1155" t="str">
        <f ca="1">'7.Transport'!F25</f>
        <v xml:space="preserve">tonnes </v>
      </c>
      <c r="E254" s="1179">
        <f>'7.Transport'!G25</f>
        <v>0</v>
      </c>
      <c r="F254" s="1179" t="str">
        <f ca="1">'7.Transport'!H25</f>
        <v>km</v>
      </c>
      <c r="G254" s="1179" t="str">
        <f>'7.Transport'!I25</f>
        <v>Very Short Haul</v>
      </c>
      <c r="H254" s="1179"/>
    </row>
    <row r="255" spans="2:8" x14ac:dyDescent="0.25">
      <c r="B255" s="1177" t="s">
        <v>1460</v>
      </c>
      <c r="C255" s="1179">
        <f>'7.Transport'!E26</f>
        <v>0</v>
      </c>
      <c r="D255" s="1155" t="str">
        <f ca="1">'7.Transport'!F26</f>
        <v xml:space="preserve">tonnes </v>
      </c>
      <c r="E255" s="1179">
        <f>'7.Transport'!G26</f>
        <v>0</v>
      </c>
      <c r="F255" s="1179" t="str">
        <f ca="1">'7.Transport'!H26</f>
        <v>km</v>
      </c>
      <c r="G255" s="1179" t="str">
        <f>'7.Transport'!I26</f>
        <v>Very Short Haul</v>
      </c>
      <c r="H255" s="1179"/>
    </row>
    <row r="256" spans="2:8" x14ac:dyDescent="0.25">
      <c r="B256" s="1177" t="s">
        <v>1460</v>
      </c>
      <c r="C256" s="1179">
        <f>'7.Transport'!E27</f>
        <v>0</v>
      </c>
      <c r="D256" s="1155" t="str">
        <f ca="1">'7.Transport'!F27</f>
        <v xml:space="preserve">tonnes </v>
      </c>
      <c r="E256" s="1179">
        <f>'7.Transport'!G27</f>
        <v>0</v>
      </c>
      <c r="F256" s="1179" t="str">
        <f ca="1">'7.Transport'!H27</f>
        <v>km</v>
      </c>
      <c r="G256" s="1179" t="str">
        <f>'7.Transport'!I27</f>
        <v>Very Short Haul</v>
      </c>
      <c r="H256" s="1179"/>
    </row>
    <row r="257" spans="2:8" x14ac:dyDescent="0.25">
      <c r="B257" s="1177" t="s">
        <v>1460</v>
      </c>
      <c r="C257" s="1179">
        <f>'7.Transport'!E28</f>
        <v>0</v>
      </c>
      <c r="D257" s="1155" t="str">
        <f ca="1">'7.Transport'!F28</f>
        <v xml:space="preserve">tonnes </v>
      </c>
      <c r="E257" s="1179">
        <f>'7.Transport'!G28</f>
        <v>0</v>
      </c>
      <c r="F257" s="1179" t="str">
        <f ca="1">'7.Transport'!H28</f>
        <v>km</v>
      </c>
      <c r="G257" s="1179" t="str">
        <f>'7.Transport'!I28</f>
        <v>Very Short Haul</v>
      </c>
      <c r="H257" s="1179"/>
    </row>
    <row r="258" spans="2:8" x14ac:dyDescent="0.25">
      <c r="B258" s="1177" t="s">
        <v>1460</v>
      </c>
      <c r="C258" s="1179">
        <f>'7.Transport'!E29</f>
        <v>0</v>
      </c>
      <c r="D258" s="1155" t="str">
        <f ca="1">'7.Transport'!F29</f>
        <v xml:space="preserve">tonnes </v>
      </c>
      <c r="E258" s="1179">
        <f>'7.Transport'!G29</f>
        <v>0</v>
      </c>
      <c r="F258" s="1179" t="str">
        <f ca="1">'7.Transport'!H29</f>
        <v>km</v>
      </c>
      <c r="G258" s="1179" t="str">
        <f>'7.Transport'!I29</f>
        <v>Very Short Haul</v>
      </c>
      <c r="H258" s="1179"/>
    </row>
    <row r="259" spans="2:8" x14ac:dyDescent="0.25">
      <c r="B259" s="1177" t="s">
        <v>1460</v>
      </c>
      <c r="C259" s="1179">
        <f>'7.Transport'!E30</f>
        <v>0</v>
      </c>
      <c r="D259" s="1155" t="str">
        <f ca="1">'7.Transport'!F30</f>
        <v xml:space="preserve">tonnes </v>
      </c>
      <c r="E259" s="1179">
        <f>'7.Transport'!G30</f>
        <v>0</v>
      </c>
      <c r="F259" s="1179" t="str">
        <f ca="1">'7.Transport'!H30</f>
        <v>km</v>
      </c>
      <c r="G259" s="1179" t="str">
        <f>'7.Transport'!I30</f>
        <v>Very Short Haul</v>
      </c>
      <c r="H259" s="1179"/>
    </row>
    <row r="260" spans="2:8" x14ac:dyDescent="0.25">
      <c r="B260" s="1177" t="s">
        <v>1460</v>
      </c>
      <c r="C260" s="1179">
        <f>'7.Transport'!E31</f>
        <v>0</v>
      </c>
      <c r="D260" s="1155" t="str">
        <f ca="1">'7.Transport'!F31</f>
        <v xml:space="preserve">tonnes </v>
      </c>
      <c r="E260" s="1179">
        <f>'7.Transport'!G31</f>
        <v>0</v>
      </c>
      <c r="F260" s="1179" t="str">
        <f ca="1">'7.Transport'!H31</f>
        <v>km</v>
      </c>
      <c r="G260" s="1179" t="str">
        <f>'7.Transport'!I31</f>
        <v>Very Short Haul</v>
      </c>
      <c r="H260" s="1179"/>
    </row>
    <row r="261" spans="2:8" x14ac:dyDescent="0.25">
      <c r="B261" s="1177"/>
      <c r="C261" s="1179"/>
      <c r="D261" s="1155"/>
      <c r="E261" s="1179"/>
      <c r="F261" s="1179"/>
      <c r="G261" s="1179"/>
      <c r="H261" s="1179"/>
    </row>
    <row r="262" spans="2:8" x14ac:dyDescent="0.25">
      <c r="C262" s="1175" t="s">
        <v>2061</v>
      </c>
      <c r="D262" s="1176" t="s">
        <v>2062</v>
      </c>
      <c r="E262" s="1175" t="s">
        <v>1458</v>
      </c>
      <c r="F262" s="1175" t="s">
        <v>2062</v>
      </c>
      <c r="G262" s="1175" t="s">
        <v>1273</v>
      </c>
      <c r="H262" s="1175"/>
    </row>
    <row r="263" spans="2:8" x14ac:dyDescent="0.25">
      <c r="B263" s="1177" t="s">
        <v>1461</v>
      </c>
      <c r="C263" s="1179">
        <f>'7.Transport'!E34</f>
        <v>0</v>
      </c>
      <c r="D263" s="1179" t="str">
        <f ca="1">'7.Transport'!F34</f>
        <v xml:space="preserve">tonnes </v>
      </c>
      <c r="E263" s="1179">
        <f>'7.Transport'!G34</f>
        <v>0</v>
      </c>
      <c r="F263" s="1179" t="str">
        <f ca="1">'7.Transport'!H34</f>
        <v>km</v>
      </c>
      <c r="G263" s="1179" t="str">
        <f>'7.Transport'!I34</f>
        <v/>
      </c>
      <c r="H263" s="1179"/>
    </row>
    <row r="264" spans="2:8" x14ac:dyDescent="0.25">
      <c r="B264" s="1177" t="s">
        <v>1461</v>
      </c>
      <c r="C264" s="1179">
        <f>'7.Transport'!E35</f>
        <v>0</v>
      </c>
      <c r="D264" s="1179" t="str">
        <f ca="1">'7.Transport'!F35</f>
        <v xml:space="preserve">tonnes </v>
      </c>
      <c r="E264" s="1179">
        <f>'7.Transport'!G35</f>
        <v>0</v>
      </c>
      <c r="F264" s="1179" t="str">
        <f ca="1">'7.Transport'!H35</f>
        <v>km</v>
      </c>
      <c r="G264" s="1179" t="str">
        <f>'7.Transport'!I35</f>
        <v/>
      </c>
      <c r="H264" s="1179"/>
    </row>
    <row r="265" spans="2:8" x14ac:dyDescent="0.25">
      <c r="B265" s="1177" t="s">
        <v>1461</v>
      </c>
      <c r="C265" s="1179">
        <f>'7.Transport'!E36</f>
        <v>0</v>
      </c>
      <c r="D265" s="1179" t="str">
        <f ca="1">'7.Transport'!F36</f>
        <v xml:space="preserve">tonnes </v>
      </c>
      <c r="E265" s="1179">
        <f>'7.Transport'!G36</f>
        <v>0</v>
      </c>
      <c r="F265" s="1179" t="str">
        <f ca="1">'7.Transport'!H36</f>
        <v>km</v>
      </c>
      <c r="G265" s="1179" t="str">
        <f>'7.Transport'!I36</f>
        <v/>
      </c>
      <c r="H265" s="1179"/>
    </row>
    <row r="266" spans="2:8" x14ac:dyDescent="0.25">
      <c r="B266" s="1177" t="s">
        <v>1461</v>
      </c>
      <c r="C266" s="1179">
        <f>'7.Transport'!E37</f>
        <v>0</v>
      </c>
      <c r="D266" s="1179" t="str">
        <f ca="1">'7.Transport'!F37</f>
        <v xml:space="preserve">tonnes </v>
      </c>
      <c r="E266" s="1179">
        <f>'7.Transport'!G37</f>
        <v>0</v>
      </c>
      <c r="F266" s="1179" t="str">
        <f ca="1">'7.Transport'!H37</f>
        <v>km</v>
      </c>
      <c r="G266" s="1179" t="str">
        <f>'7.Transport'!I37</f>
        <v/>
      </c>
      <c r="H266" s="1179"/>
    </row>
    <row r="267" spans="2:8" x14ac:dyDescent="0.25">
      <c r="B267" s="1177" t="s">
        <v>1461</v>
      </c>
      <c r="C267" s="1179">
        <f>'7.Transport'!E38</f>
        <v>0</v>
      </c>
      <c r="D267" s="1179" t="str">
        <f ca="1">'7.Transport'!F38</f>
        <v xml:space="preserve">tonnes </v>
      </c>
      <c r="E267" s="1179">
        <f>'7.Transport'!G38</f>
        <v>0</v>
      </c>
      <c r="F267" s="1179" t="str">
        <f ca="1">'7.Transport'!H38</f>
        <v>km</v>
      </c>
      <c r="G267" s="1179" t="str">
        <f>'7.Transport'!I38</f>
        <v/>
      </c>
      <c r="H267" s="1179"/>
    </row>
    <row r="268" spans="2:8" x14ac:dyDescent="0.25">
      <c r="B268" s="1177" t="s">
        <v>1461</v>
      </c>
      <c r="C268" s="1179">
        <f>'7.Transport'!E39</f>
        <v>0</v>
      </c>
      <c r="D268" s="1179" t="str">
        <f ca="1">'7.Transport'!F39</f>
        <v xml:space="preserve">tonnes </v>
      </c>
      <c r="E268" s="1179">
        <f>'7.Transport'!G39</f>
        <v>0</v>
      </c>
      <c r="F268" s="1179" t="str">
        <f ca="1">'7.Transport'!H39</f>
        <v>km</v>
      </c>
      <c r="G268" s="1179" t="str">
        <f>'7.Transport'!I39</f>
        <v/>
      </c>
      <c r="H268" s="1179"/>
    </row>
    <row r="269" spans="2:8" x14ac:dyDescent="0.25">
      <c r="B269" s="1177" t="s">
        <v>1461</v>
      </c>
      <c r="C269" s="1179">
        <f>'7.Transport'!E40</f>
        <v>0</v>
      </c>
      <c r="D269" s="1179" t="str">
        <f ca="1">'7.Transport'!F40</f>
        <v xml:space="preserve">tonnes </v>
      </c>
      <c r="E269" s="1179">
        <f>'7.Transport'!G40</f>
        <v>0</v>
      </c>
      <c r="F269" s="1179" t="str">
        <f ca="1">'7.Transport'!H40</f>
        <v>km</v>
      </c>
      <c r="G269" s="1179" t="str">
        <f>'7.Transport'!I40</f>
        <v/>
      </c>
      <c r="H269" s="1179"/>
    </row>
    <row r="270" spans="2:8" x14ac:dyDescent="0.25">
      <c r="B270" s="1177" t="s">
        <v>1461</v>
      </c>
      <c r="C270" s="1179">
        <f>'7.Transport'!E41</f>
        <v>0</v>
      </c>
      <c r="D270" s="1179" t="str">
        <f ca="1">'7.Transport'!F41</f>
        <v xml:space="preserve">tonnes </v>
      </c>
      <c r="E270" s="1179">
        <f>'7.Transport'!G41</f>
        <v>0</v>
      </c>
      <c r="F270" s="1179" t="str">
        <f ca="1">'7.Transport'!H41</f>
        <v>km</v>
      </c>
      <c r="G270" s="1179" t="str">
        <f>'7.Transport'!I41</f>
        <v/>
      </c>
      <c r="H270" s="1179"/>
    </row>
    <row r="271" spans="2:8" x14ac:dyDescent="0.25">
      <c r="C271" s="1179"/>
      <c r="D271" s="1155"/>
      <c r="E271" s="1179"/>
      <c r="F271" s="1179"/>
      <c r="G271" s="1179"/>
      <c r="H271" s="1179"/>
    </row>
    <row r="272" spans="2:8" x14ac:dyDescent="0.25">
      <c r="C272" s="1179"/>
      <c r="D272" s="1155"/>
      <c r="E272" s="1179"/>
      <c r="F272" s="1179"/>
      <c r="G272" s="1179"/>
      <c r="H272" s="1179"/>
    </row>
    <row r="273" spans="1:8" x14ac:dyDescent="0.25">
      <c r="C273" s="1179"/>
      <c r="D273" s="1155"/>
      <c r="E273" s="1179"/>
      <c r="F273" s="1179"/>
      <c r="G273" s="1179"/>
      <c r="H273" s="1179"/>
    </row>
    <row r="274" spans="1:8" x14ac:dyDescent="0.25">
      <c r="C274" s="1179"/>
      <c r="D274" s="1155"/>
      <c r="E274" s="1179"/>
      <c r="F274" s="1179"/>
      <c r="G274" s="1179"/>
      <c r="H274" s="1179"/>
    </row>
    <row r="275" spans="1:8" x14ac:dyDescent="0.25">
      <c r="C275" s="1175"/>
      <c r="D275" s="1177" t="s">
        <v>1945</v>
      </c>
      <c r="E275" s="1175" t="str">
        <f>'7.Transport'!D46</f>
        <v>kg CO2 eq</v>
      </c>
      <c r="F275" s="1175"/>
    </row>
    <row r="276" spans="1:8" x14ac:dyDescent="0.25">
      <c r="C276" s="1175"/>
      <c r="D276" s="1176" t="s">
        <v>1456</v>
      </c>
      <c r="E276" s="1256">
        <f ca="1">'7.Transport'!D47</f>
        <v>0</v>
      </c>
      <c r="F276" s="1179"/>
    </row>
    <row r="277" spans="1:8" x14ac:dyDescent="0.25">
      <c r="C277" s="1175"/>
      <c r="D277" s="1176" t="s">
        <v>1457</v>
      </c>
      <c r="E277" s="1256">
        <f ca="1">'7.Transport'!D48</f>
        <v>0</v>
      </c>
      <c r="F277" s="1179"/>
    </row>
    <row r="278" spans="1:8" x14ac:dyDescent="0.25">
      <c r="C278" s="1175"/>
      <c r="D278" s="1176" t="s">
        <v>1460</v>
      </c>
      <c r="E278" s="1256">
        <f ca="1">'7.Transport'!D49</f>
        <v>0</v>
      </c>
      <c r="F278" s="1179"/>
    </row>
    <row r="279" spans="1:8" x14ac:dyDescent="0.25">
      <c r="C279" s="1175"/>
      <c r="D279" s="1176" t="s">
        <v>103</v>
      </c>
      <c r="E279" s="1256">
        <f ca="1">'7.Transport'!D50</f>
        <v>0</v>
      </c>
      <c r="F279" s="1179"/>
    </row>
    <row r="280" spans="1:8" x14ac:dyDescent="0.25">
      <c r="C280" s="1175"/>
      <c r="D280" s="1176" t="s">
        <v>312</v>
      </c>
      <c r="E280" s="1256">
        <f ca="1">'7.Transport'!D51</f>
        <v>0</v>
      </c>
      <c r="F280" s="1179"/>
    </row>
    <row r="281" spans="1:8" ht="13.25" thickBot="1" x14ac:dyDescent="0.3">
      <c r="C281" s="1175"/>
      <c r="D281" s="1176"/>
      <c r="E281" s="1179"/>
      <c r="F281" s="1179"/>
    </row>
    <row r="282" spans="1:8" ht="13.25" thickBot="1" x14ac:dyDescent="0.3">
      <c r="A282" s="1282" t="s">
        <v>406</v>
      </c>
      <c r="B282" s="1280"/>
      <c r="C282" s="1167"/>
      <c r="D282" s="1280"/>
    </row>
    <row r="283" spans="1:8" x14ac:dyDescent="0.25">
      <c r="A283" s="1278"/>
      <c r="B283" s="1146" t="s">
        <v>407</v>
      </c>
      <c r="C283" s="1167"/>
      <c r="D283" s="1280"/>
    </row>
    <row r="284" spans="1:8" x14ac:dyDescent="0.25">
      <c r="A284" s="1278"/>
      <c r="B284" s="1151" t="s">
        <v>928</v>
      </c>
      <c r="C284" s="1149"/>
      <c r="D284" s="1151" t="str">
        <f>'2.CropManagement'!H5</f>
        <v>Rice</v>
      </c>
    </row>
    <row r="285" spans="1:8" ht="25.35" x14ac:dyDescent="0.25">
      <c r="A285" s="1278"/>
      <c r="B285" s="1151" t="s">
        <v>926</v>
      </c>
      <c r="C285" s="1149"/>
      <c r="D285" s="1151" t="str">
        <f>'2.CropManagement'!H6</f>
        <v>Rice</v>
      </c>
    </row>
    <row r="286" spans="1:8" ht="25.35" x14ac:dyDescent="0.25">
      <c r="A286" s="1278"/>
      <c r="B286" s="1151" t="s">
        <v>924</v>
      </c>
      <c r="C286" s="1149"/>
      <c r="D286" s="1151" t="str">
        <f>'2.CropManagement'!H7</f>
        <v>Rice</v>
      </c>
    </row>
    <row r="288" spans="1:8" ht="25.35" x14ac:dyDescent="0.25">
      <c r="B288" s="1158" t="s">
        <v>714</v>
      </c>
      <c r="D288" s="1146" t="s">
        <v>483</v>
      </c>
      <c r="E288" s="1147" t="s">
        <v>593</v>
      </c>
      <c r="F288" s="1147" t="s">
        <v>594</v>
      </c>
    </row>
    <row r="289" spans="1:17" x14ac:dyDescent="0.25">
      <c r="B289" s="1280" t="s">
        <v>799</v>
      </c>
      <c r="C289" s="1167"/>
      <c r="D289" s="1280" t="str">
        <f>'3.Sequestration'!E13</f>
        <v>no change</v>
      </c>
      <c r="E289" s="1280">
        <f>'3.Sequestration'!F13</f>
        <v>0</v>
      </c>
      <c r="F289" s="1280">
        <f>'3.Sequestration'!G13</f>
        <v>0</v>
      </c>
    </row>
    <row r="290" spans="1:17" x14ac:dyDescent="0.25">
      <c r="B290" s="1280" t="s">
        <v>920</v>
      </c>
      <c r="C290" s="1167"/>
      <c r="D290" s="1280" t="str">
        <f>'3.Sequestration'!E14</f>
        <v>no change</v>
      </c>
      <c r="E290" s="1280">
        <f>'3.Sequestration'!F14</f>
        <v>0</v>
      </c>
      <c r="F290" s="1280">
        <f>'3.Sequestration'!G14</f>
        <v>0</v>
      </c>
    </row>
    <row r="291" spans="1:17" x14ac:dyDescent="0.25">
      <c r="B291" s="1280" t="s">
        <v>700</v>
      </c>
      <c r="C291" s="1167"/>
      <c r="D291" s="1280" t="str">
        <f>'3.Sequestration'!E15</f>
        <v>no change</v>
      </c>
      <c r="E291" s="1280">
        <f>'3.Sequestration'!F15</f>
        <v>0</v>
      </c>
      <c r="F291" s="1280">
        <f>'3.Sequestration'!G15</f>
        <v>0</v>
      </c>
    </row>
    <row r="292" spans="1:17" ht="25.35" x14ac:dyDescent="0.25">
      <c r="B292" s="1280" t="s">
        <v>701</v>
      </c>
      <c r="C292" s="1167"/>
      <c r="D292" s="1280" t="str">
        <f>'3.Sequestration'!E16</f>
        <v>started incorporating</v>
      </c>
      <c r="E292" s="1280">
        <f>'3.Sequestration'!F16</f>
        <v>1</v>
      </c>
      <c r="F292" s="1280">
        <f>'3.Sequestration'!G16</f>
        <v>100</v>
      </c>
    </row>
    <row r="294" spans="1:17" x14ac:dyDescent="0.25">
      <c r="A294" s="1171" t="s">
        <v>600</v>
      </c>
    </row>
    <row r="295" spans="1:17" ht="25.35" x14ac:dyDescent="0.25">
      <c r="A295" s="1278"/>
      <c r="B295" s="1279" t="s">
        <v>715</v>
      </c>
      <c r="C295" s="1146" t="s">
        <v>837</v>
      </c>
      <c r="D295" s="1280" t="str">
        <f>'4.Livestock'!E5</f>
        <v>Snapshot</v>
      </c>
      <c r="E295" s="1167"/>
      <c r="F295" s="1167"/>
      <c r="G295" s="1167"/>
      <c r="H295" s="1167"/>
      <c r="I295" s="1167"/>
      <c r="J295" s="1167"/>
      <c r="K295" s="1167"/>
      <c r="L295" s="1167"/>
      <c r="M295" s="1167"/>
      <c r="N295" s="1167"/>
      <c r="O295" s="1167"/>
      <c r="P295" s="1167"/>
      <c r="Q295" s="1165"/>
    </row>
    <row r="296" spans="1:17" x14ac:dyDescent="0.25">
      <c r="A296" s="1278"/>
      <c r="B296" s="1279" t="s">
        <v>715</v>
      </c>
      <c r="C296" s="1177" t="s">
        <v>842</v>
      </c>
      <c r="D296" s="1155" t="str">
        <f>'4.Livestock'!E7</f>
        <v>[Select]</v>
      </c>
      <c r="E296" s="1179"/>
      <c r="F296" s="1167"/>
      <c r="G296" s="1167"/>
      <c r="H296" s="1167"/>
      <c r="I296" s="1167"/>
      <c r="J296" s="1167"/>
      <c r="K296" s="1167"/>
      <c r="L296" s="1167"/>
      <c r="M296" s="1167"/>
      <c r="N296" s="1167"/>
      <c r="O296" s="1167"/>
      <c r="P296" s="1167"/>
      <c r="Q296" s="1165"/>
    </row>
    <row r="297" spans="1:17" ht="25.35" x14ac:dyDescent="0.25">
      <c r="A297" s="1278"/>
      <c r="B297" s="1279" t="s">
        <v>715</v>
      </c>
      <c r="C297" s="1177" t="s">
        <v>848</v>
      </c>
      <c r="D297" s="1155" t="str">
        <f ca="1">'4.Livestock'!H7</f>
        <v>NULL</v>
      </c>
      <c r="E297" s="1179"/>
      <c r="F297" s="1167"/>
      <c r="G297" s="1167"/>
      <c r="H297" s="1167"/>
      <c r="I297" s="1167"/>
      <c r="J297" s="1167"/>
      <c r="K297" s="1167"/>
      <c r="L297" s="1167"/>
      <c r="M297" s="1167"/>
      <c r="N297" s="1167"/>
      <c r="O297" s="1167"/>
      <c r="P297" s="1167"/>
      <c r="Q297" s="1165"/>
    </row>
    <row r="298" spans="1:17" ht="63.4" x14ac:dyDescent="0.25">
      <c r="A298" s="1278"/>
      <c r="B298" s="1279" t="s">
        <v>715</v>
      </c>
      <c r="C298" s="1177" t="s">
        <v>705</v>
      </c>
      <c r="D298" s="1155"/>
      <c r="E298" s="1281" t="s">
        <v>706</v>
      </c>
      <c r="F298" s="1280" t="s">
        <v>708</v>
      </c>
      <c r="G298" s="1280" t="s">
        <v>709</v>
      </c>
      <c r="H298" s="1155" t="s">
        <v>1107</v>
      </c>
      <c r="I298" s="1155" t="s">
        <v>735</v>
      </c>
      <c r="J298" s="1280" t="s">
        <v>736</v>
      </c>
      <c r="K298" s="1155" t="s">
        <v>1107</v>
      </c>
      <c r="L298" s="1155" t="s">
        <v>735</v>
      </c>
      <c r="M298" s="1280" t="s">
        <v>736</v>
      </c>
      <c r="N298" s="1155" t="s">
        <v>1107</v>
      </c>
      <c r="O298" s="1155" t="s">
        <v>735</v>
      </c>
      <c r="P298" s="1280" t="s">
        <v>736</v>
      </c>
      <c r="Q298" s="1165"/>
    </row>
    <row r="299" spans="1:17" x14ac:dyDescent="0.25">
      <c r="A299" s="1278"/>
      <c r="B299" s="1279" t="s">
        <v>715</v>
      </c>
      <c r="C299" s="1281" t="s">
        <v>838</v>
      </c>
      <c r="D299" s="1247">
        <f>'4.Livestock'!I10</f>
        <v>0</v>
      </c>
      <c r="E299" s="1179">
        <f>'4.Livestock'!E20</f>
        <v>0</v>
      </c>
      <c r="F299" s="1167" t="str">
        <f>'4.Livestock'!E23</f>
        <v>[Select]</v>
      </c>
      <c r="G299" s="1167" t="str">
        <f>'4.Livestock'!F23</f>
        <v>[Select]</v>
      </c>
      <c r="H299" s="1167" t="str">
        <f>'4.Livestock'!E31</f>
        <v>[Select]</v>
      </c>
      <c r="I299" s="1167">
        <f>'4.Livestock'!F31</f>
        <v>0</v>
      </c>
      <c r="J299" s="1167">
        <f>'4.Livestock'!G31</f>
        <v>0</v>
      </c>
      <c r="K299" s="1167" t="str">
        <f>'4.Livestock'!E32</f>
        <v>[Select]</v>
      </c>
      <c r="L299" s="1167">
        <f>'4.Livestock'!F32</f>
        <v>0</v>
      </c>
      <c r="M299" s="1167">
        <f>'4.Livestock'!G32</f>
        <v>0</v>
      </c>
      <c r="N299" s="1167" t="str">
        <f>'4.Livestock'!E33</f>
        <v>[Select]</v>
      </c>
      <c r="O299" s="1167">
        <f>'4.Livestock'!F33</f>
        <v>0</v>
      </c>
      <c r="P299" s="1167">
        <f>'4.Livestock'!G33</f>
        <v>0</v>
      </c>
      <c r="Q299" s="1165"/>
    </row>
    <row r="300" spans="1:17" ht="25.35" x14ac:dyDescent="0.25">
      <c r="A300" s="1278"/>
      <c r="B300" s="1279" t="s">
        <v>715</v>
      </c>
      <c r="C300" s="1281" t="s">
        <v>839</v>
      </c>
      <c r="D300" s="1247">
        <f>'4.Livestock'!I11</f>
        <v>0</v>
      </c>
      <c r="E300" s="1179">
        <f>'4.Livestock'!E41</f>
        <v>0</v>
      </c>
      <c r="F300" s="1167" t="str">
        <f>'4.Livestock'!E44</f>
        <v>[Select]</v>
      </c>
      <c r="G300" s="1167" t="str">
        <f>'4.Livestock'!F44</f>
        <v>[Select]</v>
      </c>
      <c r="H300" s="1167" t="str">
        <f>'4.Livestock'!E50</f>
        <v>[Select]</v>
      </c>
      <c r="I300" s="1167">
        <f>'4.Livestock'!F50</f>
        <v>0</v>
      </c>
      <c r="J300" s="1167">
        <f>'4.Livestock'!G50</f>
        <v>0</v>
      </c>
      <c r="K300" s="1167" t="str">
        <f>'4.Livestock'!E51</f>
        <v>[Select]</v>
      </c>
      <c r="L300" s="1167">
        <f>'4.Livestock'!F51</f>
        <v>0</v>
      </c>
      <c r="M300" s="1167">
        <f>'4.Livestock'!G51</f>
        <v>0</v>
      </c>
      <c r="N300" s="1167" t="str">
        <f>'4.Livestock'!E52</f>
        <v>[Select]</v>
      </c>
      <c r="O300" s="1167">
        <f>'4.Livestock'!F52</f>
        <v>0</v>
      </c>
      <c r="P300" s="1167">
        <f>'4.Livestock'!G52</f>
        <v>0</v>
      </c>
      <c r="Q300" s="1165"/>
    </row>
    <row r="301" spans="1:17" ht="25.35" x14ac:dyDescent="0.25">
      <c r="A301" s="1278"/>
      <c r="B301" s="1279" t="s">
        <v>715</v>
      </c>
      <c r="C301" s="1281" t="s">
        <v>704</v>
      </c>
      <c r="D301" s="1247">
        <f>'4.Livestock'!I12</f>
        <v>0</v>
      </c>
      <c r="E301" s="1179">
        <f>'4.Livestock'!E62</f>
        <v>0</v>
      </c>
      <c r="F301" s="1167" t="str">
        <f>'4.Livestock'!E65</f>
        <v>[Select]</v>
      </c>
      <c r="G301" s="1167" t="str">
        <f>'4.Livestock'!F65</f>
        <v>[Select]</v>
      </c>
      <c r="H301" s="1167" t="str">
        <f>'4.Livestock'!E71</f>
        <v>[Select]</v>
      </c>
      <c r="I301" s="1167">
        <f>'4.Livestock'!F71</f>
        <v>0</v>
      </c>
      <c r="J301" s="1167">
        <f>'4.Livestock'!G71</f>
        <v>0</v>
      </c>
      <c r="K301" s="1167" t="str">
        <f>'4.Livestock'!E72</f>
        <v>[Select]</v>
      </c>
      <c r="L301" s="1167">
        <f>'4.Livestock'!F72</f>
        <v>0</v>
      </c>
      <c r="M301" s="1167">
        <f>'4.Livestock'!G72</f>
        <v>0</v>
      </c>
      <c r="N301" s="1167" t="str">
        <f>'4.Livestock'!E73</f>
        <v>[Select]</v>
      </c>
      <c r="O301" s="1167">
        <f>'4.Livestock'!F73</f>
        <v>0</v>
      </c>
      <c r="P301" s="1167">
        <f>'4.Livestock'!G73</f>
        <v>0</v>
      </c>
      <c r="Q301" s="1165"/>
    </row>
    <row r="302" spans="1:17" x14ac:dyDescent="0.25">
      <c r="A302" s="1181"/>
      <c r="B302" s="1164"/>
      <c r="C302" s="1166"/>
      <c r="D302" s="1182"/>
      <c r="E302" s="1183"/>
      <c r="F302" s="1165"/>
      <c r="G302" s="1165"/>
      <c r="H302" s="1165"/>
      <c r="I302" s="1165"/>
      <c r="J302" s="1165"/>
      <c r="K302" s="1165"/>
      <c r="L302" s="1165"/>
      <c r="M302" s="1165"/>
      <c r="N302" s="1165"/>
      <c r="O302" s="1165"/>
      <c r="P302" s="1165"/>
      <c r="Q302" s="1165"/>
    </row>
    <row r="303" spans="1:17" ht="25.35" x14ac:dyDescent="0.25">
      <c r="A303" s="1266"/>
      <c r="B303" s="2599" t="s">
        <v>716</v>
      </c>
      <c r="C303" s="1273" t="s">
        <v>838</v>
      </c>
      <c r="D303" s="1271" t="s">
        <v>717</v>
      </c>
      <c r="E303" s="1274">
        <f ca="1">'4.Livestock'!K19</f>
        <v>0</v>
      </c>
      <c r="F303" s="1275"/>
      <c r="G303" s="1275"/>
      <c r="H303" s="1275"/>
      <c r="I303" s="1165"/>
      <c r="J303" s="1165"/>
      <c r="K303" s="1165"/>
      <c r="L303" s="1165"/>
      <c r="M303" s="1165"/>
      <c r="N303" s="1165"/>
      <c r="O303" s="1165"/>
      <c r="P303" s="1165"/>
      <c r="Q303" s="1165"/>
    </row>
    <row r="304" spans="1:17" ht="25.35" x14ac:dyDescent="0.25">
      <c r="A304" s="1266"/>
      <c r="B304" s="2599"/>
      <c r="C304" s="1273" t="s">
        <v>838</v>
      </c>
      <c r="D304" s="1271" t="s">
        <v>1022</v>
      </c>
      <c r="E304" s="1274" t="str">
        <f>'4.Livestock'!K23</f>
        <v>Select</v>
      </c>
      <c r="F304" s="1267" t="s">
        <v>718</v>
      </c>
      <c r="G304" s="1275">
        <f>'4.Livestock'!L23</f>
        <v>0</v>
      </c>
      <c r="H304" s="1275"/>
      <c r="I304" s="1165"/>
      <c r="J304" s="1165"/>
      <c r="K304" s="1165"/>
      <c r="L304" s="1165"/>
      <c r="M304" s="1165"/>
      <c r="N304" s="1165"/>
      <c r="O304" s="1165"/>
      <c r="P304" s="1165"/>
      <c r="Q304" s="1165"/>
    </row>
    <row r="305" spans="1:17" ht="25.35" x14ac:dyDescent="0.25">
      <c r="A305" s="1266"/>
      <c r="B305" s="2599"/>
      <c r="C305" s="1273" t="s">
        <v>838</v>
      </c>
      <c r="D305" s="1271" t="s">
        <v>1023</v>
      </c>
      <c r="E305" s="1274" t="str">
        <f>'4.Livestock'!K24</f>
        <v>Select</v>
      </c>
      <c r="F305" s="1267" t="s">
        <v>718</v>
      </c>
      <c r="G305" s="1275">
        <f>'4.Livestock'!L24</f>
        <v>0</v>
      </c>
      <c r="H305" s="1275"/>
      <c r="I305" s="1165"/>
      <c r="J305" s="1165"/>
      <c r="K305" s="1165"/>
      <c r="L305" s="1165"/>
      <c r="M305" s="1165"/>
      <c r="N305" s="1165"/>
      <c r="O305" s="1165"/>
      <c r="P305" s="1165"/>
      <c r="Q305" s="1165"/>
    </row>
    <row r="306" spans="1:17" ht="25.35" x14ac:dyDescent="0.25">
      <c r="A306" s="1266"/>
      <c r="B306" s="2599"/>
      <c r="C306" s="1273" t="s">
        <v>838</v>
      </c>
      <c r="D306" s="1271" t="s">
        <v>1024</v>
      </c>
      <c r="E306" s="1274" t="str">
        <f>'4.Livestock'!K25</f>
        <v>Select</v>
      </c>
      <c r="F306" s="1267" t="s">
        <v>718</v>
      </c>
      <c r="G306" s="1275">
        <f>'4.Livestock'!L25</f>
        <v>0</v>
      </c>
      <c r="H306" s="1275"/>
      <c r="I306" s="1165"/>
      <c r="J306" s="1165"/>
      <c r="K306" s="1165"/>
      <c r="L306" s="1165"/>
      <c r="M306" s="1165"/>
      <c r="N306" s="1165"/>
      <c r="O306" s="1165"/>
      <c r="P306" s="1165"/>
      <c r="Q306" s="1165"/>
    </row>
    <row r="307" spans="1:17" ht="25.35" x14ac:dyDescent="0.25">
      <c r="A307" s="1266"/>
      <c r="B307" s="2599"/>
      <c r="C307" s="1273" t="s">
        <v>838</v>
      </c>
      <c r="D307" s="1271" t="s">
        <v>1025</v>
      </c>
      <c r="E307" s="1274" t="str">
        <f>'4.Livestock'!K26</f>
        <v>Select</v>
      </c>
      <c r="F307" s="1267" t="s">
        <v>718</v>
      </c>
      <c r="G307" s="1275">
        <f>'4.Livestock'!L26</f>
        <v>0</v>
      </c>
      <c r="H307" s="1275"/>
      <c r="I307" s="1165"/>
      <c r="J307" s="1165"/>
      <c r="K307" s="1165"/>
      <c r="L307" s="1165"/>
      <c r="M307" s="1165"/>
      <c r="N307" s="1165"/>
      <c r="O307" s="1165"/>
      <c r="P307" s="1165"/>
      <c r="Q307" s="1165"/>
    </row>
    <row r="308" spans="1:17" ht="25.35" x14ac:dyDescent="0.25">
      <c r="A308" s="1266"/>
      <c r="B308" s="2599"/>
      <c r="C308" s="1273" t="s">
        <v>838</v>
      </c>
      <c r="D308" s="1271" t="s">
        <v>1026</v>
      </c>
      <c r="E308" s="1274" t="str">
        <f>'4.Livestock'!K27</f>
        <v>Select</v>
      </c>
      <c r="F308" s="1267" t="s">
        <v>718</v>
      </c>
      <c r="G308" s="1275">
        <f>'4.Livestock'!L27</f>
        <v>0</v>
      </c>
      <c r="H308" s="1275"/>
      <c r="I308" s="1165"/>
      <c r="J308" s="1165"/>
      <c r="K308" s="1165"/>
      <c r="L308" s="1165"/>
      <c r="M308" s="1165"/>
      <c r="N308" s="1165"/>
      <c r="O308" s="1165"/>
      <c r="P308" s="1165"/>
      <c r="Q308" s="1165"/>
    </row>
    <row r="309" spans="1:17" ht="25.35" x14ac:dyDescent="0.25">
      <c r="A309" s="1266"/>
      <c r="B309" s="2599"/>
      <c r="C309" s="1273" t="s">
        <v>838</v>
      </c>
      <c r="D309" s="1271" t="s">
        <v>1027</v>
      </c>
      <c r="E309" s="1274" t="str">
        <f>'4.Livestock'!K28</f>
        <v>Select</v>
      </c>
      <c r="F309" s="1267" t="s">
        <v>718</v>
      </c>
      <c r="G309" s="1275">
        <f>'4.Livestock'!L28</f>
        <v>0</v>
      </c>
      <c r="H309" s="1275"/>
      <c r="I309" s="1165"/>
      <c r="J309" s="1165"/>
      <c r="K309" s="1165"/>
      <c r="L309" s="1165"/>
      <c r="M309" s="1165"/>
      <c r="N309" s="1165"/>
      <c r="O309" s="1165"/>
      <c r="P309" s="1165"/>
      <c r="Q309" s="1165"/>
    </row>
    <row r="310" spans="1:17" ht="25.35" x14ac:dyDescent="0.25">
      <c r="A310" s="1266"/>
      <c r="B310" s="2599"/>
      <c r="C310" s="1273" t="s">
        <v>838</v>
      </c>
      <c r="D310" s="1271" t="s">
        <v>1028</v>
      </c>
      <c r="E310" s="1274" t="str">
        <f>'4.Livestock'!K29</f>
        <v>Select</v>
      </c>
      <c r="F310" s="1267" t="s">
        <v>718</v>
      </c>
      <c r="G310" s="1275">
        <f>'4.Livestock'!L29</f>
        <v>0</v>
      </c>
      <c r="H310" s="1275"/>
      <c r="I310" s="1165"/>
      <c r="J310" s="1165"/>
      <c r="K310" s="1165"/>
      <c r="L310" s="1165"/>
      <c r="M310" s="1165"/>
      <c r="N310" s="1165"/>
      <c r="O310" s="1165"/>
      <c r="P310" s="1165"/>
      <c r="Q310" s="1165"/>
    </row>
    <row r="311" spans="1:17" ht="25.35" x14ac:dyDescent="0.25">
      <c r="A311" s="1266"/>
      <c r="B311" s="2599"/>
      <c r="C311" s="1273" t="s">
        <v>838</v>
      </c>
      <c r="D311" s="1271" t="s">
        <v>1029</v>
      </c>
      <c r="E311" s="1274" t="str">
        <f>'4.Livestock'!K30</f>
        <v>Select</v>
      </c>
      <c r="F311" s="1267" t="s">
        <v>718</v>
      </c>
      <c r="G311" s="1275">
        <f>'4.Livestock'!L30</f>
        <v>0</v>
      </c>
      <c r="H311" s="1275"/>
      <c r="I311" s="1165"/>
      <c r="J311" s="1165"/>
      <c r="K311" s="1165"/>
      <c r="L311" s="1165"/>
      <c r="M311" s="1165"/>
      <c r="N311" s="1165"/>
      <c r="O311" s="1165"/>
      <c r="P311" s="1165"/>
      <c r="Q311" s="1165"/>
    </row>
    <row r="312" spans="1:17" ht="25.35" x14ac:dyDescent="0.25">
      <c r="A312" s="1266"/>
      <c r="B312" s="2599"/>
      <c r="C312" s="1273" t="s">
        <v>838</v>
      </c>
      <c r="D312" s="1271" t="s">
        <v>1030</v>
      </c>
      <c r="E312" s="1274" t="str">
        <f>'4.Livestock'!K31</f>
        <v>Select</v>
      </c>
      <c r="F312" s="1267" t="s">
        <v>718</v>
      </c>
      <c r="G312" s="1275">
        <f>'4.Livestock'!L31</f>
        <v>0</v>
      </c>
      <c r="H312" s="1275"/>
      <c r="I312" s="1165"/>
      <c r="J312" s="1165"/>
      <c r="K312" s="1165"/>
      <c r="L312" s="1165"/>
      <c r="M312" s="1165"/>
      <c r="N312" s="1165"/>
      <c r="O312" s="1165"/>
      <c r="P312" s="1165"/>
      <c r="Q312" s="1165"/>
    </row>
    <row r="313" spans="1:17" ht="25.35" x14ac:dyDescent="0.25">
      <c r="A313" s="1266"/>
      <c r="B313" s="2599"/>
      <c r="C313" s="1273" t="s">
        <v>838</v>
      </c>
      <c r="D313" s="1271" t="s">
        <v>1031</v>
      </c>
      <c r="E313" s="1274" t="str">
        <f>'4.Livestock'!K32</f>
        <v>Select</v>
      </c>
      <c r="F313" s="1267" t="s">
        <v>718</v>
      </c>
      <c r="G313" s="1275">
        <f>'4.Livestock'!L32</f>
        <v>0</v>
      </c>
      <c r="H313" s="1275"/>
      <c r="I313" s="1165"/>
      <c r="J313" s="1165"/>
      <c r="K313" s="1165"/>
      <c r="L313" s="1165"/>
      <c r="M313" s="1165"/>
      <c r="N313" s="1165"/>
      <c r="O313" s="1165"/>
      <c r="P313" s="1165"/>
      <c r="Q313" s="1165"/>
    </row>
    <row r="314" spans="1:17" x14ac:dyDescent="0.25">
      <c r="A314" s="1266"/>
      <c r="B314" s="2599"/>
      <c r="C314" s="1271"/>
      <c r="D314" s="1271"/>
      <c r="E314" s="1274"/>
      <c r="F314" s="1275"/>
      <c r="G314" s="1275"/>
      <c r="H314" s="1275"/>
      <c r="I314" s="1165"/>
      <c r="J314" s="1165"/>
      <c r="K314" s="1165"/>
      <c r="L314" s="1165"/>
      <c r="M314" s="1165"/>
      <c r="N314" s="1165"/>
      <c r="O314" s="1165"/>
      <c r="P314" s="1165"/>
      <c r="Q314" s="1165"/>
    </row>
    <row r="315" spans="1:17" ht="25.35" x14ac:dyDescent="0.25">
      <c r="A315" s="1266"/>
      <c r="B315" s="2599"/>
      <c r="C315" s="1273" t="s">
        <v>839</v>
      </c>
      <c r="D315" s="1271" t="s">
        <v>717</v>
      </c>
      <c r="E315" s="1274">
        <f ca="1">'4.Livestock'!K41</f>
        <v>0</v>
      </c>
      <c r="F315" s="1275"/>
      <c r="G315" s="1275"/>
      <c r="H315" s="1275"/>
      <c r="I315" s="1165"/>
      <c r="J315" s="1165"/>
      <c r="K315" s="1165"/>
      <c r="L315" s="1165"/>
      <c r="M315" s="1165"/>
      <c r="N315" s="1165"/>
      <c r="O315" s="1165"/>
      <c r="P315" s="1165"/>
      <c r="Q315" s="1165"/>
    </row>
    <row r="316" spans="1:17" ht="25.35" x14ac:dyDescent="0.25">
      <c r="A316" s="1266"/>
      <c r="B316" s="2599"/>
      <c r="C316" s="1273" t="s">
        <v>839</v>
      </c>
      <c r="D316" s="1271" t="s">
        <v>1022</v>
      </c>
      <c r="E316" s="1274" t="str">
        <f>'4.Livestock'!K45</f>
        <v>Select</v>
      </c>
      <c r="F316" s="1267" t="s">
        <v>718</v>
      </c>
      <c r="G316" s="1275">
        <f>'4.Livestock'!L45</f>
        <v>0</v>
      </c>
      <c r="H316" s="1275"/>
      <c r="I316" s="1165"/>
      <c r="J316" s="1165"/>
      <c r="K316" s="1165"/>
      <c r="L316" s="1165"/>
      <c r="M316" s="1165"/>
      <c r="N316" s="1165"/>
      <c r="O316" s="1165"/>
      <c r="P316" s="1165"/>
      <c r="Q316" s="1165"/>
    </row>
    <row r="317" spans="1:17" ht="25.35" x14ac:dyDescent="0.25">
      <c r="A317" s="1266"/>
      <c r="B317" s="2599"/>
      <c r="C317" s="1273" t="s">
        <v>839</v>
      </c>
      <c r="D317" s="1271" t="s">
        <v>1023</v>
      </c>
      <c r="E317" s="1274" t="str">
        <f>'4.Livestock'!K46</f>
        <v>Select</v>
      </c>
      <c r="F317" s="1267" t="s">
        <v>718</v>
      </c>
      <c r="G317" s="1275">
        <f>'4.Livestock'!L46</f>
        <v>0</v>
      </c>
      <c r="H317" s="1275"/>
      <c r="I317" s="1165"/>
      <c r="J317" s="1165"/>
      <c r="K317" s="1165"/>
      <c r="L317" s="1165"/>
      <c r="M317" s="1165"/>
      <c r="N317" s="1165"/>
      <c r="O317" s="1165"/>
      <c r="P317" s="1165"/>
      <c r="Q317" s="1165"/>
    </row>
    <row r="318" spans="1:17" ht="25.35" x14ac:dyDescent="0.25">
      <c r="A318" s="1266"/>
      <c r="B318" s="2599"/>
      <c r="C318" s="1273" t="s">
        <v>839</v>
      </c>
      <c r="D318" s="1271" t="s">
        <v>1024</v>
      </c>
      <c r="E318" s="1274" t="str">
        <f>'4.Livestock'!K47</f>
        <v>Select</v>
      </c>
      <c r="F318" s="1267" t="s">
        <v>718</v>
      </c>
      <c r="G318" s="1275">
        <f>'4.Livestock'!L47</f>
        <v>0</v>
      </c>
      <c r="H318" s="1275"/>
      <c r="I318" s="1165"/>
      <c r="J318" s="1165"/>
      <c r="K318" s="1165"/>
      <c r="L318" s="1165"/>
      <c r="M318" s="1165"/>
      <c r="N318" s="1165"/>
      <c r="O318" s="1165"/>
      <c r="P318" s="1165"/>
      <c r="Q318" s="1165"/>
    </row>
    <row r="319" spans="1:17" ht="25.35" x14ac:dyDescent="0.25">
      <c r="A319" s="1266"/>
      <c r="B319" s="2599"/>
      <c r="C319" s="1273" t="s">
        <v>839</v>
      </c>
      <c r="D319" s="1271" t="s">
        <v>1025</v>
      </c>
      <c r="E319" s="1274" t="str">
        <f>'4.Livestock'!K48</f>
        <v>Select</v>
      </c>
      <c r="F319" s="1267" t="s">
        <v>718</v>
      </c>
      <c r="G319" s="1275">
        <f>'4.Livestock'!L48</f>
        <v>0</v>
      </c>
      <c r="H319" s="1275"/>
      <c r="I319" s="1165"/>
      <c r="J319" s="1165"/>
      <c r="K319" s="1165"/>
      <c r="L319" s="1165"/>
      <c r="M319" s="1165"/>
      <c r="N319" s="1165"/>
      <c r="O319" s="1165"/>
      <c r="P319" s="1165"/>
      <c r="Q319" s="1165"/>
    </row>
    <row r="320" spans="1:17" ht="25.35" x14ac:dyDescent="0.25">
      <c r="A320" s="1266"/>
      <c r="B320" s="2599"/>
      <c r="C320" s="1273" t="s">
        <v>839</v>
      </c>
      <c r="D320" s="1271" t="s">
        <v>1026</v>
      </c>
      <c r="E320" s="1274" t="str">
        <f>'4.Livestock'!K49</f>
        <v>Select</v>
      </c>
      <c r="F320" s="1267" t="s">
        <v>718</v>
      </c>
      <c r="G320" s="1275">
        <f>'4.Livestock'!L49</f>
        <v>0</v>
      </c>
      <c r="H320" s="1275"/>
      <c r="I320" s="1165"/>
      <c r="J320" s="1165"/>
      <c r="K320" s="1165"/>
      <c r="L320" s="1165"/>
      <c r="M320" s="1165"/>
      <c r="N320" s="1165"/>
      <c r="O320" s="1165"/>
      <c r="P320" s="1165"/>
      <c r="Q320" s="1165"/>
    </row>
    <row r="321" spans="1:17" ht="25.35" x14ac:dyDescent="0.25">
      <c r="A321" s="1266"/>
      <c r="B321" s="2599"/>
      <c r="C321" s="1273" t="s">
        <v>839</v>
      </c>
      <c r="D321" s="1271" t="s">
        <v>1027</v>
      </c>
      <c r="E321" s="1274" t="str">
        <f>'4.Livestock'!K50</f>
        <v>Select</v>
      </c>
      <c r="F321" s="1267" t="s">
        <v>718</v>
      </c>
      <c r="G321" s="1275">
        <f>'4.Livestock'!L50</f>
        <v>0</v>
      </c>
      <c r="H321" s="1275"/>
      <c r="I321" s="1165"/>
      <c r="J321" s="1165"/>
      <c r="K321" s="1165"/>
      <c r="L321" s="1165"/>
      <c r="M321" s="1165"/>
      <c r="N321" s="1165"/>
      <c r="O321" s="1165"/>
      <c r="P321" s="1165"/>
      <c r="Q321" s="1165"/>
    </row>
    <row r="322" spans="1:17" ht="25.35" x14ac:dyDescent="0.25">
      <c r="A322" s="1266"/>
      <c r="B322" s="2599"/>
      <c r="C322" s="1273" t="s">
        <v>839</v>
      </c>
      <c r="D322" s="1271" t="s">
        <v>1028</v>
      </c>
      <c r="E322" s="1274" t="str">
        <f>'4.Livestock'!K51</f>
        <v>Select</v>
      </c>
      <c r="F322" s="1267" t="s">
        <v>718</v>
      </c>
      <c r="G322" s="1275">
        <f>'4.Livestock'!L51</f>
        <v>0</v>
      </c>
      <c r="H322" s="1275"/>
      <c r="I322" s="1165"/>
      <c r="J322" s="1165"/>
      <c r="K322" s="1165"/>
      <c r="L322" s="1165"/>
      <c r="M322" s="1165"/>
      <c r="N322" s="1165"/>
      <c r="O322" s="1165"/>
      <c r="P322" s="1165"/>
      <c r="Q322" s="1165"/>
    </row>
    <row r="323" spans="1:17" ht="25.35" x14ac:dyDescent="0.25">
      <c r="A323" s="1266"/>
      <c r="B323" s="2599"/>
      <c r="C323" s="1273" t="s">
        <v>839</v>
      </c>
      <c r="D323" s="1271" t="s">
        <v>1029</v>
      </c>
      <c r="E323" s="1274" t="str">
        <f>'4.Livestock'!K52</f>
        <v>Select</v>
      </c>
      <c r="F323" s="1267" t="s">
        <v>718</v>
      </c>
      <c r="G323" s="1275">
        <f>'4.Livestock'!L52</f>
        <v>0</v>
      </c>
      <c r="H323" s="1275"/>
      <c r="I323" s="1165"/>
      <c r="J323" s="1165"/>
      <c r="K323" s="1165"/>
      <c r="L323" s="1165"/>
      <c r="M323" s="1165"/>
      <c r="N323" s="1165"/>
      <c r="O323" s="1165"/>
      <c r="P323" s="1165"/>
      <c r="Q323" s="1165"/>
    </row>
    <row r="324" spans="1:17" ht="25.35" x14ac:dyDescent="0.25">
      <c r="A324" s="1266"/>
      <c r="B324" s="2599"/>
      <c r="C324" s="1273" t="s">
        <v>839</v>
      </c>
      <c r="D324" s="1271" t="s">
        <v>1030</v>
      </c>
      <c r="E324" s="1274" t="str">
        <f>'4.Livestock'!K53</f>
        <v>Select</v>
      </c>
      <c r="F324" s="1267" t="s">
        <v>718</v>
      </c>
      <c r="G324" s="1275">
        <f>'4.Livestock'!L53</f>
        <v>0</v>
      </c>
      <c r="H324" s="1275"/>
      <c r="I324" s="1165"/>
      <c r="J324" s="1165"/>
      <c r="K324" s="1165"/>
      <c r="L324" s="1165"/>
      <c r="M324" s="1165"/>
      <c r="N324" s="1165"/>
      <c r="O324" s="1165"/>
      <c r="P324" s="1165"/>
      <c r="Q324" s="1165"/>
    </row>
    <row r="325" spans="1:17" ht="25.35" x14ac:dyDescent="0.25">
      <c r="A325" s="1266"/>
      <c r="B325" s="2599"/>
      <c r="C325" s="1273" t="s">
        <v>839</v>
      </c>
      <c r="D325" s="1271" t="s">
        <v>1031</v>
      </c>
      <c r="E325" s="1275" t="str">
        <f>'4.Livestock'!K54</f>
        <v>Select</v>
      </c>
      <c r="F325" s="1275" t="s">
        <v>718</v>
      </c>
      <c r="G325" s="1275">
        <f>'4.Livestock'!L54</f>
        <v>0</v>
      </c>
      <c r="H325" s="1275"/>
      <c r="I325" s="1165"/>
      <c r="J325" s="1165"/>
      <c r="K325" s="1165"/>
      <c r="L325" s="1165"/>
      <c r="M325" s="1165"/>
      <c r="N325" s="1165"/>
      <c r="O325" s="1165"/>
      <c r="P325" s="1165"/>
      <c r="Q325" s="1165"/>
    </row>
    <row r="326" spans="1:17" ht="25.35" x14ac:dyDescent="0.25">
      <c r="A326" s="1266"/>
      <c r="B326" s="2599"/>
      <c r="C326" s="1412" t="s">
        <v>839</v>
      </c>
      <c r="D326" s="1411" t="s">
        <v>843</v>
      </c>
      <c r="E326" s="1411" t="s">
        <v>844</v>
      </c>
      <c r="F326" s="1411">
        <f>'4.Livestock'!P41</f>
        <v>0</v>
      </c>
      <c r="G326" s="1411" t="s">
        <v>530</v>
      </c>
      <c r="H326" s="1411">
        <f>'4.Livestock'!Q41</f>
        <v>0</v>
      </c>
      <c r="I326" s="1165"/>
      <c r="J326" s="1165"/>
      <c r="K326" s="1165"/>
      <c r="L326" s="1165"/>
      <c r="M326" s="1165"/>
      <c r="N326" s="1165"/>
      <c r="O326" s="1165"/>
      <c r="P326" s="1165"/>
      <c r="Q326" s="1165"/>
    </row>
    <row r="327" spans="1:17" ht="25.35" x14ac:dyDescent="0.25">
      <c r="A327" s="1266"/>
      <c r="B327" s="2599"/>
      <c r="C327" s="1273" t="s">
        <v>839</v>
      </c>
      <c r="D327" s="1275" t="s">
        <v>846</v>
      </c>
      <c r="E327" s="1275">
        <f>'4.Livestock'!P44</f>
        <v>0</v>
      </c>
      <c r="F327" s="1275"/>
      <c r="G327" s="1275"/>
      <c r="H327" s="1275"/>
      <c r="I327" s="1165"/>
      <c r="J327" s="1165"/>
      <c r="K327" s="1165"/>
      <c r="L327" s="1165"/>
      <c r="M327" s="1165"/>
      <c r="N327" s="1165"/>
      <c r="O327" s="1165"/>
      <c r="P327" s="1165"/>
      <c r="Q327" s="1165"/>
    </row>
    <row r="328" spans="1:17" ht="25.35" x14ac:dyDescent="0.25">
      <c r="A328" s="1266"/>
      <c r="B328" s="2599"/>
      <c r="C328" s="1273" t="s">
        <v>839</v>
      </c>
      <c r="D328" s="1275" t="s">
        <v>847</v>
      </c>
      <c r="E328" s="1275">
        <f>'4.Livestock'!P45</f>
        <v>0</v>
      </c>
      <c r="F328" s="1275"/>
      <c r="G328" s="1275"/>
      <c r="H328" s="1275"/>
      <c r="I328" s="1165"/>
      <c r="J328" s="1165"/>
      <c r="K328" s="1165"/>
      <c r="L328" s="1165"/>
      <c r="M328" s="1165"/>
      <c r="N328" s="1165"/>
      <c r="O328" s="1165"/>
      <c r="P328" s="1165"/>
      <c r="Q328" s="1165"/>
    </row>
    <row r="329" spans="1:17" ht="25.35" x14ac:dyDescent="0.25">
      <c r="A329" s="1266"/>
      <c r="B329" s="2599"/>
      <c r="C329" s="1273" t="s">
        <v>839</v>
      </c>
      <c r="D329" s="1275" t="s">
        <v>601</v>
      </c>
      <c r="E329" s="1275">
        <f>'4.Livestock'!P43</f>
        <v>0</v>
      </c>
      <c r="F329" s="1275" t="s">
        <v>1945</v>
      </c>
      <c r="G329" s="1275" t="str">
        <f ca="1">'4.Livestock'!Q43</f>
        <v>kgs</v>
      </c>
      <c r="H329" s="1275"/>
      <c r="I329" s="1165"/>
      <c r="J329" s="1165"/>
      <c r="K329" s="1165"/>
      <c r="L329" s="1165"/>
      <c r="M329" s="1165"/>
      <c r="N329" s="1165"/>
      <c r="O329" s="1165"/>
      <c r="P329" s="1165"/>
      <c r="Q329" s="1165"/>
    </row>
    <row r="330" spans="1:17" x14ac:dyDescent="0.25">
      <c r="A330" s="1266"/>
      <c r="B330" s="2599"/>
      <c r="C330" s="1271"/>
      <c r="D330" s="1271"/>
      <c r="E330" s="1274"/>
      <c r="F330" s="1275"/>
      <c r="G330" s="1275"/>
      <c r="H330" s="1275"/>
      <c r="I330" s="1165"/>
      <c r="J330" s="1165"/>
      <c r="K330" s="1165"/>
      <c r="L330" s="1165"/>
      <c r="M330" s="1165"/>
      <c r="N330" s="1165"/>
      <c r="O330" s="1165"/>
      <c r="P330" s="1165"/>
      <c r="Q330" s="1165"/>
    </row>
    <row r="331" spans="1:17" ht="25.35" x14ac:dyDescent="0.25">
      <c r="A331" s="1266"/>
      <c r="B331" s="2599"/>
      <c r="C331" s="1273" t="s">
        <v>497</v>
      </c>
      <c r="D331" s="1271" t="s">
        <v>717</v>
      </c>
      <c r="E331" s="1274">
        <f ca="1">'4.Livestock'!K62</f>
        <v>0</v>
      </c>
      <c r="F331" s="1275"/>
      <c r="G331" s="1275"/>
      <c r="H331" s="1275"/>
      <c r="I331" s="1165"/>
      <c r="J331" s="1165"/>
      <c r="K331" s="1165"/>
      <c r="L331" s="1165"/>
      <c r="M331" s="1165"/>
      <c r="N331" s="1165"/>
      <c r="O331" s="1165"/>
      <c r="P331" s="1165"/>
      <c r="Q331" s="1165"/>
    </row>
    <row r="332" spans="1:17" ht="25.35" x14ac:dyDescent="0.25">
      <c r="A332" s="1266"/>
      <c r="B332" s="2599"/>
      <c r="C332" s="1273" t="s">
        <v>497</v>
      </c>
      <c r="D332" s="1271" t="s">
        <v>1022</v>
      </c>
      <c r="E332" s="1274" t="str">
        <f>'4.Livestock'!K66</f>
        <v>Select</v>
      </c>
      <c r="F332" s="1267" t="s">
        <v>718</v>
      </c>
      <c r="G332" s="1275">
        <f>'4.Livestock'!L66</f>
        <v>0</v>
      </c>
      <c r="H332" s="1275"/>
      <c r="I332" s="1165"/>
      <c r="J332" s="1165"/>
      <c r="K332" s="1165"/>
      <c r="L332" s="1165"/>
      <c r="M332" s="1165"/>
      <c r="N332" s="1165"/>
      <c r="O332" s="1165"/>
      <c r="P332" s="1165"/>
      <c r="Q332" s="1165"/>
    </row>
    <row r="333" spans="1:17" ht="25.35" x14ac:dyDescent="0.25">
      <c r="A333" s="1266"/>
      <c r="B333" s="2599"/>
      <c r="C333" s="1273" t="s">
        <v>497</v>
      </c>
      <c r="D333" s="1271" t="s">
        <v>1023</v>
      </c>
      <c r="E333" s="1274" t="str">
        <f>'4.Livestock'!K67</f>
        <v>Select</v>
      </c>
      <c r="F333" s="1267" t="s">
        <v>718</v>
      </c>
      <c r="G333" s="1275">
        <f>'4.Livestock'!L67</f>
        <v>0</v>
      </c>
      <c r="H333" s="1275"/>
      <c r="I333" s="1165"/>
      <c r="J333" s="1165"/>
      <c r="K333" s="1165"/>
      <c r="L333" s="1165"/>
      <c r="M333" s="1165"/>
      <c r="N333" s="1165"/>
      <c r="O333" s="1165"/>
      <c r="P333" s="1165"/>
      <c r="Q333" s="1165"/>
    </row>
    <row r="334" spans="1:17" ht="25.35" x14ac:dyDescent="0.25">
      <c r="A334" s="1266"/>
      <c r="B334" s="2599"/>
      <c r="C334" s="1273" t="s">
        <v>497</v>
      </c>
      <c r="D334" s="1271" t="s">
        <v>1024</v>
      </c>
      <c r="E334" s="1274" t="str">
        <f>'4.Livestock'!K68</f>
        <v>Select</v>
      </c>
      <c r="F334" s="1267" t="s">
        <v>718</v>
      </c>
      <c r="G334" s="1275">
        <f>'4.Livestock'!L68</f>
        <v>0</v>
      </c>
      <c r="H334" s="1275"/>
      <c r="I334" s="1165"/>
      <c r="J334" s="1165"/>
      <c r="K334" s="1165"/>
      <c r="L334" s="1165"/>
      <c r="M334" s="1165"/>
      <c r="N334" s="1165"/>
      <c r="O334" s="1165"/>
      <c r="P334" s="1165"/>
      <c r="Q334" s="1165"/>
    </row>
    <row r="335" spans="1:17" ht="25.35" x14ac:dyDescent="0.25">
      <c r="A335" s="1266"/>
      <c r="B335" s="2599"/>
      <c r="C335" s="1273" t="s">
        <v>497</v>
      </c>
      <c r="D335" s="1271" t="s">
        <v>1025</v>
      </c>
      <c r="E335" s="1274" t="str">
        <f>'4.Livestock'!K69</f>
        <v>Select</v>
      </c>
      <c r="F335" s="1267" t="s">
        <v>718</v>
      </c>
      <c r="G335" s="1275">
        <f>'4.Livestock'!L69</f>
        <v>0</v>
      </c>
      <c r="H335" s="1275"/>
      <c r="I335" s="1165"/>
      <c r="J335" s="1165"/>
      <c r="K335" s="1165"/>
      <c r="L335" s="1165"/>
      <c r="M335" s="1165"/>
      <c r="N335" s="1165"/>
      <c r="O335" s="1165"/>
      <c r="P335" s="1165"/>
      <c r="Q335" s="1165"/>
    </row>
    <row r="336" spans="1:17" ht="25.35" x14ac:dyDescent="0.25">
      <c r="A336" s="1266"/>
      <c r="B336" s="2599"/>
      <c r="C336" s="1273" t="s">
        <v>497</v>
      </c>
      <c r="D336" s="1271" t="s">
        <v>1026</v>
      </c>
      <c r="E336" s="1274" t="str">
        <f>'4.Livestock'!K70</f>
        <v>Select</v>
      </c>
      <c r="F336" s="1267" t="s">
        <v>718</v>
      </c>
      <c r="G336" s="1275">
        <f>'4.Livestock'!L70</f>
        <v>0</v>
      </c>
      <c r="H336" s="1275"/>
      <c r="I336" s="1165"/>
      <c r="J336" s="1165"/>
      <c r="K336" s="1165"/>
      <c r="L336" s="1165"/>
      <c r="M336" s="1165"/>
      <c r="N336" s="1165"/>
      <c r="O336" s="1165"/>
      <c r="P336" s="1165"/>
      <c r="Q336" s="1165"/>
    </row>
    <row r="337" spans="1:17" ht="25.35" x14ac:dyDescent="0.25">
      <c r="A337" s="1266"/>
      <c r="B337" s="2599"/>
      <c r="C337" s="1273" t="s">
        <v>497</v>
      </c>
      <c r="D337" s="1271" t="s">
        <v>1027</v>
      </c>
      <c r="E337" s="1274" t="str">
        <f>'4.Livestock'!K71</f>
        <v>Select</v>
      </c>
      <c r="F337" s="1267" t="s">
        <v>718</v>
      </c>
      <c r="G337" s="1275">
        <f>'4.Livestock'!L71</f>
        <v>0</v>
      </c>
      <c r="H337" s="1275"/>
      <c r="I337" s="1165"/>
      <c r="J337" s="1165"/>
      <c r="K337" s="1165"/>
      <c r="L337" s="1165"/>
      <c r="M337" s="1165"/>
      <c r="N337" s="1165"/>
      <c r="O337" s="1165"/>
      <c r="P337" s="1165"/>
      <c r="Q337" s="1165"/>
    </row>
    <row r="338" spans="1:17" ht="25.35" x14ac:dyDescent="0.25">
      <c r="A338" s="1266"/>
      <c r="B338" s="2599"/>
      <c r="C338" s="1273" t="s">
        <v>497</v>
      </c>
      <c r="D338" s="1271" t="s">
        <v>1028</v>
      </c>
      <c r="E338" s="1274" t="str">
        <f>'4.Livestock'!K72</f>
        <v>Select</v>
      </c>
      <c r="F338" s="1267" t="s">
        <v>718</v>
      </c>
      <c r="G338" s="1275">
        <f>'4.Livestock'!L72</f>
        <v>0</v>
      </c>
      <c r="H338" s="1275"/>
      <c r="I338" s="1165"/>
      <c r="J338" s="1165"/>
      <c r="K338" s="1165"/>
      <c r="L338" s="1165"/>
      <c r="M338" s="1165"/>
      <c r="N338" s="1165"/>
      <c r="O338" s="1165"/>
      <c r="P338" s="1165"/>
      <c r="Q338" s="1165"/>
    </row>
    <row r="339" spans="1:17" ht="25.35" x14ac:dyDescent="0.25">
      <c r="A339" s="1266"/>
      <c r="B339" s="2599"/>
      <c r="C339" s="1273" t="s">
        <v>497</v>
      </c>
      <c r="D339" s="1271" t="s">
        <v>1029</v>
      </c>
      <c r="E339" s="1274" t="str">
        <f>'4.Livestock'!K73</f>
        <v>Select</v>
      </c>
      <c r="F339" s="1267" t="s">
        <v>718</v>
      </c>
      <c r="G339" s="1275">
        <f>'4.Livestock'!L73</f>
        <v>0</v>
      </c>
      <c r="H339" s="1275"/>
      <c r="I339" s="1165"/>
      <c r="J339" s="1165"/>
      <c r="K339" s="1165"/>
      <c r="L339" s="1165"/>
      <c r="M339" s="1165"/>
      <c r="N339" s="1165"/>
      <c r="O339" s="1165"/>
      <c r="P339" s="1165"/>
      <c r="Q339" s="1165"/>
    </row>
    <row r="340" spans="1:17" ht="25.35" x14ac:dyDescent="0.25">
      <c r="A340" s="1266"/>
      <c r="B340" s="2599"/>
      <c r="C340" s="1273" t="s">
        <v>497</v>
      </c>
      <c r="D340" s="1271" t="s">
        <v>1030</v>
      </c>
      <c r="E340" s="1274" t="str">
        <f>'4.Livestock'!K74</f>
        <v>Select</v>
      </c>
      <c r="F340" s="1267" t="s">
        <v>718</v>
      </c>
      <c r="G340" s="1275">
        <f>'4.Livestock'!L74</f>
        <v>0</v>
      </c>
      <c r="H340" s="1275"/>
      <c r="I340" s="1165"/>
      <c r="J340" s="1165"/>
      <c r="K340" s="1165"/>
      <c r="L340" s="1165"/>
      <c r="M340" s="1165"/>
      <c r="N340" s="1165"/>
      <c r="O340" s="1165"/>
      <c r="P340" s="1165"/>
      <c r="Q340" s="1165"/>
    </row>
    <row r="341" spans="1:17" ht="25.35" x14ac:dyDescent="0.25">
      <c r="A341" s="1266"/>
      <c r="B341" s="2599"/>
      <c r="C341" s="1273" t="s">
        <v>497</v>
      </c>
      <c r="D341" s="1271" t="s">
        <v>1031</v>
      </c>
      <c r="E341" s="1274" t="str">
        <f>'4.Livestock'!K75</f>
        <v>Select</v>
      </c>
      <c r="F341" s="1267" t="s">
        <v>718</v>
      </c>
      <c r="G341" s="1275">
        <f>'4.Livestock'!L75</f>
        <v>0</v>
      </c>
      <c r="H341" s="1275"/>
      <c r="I341" s="1165"/>
      <c r="J341" s="1165"/>
      <c r="K341" s="1165"/>
      <c r="L341" s="1165"/>
      <c r="M341" s="1165"/>
      <c r="N341" s="1165"/>
      <c r="O341" s="1165"/>
      <c r="P341" s="1165"/>
      <c r="Q341" s="1165"/>
    </row>
    <row r="342" spans="1:17" x14ac:dyDescent="0.25">
      <c r="A342" s="1266"/>
      <c r="B342" s="1267"/>
      <c r="C342" s="1275"/>
      <c r="D342" s="1267"/>
      <c r="E342" s="1275"/>
      <c r="F342" s="1275"/>
      <c r="G342" s="1275"/>
      <c r="H342" s="1275"/>
    </row>
    <row r="343" spans="1:17" x14ac:dyDescent="0.25">
      <c r="A343" s="1266" t="s">
        <v>975</v>
      </c>
      <c r="B343" s="1267"/>
      <c r="C343" s="1271" t="s">
        <v>1621</v>
      </c>
      <c r="D343" s="1276" t="s">
        <v>1622</v>
      </c>
      <c r="E343" s="1276" t="s">
        <v>1623</v>
      </c>
      <c r="F343" s="1276" t="s">
        <v>1624</v>
      </c>
      <c r="G343" s="1276" t="s">
        <v>1625</v>
      </c>
      <c r="H343" s="1275" t="s">
        <v>1479</v>
      </c>
      <c r="I343" s="1165"/>
      <c r="J343" s="1165"/>
      <c r="K343" s="1165"/>
      <c r="L343" s="1165"/>
      <c r="M343" s="1165"/>
      <c r="N343" s="1165"/>
      <c r="O343" s="1165"/>
      <c r="P343" s="1165"/>
      <c r="Q343" s="1165"/>
    </row>
    <row r="344" spans="1:17" x14ac:dyDescent="0.25">
      <c r="A344" s="1266" t="s">
        <v>975</v>
      </c>
      <c r="B344" s="1271" t="s">
        <v>226</v>
      </c>
      <c r="C344" s="1277">
        <f>'4.Livestock'!D95</f>
        <v>0</v>
      </c>
      <c r="D344" s="1277">
        <f>'4.Livestock'!E95</f>
        <v>0</v>
      </c>
      <c r="E344" s="1277">
        <f>'4.Livestock'!F95</f>
        <v>0</v>
      </c>
      <c r="F344" s="1277">
        <f>'4.Livestock'!G95</f>
        <v>0</v>
      </c>
      <c r="G344" s="1277">
        <f>'4.Livestock'!H95</f>
        <v>0</v>
      </c>
      <c r="H344" s="1277">
        <f>'4.Livestock'!I95</f>
        <v>0</v>
      </c>
      <c r="I344" s="1165"/>
      <c r="J344" s="1165"/>
      <c r="K344" s="1165"/>
      <c r="L344" s="1165"/>
      <c r="M344" s="1165"/>
      <c r="N344" s="1165"/>
      <c r="O344" s="1165"/>
      <c r="P344" s="1165"/>
      <c r="Q344" s="1165"/>
    </row>
    <row r="345" spans="1:17" x14ac:dyDescent="0.25">
      <c r="A345" s="1266" t="s">
        <v>975</v>
      </c>
      <c r="B345" s="1271" t="s">
        <v>648</v>
      </c>
      <c r="C345" s="1277">
        <f>'4.Livestock'!D96</f>
        <v>0</v>
      </c>
      <c r="D345" s="1277">
        <f>'4.Livestock'!E96</f>
        <v>0</v>
      </c>
      <c r="E345" s="1277">
        <f>'4.Livestock'!F96</f>
        <v>0</v>
      </c>
      <c r="F345" s="1277">
        <f>'4.Livestock'!G96</f>
        <v>0</v>
      </c>
      <c r="G345" s="1277">
        <f>'4.Livestock'!H96</f>
        <v>0</v>
      </c>
      <c r="H345" s="1277">
        <f>'4.Livestock'!I96</f>
        <v>0</v>
      </c>
      <c r="I345" s="1165"/>
      <c r="J345" s="1165"/>
      <c r="K345" s="1165"/>
      <c r="L345" s="1165"/>
      <c r="M345" s="1165"/>
      <c r="N345" s="1165"/>
      <c r="O345" s="1165"/>
      <c r="P345" s="1165"/>
      <c r="Q345" s="1165"/>
    </row>
    <row r="346" spans="1:17" x14ac:dyDescent="0.25">
      <c r="A346" s="1266" t="s">
        <v>975</v>
      </c>
      <c r="B346" s="1271" t="s">
        <v>504</v>
      </c>
      <c r="C346" s="1277">
        <f>'4.Livestock'!D97</f>
        <v>0</v>
      </c>
      <c r="D346" s="1277">
        <f>'4.Livestock'!E97</f>
        <v>0</v>
      </c>
      <c r="E346" s="1277">
        <f>'4.Livestock'!F97</f>
        <v>0</v>
      </c>
      <c r="F346" s="1277">
        <f>'4.Livestock'!G97</f>
        <v>0</v>
      </c>
      <c r="G346" s="1277">
        <f>'4.Livestock'!H97</f>
        <v>0</v>
      </c>
      <c r="H346" s="1277">
        <f>'4.Livestock'!I97</f>
        <v>0</v>
      </c>
      <c r="I346" s="1165"/>
      <c r="J346" s="1165"/>
      <c r="K346" s="1165"/>
      <c r="L346" s="1165"/>
      <c r="M346" s="1165"/>
      <c r="N346" s="1165"/>
      <c r="O346" s="1165"/>
      <c r="P346" s="1165"/>
      <c r="Q346" s="1165"/>
    </row>
    <row r="347" spans="1:17" x14ac:dyDescent="0.25">
      <c r="A347" s="1266" t="s">
        <v>975</v>
      </c>
      <c r="B347" s="1271" t="s">
        <v>1914</v>
      </c>
      <c r="C347" s="1277">
        <f>'4.Livestock'!D99</f>
        <v>0</v>
      </c>
      <c r="D347" s="1277">
        <f>'4.Livestock'!E99</f>
        <v>0</v>
      </c>
      <c r="E347" s="1277">
        <f>'4.Livestock'!F99</f>
        <v>0</v>
      </c>
      <c r="F347" s="1277">
        <f>'4.Livestock'!G99</f>
        <v>0</v>
      </c>
      <c r="G347" s="1277">
        <f>'4.Livestock'!H99</f>
        <v>0</v>
      </c>
      <c r="H347" s="1277">
        <f>'4.Livestock'!I99</f>
        <v>0</v>
      </c>
      <c r="I347" s="1165"/>
      <c r="J347" s="1165"/>
      <c r="K347" s="1165"/>
      <c r="L347" s="1165"/>
      <c r="M347" s="1165"/>
      <c r="N347" s="1165"/>
      <c r="O347" s="1165"/>
      <c r="P347" s="1165"/>
      <c r="Q347" s="1165"/>
    </row>
    <row r="350" spans="1:17" x14ac:dyDescent="0.25">
      <c r="A350" s="1266" t="s">
        <v>691</v>
      </c>
      <c r="B350" s="1266" t="s">
        <v>690</v>
      </c>
      <c r="C350" s="1267">
        <f>'0.Usage,Licence,Disclaimer'!J60</f>
        <v>1.0378000000000001</v>
      </c>
    </row>
    <row r="351" spans="1:17" x14ac:dyDescent="0.25">
      <c r="A351" s="1266"/>
      <c r="B351" s="1266" t="s">
        <v>691</v>
      </c>
      <c r="C351" s="1267" t="str">
        <f>'0.Usage,Licence,Disclaimer'!L60</f>
        <v>2.0 beta 3</v>
      </c>
    </row>
    <row r="352" spans="1:17" ht="63.4" x14ac:dyDescent="0.25">
      <c r="A352" s="1268" t="s">
        <v>1078</v>
      </c>
      <c r="B352" s="1266" t="s">
        <v>1079</v>
      </c>
      <c r="C352" s="1267" t="str">
        <f>'8.ResultsGraphs'!C29</f>
        <v>(Type over this message to enter notes about modeling assumptions)</v>
      </c>
      <c r="D352" s="1262"/>
      <c r="E352" s="1263"/>
      <c r="F352" s="1263"/>
      <c r="G352" s="1263"/>
      <c r="H352" s="1263"/>
    </row>
    <row r="353" spans="1:8" s="1147" customFormat="1" x14ac:dyDescent="0.25">
      <c r="A353" s="1269"/>
      <c r="B353" s="1270" t="s">
        <v>1080</v>
      </c>
      <c r="C353" s="1269">
        <f ca="1">'8.ResultsGraphs'!D27</f>
        <v>2231.9910430098171</v>
      </c>
      <c r="D353" s="1264"/>
    </row>
    <row r="354" spans="1:8" x14ac:dyDescent="0.25">
      <c r="A354" s="1266"/>
      <c r="B354" s="1271" t="s">
        <v>1076</v>
      </c>
      <c r="C354" s="1272">
        <f ca="1">'8.ResultsGraphs'!E27</f>
        <v>3.994962566793518</v>
      </c>
      <c r="D354" s="1265"/>
      <c r="E354" s="1265"/>
      <c r="F354" s="1265"/>
      <c r="G354" s="1265"/>
      <c r="H354" s="1265" t="str">
        <f>'8.ResultsGraphs'!J27</f>
        <v/>
      </c>
    </row>
    <row r="355" spans="1:8" x14ac:dyDescent="0.25">
      <c r="A355" s="1266"/>
      <c r="B355" s="1267" t="s">
        <v>1077</v>
      </c>
      <c r="C355" s="1272">
        <f ca="1">'8.ResultsGraphs'!F27</f>
        <v>0</v>
      </c>
    </row>
    <row r="356" spans="1:8" x14ac:dyDescent="0.25">
      <c r="A356" s="1266"/>
      <c r="B356" s="1269" t="s">
        <v>1081</v>
      </c>
      <c r="C356" s="1272">
        <f ca="1">'8.ResultsGraphs'!G27</f>
        <v>3414.4999627806974</v>
      </c>
    </row>
    <row r="357" spans="1:8" x14ac:dyDescent="0.25">
      <c r="A357" s="1266"/>
      <c r="B357" s="1269" t="s">
        <v>1082</v>
      </c>
      <c r="C357" s="1272">
        <f ca="1">'8.ResultsGraphs'!H27</f>
        <v>474.23610594176381</v>
      </c>
    </row>
    <row r="358" spans="1:8" x14ac:dyDescent="0.25">
      <c r="A358" s="1266"/>
      <c r="B358" s="1269" t="s">
        <v>1083</v>
      </c>
      <c r="C358" s="1272">
        <f ca="1">'8.ResultsGraphs'!I27</f>
        <v>55.14373324904227</v>
      </c>
    </row>
    <row r="359" spans="1:8" x14ac:dyDescent="0.25">
      <c r="A359" s="1266"/>
      <c r="B359" s="1269" t="s">
        <v>1084</v>
      </c>
      <c r="C359" s="1272" t="str">
        <f>'8.ResultsGraphs'!J27</f>
        <v/>
      </c>
    </row>
    <row r="361" spans="1:8" ht="63.4" x14ac:dyDescent="0.25">
      <c r="A361" s="1289" t="s">
        <v>414</v>
      </c>
      <c r="B361" s="1262" t="s">
        <v>415</v>
      </c>
      <c r="C361" s="1290" t="str">
        <f>'7.Transport'!G12</f>
        <v>This transport includes:</v>
      </c>
      <c r="D361" s="1352" t="str">
        <f>'7.Transport'!I12</f>
        <v>(Type over this message to enter which materials you have included in this section.)</v>
      </c>
    </row>
    <row r="362" spans="1:8" ht="63.4" x14ac:dyDescent="0.25">
      <c r="A362" s="1289"/>
      <c r="B362" s="1262" t="s">
        <v>272</v>
      </c>
      <c r="C362" s="1290" t="str">
        <f>'7.Transport'!G22</f>
        <v>This transport includes:</v>
      </c>
      <c r="D362" s="1352" t="str">
        <f>'7.Transport'!I22</f>
        <v>(Type over this message to enter which materials you have included in this section.)</v>
      </c>
    </row>
    <row r="363" spans="1:8" ht="63.4" x14ac:dyDescent="0.25">
      <c r="A363" s="1289"/>
      <c r="B363" s="1262" t="s">
        <v>448</v>
      </c>
      <c r="C363" s="1290" t="str">
        <f>'7.Transport'!G32</f>
        <v>This transport includes:</v>
      </c>
      <c r="D363" s="1352" t="str">
        <f>'7.Transport'!I32</f>
        <v>(Type over this message to enter which materials you have included in this section.)</v>
      </c>
    </row>
    <row r="364" spans="1:8" ht="63.4" x14ac:dyDescent="0.25">
      <c r="A364" s="1289"/>
      <c r="B364" s="1262" t="s">
        <v>449</v>
      </c>
      <c r="C364" s="1290" t="str">
        <f>'7.Transport'!G42</f>
        <v>This transport includes:</v>
      </c>
      <c r="D364" s="1352" t="str">
        <f>'7.Transport'!I42</f>
        <v>(Type over this message to enter which materials you have included in this section.)</v>
      </c>
    </row>
    <row r="366" spans="1:8" ht="38.049999999999997" x14ac:dyDescent="0.25">
      <c r="A366" s="1418" t="s">
        <v>239</v>
      </c>
      <c r="B366" s="1419" t="s">
        <v>240</v>
      </c>
      <c r="C366" s="1417" t="str">
        <f>'4.Livestock'!E34</f>
        <v>(Type over this cell to enter any comments about your manure management strategy .)</v>
      </c>
      <c r="D366" s="1419"/>
      <c r="E366" s="1417"/>
      <c r="F366" s="1417"/>
      <c r="G366" s="1417"/>
    </row>
    <row r="367" spans="1:8" s="1165" customFormat="1" ht="38.049999999999997" x14ac:dyDescent="0.25">
      <c r="A367" s="1417"/>
      <c r="B367" s="1419" t="s">
        <v>1763</v>
      </c>
      <c r="C367" s="1417" t="str">
        <f>'4.Livestock'!E53</f>
        <v>(Type over this cell to enter any comments about your manure management strategy .)</v>
      </c>
      <c r="D367" s="1417"/>
      <c r="E367" s="1417"/>
      <c r="F367" s="1417"/>
      <c r="G367" s="1417"/>
    </row>
    <row r="368" spans="1:8" s="1165" customFormat="1" ht="38.049999999999997" x14ac:dyDescent="0.25">
      <c r="A368" s="1417"/>
      <c r="B368" s="1419" t="s">
        <v>241</v>
      </c>
      <c r="C368" s="1417" t="str">
        <f>'4.Livestock'!E74</f>
        <v>(Type over this cell to enter any comments about your manure management strategy .)</v>
      </c>
      <c r="D368" s="1417"/>
      <c r="E368" s="1417"/>
      <c r="F368" s="1417"/>
      <c r="G368" s="1417"/>
    </row>
    <row r="369" spans="1:5" s="1165" customFormat="1" x14ac:dyDescent="0.25">
      <c r="C369" s="1410" t="s">
        <v>1296</v>
      </c>
    </row>
    <row r="370" spans="1:5" s="1165" customFormat="1" x14ac:dyDescent="0.25">
      <c r="A370" s="1410" t="s">
        <v>1295</v>
      </c>
      <c r="B370" s="1410">
        <f>'4.Livestock'!E10</f>
        <v>0</v>
      </c>
      <c r="C370" s="1410">
        <f>'4.Livestock'!F10</f>
        <v>0</v>
      </c>
    </row>
    <row r="371" spans="1:5" s="1165" customFormat="1" x14ac:dyDescent="0.25">
      <c r="A371" s="1410" t="s">
        <v>1577</v>
      </c>
      <c r="B371" s="1410">
        <f>'4.Livestock'!E11</f>
        <v>0</v>
      </c>
      <c r="C371" s="1410">
        <f>'4.Livestock'!F11</f>
        <v>0</v>
      </c>
    </row>
    <row r="372" spans="1:5" s="1165" customFormat="1" x14ac:dyDescent="0.25">
      <c r="A372" s="1410" t="s">
        <v>497</v>
      </c>
      <c r="B372" s="1410">
        <f>'4.Livestock'!E12</f>
        <v>0</v>
      </c>
      <c r="C372" s="1410">
        <f>'4.Livestock'!F12</f>
        <v>0</v>
      </c>
    </row>
    <row r="373" spans="1:5" s="1165" customFormat="1" x14ac:dyDescent="0.25"/>
    <row r="374" spans="1:5" s="1165" customFormat="1" x14ac:dyDescent="0.25"/>
    <row r="375" spans="1:5" s="1165" customFormat="1" x14ac:dyDescent="0.25"/>
    <row r="376" spans="1:5" s="1165" customFormat="1" x14ac:dyDescent="0.25"/>
    <row r="377" spans="1:5" s="1165" customFormat="1" x14ac:dyDescent="0.25">
      <c r="A377" s="1145" t="s">
        <v>944</v>
      </c>
      <c r="C377" s="1414" t="s">
        <v>652</v>
      </c>
      <c r="D377" s="1414" t="s">
        <v>1945</v>
      </c>
    </row>
    <row r="378" spans="1:5" s="1165" customFormat="1" x14ac:dyDescent="0.25">
      <c r="B378" s="1414" t="s">
        <v>674</v>
      </c>
      <c r="C378" s="1414">
        <f>'5.FieldEnergyUse'!E18</f>
        <v>0</v>
      </c>
      <c r="D378" s="1417" t="str">
        <f ca="1">'5.FieldEnergyUse'!F18</f>
        <v>kg</v>
      </c>
    </row>
    <row r="379" spans="1:5" s="1165" customFormat="1" x14ac:dyDescent="0.25">
      <c r="B379" s="1414" t="s">
        <v>788</v>
      </c>
      <c r="C379" s="1414">
        <f>'5.FieldEnergyUse'!E19</f>
        <v>0</v>
      </c>
      <c r="D379" s="1417" t="str">
        <f ca="1">'5.FieldEnergyUse'!F19</f>
        <v>kg</v>
      </c>
    </row>
    <row r="380" spans="1:5" s="1165" customFormat="1" x14ac:dyDescent="0.25">
      <c r="B380" s="1414" t="s">
        <v>811</v>
      </c>
      <c r="C380" s="1414">
        <f>'5.FieldEnergyUse'!E20</f>
        <v>0</v>
      </c>
      <c r="D380" s="1417" t="str">
        <f ca="1">'5.FieldEnergyUse'!F20</f>
        <v>kg</v>
      </c>
    </row>
    <row r="381" spans="1:5" s="1165" customFormat="1" x14ac:dyDescent="0.25">
      <c r="B381" s="1414" t="s">
        <v>677</v>
      </c>
      <c r="C381" s="1414">
        <f>'5.FieldEnergyUse'!E21</f>
        <v>0</v>
      </c>
      <c r="D381" s="1417" t="str">
        <f>'5.FieldEnergyUse'!F21</f>
        <v>therms</v>
      </c>
    </row>
    <row r="382" spans="1:5" s="1165" customFormat="1" x14ac:dyDescent="0.25">
      <c r="B382" s="1414" t="s">
        <v>678</v>
      </c>
      <c r="C382" s="1414">
        <f>'5.FieldEnergyUse'!E22</f>
        <v>0</v>
      </c>
      <c r="D382" s="1417" t="str">
        <f ca="1">'5.FieldEnergyUse'!F22</f>
        <v>litres</v>
      </c>
    </row>
    <row r="383" spans="1:5" s="1165" customFormat="1" x14ac:dyDescent="0.25"/>
    <row r="384" spans="1:5" s="1165" customFormat="1" x14ac:dyDescent="0.25">
      <c r="B384" s="1417" t="str">
        <f>'A4. Default crop lookup'!B59</f>
        <v>N application rate kg/hectare</v>
      </c>
      <c r="C384" s="1417" t="str">
        <f>'A4. Default crop lookup'!C59</f>
        <v>Pesticide applications per year</v>
      </c>
      <c r="D384" s="1417" t="str">
        <f>'A4. Default crop lookup'!D59</f>
        <v>Assumed yield (t/ha)</v>
      </c>
      <c r="E384" s="1417" t="str">
        <f>'A4. Default crop lookup'!E59</f>
        <v>CO2 equiv/tonne</v>
      </c>
    </row>
    <row r="385" spans="1:5" s="1165" customFormat="1" x14ac:dyDescent="0.25">
      <c r="A385" s="1417" t="str">
        <f>'A4. Default crop lookup'!A60</f>
        <v>User defined 1</v>
      </c>
      <c r="B385" s="1417">
        <f>'A4. Default crop lookup'!B60</f>
        <v>0</v>
      </c>
      <c r="C385" s="1417">
        <f>'A4. Default crop lookup'!C60</f>
        <v>0</v>
      </c>
      <c r="D385" s="1417">
        <f>'A4. Default crop lookup'!D60</f>
        <v>0</v>
      </c>
      <c r="E385" s="1417" t="e">
        <f>'A4. Default crop lookup'!E60</f>
        <v>#DIV/0!</v>
      </c>
    </row>
    <row r="386" spans="1:5" s="1165" customFormat="1" x14ac:dyDescent="0.25">
      <c r="A386" s="1417" t="str">
        <f>'A4. Default crop lookup'!A61</f>
        <v>User defined 2</v>
      </c>
      <c r="B386" s="1417">
        <f>'A4. Default crop lookup'!B61</f>
        <v>0</v>
      </c>
      <c r="C386" s="1417">
        <f>'A4. Default crop lookup'!C61</f>
        <v>0</v>
      </c>
      <c r="D386" s="1417">
        <f>'A4. Default crop lookup'!D61</f>
        <v>0</v>
      </c>
      <c r="E386" s="1417" t="e">
        <f>'A4. Default crop lookup'!E61</f>
        <v>#DIV/0!</v>
      </c>
    </row>
    <row r="387" spans="1:5" s="1165" customFormat="1" ht="11.95" customHeight="1" x14ac:dyDescent="0.25">
      <c r="A387" s="1417" t="str">
        <f>'A4. Default crop lookup'!A62</f>
        <v>User defined 3</v>
      </c>
      <c r="B387" s="1417">
        <f>'A4. Default crop lookup'!B62</f>
        <v>0</v>
      </c>
      <c r="C387" s="1417">
        <f>'A4. Default crop lookup'!C62</f>
        <v>0</v>
      </c>
      <c r="D387" s="1417">
        <f>'A4. Default crop lookup'!D62</f>
        <v>0</v>
      </c>
      <c r="E387" s="1417" t="e">
        <f>'A4. Default crop lookup'!E62</f>
        <v>#DIV/0!</v>
      </c>
    </row>
    <row r="388" spans="1:5" s="1165" customFormat="1" x14ac:dyDescent="0.25">
      <c r="A388" s="1417" t="str">
        <f>'A4. Default crop lookup'!A63</f>
        <v>User defined 4</v>
      </c>
      <c r="B388" s="1417">
        <f>'A4. Default crop lookup'!B63</f>
        <v>0</v>
      </c>
      <c r="C388" s="1417">
        <f>'A4. Default crop lookup'!C63</f>
        <v>0</v>
      </c>
      <c r="D388" s="1417">
        <f>'A4. Default crop lookup'!D63</f>
        <v>0</v>
      </c>
      <c r="E388" s="1417" t="e">
        <f>'A4. Default crop lookup'!E63</f>
        <v>#DIV/0!</v>
      </c>
    </row>
    <row r="389" spans="1:5" s="1165" customFormat="1" x14ac:dyDescent="0.25">
      <c r="A389" s="1417" t="str">
        <f>'A4. Default crop lookup'!A64</f>
        <v>User defined 5</v>
      </c>
      <c r="B389" s="1417">
        <f>'A4. Default crop lookup'!B64</f>
        <v>0</v>
      </c>
      <c r="C389" s="1417">
        <f>'A4. Default crop lookup'!C64</f>
        <v>0</v>
      </c>
      <c r="D389" s="1417">
        <f>'A4. Default crop lookup'!D64</f>
        <v>0</v>
      </c>
      <c r="E389" s="1417" t="e">
        <f>'A4. Default crop lookup'!E64</f>
        <v>#DIV/0!</v>
      </c>
    </row>
    <row r="390" spans="1:5" s="1165" customFormat="1" x14ac:dyDescent="0.25">
      <c r="A390" s="1417" t="str">
        <f>'A4. Default crop lookup'!A65</f>
        <v>User defined 6</v>
      </c>
      <c r="B390" s="1417">
        <f>'A4. Default crop lookup'!B65</f>
        <v>0</v>
      </c>
      <c r="C390" s="1417">
        <f>'A4. Default crop lookup'!C65</f>
        <v>0</v>
      </c>
      <c r="D390" s="1417">
        <f>'A4. Default crop lookup'!D65</f>
        <v>0</v>
      </c>
      <c r="E390" s="1417" t="e">
        <f>'A4. Default crop lookup'!E65</f>
        <v>#DIV/0!</v>
      </c>
    </row>
    <row r="391" spans="1:5" s="1165" customFormat="1" x14ac:dyDescent="0.25">
      <c r="A391" s="1417"/>
    </row>
    <row r="392" spans="1:5" s="1165" customFormat="1" x14ac:dyDescent="0.25"/>
    <row r="393" spans="1:5" s="1165" customFormat="1" x14ac:dyDescent="0.25"/>
    <row r="394" spans="1:5" s="1165" customFormat="1" x14ac:dyDescent="0.25"/>
    <row r="395" spans="1:5" s="1165" customFormat="1" x14ac:dyDescent="0.25">
      <c r="A395" s="1417" t="str">
        <f>'A5. User-defined fertilisers'!A3</f>
        <v>Fertiliser name (optional)</v>
      </c>
      <c r="B395" s="1417" t="str">
        <f>'A5. User-defined fertilisers'!B3</f>
        <v>Base</v>
      </c>
      <c r="C395" s="1417" t="str">
        <f>'A5. User-defined fertilisers'!C9</f>
        <v>N</v>
      </c>
      <c r="D395" s="1417" t="str">
        <f>'A5. User-defined fertilisers'!D9</f>
        <v>P (as P205)</v>
      </c>
      <c r="E395" s="1417" t="str">
        <f>'A5. User-defined fertilisers'!E9</f>
        <v>K (as K2O)</v>
      </c>
    </row>
    <row r="396" spans="1:5" s="1165" customFormat="1" x14ac:dyDescent="0.25">
      <c r="A396" s="1417" t="str">
        <f>'A5. User-defined fertilisers'!A4</f>
        <v/>
      </c>
      <c r="B396" s="1417" t="str">
        <f>'A5. User-defined fertilisers'!B4</f>
        <v/>
      </c>
      <c r="C396" s="1417">
        <f>'A5. User-defined fertilisers'!C10</f>
        <v>0</v>
      </c>
      <c r="D396" s="1417">
        <f>'A5. User-defined fertilisers'!D10</f>
        <v>0</v>
      </c>
      <c r="E396" s="1417">
        <f>'A5. User-defined fertilisers'!E10</f>
        <v>0</v>
      </c>
    </row>
    <row r="397" spans="1:5" s="1165" customFormat="1" x14ac:dyDescent="0.25">
      <c r="A397" s="1417" t="str">
        <f>'A5. User-defined fertilisers'!A5</f>
        <v/>
      </c>
      <c r="B397" s="1417" t="str">
        <f>'A5. User-defined fertilisers'!B5</f>
        <v/>
      </c>
      <c r="C397" s="1417">
        <f>'A5. User-defined fertilisers'!C11</f>
        <v>0</v>
      </c>
      <c r="D397" s="1417">
        <f>'A5. User-defined fertilisers'!D11</f>
        <v>0</v>
      </c>
      <c r="E397" s="1417">
        <f>'A5. User-defined fertilisers'!E11</f>
        <v>0</v>
      </c>
    </row>
    <row r="398" spans="1:5" s="1165" customFormat="1" x14ac:dyDescent="0.25">
      <c r="A398" s="1417" t="str">
        <f>'A5. User-defined fertilisers'!A6</f>
        <v/>
      </c>
      <c r="B398" s="1417" t="str">
        <f>'A5. User-defined fertilisers'!B6</f>
        <v/>
      </c>
      <c r="C398" s="1417">
        <f>'A5. User-defined fertilisers'!C12</f>
        <v>0</v>
      </c>
      <c r="D398" s="1417">
        <f>'A5. User-defined fertilisers'!D12</f>
        <v>0</v>
      </c>
      <c r="E398" s="1417">
        <f>'A5. User-defined fertilisers'!E12</f>
        <v>0</v>
      </c>
    </row>
    <row r="399" spans="1:5" s="1165" customFormat="1" x14ac:dyDescent="0.25">
      <c r="A399" s="1417" t="str">
        <f>'A5. User-defined fertilisers'!A7</f>
        <v/>
      </c>
      <c r="B399" s="1417" t="str">
        <f>'A5. User-defined fertilisers'!B7</f>
        <v/>
      </c>
      <c r="C399" s="1417">
        <f>'A5. User-defined fertilisers'!C13</f>
        <v>0</v>
      </c>
      <c r="D399" s="1417">
        <f>'A5. User-defined fertilisers'!D13</f>
        <v>0</v>
      </c>
      <c r="E399" s="1417">
        <f>'A5. User-defined fertilisers'!E13</f>
        <v>0</v>
      </c>
    </row>
    <row r="400" spans="1:5" s="1165" customFormat="1" x14ac:dyDescent="0.25"/>
    <row r="401" spans="1:7" s="1165" customFormat="1" x14ac:dyDescent="0.25">
      <c r="A401" s="60" t="s">
        <v>58</v>
      </c>
      <c r="B401" s="1165" t="str">
        <f>'8.ResultsGraphs'!C29</f>
        <v>(Type over this message to enter notes about modeling assumptions)</v>
      </c>
    </row>
    <row r="402" spans="1:7" s="1165" customFormat="1" x14ac:dyDescent="0.25"/>
    <row r="403" spans="1:7" s="1165" customFormat="1" x14ac:dyDescent="0.25"/>
    <row r="404" spans="1:7" s="1165" customFormat="1" x14ac:dyDescent="0.25"/>
    <row r="405" spans="1:7" s="1165" customFormat="1" x14ac:dyDescent="0.25"/>
    <row r="406" spans="1:7" s="1165" customFormat="1" x14ac:dyDescent="0.25">
      <c r="A406" s="1165" t="s">
        <v>895</v>
      </c>
      <c r="B406" s="1165" t="s">
        <v>2061</v>
      </c>
      <c r="C406" s="1165" t="s">
        <v>2062</v>
      </c>
      <c r="D406" s="1165" t="s">
        <v>1458</v>
      </c>
      <c r="E406" s="1165" t="s">
        <v>896</v>
      </c>
      <c r="F406" s="1165" t="s">
        <v>897</v>
      </c>
      <c r="G406" s="1165" t="s">
        <v>494</v>
      </c>
    </row>
    <row r="407" spans="1:7" s="1165" customFormat="1" x14ac:dyDescent="0.25">
      <c r="A407" s="1167" t="s">
        <v>902</v>
      </c>
      <c r="B407" s="1165">
        <f>'7.Transport'!E57</f>
        <v>0</v>
      </c>
      <c r="C407" s="1165" t="str">
        <f ca="1">'7.Transport'!F57</f>
        <v>[Select]</v>
      </c>
      <c r="D407" s="1165">
        <f>'7.Transport'!G57</f>
        <v>0</v>
      </c>
      <c r="E407" s="1165" t="str">
        <f ca="1">'7.Transport'!H57</f>
        <v>[Select]</v>
      </c>
      <c r="F407" s="1165">
        <f>'7.Transport'!I57</f>
        <v>0</v>
      </c>
      <c r="G407" s="1165" t="str">
        <f>'7.Transport'!J57</f>
        <v>yes - returning empty</v>
      </c>
    </row>
    <row r="408" spans="1:7" s="1165" customFormat="1" x14ac:dyDescent="0.25">
      <c r="B408" s="1165">
        <f>'7.Transport'!E58</f>
        <v>0</v>
      </c>
      <c r="C408" s="1165" t="str">
        <f ca="1">'7.Transport'!F58</f>
        <v>[Select]</v>
      </c>
      <c r="D408" s="1165">
        <f>'7.Transport'!G58</f>
        <v>0</v>
      </c>
      <c r="E408" s="1165" t="str">
        <f ca="1">'7.Transport'!H58</f>
        <v>[Select]</v>
      </c>
      <c r="F408" s="1165">
        <f>'7.Transport'!I58</f>
        <v>0</v>
      </c>
      <c r="G408" s="1165" t="str">
        <f>'7.Transport'!J58</f>
        <v>yes - returning empty</v>
      </c>
    </row>
    <row r="409" spans="1:7" s="1165" customFormat="1" x14ac:dyDescent="0.25">
      <c r="B409" s="1165">
        <f>'7.Transport'!E59</f>
        <v>0</v>
      </c>
      <c r="C409" s="1165" t="str">
        <f ca="1">'7.Transport'!F59</f>
        <v>[Select]</v>
      </c>
      <c r="D409" s="1165">
        <f>'7.Transport'!G59</f>
        <v>0</v>
      </c>
      <c r="E409" s="1165" t="str">
        <f ca="1">'7.Transport'!H59</f>
        <v>[Select]</v>
      </c>
      <c r="F409" s="1165">
        <f>'7.Transport'!I59</f>
        <v>0</v>
      </c>
      <c r="G409" s="1165" t="str">
        <f>'7.Transport'!J59</f>
        <v>yes - returning empty</v>
      </c>
    </row>
    <row r="410" spans="1:7" s="1165" customFormat="1" x14ac:dyDescent="0.25">
      <c r="B410" s="1165">
        <f>'7.Transport'!E60</f>
        <v>0</v>
      </c>
      <c r="C410" s="1165" t="str">
        <f ca="1">'7.Transport'!F60</f>
        <v>[Select]</v>
      </c>
      <c r="D410" s="1165">
        <f>'7.Transport'!G60</f>
        <v>0</v>
      </c>
      <c r="E410" s="1165" t="str">
        <f ca="1">'7.Transport'!H60</f>
        <v>[Select]</v>
      </c>
      <c r="F410" s="1165">
        <f>'7.Transport'!I60</f>
        <v>0</v>
      </c>
      <c r="G410" s="1165" t="str">
        <f>'7.Transport'!J60</f>
        <v>yes - returning empty</v>
      </c>
    </row>
    <row r="411" spans="1:7" s="1165" customFormat="1" x14ac:dyDescent="0.25">
      <c r="B411" s="1165">
        <f>'7.Transport'!E61</f>
        <v>0</v>
      </c>
      <c r="C411" s="1165" t="str">
        <f ca="1">'7.Transport'!F61</f>
        <v>[Select]</v>
      </c>
      <c r="D411" s="1165">
        <f>'7.Transport'!G61</f>
        <v>0</v>
      </c>
      <c r="E411" s="1165" t="str">
        <f ca="1">'7.Transport'!H61</f>
        <v>[Select]</v>
      </c>
      <c r="F411" s="1165">
        <f>'7.Transport'!I61</f>
        <v>0</v>
      </c>
      <c r="G411" s="1165" t="str">
        <f>'7.Transport'!J61</f>
        <v>yes - returning empty</v>
      </c>
    </row>
    <row r="412" spans="1:7" s="1165" customFormat="1" x14ac:dyDescent="0.25">
      <c r="B412" s="1165">
        <f>'7.Transport'!E62</f>
        <v>0</v>
      </c>
      <c r="C412" s="1165" t="str">
        <f ca="1">'7.Transport'!F62</f>
        <v>[Select]</v>
      </c>
      <c r="D412" s="1165">
        <f>'7.Transport'!G62</f>
        <v>0</v>
      </c>
      <c r="E412" s="1165" t="str">
        <f ca="1">'7.Transport'!H62</f>
        <v>[Select]</v>
      </c>
      <c r="F412" s="1165">
        <f>'7.Transport'!I62</f>
        <v>0</v>
      </c>
      <c r="G412" s="1165" t="str">
        <f>'7.Transport'!J62</f>
        <v>yes - returning empty</v>
      </c>
    </row>
    <row r="413" spans="1:7" s="1165" customFormat="1" x14ac:dyDescent="0.25">
      <c r="B413" s="1165">
        <f>'7.Transport'!E63</f>
        <v>0</v>
      </c>
      <c r="C413" s="1165" t="str">
        <f ca="1">'7.Transport'!F63</f>
        <v>[Select]</v>
      </c>
      <c r="D413" s="1165">
        <f>'7.Transport'!G63</f>
        <v>0</v>
      </c>
      <c r="E413" s="1165" t="str">
        <f ca="1">'7.Transport'!H63</f>
        <v>[Select]</v>
      </c>
      <c r="F413" s="1165">
        <f>'7.Transport'!I63</f>
        <v>0</v>
      </c>
      <c r="G413" s="1165" t="str">
        <f>'7.Transport'!J63</f>
        <v>yes - returning empty</v>
      </c>
    </row>
    <row r="414" spans="1:7" x14ac:dyDescent="0.25">
      <c r="A414" s="1153"/>
      <c r="B414" s="1165">
        <f>'7.Transport'!E64</f>
        <v>0</v>
      </c>
      <c r="C414" s="1165" t="str">
        <f ca="1">'7.Transport'!F64</f>
        <v>[Select]</v>
      </c>
      <c r="D414" s="1165">
        <f>'7.Transport'!G64</f>
        <v>0</v>
      </c>
      <c r="E414" s="1165" t="str">
        <f ca="1">'7.Transport'!H64</f>
        <v>[Select]</v>
      </c>
      <c r="F414" s="1165">
        <f>'7.Transport'!I64</f>
        <v>0</v>
      </c>
      <c r="G414" s="1165" t="str">
        <f>'7.Transport'!J64</f>
        <v>yes - returning empty</v>
      </c>
    </row>
    <row r="415" spans="1:7" s="1165" customFormat="1" x14ac:dyDescent="0.25">
      <c r="B415" s="1165">
        <f>'7.Transport'!E65</f>
        <v>0</v>
      </c>
      <c r="C415" s="1165" t="str">
        <f ca="1">'7.Transport'!F65</f>
        <v>[Select]</v>
      </c>
      <c r="D415" s="1165">
        <f>'7.Transport'!G65</f>
        <v>0</v>
      </c>
      <c r="E415" s="1165" t="str">
        <f ca="1">'7.Transport'!H65</f>
        <v>[Select]</v>
      </c>
      <c r="F415" s="1165">
        <f>'7.Transport'!I65</f>
        <v>0</v>
      </c>
      <c r="G415" s="1165" t="str">
        <f>'7.Transport'!J65</f>
        <v>yes - returning empty</v>
      </c>
    </row>
    <row r="416" spans="1:7" s="1165" customFormat="1" x14ac:dyDescent="0.25">
      <c r="B416" s="1165">
        <f>'7.Transport'!E66</f>
        <v>0</v>
      </c>
      <c r="C416" s="1165" t="str">
        <f ca="1">'7.Transport'!F66</f>
        <v>[Select]</v>
      </c>
      <c r="D416" s="1165">
        <f>'7.Transport'!G66</f>
        <v>0</v>
      </c>
      <c r="E416" s="1165" t="str">
        <f ca="1">'7.Transport'!H66</f>
        <v>[Select]</v>
      </c>
      <c r="F416" s="1165">
        <f>'7.Transport'!I66</f>
        <v>0</v>
      </c>
      <c r="G416" s="1165" t="str">
        <f>'7.Transport'!J66</f>
        <v>yes - returning empty</v>
      </c>
    </row>
    <row r="417" spans="1:7" s="1165" customFormat="1" x14ac:dyDescent="0.25">
      <c r="B417" s="1165">
        <f>'7.Transport'!E67</f>
        <v>0</v>
      </c>
      <c r="C417" s="1165" t="str">
        <f ca="1">'7.Transport'!F67</f>
        <v>[Select]</v>
      </c>
      <c r="D417" s="1165">
        <f>'7.Transport'!G67</f>
        <v>0</v>
      </c>
      <c r="E417" s="1165" t="str">
        <f ca="1">'7.Transport'!H67</f>
        <v>[Select]</v>
      </c>
      <c r="F417" s="1165">
        <f>'7.Transport'!I67</f>
        <v>0</v>
      </c>
      <c r="G417" s="1165" t="str">
        <f>'7.Transport'!J67</f>
        <v>yes - returning empty</v>
      </c>
    </row>
    <row r="418" spans="1:7" s="1165" customFormat="1" x14ac:dyDescent="0.25">
      <c r="B418" s="1165">
        <f>'7.Transport'!E68</f>
        <v>0</v>
      </c>
      <c r="C418" s="1165" t="str">
        <f ca="1">'7.Transport'!F68</f>
        <v>[Select]</v>
      </c>
      <c r="D418" s="1165">
        <f>'7.Transport'!G68</f>
        <v>0</v>
      </c>
      <c r="E418" s="1165" t="str">
        <f ca="1">'7.Transport'!H68</f>
        <v>[Select]</v>
      </c>
      <c r="F418" s="1165">
        <f>'7.Transport'!I68</f>
        <v>0</v>
      </c>
      <c r="G418" s="1165" t="str">
        <f>'7.Transport'!J68</f>
        <v>yes - returning empty</v>
      </c>
    </row>
    <row r="419" spans="1:7" s="1165" customFormat="1" x14ac:dyDescent="0.25">
      <c r="B419" s="1165">
        <f>'7.Transport'!E69</f>
        <v>0</v>
      </c>
      <c r="C419" s="1165" t="str">
        <f ca="1">'7.Transport'!F69</f>
        <v>[Select]</v>
      </c>
      <c r="D419" s="1165">
        <f>'7.Transport'!G69</f>
        <v>0</v>
      </c>
      <c r="E419" s="1165" t="str">
        <f ca="1">'7.Transport'!H69</f>
        <v>[Select]</v>
      </c>
      <c r="F419" s="1165">
        <f>'7.Transport'!I69</f>
        <v>0</v>
      </c>
      <c r="G419" s="1165" t="str">
        <f>'7.Transport'!J69</f>
        <v>yes - returning empty</v>
      </c>
    </row>
    <row r="420" spans="1:7" x14ac:dyDescent="0.25">
      <c r="A420" s="1153"/>
      <c r="B420" s="1165">
        <f>'7.Transport'!E70</f>
        <v>0</v>
      </c>
      <c r="C420" s="1165" t="str">
        <f ca="1">'7.Transport'!F70</f>
        <v>[Select]</v>
      </c>
      <c r="D420" s="1165">
        <f>'7.Transport'!G70</f>
        <v>0</v>
      </c>
      <c r="E420" s="1165" t="str">
        <f ca="1">'7.Transport'!H70</f>
        <v>[Select]</v>
      </c>
      <c r="F420" s="1165">
        <f>'7.Transport'!I70</f>
        <v>0</v>
      </c>
      <c r="G420" s="1165" t="str">
        <f>'7.Transport'!J70</f>
        <v>yes - returning empty</v>
      </c>
    </row>
    <row r="421" spans="1:7" x14ac:dyDescent="0.25">
      <c r="A421" s="1153"/>
      <c r="B421" s="1165">
        <f>'7.Transport'!E71</f>
        <v>0</v>
      </c>
      <c r="C421" s="1165" t="str">
        <f ca="1">'7.Transport'!F71</f>
        <v>[Select]</v>
      </c>
      <c r="D421" s="1165">
        <f>'7.Transport'!G71</f>
        <v>0</v>
      </c>
      <c r="E421" s="1165" t="str">
        <f ca="1">'7.Transport'!H71</f>
        <v>[Select]</v>
      </c>
      <c r="F421" s="1165">
        <f>'7.Transport'!I71</f>
        <v>0</v>
      </c>
      <c r="G421" s="1165" t="str">
        <f>'7.Transport'!J71</f>
        <v>yes - returning empty</v>
      </c>
    </row>
    <row r="422" spans="1:7" x14ac:dyDescent="0.25">
      <c r="A422" s="1153"/>
      <c r="B422" s="1165">
        <f>'7.Transport'!E72</f>
        <v>0</v>
      </c>
      <c r="C422" s="1165" t="str">
        <f ca="1">'7.Transport'!F72</f>
        <v>[Select]</v>
      </c>
      <c r="D422" s="1165">
        <f>'7.Transport'!G72</f>
        <v>0</v>
      </c>
      <c r="E422" s="1165" t="str">
        <f ca="1">'7.Transport'!H72</f>
        <v>[Select]</v>
      </c>
      <c r="F422" s="1165">
        <f>'7.Transport'!I72</f>
        <v>0</v>
      </c>
      <c r="G422" s="1165" t="str">
        <f>'7.Transport'!J72</f>
        <v>yes - returning empty</v>
      </c>
    </row>
    <row r="423" spans="1:7" x14ac:dyDescent="0.25">
      <c r="A423" s="1153"/>
      <c r="B423" s="1165">
        <f>'7.Transport'!E73</f>
        <v>0</v>
      </c>
      <c r="C423" s="1165" t="str">
        <f ca="1">'7.Transport'!F73</f>
        <v>[Select]</v>
      </c>
      <c r="D423" s="1165">
        <f>'7.Transport'!G73</f>
        <v>0</v>
      </c>
      <c r="E423" s="1165" t="str">
        <f ca="1">'7.Transport'!H73</f>
        <v>[Select]</v>
      </c>
      <c r="F423" s="1165">
        <f>'7.Transport'!I73</f>
        <v>0</v>
      </c>
      <c r="G423" s="1165" t="str">
        <f>'7.Transport'!J73</f>
        <v>yes - returning empty</v>
      </c>
    </row>
    <row r="424" spans="1:7" x14ac:dyDescent="0.25">
      <c r="A424" s="1153"/>
      <c r="B424" s="1165">
        <f>'7.Transport'!E74</f>
        <v>0</v>
      </c>
      <c r="C424" s="1165" t="str">
        <f ca="1">'7.Transport'!F74</f>
        <v>[Select]</v>
      </c>
      <c r="D424" s="1165">
        <f>'7.Transport'!G74</f>
        <v>0</v>
      </c>
      <c r="E424" s="1165" t="str">
        <f ca="1">'7.Transport'!H74</f>
        <v>[Select]</v>
      </c>
      <c r="F424" s="1165">
        <f>'7.Transport'!I74</f>
        <v>0</v>
      </c>
      <c r="G424" s="1165" t="str">
        <f>'7.Transport'!J74</f>
        <v>yes - returning empty</v>
      </c>
    </row>
    <row r="425" spans="1:7" x14ac:dyDescent="0.25">
      <c r="A425" s="1153"/>
      <c r="B425" s="1165">
        <f>'7.Transport'!E75</f>
        <v>0</v>
      </c>
      <c r="C425" s="1165" t="str">
        <f ca="1">'7.Transport'!F75</f>
        <v>[Select]</v>
      </c>
      <c r="D425" s="1165">
        <f>'7.Transport'!G75</f>
        <v>0</v>
      </c>
      <c r="E425" s="1165" t="str">
        <f ca="1">'7.Transport'!H75</f>
        <v>[Select]</v>
      </c>
      <c r="F425" s="1165">
        <f>'7.Transport'!I75</f>
        <v>0</v>
      </c>
      <c r="G425" s="1165" t="str">
        <f>'7.Transport'!J75</f>
        <v>yes - returning empty</v>
      </c>
    </row>
    <row r="426" spans="1:7" x14ac:dyDescent="0.25">
      <c r="A426" s="1153"/>
      <c r="B426" s="1165">
        <f>'7.Transport'!E76</f>
        <v>0</v>
      </c>
      <c r="C426" s="1165" t="str">
        <f ca="1">'7.Transport'!F76</f>
        <v>[Select]</v>
      </c>
      <c r="D426" s="1165">
        <f>'7.Transport'!G76</f>
        <v>0</v>
      </c>
      <c r="E426" s="1165" t="str">
        <f ca="1">'7.Transport'!H76</f>
        <v>[Select]</v>
      </c>
      <c r="F426" s="1165">
        <f>'7.Transport'!I76</f>
        <v>0</v>
      </c>
      <c r="G426" s="1165" t="str">
        <f>'7.Transport'!J76</f>
        <v>yes - returning empty</v>
      </c>
    </row>
    <row r="428" spans="1:7" x14ac:dyDescent="0.25">
      <c r="A428" s="1167" t="s">
        <v>898</v>
      </c>
      <c r="B428" s="1165" t="s">
        <v>2061</v>
      </c>
      <c r="C428" s="1165" t="s">
        <v>2062</v>
      </c>
      <c r="D428" s="1165" t="s">
        <v>1458</v>
      </c>
      <c r="E428" s="1165" t="s">
        <v>2062</v>
      </c>
    </row>
    <row r="429" spans="1:7" x14ac:dyDescent="0.25">
      <c r="B429" s="1165">
        <f>'7.Transport'!E79</f>
        <v>0</v>
      </c>
      <c r="C429" s="1165" t="str">
        <f ca="1">'7.Transport'!F79</f>
        <v>[Select]</v>
      </c>
      <c r="D429" s="1165">
        <f>'7.Transport'!G79</f>
        <v>0</v>
      </c>
      <c r="E429" s="1165" t="str">
        <f ca="1">'7.Transport'!H79</f>
        <v>[Select]</v>
      </c>
    </row>
    <row r="430" spans="1:7" x14ac:dyDescent="0.25">
      <c r="B430" s="1165">
        <f>'7.Transport'!E80</f>
        <v>0</v>
      </c>
      <c r="C430" s="1165" t="str">
        <f ca="1">'7.Transport'!F80</f>
        <v>[Select]</v>
      </c>
      <c r="D430" s="1165">
        <f>'7.Transport'!G80</f>
        <v>0</v>
      </c>
      <c r="E430" s="1165" t="str">
        <f ca="1">'7.Transport'!H80</f>
        <v>[Select]</v>
      </c>
    </row>
    <row r="431" spans="1:7" x14ac:dyDescent="0.25">
      <c r="B431" s="1165">
        <f>'7.Transport'!E81</f>
        <v>0</v>
      </c>
      <c r="C431" s="1165" t="str">
        <f ca="1">'7.Transport'!F81</f>
        <v>[Select]</v>
      </c>
      <c r="D431" s="1165">
        <f>'7.Transport'!G81</f>
        <v>0</v>
      </c>
      <c r="E431" s="1165" t="str">
        <f ca="1">'7.Transport'!H81</f>
        <v>[Select]</v>
      </c>
    </row>
    <row r="432" spans="1:7" x14ac:dyDescent="0.25">
      <c r="B432" s="1165">
        <f>'7.Transport'!E82</f>
        <v>0</v>
      </c>
      <c r="C432" s="1165" t="str">
        <f ca="1">'7.Transport'!F82</f>
        <v>[Select]</v>
      </c>
      <c r="D432" s="1165">
        <f>'7.Transport'!G82</f>
        <v>0</v>
      </c>
      <c r="E432" s="1165" t="str">
        <f ca="1">'7.Transport'!H82</f>
        <v>[Select]</v>
      </c>
    </row>
    <row r="433" spans="2:5" x14ac:dyDescent="0.25">
      <c r="B433" s="1165">
        <f>'7.Transport'!E83</f>
        <v>0</v>
      </c>
      <c r="C433" s="1165" t="str">
        <f ca="1">'7.Transport'!F83</f>
        <v>[Select]</v>
      </c>
      <c r="D433" s="1165">
        <f>'7.Transport'!G83</f>
        <v>0</v>
      </c>
      <c r="E433" s="1165" t="str">
        <f ca="1">'7.Transport'!H83</f>
        <v>[Select]</v>
      </c>
    </row>
    <row r="434" spans="2:5" x14ac:dyDescent="0.25">
      <c r="B434" s="1165">
        <f>'7.Transport'!E84</f>
        <v>0</v>
      </c>
      <c r="C434" s="1165" t="str">
        <f ca="1">'7.Transport'!F84</f>
        <v>[Select]</v>
      </c>
      <c r="D434" s="1165">
        <f>'7.Transport'!G84</f>
        <v>0</v>
      </c>
      <c r="E434" s="1165" t="str">
        <f ca="1">'7.Transport'!H84</f>
        <v>[Select]</v>
      </c>
    </row>
    <row r="435" spans="2:5" x14ac:dyDescent="0.25">
      <c r="B435" s="1165">
        <f>'7.Transport'!E85</f>
        <v>0</v>
      </c>
      <c r="C435" s="1165" t="str">
        <f ca="1">'7.Transport'!F85</f>
        <v>[Select]</v>
      </c>
      <c r="D435" s="1165">
        <f>'7.Transport'!G85</f>
        <v>0</v>
      </c>
      <c r="E435" s="1165" t="str">
        <f ca="1">'7.Transport'!H85</f>
        <v>[Select]</v>
      </c>
    </row>
    <row r="436" spans="2:5" x14ac:dyDescent="0.25">
      <c r="B436" s="1165">
        <f>'7.Transport'!E86</f>
        <v>0</v>
      </c>
      <c r="C436" s="1165" t="str">
        <f ca="1">'7.Transport'!F86</f>
        <v>[Select]</v>
      </c>
      <c r="D436" s="1165">
        <f>'7.Transport'!G86</f>
        <v>0</v>
      </c>
      <c r="E436" s="1165" t="str">
        <f ca="1">'7.Transport'!H86</f>
        <v>[Select]</v>
      </c>
    </row>
    <row r="437" spans="2:5" x14ac:dyDescent="0.25">
      <c r="B437" s="1165">
        <f>'7.Transport'!E87</f>
        <v>0</v>
      </c>
      <c r="C437" s="1165" t="str">
        <f ca="1">'7.Transport'!F87</f>
        <v>[Select]</v>
      </c>
      <c r="D437" s="1165">
        <f>'7.Transport'!G87</f>
        <v>0</v>
      </c>
      <c r="E437" s="1165" t="str">
        <f ca="1">'7.Transport'!H87</f>
        <v>[Select]</v>
      </c>
    </row>
    <row r="438" spans="2:5" x14ac:dyDescent="0.25">
      <c r="B438" s="1165">
        <f>'7.Transport'!E88</f>
        <v>0</v>
      </c>
      <c r="C438" s="1165" t="str">
        <f ca="1">'7.Transport'!F88</f>
        <v>[Select]</v>
      </c>
      <c r="D438" s="1165">
        <f>'7.Transport'!G88</f>
        <v>0</v>
      </c>
      <c r="E438" s="1165" t="str">
        <f ca="1">'7.Transport'!H88</f>
        <v>[Select]</v>
      </c>
    </row>
    <row r="439" spans="2:5" x14ac:dyDescent="0.25">
      <c r="B439" s="1165">
        <f>'7.Transport'!E89</f>
        <v>0</v>
      </c>
      <c r="C439" s="1165" t="str">
        <f ca="1">'7.Transport'!F89</f>
        <v>[Select]</v>
      </c>
      <c r="D439" s="1165">
        <f>'7.Transport'!G89</f>
        <v>0</v>
      </c>
      <c r="E439" s="1165" t="str">
        <f ca="1">'7.Transport'!H89</f>
        <v>[Select]</v>
      </c>
    </row>
    <row r="440" spans="2:5" x14ac:dyDescent="0.25">
      <c r="B440" s="1165">
        <f>'7.Transport'!E90</f>
        <v>0</v>
      </c>
      <c r="C440" s="1165" t="str">
        <f ca="1">'7.Transport'!F90</f>
        <v>[Select]</v>
      </c>
      <c r="D440" s="1165">
        <f>'7.Transport'!G90</f>
        <v>0</v>
      </c>
      <c r="E440" s="1165" t="str">
        <f ca="1">'7.Transport'!H90</f>
        <v>[Select]</v>
      </c>
    </row>
    <row r="441" spans="2:5" x14ac:dyDescent="0.25">
      <c r="B441" s="1165">
        <f>'7.Transport'!E91</f>
        <v>0</v>
      </c>
      <c r="C441" s="1165" t="str">
        <f ca="1">'7.Transport'!F91</f>
        <v>[Select]</v>
      </c>
      <c r="D441" s="1165">
        <f>'7.Transport'!G91</f>
        <v>0</v>
      </c>
      <c r="E441" s="1165" t="str">
        <f ca="1">'7.Transport'!H91</f>
        <v>[Select]</v>
      </c>
    </row>
    <row r="442" spans="2:5" x14ac:dyDescent="0.25">
      <c r="B442" s="1165">
        <f>'7.Transport'!E92</f>
        <v>0</v>
      </c>
      <c r="C442" s="1165" t="str">
        <f ca="1">'7.Transport'!F92</f>
        <v>[Select]</v>
      </c>
      <c r="D442" s="1165">
        <f>'7.Transport'!G92</f>
        <v>0</v>
      </c>
      <c r="E442" s="1165" t="str">
        <f ca="1">'7.Transport'!H92</f>
        <v>[Select]</v>
      </c>
    </row>
    <row r="443" spans="2:5" x14ac:dyDescent="0.25">
      <c r="B443" s="1165">
        <f>'7.Transport'!E93</f>
        <v>0</v>
      </c>
      <c r="C443" s="1165" t="str">
        <f ca="1">'7.Transport'!F93</f>
        <v>[Select]</v>
      </c>
      <c r="D443" s="1165">
        <f>'7.Transport'!G93</f>
        <v>0</v>
      </c>
      <c r="E443" s="1165" t="str">
        <f ca="1">'7.Transport'!H93</f>
        <v>[Select]</v>
      </c>
    </row>
    <row r="444" spans="2:5" x14ac:dyDescent="0.25">
      <c r="B444" s="1165">
        <f>'7.Transport'!E94</f>
        <v>0</v>
      </c>
      <c r="C444" s="1165" t="str">
        <f ca="1">'7.Transport'!F94</f>
        <v>[Select]</v>
      </c>
      <c r="D444" s="1165">
        <f>'7.Transport'!G94</f>
        <v>0</v>
      </c>
      <c r="E444" s="1165" t="str">
        <f ca="1">'7.Transport'!H94</f>
        <v>[Select]</v>
      </c>
    </row>
    <row r="445" spans="2:5" x14ac:dyDescent="0.25">
      <c r="B445" s="1165">
        <f>'7.Transport'!E95</f>
        <v>0</v>
      </c>
      <c r="C445" s="1165" t="str">
        <f ca="1">'7.Transport'!F95</f>
        <v>[Select]</v>
      </c>
      <c r="D445" s="1165">
        <f>'7.Transport'!G95</f>
        <v>0</v>
      </c>
      <c r="E445" s="1165" t="str">
        <f ca="1">'7.Transport'!H95</f>
        <v>[Select]</v>
      </c>
    </row>
    <row r="446" spans="2:5" x14ac:dyDescent="0.25">
      <c r="B446" s="1165">
        <f>'7.Transport'!E96</f>
        <v>0</v>
      </c>
      <c r="C446" s="1165" t="str">
        <f ca="1">'7.Transport'!F96</f>
        <v>[Select]</v>
      </c>
      <c r="D446" s="1165">
        <f>'7.Transport'!G96</f>
        <v>0</v>
      </c>
      <c r="E446" s="1165" t="str">
        <f ca="1">'7.Transport'!H96</f>
        <v>[Select]</v>
      </c>
    </row>
    <row r="447" spans="2:5" x14ac:dyDescent="0.25">
      <c r="B447" s="1165">
        <f>'7.Transport'!E97</f>
        <v>0</v>
      </c>
      <c r="C447" s="1165" t="str">
        <f ca="1">'7.Transport'!F97</f>
        <v>[Select]</v>
      </c>
      <c r="D447" s="1165">
        <f>'7.Transport'!G97</f>
        <v>0</v>
      </c>
      <c r="E447" s="1165" t="str">
        <f ca="1">'7.Transport'!H97</f>
        <v>[Select]</v>
      </c>
    </row>
    <row r="448" spans="2:5" x14ac:dyDescent="0.25">
      <c r="B448" s="1165">
        <f>'7.Transport'!E98</f>
        <v>0</v>
      </c>
      <c r="C448" s="1165" t="str">
        <f ca="1">'7.Transport'!F98</f>
        <v>[Select]</v>
      </c>
      <c r="D448" s="1165">
        <f>'7.Transport'!G98</f>
        <v>0</v>
      </c>
      <c r="E448" s="1165" t="str">
        <f ca="1">'7.Transport'!H98</f>
        <v>[Select]</v>
      </c>
    </row>
    <row r="450" spans="1:6" x14ac:dyDescent="0.25">
      <c r="A450" s="1167" t="s">
        <v>899</v>
      </c>
      <c r="B450" s="1165" t="str">
        <f>'7.Transport'!E100</f>
        <v>quantity</v>
      </c>
      <c r="C450" s="1165" t="str">
        <f>'7.Transport'!F100</f>
        <v>unit</v>
      </c>
      <c r="D450" s="1165" t="str">
        <f>'7.Transport'!G100</f>
        <v>distance</v>
      </c>
      <c r="E450" s="1165" t="str">
        <f>'7.Transport'!H100</f>
        <v>unit</v>
      </c>
      <c r="F450" s="1165" t="str">
        <f>'7.Transport'!I100</f>
        <v>type</v>
      </c>
    </row>
    <row r="451" spans="1:6" x14ac:dyDescent="0.25">
      <c r="B451" s="1165">
        <f>'7.Transport'!E101</f>
        <v>0</v>
      </c>
      <c r="C451" s="1165" t="str">
        <f ca="1">'7.Transport'!F101</f>
        <v>[Select]</v>
      </c>
      <c r="D451" s="1165">
        <f>'7.Transport'!G101</f>
        <v>0</v>
      </c>
      <c r="E451" s="1165" t="str">
        <f ca="1">'7.Transport'!H101</f>
        <v>[Select]</v>
      </c>
      <c r="F451" s="1165" t="str">
        <f ca="1">'7.Transport'!I101</f>
        <v>Very Short Haul</v>
      </c>
    </row>
    <row r="452" spans="1:6" x14ac:dyDescent="0.25">
      <c r="B452" s="1165">
        <f>'7.Transport'!E102</f>
        <v>0</v>
      </c>
      <c r="C452" s="1165" t="str">
        <f ca="1">'7.Transport'!F102</f>
        <v>[Select]</v>
      </c>
      <c r="D452" s="1165">
        <f>'7.Transport'!G102</f>
        <v>0</v>
      </c>
      <c r="E452" s="1165" t="str">
        <f ca="1">'7.Transport'!H102</f>
        <v>[Select]</v>
      </c>
      <c r="F452" s="1165" t="str">
        <f ca="1">'7.Transport'!I102</f>
        <v>Very Short Haul</v>
      </c>
    </row>
    <row r="453" spans="1:6" x14ac:dyDescent="0.25">
      <c r="B453" s="1165">
        <f>'7.Transport'!E103</f>
        <v>0</v>
      </c>
      <c r="C453" s="1165" t="str">
        <f ca="1">'7.Transport'!F103</f>
        <v>[Select]</v>
      </c>
      <c r="D453" s="1165">
        <f>'7.Transport'!G103</f>
        <v>0</v>
      </c>
      <c r="E453" s="1165" t="str">
        <f ca="1">'7.Transport'!H103</f>
        <v>[Select]</v>
      </c>
      <c r="F453" s="1165" t="str">
        <f ca="1">'7.Transport'!I103</f>
        <v>Very Short Haul</v>
      </c>
    </row>
    <row r="454" spans="1:6" x14ac:dyDescent="0.25">
      <c r="B454" s="1165">
        <f>'7.Transport'!E104</f>
        <v>0</v>
      </c>
      <c r="C454" s="1165" t="str">
        <f ca="1">'7.Transport'!F104</f>
        <v>[Select]</v>
      </c>
      <c r="D454" s="1165">
        <f>'7.Transport'!G104</f>
        <v>0</v>
      </c>
      <c r="E454" s="1165" t="str">
        <f ca="1">'7.Transport'!H104</f>
        <v>[Select]</v>
      </c>
      <c r="F454" s="1165" t="str">
        <f ca="1">'7.Transport'!I104</f>
        <v>Very Short Haul</v>
      </c>
    </row>
    <row r="455" spans="1:6" x14ac:dyDescent="0.25">
      <c r="B455" s="1165">
        <f>'7.Transport'!E105</f>
        <v>0</v>
      </c>
      <c r="C455" s="1165" t="str">
        <f ca="1">'7.Transport'!F105</f>
        <v>[Select]</v>
      </c>
      <c r="D455" s="1165">
        <f>'7.Transport'!G105</f>
        <v>0</v>
      </c>
      <c r="E455" s="1165" t="str">
        <f ca="1">'7.Transport'!H105</f>
        <v>[Select]</v>
      </c>
      <c r="F455" s="1165" t="str">
        <f ca="1">'7.Transport'!I105</f>
        <v>Very Short Haul</v>
      </c>
    </row>
    <row r="456" spans="1:6" x14ac:dyDescent="0.25">
      <c r="B456" s="1165">
        <f>'7.Transport'!E106</f>
        <v>0</v>
      </c>
      <c r="C456" s="1165" t="str">
        <f ca="1">'7.Transport'!F106</f>
        <v>[Select]</v>
      </c>
      <c r="D456" s="1165">
        <f>'7.Transport'!G106</f>
        <v>0</v>
      </c>
      <c r="E456" s="1165" t="str">
        <f ca="1">'7.Transport'!H106</f>
        <v>[Select]</v>
      </c>
      <c r="F456" s="1165" t="str">
        <f ca="1">'7.Transport'!I106</f>
        <v>Very Short Haul</v>
      </c>
    </row>
    <row r="457" spans="1:6" x14ac:dyDescent="0.25">
      <c r="B457" s="1165">
        <f>'7.Transport'!E107</f>
        <v>0</v>
      </c>
      <c r="C457" s="1165" t="str">
        <f ca="1">'7.Transport'!F107</f>
        <v>[Select]</v>
      </c>
      <c r="D457" s="1165">
        <f>'7.Transport'!G107</f>
        <v>0</v>
      </c>
      <c r="E457" s="1165" t="str">
        <f ca="1">'7.Transport'!H107</f>
        <v>[Select]</v>
      </c>
      <c r="F457" s="1165" t="str">
        <f ca="1">'7.Transport'!I107</f>
        <v>Very Short Haul</v>
      </c>
    </row>
    <row r="458" spans="1:6" x14ac:dyDescent="0.25">
      <c r="B458" s="1165">
        <f>'7.Transport'!E108</f>
        <v>0</v>
      </c>
      <c r="C458" s="1165" t="str">
        <f ca="1">'7.Transport'!F108</f>
        <v>[Select]</v>
      </c>
      <c r="D458" s="1165">
        <f>'7.Transport'!G108</f>
        <v>0</v>
      </c>
      <c r="E458" s="1165" t="str">
        <f ca="1">'7.Transport'!H108</f>
        <v>[Select]</v>
      </c>
      <c r="F458" s="1165" t="str">
        <f ca="1">'7.Transport'!I108</f>
        <v>Very Short Haul</v>
      </c>
    </row>
    <row r="459" spans="1:6" x14ac:dyDescent="0.25">
      <c r="B459" s="1165">
        <f>'7.Transport'!E109</f>
        <v>0</v>
      </c>
      <c r="C459" s="1165" t="str">
        <f ca="1">'7.Transport'!F109</f>
        <v>[Select]</v>
      </c>
      <c r="D459" s="1165">
        <f>'7.Transport'!G109</f>
        <v>0</v>
      </c>
      <c r="E459" s="1165" t="str">
        <f ca="1">'7.Transport'!H109</f>
        <v>[Select]</v>
      </c>
      <c r="F459" s="1165" t="str">
        <f ca="1">'7.Transport'!I109</f>
        <v>Very Short Haul</v>
      </c>
    </row>
    <row r="460" spans="1:6" x14ac:dyDescent="0.25">
      <c r="B460" s="1165">
        <f>'7.Transport'!E110</f>
        <v>0</v>
      </c>
      <c r="C460" s="1165" t="str">
        <f ca="1">'7.Transport'!F110</f>
        <v>[Select]</v>
      </c>
      <c r="D460" s="1165">
        <f>'7.Transport'!G110</f>
        <v>0</v>
      </c>
      <c r="E460" s="1165" t="str">
        <f ca="1">'7.Transport'!H110</f>
        <v>[Select]</v>
      </c>
      <c r="F460" s="1165" t="str">
        <f ca="1">'7.Transport'!I110</f>
        <v>Very Short Haul</v>
      </c>
    </row>
    <row r="461" spans="1:6" x14ac:dyDescent="0.25">
      <c r="B461" s="1165">
        <f>'7.Transport'!E111</f>
        <v>0</v>
      </c>
      <c r="C461" s="1165" t="str">
        <f ca="1">'7.Transport'!F111</f>
        <v>[Select]</v>
      </c>
      <c r="D461" s="1165">
        <f>'7.Transport'!G111</f>
        <v>0</v>
      </c>
      <c r="E461" s="1165" t="str">
        <f ca="1">'7.Transport'!H111</f>
        <v>[Select]</v>
      </c>
      <c r="F461" s="1165" t="str">
        <f ca="1">'7.Transport'!I111</f>
        <v>Very Short Haul</v>
      </c>
    </row>
    <row r="462" spans="1:6" x14ac:dyDescent="0.25">
      <c r="B462" s="1165">
        <f>'7.Transport'!E112</f>
        <v>0</v>
      </c>
      <c r="C462" s="1165" t="str">
        <f ca="1">'7.Transport'!F112</f>
        <v>[Select]</v>
      </c>
      <c r="D462" s="1165">
        <f>'7.Transport'!G112</f>
        <v>0</v>
      </c>
      <c r="E462" s="1165" t="str">
        <f ca="1">'7.Transport'!H112</f>
        <v>[Select]</v>
      </c>
      <c r="F462" s="1165" t="str">
        <f ca="1">'7.Transport'!I112</f>
        <v>Very Short Haul</v>
      </c>
    </row>
    <row r="463" spans="1:6" x14ac:dyDescent="0.25">
      <c r="B463" s="1165">
        <f>'7.Transport'!E113</f>
        <v>0</v>
      </c>
      <c r="C463" s="1165" t="str">
        <f ca="1">'7.Transport'!F113</f>
        <v>[Select]</v>
      </c>
      <c r="D463" s="1165">
        <f>'7.Transport'!G113</f>
        <v>0</v>
      </c>
      <c r="E463" s="1165" t="str">
        <f ca="1">'7.Transport'!H113</f>
        <v>[Select]</v>
      </c>
      <c r="F463" s="1165" t="str">
        <f ca="1">'7.Transport'!I113</f>
        <v>Very Short Haul</v>
      </c>
    </row>
    <row r="464" spans="1:6" x14ac:dyDescent="0.25">
      <c r="B464" s="1165">
        <f>'7.Transport'!E114</f>
        <v>0</v>
      </c>
      <c r="C464" s="1165" t="str">
        <f ca="1">'7.Transport'!F114</f>
        <v>[Select]</v>
      </c>
      <c r="D464" s="1165">
        <f>'7.Transport'!G114</f>
        <v>0</v>
      </c>
      <c r="E464" s="1165" t="str">
        <f ca="1">'7.Transport'!H114</f>
        <v>[Select]</v>
      </c>
      <c r="F464" s="1165" t="str">
        <f ca="1">'7.Transport'!I114</f>
        <v>Very Short Haul</v>
      </c>
    </row>
    <row r="465" spans="1:6" x14ac:dyDescent="0.25">
      <c r="B465" s="1165">
        <f>'7.Transport'!E115</f>
        <v>0</v>
      </c>
      <c r="C465" s="1165" t="str">
        <f ca="1">'7.Transport'!F115</f>
        <v>[Select]</v>
      </c>
      <c r="D465" s="1165">
        <f>'7.Transport'!G115</f>
        <v>0</v>
      </c>
      <c r="E465" s="1165" t="str">
        <f ca="1">'7.Transport'!H115</f>
        <v>[Select]</v>
      </c>
      <c r="F465" s="1165" t="str">
        <f ca="1">'7.Transport'!I115</f>
        <v>Very Short Haul</v>
      </c>
    </row>
    <row r="466" spans="1:6" x14ac:dyDescent="0.25">
      <c r="B466" s="1165">
        <f>'7.Transport'!E116</f>
        <v>0</v>
      </c>
      <c r="C466" s="1165" t="str">
        <f ca="1">'7.Transport'!F116</f>
        <v>[Select]</v>
      </c>
      <c r="D466" s="1165">
        <f>'7.Transport'!G116</f>
        <v>0</v>
      </c>
      <c r="E466" s="1165" t="str">
        <f ca="1">'7.Transport'!H116</f>
        <v>[Select]</v>
      </c>
      <c r="F466" s="1165" t="str">
        <f ca="1">'7.Transport'!I116</f>
        <v>Very Short Haul</v>
      </c>
    </row>
    <row r="467" spans="1:6" x14ac:dyDescent="0.25">
      <c r="B467" s="1165">
        <f>'7.Transport'!E117</f>
        <v>0</v>
      </c>
      <c r="C467" s="1165" t="str">
        <f ca="1">'7.Transport'!F117</f>
        <v>[Select]</v>
      </c>
      <c r="D467" s="1165">
        <f>'7.Transport'!G117</f>
        <v>0</v>
      </c>
      <c r="E467" s="1165" t="str">
        <f ca="1">'7.Transport'!H117</f>
        <v>[Select]</v>
      </c>
      <c r="F467" s="1165" t="str">
        <f ca="1">'7.Transport'!I117</f>
        <v>Very Short Haul</v>
      </c>
    </row>
    <row r="468" spans="1:6" x14ac:dyDescent="0.25">
      <c r="B468" s="1165">
        <f>'7.Transport'!E118</f>
        <v>0</v>
      </c>
      <c r="C468" s="1165" t="str">
        <f ca="1">'7.Transport'!F118</f>
        <v>[Select]</v>
      </c>
      <c r="D468" s="1165">
        <f>'7.Transport'!G118</f>
        <v>0</v>
      </c>
      <c r="E468" s="1165" t="str">
        <f ca="1">'7.Transport'!H118</f>
        <v>[Select]</v>
      </c>
      <c r="F468" s="1165" t="str">
        <f ca="1">'7.Transport'!I118</f>
        <v>Very Short Haul</v>
      </c>
    </row>
    <row r="469" spans="1:6" x14ac:dyDescent="0.25">
      <c r="B469" s="1165">
        <f>'7.Transport'!E119</f>
        <v>0</v>
      </c>
      <c r="C469" s="1165" t="str">
        <f ca="1">'7.Transport'!F119</f>
        <v>[Select]</v>
      </c>
      <c r="D469" s="1165">
        <f>'7.Transport'!G119</f>
        <v>0</v>
      </c>
      <c r="E469" s="1165" t="str">
        <f ca="1">'7.Transport'!H119</f>
        <v>[Select]</v>
      </c>
      <c r="F469" s="1165" t="str">
        <f ca="1">'7.Transport'!I119</f>
        <v>Very Short Haul</v>
      </c>
    </row>
    <row r="470" spans="1:6" x14ac:dyDescent="0.25">
      <c r="B470" s="1165">
        <f>'7.Transport'!E120</f>
        <v>0</v>
      </c>
      <c r="C470" s="1165" t="str">
        <f ca="1">'7.Transport'!F120</f>
        <v>[Select]</v>
      </c>
      <c r="D470" s="1165">
        <f>'7.Transport'!G120</f>
        <v>0</v>
      </c>
      <c r="E470" s="1165" t="str">
        <f ca="1">'7.Transport'!H120</f>
        <v>[Select]</v>
      </c>
      <c r="F470" s="1165" t="str">
        <f ca="1">'7.Transport'!I120</f>
        <v>Very Short Haul</v>
      </c>
    </row>
    <row r="471" spans="1:6" x14ac:dyDescent="0.25">
      <c r="B471" s="1165"/>
      <c r="C471" s="1165"/>
      <c r="D471" s="1165"/>
      <c r="E471" s="1165"/>
      <c r="F471" s="1165"/>
    </row>
    <row r="472" spans="1:6" x14ac:dyDescent="0.25">
      <c r="A472" s="1167" t="s">
        <v>900</v>
      </c>
      <c r="B472" s="1165" t="str">
        <f>'7.Transport'!E122</f>
        <v>quantity</v>
      </c>
      <c r="C472" s="1165" t="str">
        <f>'7.Transport'!F122</f>
        <v>unit</v>
      </c>
      <c r="D472" s="1165" t="str">
        <f>'7.Transport'!G122</f>
        <v>distance</v>
      </c>
      <c r="E472" s="1165" t="str">
        <f>'7.Transport'!H122</f>
        <v>unit</v>
      </c>
      <c r="F472" s="1165" t="str">
        <f>'7.Transport'!I122</f>
        <v>type</v>
      </c>
    </row>
    <row r="473" spans="1:6" x14ac:dyDescent="0.25">
      <c r="A473" s="1165"/>
      <c r="B473" s="1165">
        <f>'7.Transport'!E123</f>
        <v>0</v>
      </c>
      <c r="C473" s="1165" t="str">
        <f ca="1">'7.Transport'!F123</f>
        <v>[Select]</v>
      </c>
      <c r="D473" s="1165">
        <f>'7.Transport'!G123</f>
        <v>0</v>
      </c>
      <c r="E473" s="1165" t="str">
        <f ca="1">'7.Transport'!H123</f>
        <v>[Select]</v>
      </c>
      <c r="F473" s="1165">
        <f>'7.Transport'!I123</f>
        <v>0</v>
      </c>
    </row>
    <row r="474" spans="1:6" x14ac:dyDescent="0.25">
      <c r="A474" s="1165"/>
      <c r="B474" s="1165">
        <f>'7.Transport'!E124</f>
        <v>0</v>
      </c>
      <c r="C474" s="1165" t="str">
        <f ca="1">'7.Transport'!F124</f>
        <v>[Select]</v>
      </c>
      <c r="D474" s="1165">
        <f>'7.Transport'!G124</f>
        <v>0</v>
      </c>
      <c r="E474" s="1165" t="str">
        <f ca="1">'7.Transport'!H124</f>
        <v>[Select]</v>
      </c>
      <c r="F474" s="1165">
        <f>'7.Transport'!I124</f>
        <v>0</v>
      </c>
    </row>
    <row r="475" spans="1:6" x14ac:dyDescent="0.25">
      <c r="A475" s="1165"/>
      <c r="B475" s="1165">
        <f>'7.Transport'!E125</f>
        <v>0</v>
      </c>
      <c r="C475" s="1165" t="str">
        <f ca="1">'7.Transport'!F125</f>
        <v>[Select]</v>
      </c>
      <c r="D475" s="1165">
        <f>'7.Transport'!G125</f>
        <v>0</v>
      </c>
      <c r="E475" s="1165" t="str">
        <f ca="1">'7.Transport'!H125</f>
        <v>[Select]</v>
      </c>
      <c r="F475" s="1165">
        <f>'7.Transport'!I125</f>
        <v>0</v>
      </c>
    </row>
    <row r="476" spans="1:6" x14ac:dyDescent="0.25">
      <c r="A476" s="1165"/>
      <c r="B476" s="1165">
        <f>'7.Transport'!E126</f>
        <v>0</v>
      </c>
      <c r="C476" s="1165" t="str">
        <f ca="1">'7.Transport'!F126</f>
        <v>[Select]</v>
      </c>
      <c r="D476" s="1165">
        <f>'7.Transport'!G126</f>
        <v>0</v>
      </c>
      <c r="E476" s="1165" t="str">
        <f ca="1">'7.Transport'!H126</f>
        <v>[Select]</v>
      </c>
      <c r="F476" s="1165">
        <f>'7.Transport'!I126</f>
        <v>0</v>
      </c>
    </row>
    <row r="477" spans="1:6" x14ac:dyDescent="0.25">
      <c r="A477" s="1165"/>
      <c r="B477" s="1165">
        <f>'7.Transport'!E127</f>
        <v>0</v>
      </c>
      <c r="C477" s="1165" t="str">
        <f ca="1">'7.Transport'!F127</f>
        <v>[Select]</v>
      </c>
      <c r="D477" s="1165">
        <f>'7.Transport'!G127</f>
        <v>0</v>
      </c>
      <c r="E477" s="1165" t="str">
        <f ca="1">'7.Transport'!H127</f>
        <v>[Select]</v>
      </c>
      <c r="F477" s="1165">
        <f>'7.Transport'!I127</f>
        <v>0</v>
      </c>
    </row>
    <row r="478" spans="1:6" x14ac:dyDescent="0.25">
      <c r="A478" s="1165"/>
      <c r="B478" s="1165">
        <f>'7.Transport'!E128</f>
        <v>0</v>
      </c>
      <c r="C478" s="1165" t="str">
        <f ca="1">'7.Transport'!F128</f>
        <v>[Select]</v>
      </c>
      <c r="D478" s="1165">
        <f>'7.Transport'!G128</f>
        <v>0</v>
      </c>
      <c r="E478" s="1165" t="str">
        <f ca="1">'7.Transport'!H128</f>
        <v>[Select]</v>
      </c>
      <c r="F478" s="1165">
        <f>'7.Transport'!I128</f>
        <v>0</v>
      </c>
    </row>
    <row r="479" spans="1:6" x14ac:dyDescent="0.25">
      <c r="A479" s="1165"/>
      <c r="B479" s="1165">
        <f>'7.Transport'!E129</f>
        <v>0</v>
      </c>
      <c r="C479" s="1165" t="str">
        <f ca="1">'7.Transport'!F129</f>
        <v>[Select]</v>
      </c>
      <c r="D479" s="1165">
        <f>'7.Transport'!G129</f>
        <v>0</v>
      </c>
      <c r="E479" s="1165" t="str">
        <f ca="1">'7.Transport'!H129</f>
        <v>[Select]</v>
      </c>
      <c r="F479" s="1165">
        <f>'7.Transport'!I129</f>
        <v>0</v>
      </c>
    </row>
    <row r="480" spans="1:6" x14ac:dyDescent="0.25">
      <c r="A480" s="1165"/>
      <c r="B480" s="1165">
        <f>'7.Transport'!E130</f>
        <v>0</v>
      </c>
      <c r="C480" s="1165" t="str">
        <f ca="1">'7.Transport'!F130</f>
        <v>[Select]</v>
      </c>
      <c r="D480" s="1165">
        <f>'7.Transport'!G130</f>
        <v>0</v>
      </c>
      <c r="E480" s="1165" t="str">
        <f ca="1">'7.Transport'!H130</f>
        <v>[Select]</v>
      </c>
      <c r="F480" s="1165">
        <f>'7.Transport'!I130</f>
        <v>0</v>
      </c>
    </row>
    <row r="481" spans="1:6" x14ac:dyDescent="0.25">
      <c r="A481" s="1165"/>
      <c r="B481" s="1165">
        <f>'7.Transport'!E131</f>
        <v>0</v>
      </c>
      <c r="C481" s="1165" t="str">
        <f ca="1">'7.Transport'!F131</f>
        <v>[Select]</v>
      </c>
      <c r="D481" s="1165">
        <f>'7.Transport'!G131</f>
        <v>0</v>
      </c>
      <c r="E481" s="1165" t="str">
        <f ca="1">'7.Transport'!H131</f>
        <v>[Select]</v>
      </c>
      <c r="F481" s="1165">
        <f>'7.Transport'!I131</f>
        <v>0</v>
      </c>
    </row>
    <row r="482" spans="1:6" x14ac:dyDescent="0.25">
      <c r="A482" s="1165"/>
      <c r="B482" s="1165">
        <f>'7.Transport'!E132</f>
        <v>0</v>
      </c>
      <c r="C482" s="1165" t="str">
        <f ca="1">'7.Transport'!F132</f>
        <v>[Select]</v>
      </c>
      <c r="D482" s="1165">
        <f>'7.Transport'!G132</f>
        <v>0</v>
      </c>
      <c r="E482" s="1165" t="str">
        <f ca="1">'7.Transport'!H132</f>
        <v>[Select]</v>
      </c>
      <c r="F482" s="1165">
        <f>'7.Transport'!I132</f>
        <v>0</v>
      </c>
    </row>
    <row r="483" spans="1:6" x14ac:dyDescent="0.25">
      <c r="A483" s="1165"/>
      <c r="B483" s="1165">
        <f>'7.Transport'!E133</f>
        <v>0</v>
      </c>
      <c r="C483" s="1165" t="str">
        <f ca="1">'7.Transport'!F133</f>
        <v>[Select]</v>
      </c>
      <c r="D483" s="1165">
        <f>'7.Transport'!G133</f>
        <v>0</v>
      </c>
      <c r="E483" s="1165" t="str">
        <f ca="1">'7.Transport'!H133</f>
        <v>[Select]</v>
      </c>
      <c r="F483" s="1165">
        <f>'7.Transport'!I133</f>
        <v>0</v>
      </c>
    </row>
    <row r="484" spans="1:6" x14ac:dyDescent="0.25">
      <c r="A484" s="1165"/>
      <c r="B484" s="1165">
        <f>'7.Transport'!E134</f>
        <v>0</v>
      </c>
      <c r="C484" s="1165" t="str">
        <f ca="1">'7.Transport'!F134</f>
        <v>[Select]</v>
      </c>
      <c r="D484" s="1165">
        <f>'7.Transport'!G134</f>
        <v>0</v>
      </c>
      <c r="E484" s="1165" t="str">
        <f ca="1">'7.Transport'!H134</f>
        <v>[Select]</v>
      </c>
      <c r="F484" s="1165">
        <f>'7.Transport'!I134</f>
        <v>0</v>
      </c>
    </row>
    <row r="485" spans="1:6" x14ac:dyDescent="0.25">
      <c r="A485" s="1165"/>
      <c r="B485" s="1165">
        <f>'7.Transport'!E135</f>
        <v>0</v>
      </c>
      <c r="C485" s="1165" t="str">
        <f ca="1">'7.Transport'!F135</f>
        <v>[Select]</v>
      </c>
      <c r="D485" s="1165">
        <f>'7.Transport'!G135</f>
        <v>0</v>
      </c>
      <c r="E485" s="1165" t="str">
        <f ca="1">'7.Transport'!H135</f>
        <v>[Select]</v>
      </c>
      <c r="F485" s="1165">
        <f>'7.Transport'!I135</f>
        <v>0</v>
      </c>
    </row>
    <row r="486" spans="1:6" x14ac:dyDescent="0.25">
      <c r="A486" s="1165"/>
      <c r="B486" s="1165">
        <f>'7.Transport'!E136</f>
        <v>0</v>
      </c>
      <c r="C486" s="1165" t="str">
        <f ca="1">'7.Transport'!F136</f>
        <v>[Select]</v>
      </c>
      <c r="D486" s="1165">
        <f>'7.Transport'!G136</f>
        <v>0</v>
      </c>
      <c r="E486" s="1165" t="str">
        <f ca="1">'7.Transport'!H136</f>
        <v>[Select]</v>
      </c>
      <c r="F486" s="1165">
        <f>'7.Transport'!I136</f>
        <v>0</v>
      </c>
    </row>
    <row r="487" spans="1:6" x14ac:dyDescent="0.25">
      <c r="A487" s="1165"/>
      <c r="B487" s="1165">
        <f>'7.Transport'!E137</f>
        <v>0</v>
      </c>
      <c r="C487" s="1165" t="str">
        <f ca="1">'7.Transport'!F137</f>
        <v>[Select]</v>
      </c>
      <c r="D487" s="1165">
        <f>'7.Transport'!G137</f>
        <v>0</v>
      </c>
      <c r="E487" s="1165" t="str">
        <f ca="1">'7.Transport'!H137</f>
        <v>[Select]</v>
      </c>
      <c r="F487" s="1165">
        <f>'7.Transport'!I137</f>
        <v>0</v>
      </c>
    </row>
    <row r="488" spans="1:6" x14ac:dyDescent="0.25">
      <c r="A488" s="1165"/>
      <c r="B488" s="1165">
        <f>'7.Transport'!E138</f>
        <v>0</v>
      </c>
      <c r="C488" s="1165" t="str">
        <f ca="1">'7.Transport'!F138</f>
        <v>[Select]</v>
      </c>
      <c r="D488" s="1165">
        <f>'7.Transport'!G138</f>
        <v>0</v>
      </c>
      <c r="E488" s="1165" t="str">
        <f ca="1">'7.Transport'!H138</f>
        <v>[Select]</v>
      </c>
      <c r="F488" s="1165">
        <f>'7.Transport'!I138</f>
        <v>0</v>
      </c>
    </row>
    <row r="489" spans="1:6" x14ac:dyDescent="0.25">
      <c r="A489" s="1165"/>
      <c r="B489" s="1165">
        <f>'7.Transport'!E139</f>
        <v>0</v>
      </c>
      <c r="C489" s="1165" t="str">
        <f ca="1">'7.Transport'!F139</f>
        <v>[Select]</v>
      </c>
      <c r="D489" s="1165">
        <f>'7.Transport'!G139</f>
        <v>0</v>
      </c>
      <c r="E489" s="1165" t="str">
        <f ca="1">'7.Transport'!H139</f>
        <v>[Select]</v>
      </c>
      <c r="F489" s="1165">
        <f>'7.Transport'!I139</f>
        <v>0</v>
      </c>
    </row>
    <row r="490" spans="1:6" x14ac:dyDescent="0.25">
      <c r="A490" s="1165"/>
      <c r="B490" s="1165">
        <f>'7.Transport'!E140</f>
        <v>0</v>
      </c>
      <c r="C490" s="1165" t="str">
        <f ca="1">'7.Transport'!F140</f>
        <v>[Select]</v>
      </c>
      <c r="D490" s="1165">
        <f>'7.Transport'!G140</f>
        <v>0</v>
      </c>
      <c r="E490" s="1165" t="str">
        <f ca="1">'7.Transport'!H140</f>
        <v>[Select]</v>
      </c>
      <c r="F490" s="1165">
        <f>'7.Transport'!I140</f>
        <v>0</v>
      </c>
    </row>
    <row r="491" spans="1:6" x14ac:dyDescent="0.25">
      <c r="A491" s="1165"/>
      <c r="B491" s="1165">
        <f>'7.Transport'!E141</f>
        <v>0</v>
      </c>
      <c r="C491" s="1165" t="str">
        <f ca="1">'7.Transport'!F141</f>
        <v>[Select]</v>
      </c>
      <c r="D491" s="1165">
        <f>'7.Transport'!G141</f>
        <v>0</v>
      </c>
      <c r="E491" s="1165" t="str">
        <f ca="1">'7.Transport'!H141</f>
        <v>[Select]</v>
      </c>
      <c r="F491" s="1165">
        <f>'7.Transport'!I141</f>
        <v>0</v>
      </c>
    </row>
    <row r="492" spans="1:6" x14ac:dyDescent="0.25">
      <c r="A492" s="1165"/>
      <c r="B492" s="1165">
        <f>'7.Transport'!E142</f>
        <v>0</v>
      </c>
      <c r="C492" s="1165" t="str">
        <f ca="1">'7.Transport'!F142</f>
        <v>[Select]</v>
      </c>
      <c r="D492" s="1165">
        <f>'7.Transport'!G142</f>
        <v>0</v>
      </c>
      <c r="E492" s="1165" t="str">
        <f ca="1">'7.Transport'!H142</f>
        <v>[Select]</v>
      </c>
      <c r="F492" s="1165">
        <f>'7.Transport'!I142</f>
        <v>0</v>
      </c>
    </row>
    <row r="494" spans="1:6" ht="63.4" x14ac:dyDescent="0.25">
      <c r="A494" s="1268" t="s">
        <v>596</v>
      </c>
      <c r="B494" s="1266" t="s">
        <v>1079</v>
      </c>
      <c r="C494" s="1267" t="str">
        <f>'8a.CoProductResults'!C46:G46</f>
        <v>(Type over this message to enter which materials you have included in this section.)</v>
      </c>
    </row>
    <row r="495" spans="1:6" x14ac:dyDescent="0.25">
      <c r="A495" s="1269"/>
      <c r="B495" s="1270" t="s">
        <v>956</v>
      </c>
      <c r="C495" s="1269">
        <f ca="1">'8a.CoProductResults'!D27</f>
        <v>11498.391043009711</v>
      </c>
    </row>
    <row r="496" spans="1:6" x14ac:dyDescent="0.25">
      <c r="A496" s="1266"/>
      <c r="B496" s="2243" t="s">
        <v>957</v>
      </c>
      <c r="C496" s="1272">
        <f ca="1">'8a.CoProductResults'!E27</f>
        <v>3.994962566793518</v>
      </c>
    </row>
    <row r="497" spans="1:5" x14ac:dyDescent="0.25">
      <c r="A497" s="1266"/>
      <c r="B497" s="2244" t="s">
        <v>958</v>
      </c>
      <c r="C497" s="1272">
        <f ca="1">'8a.CoProductResults'!F27</f>
        <v>0</v>
      </c>
    </row>
    <row r="498" spans="1:5" x14ac:dyDescent="0.25">
      <c r="A498" s="1266"/>
      <c r="B498" s="1269" t="s">
        <v>961</v>
      </c>
      <c r="C498" s="1272">
        <f ca="1">'8a.CoProductResults'!G27</f>
        <v>12680.899962780592</v>
      </c>
    </row>
    <row r="499" spans="1:5" x14ac:dyDescent="0.25">
      <c r="A499" s="1266"/>
      <c r="B499" s="1269" t="s">
        <v>962</v>
      </c>
      <c r="C499" s="1272">
        <f ca="1">'8a.CoProductResults'!H27</f>
        <v>1761.236105941749</v>
      </c>
    </row>
    <row r="500" spans="1:5" x14ac:dyDescent="0.25">
      <c r="A500" s="1266"/>
      <c r="B500" s="1269" t="s">
        <v>963</v>
      </c>
      <c r="C500" s="1272">
        <f ca="1">'8a.CoProductResults'!I27</f>
        <v>204.79489603973823</v>
      </c>
    </row>
    <row r="501" spans="1:5" x14ac:dyDescent="0.25">
      <c r="A501" s="1266"/>
      <c r="B501" s="1269" t="s">
        <v>964</v>
      </c>
      <c r="C501" s="1272" t="str">
        <f>'8a.CoProductResults'!J27</f>
        <v/>
      </c>
    </row>
    <row r="503" spans="1:5" ht="38.049999999999997" x14ac:dyDescent="0.25">
      <c r="A503" s="1145" t="s">
        <v>2024</v>
      </c>
      <c r="C503" s="1153" t="s">
        <v>597</v>
      </c>
      <c r="D503" s="1154" t="s">
        <v>598</v>
      </c>
      <c r="E503" s="1154" t="s">
        <v>599</v>
      </c>
    </row>
    <row r="504" spans="1:5" x14ac:dyDescent="0.25">
      <c r="A504" s="1576" t="s">
        <v>501</v>
      </c>
      <c r="B504" s="1154">
        <f>'1.GeneralInfo'!J12</f>
        <v>0</v>
      </c>
      <c r="C504" s="1154">
        <f>'1.GeneralInfo'!K12</f>
        <v>0</v>
      </c>
      <c r="D504" s="1154" t="str">
        <f>'1.GeneralInfo'!M12</f>
        <v/>
      </c>
      <c r="E504" s="1153" t="str">
        <f>'1.GeneralInfo'!N12</f>
        <v/>
      </c>
    </row>
    <row r="505" spans="1:5" x14ac:dyDescent="0.25">
      <c r="A505" s="1577" t="s">
        <v>502</v>
      </c>
      <c r="B505" s="1154">
        <f>'1.GeneralInfo'!J13</f>
        <v>0</v>
      </c>
      <c r="C505" s="1154">
        <f>'1.GeneralInfo'!K13</f>
        <v>0</v>
      </c>
      <c r="D505" s="1154" t="str">
        <f>'1.GeneralInfo'!M13</f>
        <v/>
      </c>
      <c r="E505" s="1153" t="str">
        <f>'1.GeneralInfo'!N13</f>
        <v/>
      </c>
    </row>
    <row r="506" spans="1:5" x14ac:dyDescent="0.25">
      <c r="A506" s="1577" t="s">
        <v>503</v>
      </c>
      <c r="B506" s="1154">
        <f>'1.GeneralInfo'!J14</f>
        <v>0</v>
      </c>
      <c r="C506" s="1154">
        <f>'1.GeneralInfo'!K14</f>
        <v>0</v>
      </c>
      <c r="D506" s="1154" t="str">
        <f>'1.GeneralInfo'!M14</f>
        <v/>
      </c>
      <c r="E506" s="1153" t="str">
        <f>'1.GeneralInfo'!N14</f>
        <v/>
      </c>
    </row>
    <row r="507" spans="1:5" x14ac:dyDescent="0.25">
      <c r="A507" s="1577" t="s">
        <v>1722</v>
      </c>
      <c r="B507" s="1154">
        <f>'1.GeneralInfo'!J15</f>
        <v>0</v>
      </c>
      <c r="C507" s="1154">
        <f>'1.GeneralInfo'!K15</f>
        <v>0</v>
      </c>
      <c r="D507" s="1154" t="str">
        <f>'1.GeneralInfo'!M15</f>
        <v/>
      </c>
      <c r="E507" s="1153" t="str">
        <f>'1.GeneralInfo'!N15</f>
        <v/>
      </c>
    </row>
  </sheetData>
  <mergeCells count="1">
    <mergeCell ref="B303:B341"/>
  </mergeCells>
  <phoneticPr fontId="67" type="noConversion"/>
  <hyperlinks>
    <hyperlink ref="B29" location="'Export%20(2)'!B355" display="See additions for Rice at end" xr:uid="{00000000-0004-0000-1000-000000000000}"/>
    <hyperlink ref="B73" location="'Export%20(2)'!B360" display="See additions for management changes" xr:uid="{00000000-0004-0000-1000-000001000000}"/>
    <hyperlink ref="B288" location="'Export%20(2)'!B70" display="Management Changes" xr:uid="{00000000-0004-0000-1000-000002000000}"/>
    <hyperlink ref="A294" location="'Export%20(2)'!A101" display="Livestock Input" xr:uid="{00000000-0004-0000-1000-000003000000}"/>
  </hyperlinks>
  <pageMargins left="0.75" right="0.75" top="1" bottom="1" header="0.5" footer="0.5"/>
  <pageSetup orientation="landscape" horizontalDpi="4294967292" verticalDpi="4294967292"/>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P507"/>
  <sheetViews>
    <sheetView workbookViewId="0">
      <selection activeCell="L16" sqref="L16"/>
    </sheetView>
  </sheetViews>
  <sheetFormatPr defaultColWidth="8.77734375" defaultRowHeight="12.7" x14ac:dyDescent="0.25"/>
  <sheetData>
    <row r="1" spans="1:4" x14ac:dyDescent="0.25">
      <c r="A1" t="s">
        <v>1178</v>
      </c>
    </row>
    <row r="2" spans="1:4" x14ac:dyDescent="0.25">
      <c r="B2" t="s">
        <v>1179</v>
      </c>
      <c r="C2" t="s">
        <v>906</v>
      </c>
      <c r="D2" t="s">
        <v>1011</v>
      </c>
    </row>
    <row r="3" spans="1:4" x14ac:dyDescent="0.25">
      <c r="B3" t="s">
        <v>1790</v>
      </c>
      <c r="C3" t="s">
        <v>653</v>
      </c>
    </row>
    <row r="4" spans="1:4" x14ac:dyDescent="0.25">
      <c r="B4" t="s">
        <v>1791</v>
      </c>
      <c r="C4" t="s">
        <v>654</v>
      </c>
    </row>
    <row r="5" spans="1:4" x14ac:dyDescent="0.25">
      <c r="B5" t="s">
        <v>1180</v>
      </c>
      <c r="C5" t="s">
        <v>655</v>
      </c>
    </row>
    <row r="6" spans="1:4" x14ac:dyDescent="0.25">
      <c r="B6" t="s">
        <v>1429</v>
      </c>
    </row>
    <row r="7" spans="1:4" x14ac:dyDescent="0.25">
      <c r="B7" t="s">
        <v>933</v>
      </c>
      <c r="C7" t="s">
        <v>656</v>
      </c>
    </row>
    <row r="8" spans="1:4" x14ac:dyDescent="0.25">
      <c r="B8" t="s">
        <v>711</v>
      </c>
      <c r="C8" t="s">
        <v>657</v>
      </c>
    </row>
    <row r="9" spans="1:4" x14ac:dyDescent="0.25">
      <c r="B9" t="s">
        <v>1262</v>
      </c>
      <c r="C9" t="s">
        <v>658</v>
      </c>
    </row>
    <row r="10" spans="1:4" x14ac:dyDescent="0.25">
      <c r="B10" t="s">
        <v>710</v>
      </c>
      <c r="C10" t="s">
        <v>659</v>
      </c>
    </row>
    <row r="13" spans="1:4" x14ac:dyDescent="0.25">
      <c r="B13" t="s">
        <v>1085</v>
      </c>
    </row>
    <row r="14" spans="1:4" x14ac:dyDescent="0.25">
      <c r="B14" t="s">
        <v>1086</v>
      </c>
    </row>
    <row r="15" spans="1:4" x14ac:dyDescent="0.25">
      <c r="B15" t="s">
        <v>1087</v>
      </c>
    </row>
    <row r="18" spans="2:10" x14ac:dyDescent="0.25">
      <c r="B18" t="s">
        <v>849</v>
      </c>
      <c r="C18" t="s">
        <v>660</v>
      </c>
      <c r="D18" s="60" t="s">
        <v>1946</v>
      </c>
    </row>
    <row r="19" spans="2:10" x14ac:dyDescent="0.25">
      <c r="B19" t="s">
        <v>70</v>
      </c>
    </row>
    <row r="21" spans="2:10" x14ac:dyDescent="0.25">
      <c r="B21" t="s">
        <v>1088</v>
      </c>
    </row>
    <row r="23" spans="2:10" x14ac:dyDescent="0.25">
      <c r="B23" t="s">
        <v>850</v>
      </c>
      <c r="C23" t="s">
        <v>417</v>
      </c>
    </row>
    <row r="24" spans="2:10" x14ac:dyDescent="0.25">
      <c r="B24" t="s">
        <v>851</v>
      </c>
      <c r="C24" t="s">
        <v>418</v>
      </c>
    </row>
    <row r="25" spans="2:10" x14ac:dyDescent="0.25">
      <c r="B25" t="s">
        <v>1896</v>
      </c>
      <c r="C25" t="s">
        <v>419</v>
      </c>
    </row>
    <row r="26" spans="2:10" x14ac:dyDescent="0.25">
      <c r="B26" t="s">
        <v>531</v>
      </c>
    </row>
    <row r="27" spans="2:10" x14ac:dyDescent="0.25">
      <c r="B27" t="s">
        <v>887</v>
      </c>
      <c r="C27" t="s">
        <v>420</v>
      </c>
    </row>
    <row r="28" spans="2:10" x14ac:dyDescent="0.25">
      <c r="B28" t="s">
        <v>852</v>
      </c>
      <c r="C28" t="s">
        <v>421</v>
      </c>
    </row>
    <row r="29" spans="2:10" x14ac:dyDescent="0.25">
      <c r="B29" t="s">
        <v>469</v>
      </c>
    </row>
    <row r="31" spans="2:10" x14ac:dyDescent="0.25">
      <c r="D31" t="s">
        <v>649</v>
      </c>
      <c r="E31" t="s">
        <v>1129</v>
      </c>
      <c r="F31" t="s">
        <v>1263</v>
      </c>
      <c r="G31" t="s">
        <v>682</v>
      </c>
      <c r="H31" t="s">
        <v>1104</v>
      </c>
      <c r="I31" t="s">
        <v>218</v>
      </c>
      <c r="J31" t="s">
        <v>1433</v>
      </c>
    </row>
    <row r="32" spans="2:10" x14ac:dyDescent="0.25">
      <c r="B32" t="s">
        <v>815</v>
      </c>
      <c r="C32" t="s">
        <v>470</v>
      </c>
      <c r="E32">
        <v>0</v>
      </c>
      <c r="F32">
        <v>0</v>
      </c>
      <c r="H32">
        <v>0</v>
      </c>
      <c r="I32" t="s">
        <v>228</v>
      </c>
      <c r="J32" t="s">
        <v>1219</v>
      </c>
    </row>
    <row r="33" spans="2:10" x14ac:dyDescent="0.25">
      <c r="B33" t="s">
        <v>816</v>
      </c>
      <c r="C33" t="s">
        <v>471</v>
      </c>
      <c r="E33">
        <v>0</v>
      </c>
      <c r="F33">
        <v>0</v>
      </c>
      <c r="H33">
        <v>0</v>
      </c>
      <c r="I33" t="s">
        <v>228</v>
      </c>
      <c r="J33" t="s">
        <v>1219</v>
      </c>
    </row>
    <row r="34" spans="2:10" x14ac:dyDescent="0.25">
      <c r="B34" t="s">
        <v>817</v>
      </c>
      <c r="C34" t="s">
        <v>472</v>
      </c>
      <c r="E34">
        <v>0</v>
      </c>
      <c r="F34">
        <v>0</v>
      </c>
      <c r="H34">
        <v>0</v>
      </c>
      <c r="I34" t="s">
        <v>228</v>
      </c>
      <c r="J34" t="s">
        <v>1219</v>
      </c>
    </row>
    <row r="35" spans="2:10" x14ac:dyDescent="0.25">
      <c r="B35" t="s">
        <v>818</v>
      </c>
      <c r="C35" t="s">
        <v>473</v>
      </c>
      <c r="E35">
        <v>0</v>
      </c>
      <c r="F35">
        <v>0</v>
      </c>
      <c r="H35">
        <v>0</v>
      </c>
      <c r="I35" t="s">
        <v>228</v>
      </c>
      <c r="J35" t="s">
        <v>1219</v>
      </c>
    </row>
    <row r="36" spans="2:10" x14ac:dyDescent="0.25">
      <c r="B36" t="s">
        <v>819</v>
      </c>
      <c r="C36" t="s">
        <v>474</v>
      </c>
      <c r="E36">
        <v>0</v>
      </c>
      <c r="F36">
        <v>0</v>
      </c>
      <c r="H36">
        <v>0</v>
      </c>
      <c r="I36" t="s">
        <v>228</v>
      </c>
      <c r="J36" t="s">
        <v>1219</v>
      </c>
    </row>
    <row r="37" spans="2:10" x14ac:dyDescent="0.25">
      <c r="B37" t="s">
        <v>820</v>
      </c>
      <c r="C37" t="s">
        <v>475</v>
      </c>
      <c r="E37">
        <v>0</v>
      </c>
      <c r="F37">
        <v>0</v>
      </c>
      <c r="H37">
        <v>0</v>
      </c>
      <c r="I37" t="s">
        <v>228</v>
      </c>
      <c r="J37" t="s">
        <v>1219</v>
      </c>
    </row>
    <row r="43" spans="2:10" x14ac:dyDescent="0.25">
      <c r="B43" t="s">
        <v>713</v>
      </c>
    </row>
    <row r="44" spans="2:10" x14ac:dyDescent="0.25">
      <c r="B44" t="s">
        <v>681</v>
      </c>
      <c r="C44" t="s">
        <v>476</v>
      </c>
      <c r="D44">
        <v>0</v>
      </c>
    </row>
    <row r="47" spans="2:10" x14ac:dyDescent="0.25">
      <c r="E47" t="s">
        <v>1264</v>
      </c>
      <c r="F47" t="s">
        <v>1299</v>
      </c>
    </row>
    <row r="48" spans="2:10" x14ac:dyDescent="0.25">
      <c r="B48" t="s">
        <v>356</v>
      </c>
    </row>
    <row r="49" spans="1:8" x14ac:dyDescent="0.25">
      <c r="B49" t="s">
        <v>357</v>
      </c>
      <c r="D49" s="60"/>
    </row>
    <row r="50" spans="1:8" x14ac:dyDescent="0.25">
      <c r="B50" t="s">
        <v>284</v>
      </c>
      <c r="D50" t="s">
        <v>1383</v>
      </c>
    </row>
    <row r="52" spans="1:8" x14ac:dyDescent="0.25">
      <c r="A52" t="s">
        <v>1089</v>
      </c>
      <c r="D52" t="s">
        <v>1090</v>
      </c>
      <c r="E52" t="s">
        <v>774</v>
      </c>
      <c r="F52" t="s">
        <v>2072</v>
      </c>
      <c r="G52" t="s">
        <v>2073</v>
      </c>
      <c r="H52" t="s">
        <v>1091</v>
      </c>
    </row>
    <row r="53" spans="1:8" x14ac:dyDescent="0.25">
      <c r="B53" t="s">
        <v>814</v>
      </c>
    </row>
    <row r="54" spans="1:8" x14ac:dyDescent="0.25">
      <c r="B54" t="s">
        <v>1433</v>
      </c>
    </row>
    <row r="55" spans="1:8" x14ac:dyDescent="0.25">
      <c r="B55" t="s">
        <v>1809</v>
      </c>
    </row>
    <row r="56" spans="1:8" x14ac:dyDescent="0.25">
      <c r="B56" t="s">
        <v>481</v>
      </c>
    </row>
    <row r="57" spans="1:8" x14ac:dyDescent="0.25">
      <c r="B57" t="s">
        <v>355</v>
      </c>
    </row>
    <row r="58" spans="1:8" x14ac:dyDescent="0.25">
      <c r="B58" t="s">
        <v>1401</v>
      </c>
    </row>
    <row r="59" spans="1:8" x14ac:dyDescent="0.25">
      <c r="B59" t="s">
        <v>684</v>
      </c>
    </row>
    <row r="60" spans="1:8" x14ac:dyDescent="0.25">
      <c r="A60" t="s">
        <v>1092</v>
      </c>
    </row>
    <row r="61" spans="1:8" x14ac:dyDescent="0.25">
      <c r="B61" t="s">
        <v>1667</v>
      </c>
      <c r="D61" t="s">
        <v>1138</v>
      </c>
    </row>
    <row r="62" spans="1:8" x14ac:dyDescent="0.25">
      <c r="B62" t="s">
        <v>1093</v>
      </c>
      <c r="D62">
        <v>0</v>
      </c>
    </row>
    <row r="63" spans="1:8" x14ac:dyDescent="0.25">
      <c r="B63" t="s">
        <v>1094</v>
      </c>
      <c r="D63">
        <v>0</v>
      </c>
    </row>
    <row r="64" spans="1:8" x14ac:dyDescent="0.25">
      <c r="B64" t="s">
        <v>1619</v>
      </c>
      <c r="D64" t="s">
        <v>1550</v>
      </c>
    </row>
    <row r="65" spans="1:10" x14ac:dyDescent="0.25">
      <c r="B65" t="s">
        <v>1095</v>
      </c>
      <c r="D65">
        <v>0</v>
      </c>
    </row>
    <row r="66" spans="1:10" x14ac:dyDescent="0.25">
      <c r="B66" t="s">
        <v>1620</v>
      </c>
      <c r="D66" t="s">
        <v>1550</v>
      </c>
    </row>
    <row r="67" spans="1:10" x14ac:dyDescent="0.25">
      <c r="B67" t="s">
        <v>482</v>
      </c>
      <c r="D67">
        <v>0</v>
      </c>
    </row>
    <row r="70" spans="1:10" x14ac:dyDescent="0.25">
      <c r="A70" t="s">
        <v>714</v>
      </c>
      <c r="D70" t="s">
        <v>483</v>
      </c>
      <c r="E70" t="s">
        <v>593</v>
      </c>
      <c r="F70" t="s">
        <v>594</v>
      </c>
    </row>
    <row r="71" spans="1:10" x14ac:dyDescent="0.25">
      <c r="B71" t="s">
        <v>484</v>
      </c>
      <c r="D71" t="s">
        <v>1555</v>
      </c>
      <c r="E71">
        <v>0</v>
      </c>
      <c r="F71">
        <v>0</v>
      </c>
    </row>
    <row r="72" spans="1:10" x14ac:dyDescent="0.25">
      <c r="B72" t="s">
        <v>485</v>
      </c>
    </row>
    <row r="73" spans="1:10" x14ac:dyDescent="0.25">
      <c r="B73" t="s">
        <v>1916</v>
      </c>
    </row>
    <row r="75" spans="1:10" x14ac:dyDescent="0.25">
      <c r="D75" t="s">
        <v>1798</v>
      </c>
      <c r="E75" t="s">
        <v>1237</v>
      </c>
      <c r="G75" t="s">
        <v>11</v>
      </c>
      <c r="H75" t="s">
        <v>1238</v>
      </c>
      <c r="I75" t="s">
        <v>493</v>
      </c>
      <c r="J75" t="s">
        <v>321</v>
      </c>
    </row>
    <row r="76" spans="1:10" x14ac:dyDescent="0.25">
      <c r="B76" t="s">
        <v>315</v>
      </c>
      <c r="D76" t="s">
        <v>1550</v>
      </c>
      <c r="E76">
        <v>0</v>
      </c>
      <c r="G76">
        <v>0</v>
      </c>
      <c r="I76" t="s">
        <v>643</v>
      </c>
      <c r="J76">
        <v>0</v>
      </c>
    </row>
    <row r="77" spans="1:10" x14ac:dyDescent="0.25">
      <c r="B77" t="s">
        <v>1681</v>
      </c>
      <c r="D77" t="s">
        <v>1550</v>
      </c>
      <c r="E77">
        <v>0</v>
      </c>
      <c r="G77">
        <v>0</v>
      </c>
      <c r="I77" t="s">
        <v>643</v>
      </c>
      <c r="J77">
        <v>0</v>
      </c>
    </row>
    <row r="78" spans="1:10" x14ac:dyDescent="0.25">
      <c r="B78" t="s">
        <v>1682</v>
      </c>
      <c r="D78" t="s">
        <v>1550</v>
      </c>
      <c r="E78">
        <v>0</v>
      </c>
      <c r="G78">
        <v>0</v>
      </c>
      <c r="I78" t="s">
        <v>643</v>
      </c>
      <c r="J78">
        <v>0</v>
      </c>
    </row>
    <row r="79" spans="1:10" x14ac:dyDescent="0.25">
      <c r="B79" t="s">
        <v>1545</v>
      </c>
      <c r="D79" t="s">
        <v>1550</v>
      </c>
      <c r="E79">
        <v>0</v>
      </c>
      <c r="G79">
        <v>0</v>
      </c>
      <c r="I79" t="s">
        <v>643</v>
      </c>
      <c r="J79">
        <v>0</v>
      </c>
    </row>
    <row r="80" spans="1:10" x14ac:dyDescent="0.25">
      <c r="B80" t="s">
        <v>1424</v>
      </c>
      <c r="D80" t="s">
        <v>1550</v>
      </c>
      <c r="E80">
        <v>0</v>
      </c>
      <c r="G80">
        <v>0</v>
      </c>
      <c r="I80" t="s">
        <v>643</v>
      </c>
      <c r="J80">
        <v>0</v>
      </c>
    </row>
    <row r="81" spans="1:10" x14ac:dyDescent="0.25">
      <c r="B81" t="s">
        <v>1995</v>
      </c>
      <c r="D81" t="s">
        <v>1550</v>
      </c>
      <c r="E81">
        <v>0</v>
      </c>
      <c r="G81">
        <v>0</v>
      </c>
      <c r="I81" t="s">
        <v>643</v>
      </c>
      <c r="J81">
        <v>0</v>
      </c>
    </row>
    <row r="82" spans="1:10" x14ac:dyDescent="0.25">
      <c r="B82" t="s">
        <v>1819</v>
      </c>
      <c r="D82" t="s">
        <v>1550</v>
      </c>
      <c r="E82">
        <v>0</v>
      </c>
      <c r="G82">
        <v>0</v>
      </c>
      <c r="I82" t="s">
        <v>643</v>
      </c>
      <c r="J82">
        <v>0</v>
      </c>
    </row>
    <row r="83" spans="1:10" x14ac:dyDescent="0.25">
      <c r="B83" t="s">
        <v>1820</v>
      </c>
      <c r="D83" t="s">
        <v>1550</v>
      </c>
      <c r="E83">
        <v>0</v>
      </c>
      <c r="G83">
        <v>0</v>
      </c>
      <c r="I83" t="s">
        <v>643</v>
      </c>
      <c r="J83">
        <v>0</v>
      </c>
    </row>
    <row r="84" spans="1:10" x14ac:dyDescent="0.25">
      <c r="B84" t="s">
        <v>1821</v>
      </c>
      <c r="D84" t="s">
        <v>1550</v>
      </c>
      <c r="E84">
        <v>0</v>
      </c>
      <c r="G84">
        <v>0</v>
      </c>
      <c r="I84" t="s">
        <v>643</v>
      </c>
      <c r="J84">
        <v>0</v>
      </c>
    </row>
    <row r="85" spans="1:10" x14ac:dyDescent="0.25">
      <c r="B85" t="s">
        <v>1822</v>
      </c>
      <c r="D85" t="s">
        <v>1550</v>
      </c>
      <c r="E85">
        <v>0</v>
      </c>
      <c r="G85">
        <v>0</v>
      </c>
      <c r="I85" t="s">
        <v>643</v>
      </c>
      <c r="J85">
        <v>0</v>
      </c>
    </row>
    <row r="88" spans="1:10" x14ac:dyDescent="0.25">
      <c r="A88" t="s">
        <v>1096</v>
      </c>
    </row>
    <row r="89" spans="1:10" x14ac:dyDescent="0.25">
      <c r="B89" t="s">
        <v>1097</v>
      </c>
      <c r="C89" t="s">
        <v>1479</v>
      </c>
    </row>
    <row r="90" spans="1:10" x14ac:dyDescent="0.25">
      <c r="B90" t="s">
        <v>316</v>
      </c>
      <c r="C90">
        <v>0</v>
      </c>
    </row>
    <row r="91" spans="1:10" x14ac:dyDescent="0.25">
      <c r="B91" t="s">
        <v>317</v>
      </c>
      <c r="C91">
        <v>0</v>
      </c>
    </row>
    <row r="92" spans="1:10" x14ac:dyDescent="0.25">
      <c r="B92" t="s">
        <v>34</v>
      </c>
      <c r="C92">
        <v>0</v>
      </c>
    </row>
    <row r="94" spans="1:10" x14ac:dyDescent="0.25">
      <c r="B94" t="s">
        <v>318</v>
      </c>
      <c r="C94">
        <v>0</v>
      </c>
    </row>
    <row r="95" spans="1:10" x14ac:dyDescent="0.25">
      <c r="B95" t="s">
        <v>1098</v>
      </c>
      <c r="C95" t="s">
        <v>1479</v>
      </c>
    </row>
    <row r="96" spans="1:10" x14ac:dyDescent="0.25">
      <c r="B96" t="s">
        <v>532</v>
      </c>
      <c r="C96">
        <v>0</v>
      </c>
    </row>
    <row r="97" spans="1:5" x14ac:dyDescent="0.25">
      <c r="B97" t="s">
        <v>352</v>
      </c>
      <c r="C97">
        <v>0</v>
      </c>
    </row>
    <row r="98" spans="1:5" x14ac:dyDescent="0.25">
      <c r="B98" t="s">
        <v>1600</v>
      </c>
      <c r="C98">
        <v>0</v>
      </c>
    </row>
    <row r="100" spans="1:5" x14ac:dyDescent="0.25">
      <c r="B100" t="s">
        <v>353</v>
      </c>
      <c r="C100">
        <v>0</v>
      </c>
    </row>
    <row r="103" spans="1:5" x14ac:dyDescent="0.25">
      <c r="A103" t="s">
        <v>944</v>
      </c>
    </row>
    <row r="104" spans="1:5" x14ac:dyDescent="0.25">
      <c r="D104" t="s">
        <v>652</v>
      </c>
      <c r="E104" t="s">
        <v>1945</v>
      </c>
    </row>
    <row r="105" spans="1:5" x14ac:dyDescent="0.25">
      <c r="B105" t="s">
        <v>712</v>
      </c>
      <c r="C105" t="s">
        <v>505</v>
      </c>
      <c r="D105">
        <v>0</v>
      </c>
      <c r="E105" t="s">
        <v>605</v>
      </c>
    </row>
    <row r="106" spans="1:5" x14ac:dyDescent="0.25">
      <c r="B106" t="s">
        <v>621</v>
      </c>
      <c r="C106" t="s">
        <v>506</v>
      </c>
      <c r="D106">
        <v>0</v>
      </c>
      <c r="E106" t="s">
        <v>605</v>
      </c>
    </row>
    <row r="107" spans="1:5" x14ac:dyDescent="0.25">
      <c r="B107" t="s">
        <v>622</v>
      </c>
      <c r="C107" t="s">
        <v>507</v>
      </c>
      <c r="D107">
        <v>0</v>
      </c>
      <c r="E107" t="s">
        <v>605</v>
      </c>
    </row>
    <row r="108" spans="1:5" x14ac:dyDescent="0.25">
      <c r="B108" t="s">
        <v>787</v>
      </c>
      <c r="C108" t="s">
        <v>508</v>
      </c>
      <c r="D108">
        <v>0</v>
      </c>
      <c r="E108" t="s">
        <v>605</v>
      </c>
    </row>
    <row r="111" spans="1:5" x14ac:dyDescent="0.25">
      <c r="D111" t="s">
        <v>652</v>
      </c>
      <c r="E111" t="s">
        <v>1945</v>
      </c>
    </row>
    <row r="112" spans="1:5" x14ac:dyDescent="0.25">
      <c r="B112" t="s">
        <v>1099</v>
      </c>
      <c r="C112" t="s">
        <v>486</v>
      </c>
      <c r="D112">
        <v>0</v>
      </c>
    </row>
    <row r="113" spans="2:5" x14ac:dyDescent="0.25">
      <c r="B113" t="s">
        <v>487</v>
      </c>
      <c r="C113" t="s">
        <v>161</v>
      </c>
    </row>
    <row r="115" spans="2:5" x14ac:dyDescent="0.25">
      <c r="B115" t="s">
        <v>1100</v>
      </c>
      <c r="C115" t="s">
        <v>162</v>
      </c>
      <c r="D115">
        <v>0</v>
      </c>
    </row>
    <row r="116" spans="2:5" x14ac:dyDescent="0.25">
      <c r="B116" t="s">
        <v>517</v>
      </c>
      <c r="C116" t="s">
        <v>327</v>
      </c>
    </row>
    <row r="118" spans="2:5" x14ac:dyDescent="0.25">
      <c r="B118" t="s">
        <v>1101</v>
      </c>
      <c r="C118" t="s">
        <v>328</v>
      </c>
      <c r="D118">
        <v>0</v>
      </c>
    </row>
    <row r="119" spans="2:5" x14ac:dyDescent="0.25">
      <c r="B119" t="s">
        <v>329</v>
      </c>
      <c r="C119" t="s">
        <v>330</v>
      </c>
    </row>
    <row r="121" spans="2:5" x14ac:dyDescent="0.25">
      <c r="B121" t="s">
        <v>1102</v>
      </c>
      <c r="C121" t="s">
        <v>331</v>
      </c>
      <c r="D121">
        <v>0</v>
      </c>
    </row>
    <row r="122" spans="2:5" x14ac:dyDescent="0.25">
      <c r="B122" t="s">
        <v>332</v>
      </c>
      <c r="C122" t="s">
        <v>333</v>
      </c>
    </row>
    <row r="125" spans="2:5" x14ac:dyDescent="0.25">
      <c r="B125" t="s">
        <v>22</v>
      </c>
      <c r="C125" t="s">
        <v>334</v>
      </c>
      <c r="D125" t="s">
        <v>23</v>
      </c>
      <c r="E125">
        <v>0</v>
      </c>
    </row>
    <row r="128" spans="2:5" x14ac:dyDescent="0.25">
      <c r="D128" t="s">
        <v>24</v>
      </c>
      <c r="E128" t="s">
        <v>335</v>
      </c>
    </row>
    <row r="129" spans="2:5" x14ac:dyDescent="0.25">
      <c r="B129" t="s">
        <v>1462</v>
      </c>
      <c r="C129" t="s">
        <v>336</v>
      </c>
      <c r="D129">
        <v>0</v>
      </c>
      <c r="E129">
        <v>0</v>
      </c>
    </row>
    <row r="130" spans="2:5" x14ac:dyDescent="0.25">
      <c r="B130" t="s">
        <v>1462</v>
      </c>
      <c r="C130" t="s">
        <v>337</v>
      </c>
      <c r="D130">
        <v>0</v>
      </c>
      <c r="E130">
        <v>0</v>
      </c>
    </row>
    <row r="131" spans="2:5" x14ac:dyDescent="0.25">
      <c r="B131" t="s">
        <v>1462</v>
      </c>
      <c r="C131" t="s">
        <v>338</v>
      </c>
      <c r="D131">
        <v>0</v>
      </c>
      <c r="E131">
        <v>0</v>
      </c>
    </row>
    <row r="132" spans="2:5" x14ac:dyDescent="0.25">
      <c r="B132" t="s">
        <v>1462</v>
      </c>
      <c r="C132" t="s">
        <v>339</v>
      </c>
      <c r="D132">
        <v>0</v>
      </c>
      <c r="E132">
        <v>0</v>
      </c>
    </row>
    <row r="133" spans="2:5" x14ac:dyDescent="0.25">
      <c r="B133" t="s">
        <v>1462</v>
      </c>
      <c r="C133" t="s">
        <v>340</v>
      </c>
      <c r="D133">
        <v>0</v>
      </c>
      <c r="E133">
        <v>0</v>
      </c>
    </row>
    <row r="134" spans="2:5" x14ac:dyDescent="0.25">
      <c r="B134" t="s">
        <v>1462</v>
      </c>
      <c r="C134" t="s">
        <v>341</v>
      </c>
      <c r="D134">
        <v>0</v>
      </c>
      <c r="E134">
        <v>0</v>
      </c>
    </row>
    <row r="135" spans="2:5" x14ac:dyDescent="0.25">
      <c r="B135" t="s">
        <v>1462</v>
      </c>
      <c r="C135" t="s">
        <v>342</v>
      </c>
      <c r="D135">
        <v>0</v>
      </c>
      <c r="E135">
        <v>0</v>
      </c>
    </row>
    <row r="136" spans="2:5" x14ac:dyDescent="0.25">
      <c r="B136" t="s">
        <v>1462</v>
      </c>
      <c r="C136" t="s">
        <v>1753</v>
      </c>
      <c r="D136">
        <v>0</v>
      </c>
      <c r="E136">
        <v>0</v>
      </c>
    </row>
    <row r="137" spans="2:5" x14ac:dyDescent="0.25">
      <c r="B137" t="s">
        <v>1462</v>
      </c>
      <c r="C137" t="s">
        <v>1754</v>
      </c>
      <c r="D137">
        <v>0</v>
      </c>
      <c r="E137">
        <v>0</v>
      </c>
    </row>
    <row r="138" spans="2:5" x14ac:dyDescent="0.25">
      <c r="B138" t="s">
        <v>1462</v>
      </c>
      <c r="C138" t="s">
        <v>1755</v>
      </c>
      <c r="D138">
        <v>0</v>
      </c>
      <c r="E138">
        <v>0</v>
      </c>
    </row>
    <row r="139" spans="2:5" x14ac:dyDescent="0.25">
      <c r="B139" t="s">
        <v>1462</v>
      </c>
      <c r="C139" t="s">
        <v>1756</v>
      </c>
      <c r="D139">
        <v>0</v>
      </c>
      <c r="E139">
        <v>0</v>
      </c>
    </row>
    <row r="140" spans="2:5" x14ac:dyDescent="0.25">
      <c r="B140" t="s">
        <v>1462</v>
      </c>
      <c r="C140" t="s">
        <v>1757</v>
      </c>
      <c r="D140">
        <v>0</v>
      </c>
      <c r="E140">
        <v>0</v>
      </c>
    </row>
    <row r="141" spans="2:5" x14ac:dyDescent="0.25">
      <c r="B141" t="s">
        <v>1462</v>
      </c>
      <c r="C141" t="s">
        <v>1758</v>
      </c>
      <c r="D141">
        <v>0</v>
      </c>
      <c r="E141">
        <v>0</v>
      </c>
    </row>
    <row r="142" spans="2:5" x14ac:dyDescent="0.25">
      <c r="B142" t="s">
        <v>1462</v>
      </c>
      <c r="C142" t="s">
        <v>1759</v>
      </c>
      <c r="D142">
        <v>0</v>
      </c>
      <c r="E142">
        <v>0</v>
      </c>
    </row>
    <row r="143" spans="2:5" x14ac:dyDescent="0.25">
      <c r="B143" t="s">
        <v>1462</v>
      </c>
      <c r="C143" t="s">
        <v>1760</v>
      </c>
      <c r="D143">
        <v>0</v>
      </c>
      <c r="E143">
        <v>0</v>
      </c>
    </row>
    <row r="144" spans="2:5" x14ac:dyDescent="0.25">
      <c r="B144" t="s">
        <v>1462</v>
      </c>
      <c r="C144" t="s">
        <v>1698</v>
      </c>
      <c r="D144">
        <v>0</v>
      </c>
      <c r="E144">
        <v>0</v>
      </c>
    </row>
    <row r="145" spans="2:5" x14ac:dyDescent="0.25">
      <c r="B145" t="s">
        <v>1462</v>
      </c>
      <c r="C145" t="s">
        <v>1699</v>
      </c>
      <c r="D145">
        <v>0</v>
      </c>
      <c r="E145">
        <v>0</v>
      </c>
    </row>
    <row r="146" spans="2:5" x14ac:dyDescent="0.25">
      <c r="B146" t="s">
        <v>1462</v>
      </c>
      <c r="C146" t="s">
        <v>1700</v>
      </c>
      <c r="D146">
        <v>0</v>
      </c>
      <c r="E146">
        <v>0</v>
      </c>
    </row>
    <row r="147" spans="2:5" x14ac:dyDescent="0.25">
      <c r="B147" t="s">
        <v>1462</v>
      </c>
      <c r="C147" t="s">
        <v>1701</v>
      </c>
      <c r="D147">
        <v>0</v>
      </c>
      <c r="E147">
        <v>0</v>
      </c>
    </row>
    <row r="148" spans="2:5" x14ac:dyDescent="0.25">
      <c r="B148" t="s">
        <v>1462</v>
      </c>
      <c r="C148" t="s">
        <v>1702</v>
      </c>
      <c r="D148">
        <v>0</v>
      </c>
      <c r="E148">
        <v>0</v>
      </c>
    </row>
    <row r="149" spans="2:5" x14ac:dyDescent="0.25">
      <c r="B149" t="s">
        <v>1462</v>
      </c>
      <c r="C149" t="s">
        <v>1703</v>
      </c>
      <c r="D149">
        <v>0</v>
      </c>
      <c r="E149">
        <v>0</v>
      </c>
    </row>
    <row r="150" spans="2:5" x14ac:dyDescent="0.25">
      <c r="B150" t="s">
        <v>1462</v>
      </c>
      <c r="C150" t="s">
        <v>1704</v>
      </c>
      <c r="D150">
        <v>0</v>
      </c>
      <c r="E150">
        <v>0</v>
      </c>
    </row>
    <row r="153" spans="2:5" x14ac:dyDescent="0.25">
      <c r="B153" t="s">
        <v>1705</v>
      </c>
      <c r="C153" t="s">
        <v>1706</v>
      </c>
      <c r="D153">
        <v>0</v>
      </c>
      <c r="E153">
        <v>0</v>
      </c>
    </row>
    <row r="154" spans="2:5" x14ac:dyDescent="0.25">
      <c r="B154" t="s">
        <v>1705</v>
      </c>
      <c r="C154" t="s">
        <v>1707</v>
      </c>
      <c r="D154">
        <v>0</v>
      </c>
      <c r="E154">
        <v>0</v>
      </c>
    </row>
    <row r="155" spans="2:5" x14ac:dyDescent="0.25">
      <c r="B155" t="s">
        <v>1705</v>
      </c>
      <c r="C155" t="s">
        <v>1708</v>
      </c>
      <c r="D155">
        <v>0</v>
      </c>
      <c r="E155">
        <v>0</v>
      </c>
    </row>
    <row r="160" spans="2:5" x14ac:dyDescent="0.25">
      <c r="B160" t="s">
        <v>150</v>
      </c>
      <c r="C160" t="s">
        <v>1709</v>
      </c>
      <c r="D160">
        <v>0</v>
      </c>
      <c r="E160">
        <v>0</v>
      </c>
    </row>
    <row r="161" spans="2:5" x14ac:dyDescent="0.25">
      <c r="B161" t="s">
        <v>150</v>
      </c>
      <c r="C161" t="s">
        <v>1710</v>
      </c>
      <c r="D161">
        <v>0</v>
      </c>
      <c r="E161">
        <v>0</v>
      </c>
    </row>
    <row r="162" spans="2:5" x14ac:dyDescent="0.25">
      <c r="B162" t="s">
        <v>150</v>
      </c>
      <c r="C162" t="s">
        <v>1711</v>
      </c>
      <c r="D162">
        <v>0</v>
      </c>
      <c r="E162">
        <v>0</v>
      </c>
    </row>
    <row r="163" spans="2:5" x14ac:dyDescent="0.25">
      <c r="B163" t="s">
        <v>150</v>
      </c>
      <c r="C163" t="s">
        <v>1712</v>
      </c>
      <c r="D163">
        <v>0</v>
      </c>
      <c r="E163">
        <v>0</v>
      </c>
    </row>
    <row r="164" spans="2:5" x14ac:dyDescent="0.25">
      <c r="B164" t="s">
        <v>150</v>
      </c>
      <c r="C164" t="s">
        <v>1713</v>
      </c>
      <c r="D164">
        <v>0</v>
      </c>
      <c r="E164">
        <v>0</v>
      </c>
    </row>
    <row r="165" spans="2:5" x14ac:dyDescent="0.25">
      <c r="B165" t="s">
        <v>150</v>
      </c>
      <c r="C165" t="s">
        <v>1714</v>
      </c>
      <c r="D165">
        <v>0</v>
      </c>
      <c r="E165">
        <v>0</v>
      </c>
    </row>
    <row r="166" spans="2:5" x14ac:dyDescent="0.25">
      <c r="B166" t="s">
        <v>150</v>
      </c>
      <c r="C166" t="s">
        <v>1715</v>
      </c>
      <c r="D166">
        <v>0</v>
      </c>
      <c r="E166">
        <v>0</v>
      </c>
    </row>
    <row r="167" spans="2:5" x14ac:dyDescent="0.25">
      <c r="B167" t="s">
        <v>150</v>
      </c>
      <c r="C167" t="s">
        <v>1716</v>
      </c>
      <c r="D167">
        <v>0</v>
      </c>
      <c r="E167">
        <v>0</v>
      </c>
    </row>
    <row r="168" spans="2:5" x14ac:dyDescent="0.25">
      <c r="B168" t="s">
        <v>150</v>
      </c>
      <c r="C168" t="s">
        <v>1717</v>
      </c>
      <c r="D168">
        <v>0</v>
      </c>
      <c r="E168">
        <v>0</v>
      </c>
    </row>
    <row r="169" spans="2:5" x14ac:dyDescent="0.25">
      <c r="B169" t="s">
        <v>150</v>
      </c>
      <c r="C169" t="s">
        <v>1718</v>
      </c>
      <c r="D169">
        <v>0</v>
      </c>
      <c r="E169">
        <v>0</v>
      </c>
    </row>
    <row r="170" spans="2:5" x14ac:dyDescent="0.25">
      <c r="B170" t="s">
        <v>150</v>
      </c>
      <c r="C170" t="s">
        <v>2000</v>
      </c>
      <c r="D170">
        <v>0</v>
      </c>
      <c r="E170">
        <v>0</v>
      </c>
    </row>
    <row r="171" spans="2:5" x14ac:dyDescent="0.25">
      <c r="B171" t="s">
        <v>150</v>
      </c>
      <c r="C171" t="s">
        <v>2001</v>
      </c>
      <c r="D171">
        <v>0</v>
      </c>
      <c r="E171">
        <v>0</v>
      </c>
    </row>
    <row r="172" spans="2:5" x14ac:dyDescent="0.25">
      <c r="B172" t="s">
        <v>150</v>
      </c>
      <c r="C172" t="s">
        <v>2002</v>
      </c>
      <c r="D172">
        <v>0</v>
      </c>
      <c r="E172">
        <v>0</v>
      </c>
    </row>
    <row r="173" spans="2:5" x14ac:dyDescent="0.25">
      <c r="B173" t="s">
        <v>150</v>
      </c>
      <c r="C173" t="s">
        <v>1764</v>
      </c>
      <c r="D173">
        <v>0</v>
      </c>
      <c r="E173">
        <v>0</v>
      </c>
    </row>
    <row r="174" spans="2:5" x14ac:dyDescent="0.25">
      <c r="B174" t="s">
        <v>150</v>
      </c>
      <c r="C174" t="s">
        <v>1765</v>
      </c>
      <c r="D174">
        <v>0</v>
      </c>
      <c r="E174">
        <v>0</v>
      </c>
    </row>
    <row r="175" spans="2:5" x14ac:dyDescent="0.25">
      <c r="B175" t="s">
        <v>150</v>
      </c>
      <c r="D175">
        <v>0</v>
      </c>
      <c r="E175">
        <v>0</v>
      </c>
    </row>
    <row r="177" spans="1:5" x14ac:dyDescent="0.25">
      <c r="B177" t="s">
        <v>2009</v>
      </c>
      <c r="D177">
        <v>0</v>
      </c>
    </row>
    <row r="178" spans="1:5" x14ac:dyDescent="0.25">
      <c r="B178" t="s">
        <v>2074</v>
      </c>
      <c r="D178">
        <v>0</v>
      </c>
      <c r="E178">
        <v>0</v>
      </c>
    </row>
    <row r="185" spans="1:5" x14ac:dyDescent="0.25">
      <c r="A185" t="s">
        <v>1103</v>
      </c>
      <c r="D185" t="s">
        <v>1127</v>
      </c>
      <c r="E185" t="s">
        <v>1479</v>
      </c>
    </row>
    <row r="186" spans="1:5" x14ac:dyDescent="0.25">
      <c r="C186" t="s">
        <v>205</v>
      </c>
      <c r="D186">
        <v>0</v>
      </c>
      <c r="E186">
        <v>0</v>
      </c>
    </row>
    <row r="187" spans="1:5" x14ac:dyDescent="0.25">
      <c r="C187" t="s">
        <v>1721</v>
      </c>
      <c r="D187">
        <v>0</v>
      </c>
      <c r="E187">
        <v>0</v>
      </c>
    </row>
    <row r="188" spans="1:5" x14ac:dyDescent="0.25">
      <c r="C188" t="s">
        <v>23</v>
      </c>
      <c r="D188">
        <v>0</v>
      </c>
      <c r="E188">
        <v>0</v>
      </c>
    </row>
    <row r="189" spans="1:5" x14ac:dyDescent="0.25">
      <c r="C189" t="s">
        <v>1788</v>
      </c>
      <c r="D189">
        <v>0</v>
      </c>
      <c r="E189">
        <v>0</v>
      </c>
    </row>
    <row r="190" spans="1:5" x14ac:dyDescent="0.25">
      <c r="C190" t="s">
        <v>1789</v>
      </c>
      <c r="D190">
        <v>0</v>
      </c>
      <c r="E190">
        <v>0</v>
      </c>
    </row>
    <row r="191" spans="1:5" x14ac:dyDescent="0.25">
      <c r="C191" t="s">
        <v>1543</v>
      </c>
      <c r="D191">
        <v>0</v>
      </c>
      <c r="E191">
        <v>0</v>
      </c>
    </row>
    <row r="192" spans="1:5" x14ac:dyDescent="0.25">
      <c r="C192" t="s">
        <v>1362</v>
      </c>
      <c r="D192">
        <v>0</v>
      </c>
      <c r="E192">
        <v>0</v>
      </c>
    </row>
    <row r="193" spans="1:5" x14ac:dyDescent="0.25">
      <c r="C193" t="s">
        <v>1363</v>
      </c>
      <c r="D193" t="e">
        <v>#DIV/0!</v>
      </c>
      <c r="E193">
        <v>0</v>
      </c>
    </row>
    <row r="194" spans="1:5" x14ac:dyDescent="0.25">
      <c r="C194" t="s">
        <v>2072</v>
      </c>
      <c r="D194">
        <v>0</v>
      </c>
      <c r="E194">
        <v>0</v>
      </c>
    </row>
    <row r="196" spans="1:5" x14ac:dyDescent="0.25">
      <c r="A196" t="s">
        <v>687</v>
      </c>
    </row>
    <row r="197" spans="1:5" x14ac:dyDescent="0.25">
      <c r="B197" t="s">
        <v>196</v>
      </c>
      <c r="C197" t="s">
        <v>197</v>
      </c>
      <c r="D197">
        <v>0</v>
      </c>
    </row>
    <row r="198" spans="1:5" x14ac:dyDescent="0.25">
      <c r="B198" t="s">
        <v>231</v>
      </c>
      <c r="C198" t="s">
        <v>198</v>
      </c>
      <c r="D198">
        <v>0</v>
      </c>
    </row>
    <row r="199" spans="1:5" x14ac:dyDescent="0.25">
      <c r="B199" t="s">
        <v>232</v>
      </c>
      <c r="C199" t="s">
        <v>199</v>
      </c>
      <c r="D199">
        <v>0</v>
      </c>
    </row>
    <row r="200" spans="1:5" x14ac:dyDescent="0.25">
      <c r="B200" t="s">
        <v>787</v>
      </c>
      <c r="C200" t="s">
        <v>200</v>
      </c>
      <c r="D200">
        <v>0</v>
      </c>
    </row>
    <row r="203" spans="1:5" x14ac:dyDescent="0.25">
      <c r="D203" t="s">
        <v>652</v>
      </c>
      <c r="E203" t="s">
        <v>1945</v>
      </c>
    </row>
    <row r="204" spans="1:5" x14ac:dyDescent="0.25">
      <c r="B204" t="s">
        <v>872</v>
      </c>
      <c r="C204" t="s">
        <v>201</v>
      </c>
      <c r="D204">
        <v>0</v>
      </c>
    </row>
    <row r="206" spans="1:5" x14ac:dyDescent="0.25">
      <c r="D206" t="s">
        <v>652</v>
      </c>
      <c r="E206" t="s">
        <v>1945</v>
      </c>
    </row>
    <row r="207" spans="1:5" x14ac:dyDescent="0.25">
      <c r="B207" t="s">
        <v>674</v>
      </c>
      <c r="C207" t="s">
        <v>202</v>
      </c>
      <c r="D207">
        <v>0</v>
      </c>
    </row>
    <row r="208" spans="1:5" x14ac:dyDescent="0.25">
      <c r="B208" t="s">
        <v>788</v>
      </c>
      <c r="C208" t="s">
        <v>203</v>
      </c>
      <c r="D208">
        <v>0</v>
      </c>
    </row>
    <row r="209" spans="1:6" x14ac:dyDescent="0.25">
      <c r="B209" t="s">
        <v>811</v>
      </c>
      <c r="C209" t="s">
        <v>204</v>
      </c>
      <c r="D209">
        <v>0</v>
      </c>
    </row>
    <row r="210" spans="1:6" x14ac:dyDescent="0.25">
      <c r="B210" t="s">
        <v>677</v>
      </c>
      <c r="C210" t="s">
        <v>235</v>
      </c>
      <c r="D210">
        <v>0</v>
      </c>
      <c r="E210" s="60"/>
    </row>
    <row r="211" spans="1:6" x14ac:dyDescent="0.25">
      <c r="B211" t="s">
        <v>678</v>
      </c>
      <c r="C211" t="s">
        <v>742</v>
      </c>
      <c r="D211">
        <v>0</v>
      </c>
    </row>
    <row r="212" spans="1:6" x14ac:dyDescent="0.25">
      <c r="B212" t="s">
        <v>869</v>
      </c>
      <c r="C212" s="60" t="s">
        <v>901</v>
      </c>
      <c r="D212">
        <v>0</v>
      </c>
    </row>
    <row r="213" spans="1:6" x14ac:dyDescent="0.25">
      <c r="B213" s="963" t="s">
        <v>68</v>
      </c>
      <c r="C213" t="s">
        <v>743</v>
      </c>
      <c r="D213">
        <v>0</v>
      </c>
    </row>
    <row r="215" spans="1:6" x14ac:dyDescent="0.25">
      <c r="E215" t="s">
        <v>1264</v>
      </c>
      <c r="F215" t="s">
        <v>307</v>
      </c>
    </row>
    <row r="216" spans="1:6" x14ac:dyDescent="0.25">
      <c r="C216" t="s">
        <v>363</v>
      </c>
      <c r="D216">
        <v>0</v>
      </c>
    </row>
    <row r="217" spans="1:6" x14ac:dyDescent="0.25">
      <c r="C217" t="s">
        <v>301</v>
      </c>
      <c r="D217">
        <v>0</v>
      </c>
      <c r="E217" s="60" t="s">
        <v>675</v>
      </c>
    </row>
    <row r="218" spans="1:6" x14ac:dyDescent="0.25">
      <c r="C218" t="s">
        <v>1974</v>
      </c>
      <c r="D218" t="s">
        <v>1546</v>
      </c>
      <c r="F218" t="s">
        <v>1300</v>
      </c>
    </row>
    <row r="220" spans="1:6" x14ac:dyDescent="0.25">
      <c r="A220" t="s">
        <v>688</v>
      </c>
      <c r="D220" t="s">
        <v>1127</v>
      </c>
      <c r="E220" t="s">
        <v>1301</v>
      </c>
    </row>
    <row r="221" spans="1:6" x14ac:dyDescent="0.25">
      <c r="C221" t="s">
        <v>536</v>
      </c>
      <c r="D221">
        <v>0</v>
      </c>
      <c r="E221">
        <v>0</v>
      </c>
    </row>
    <row r="222" spans="1:6" x14ac:dyDescent="0.25">
      <c r="C222" t="s">
        <v>537</v>
      </c>
      <c r="D222">
        <v>0</v>
      </c>
      <c r="E222">
        <v>0</v>
      </c>
    </row>
    <row r="223" spans="1:6" x14ac:dyDescent="0.25">
      <c r="C223" t="s">
        <v>608</v>
      </c>
      <c r="D223">
        <v>0</v>
      </c>
      <c r="E223">
        <v>0</v>
      </c>
    </row>
    <row r="224" spans="1:6" x14ac:dyDescent="0.25">
      <c r="C224" t="s">
        <v>607</v>
      </c>
      <c r="D224">
        <v>0</v>
      </c>
      <c r="E224">
        <v>0</v>
      </c>
    </row>
    <row r="225" spans="1:8" x14ac:dyDescent="0.25">
      <c r="C225" t="s">
        <v>2072</v>
      </c>
      <c r="D225">
        <v>0</v>
      </c>
      <c r="E225">
        <v>0</v>
      </c>
    </row>
    <row r="226" spans="1:8" x14ac:dyDescent="0.25">
      <c r="C226" t="s">
        <v>304</v>
      </c>
      <c r="D226">
        <v>0</v>
      </c>
      <c r="E226">
        <v>0</v>
      </c>
    </row>
    <row r="227" spans="1:8" x14ac:dyDescent="0.25">
      <c r="C227" t="s">
        <v>619</v>
      </c>
      <c r="D227">
        <v>0</v>
      </c>
      <c r="E227">
        <v>0</v>
      </c>
    </row>
    <row r="228" spans="1:8" x14ac:dyDescent="0.25">
      <c r="C228" t="s">
        <v>237</v>
      </c>
      <c r="D228" t="e">
        <v>#DIV/0!</v>
      </c>
      <c r="E228" t="e">
        <v>#DIV/0!</v>
      </c>
    </row>
    <row r="231" spans="1:8" x14ac:dyDescent="0.25">
      <c r="A231" t="s">
        <v>689</v>
      </c>
    </row>
    <row r="232" spans="1:8" x14ac:dyDescent="0.25">
      <c r="C232" t="s">
        <v>2061</v>
      </c>
      <c r="D232" t="s">
        <v>2062</v>
      </c>
      <c r="E232" t="s">
        <v>1458</v>
      </c>
      <c r="F232" t="s">
        <v>2062</v>
      </c>
      <c r="G232" t="s">
        <v>1459</v>
      </c>
      <c r="H232" t="s">
        <v>494</v>
      </c>
    </row>
    <row r="233" spans="1:8" x14ac:dyDescent="0.25">
      <c r="B233" t="s">
        <v>1456</v>
      </c>
      <c r="C233">
        <v>0</v>
      </c>
      <c r="E233">
        <v>0</v>
      </c>
      <c r="H233" t="s">
        <v>480</v>
      </c>
    </row>
    <row r="234" spans="1:8" x14ac:dyDescent="0.25">
      <c r="B234" t="s">
        <v>1456</v>
      </c>
      <c r="C234">
        <v>0</v>
      </c>
      <c r="E234">
        <v>0</v>
      </c>
      <c r="H234" t="s">
        <v>480</v>
      </c>
    </row>
    <row r="235" spans="1:8" x14ac:dyDescent="0.25">
      <c r="B235" t="s">
        <v>1456</v>
      </c>
      <c r="C235">
        <v>0</v>
      </c>
      <c r="E235">
        <v>0</v>
      </c>
      <c r="H235" t="s">
        <v>480</v>
      </c>
    </row>
    <row r="236" spans="1:8" x14ac:dyDescent="0.25">
      <c r="B236" t="s">
        <v>1456</v>
      </c>
      <c r="C236">
        <v>0</v>
      </c>
      <c r="E236">
        <v>0</v>
      </c>
      <c r="H236" t="s">
        <v>480</v>
      </c>
    </row>
    <row r="237" spans="1:8" x14ac:dyDescent="0.25">
      <c r="B237" t="s">
        <v>1456</v>
      </c>
      <c r="C237">
        <v>0</v>
      </c>
      <c r="E237">
        <v>0</v>
      </c>
      <c r="H237" t="s">
        <v>480</v>
      </c>
    </row>
    <row r="238" spans="1:8" x14ac:dyDescent="0.25">
      <c r="B238" t="s">
        <v>1456</v>
      </c>
      <c r="C238">
        <v>0</v>
      </c>
      <c r="E238">
        <v>0</v>
      </c>
      <c r="H238" t="s">
        <v>480</v>
      </c>
    </row>
    <row r="239" spans="1:8" x14ac:dyDescent="0.25">
      <c r="B239" t="s">
        <v>1456</v>
      </c>
      <c r="C239">
        <v>0</v>
      </c>
      <c r="E239">
        <v>0</v>
      </c>
      <c r="H239" t="s">
        <v>480</v>
      </c>
    </row>
    <row r="240" spans="1:8" x14ac:dyDescent="0.25">
      <c r="B240" t="s">
        <v>1456</v>
      </c>
      <c r="C240">
        <v>0</v>
      </c>
      <c r="E240">
        <v>0</v>
      </c>
      <c r="H240" t="s">
        <v>480</v>
      </c>
    </row>
    <row r="242" spans="2:7" x14ac:dyDescent="0.25">
      <c r="C242" t="s">
        <v>2061</v>
      </c>
      <c r="D242" t="s">
        <v>2062</v>
      </c>
      <c r="E242" t="s">
        <v>1458</v>
      </c>
      <c r="F242" t="s">
        <v>2062</v>
      </c>
      <c r="G242" t="s">
        <v>1273</v>
      </c>
    </row>
    <row r="243" spans="2:7" x14ac:dyDescent="0.25">
      <c r="B243" t="s">
        <v>1457</v>
      </c>
      <c r="C243">
        <v>0</v>
      </c>
      <c r="E243">
        <v>0</v>
      </c>
    </row>
    <row r="244" spans="2:7" x14ac:dyDescent="0.25">
      <c r="B244" t="s">
        <v>1457</v>
      </c>
      <c r="C244">
        <v>0</v>
      </c>
      <c r="E244">
        <v>0</v>
      </c>
    </row>
    <row r="245" spans="2:7" x14ac:dyDescent="0.25">
      <c r="B245" t="s">
        <v>1457</v>
      </c>
      <c r="C245">
        <v>0</v>
      </c>
      <c r="E245">
        <v>0</v>
      </c>
    </row>
    <row r="246" spans="2:7" x14ac:dyDescent="0.25">
      <c r="B246" t="s">
        <v>1457</v>
      </c>
      <c r="C246">
        <v>0</v>
      </c>
      <c r="E246">
        <v>0</v>
      </c>
    </row>
    <row r="247" spans="2:7" x14ac:dyDescent="0.25">
      <c r="B247" t="s">
        <v>1457</v>
      </c>
      <c r="C247">
        <v>0</v>
      </c>
      <c r="E247">
        <v>0</v>
      </c>
    </row>
    <row r="248" spans="2:7" x14ac:dyDescent="0.25">
      <c r="B248" t="s">
        <v>1457</v>
      </c>
      <c r="C248">
        <v>0</v>
      </c>
      <c r="E248">
        <v>0</v>
      </c>
    </row>
    <row r="249" spans="2:7" x14ac:dyDescent="0.25">
      <c r="B249" t="s">
        <v>1457</v>
      </c>
      <c r="C249">
        <v>0</v>
      </c>
      <c r="E249">
        <v>0</v>
      </c>
    </row>
    <row r="250" spans="2:7" x14ac:dyDescent="0.25">
      <c r="B250" t="s">
        <v>1457</v>
      </c>
      <c r="C250">
        <v>0</v>
      </c>
      <c r="E250">
        <v>0</v>
      </c>
    </row>
    <row r="252" spans="2:7" x14ac:dyDescent="0.25">
      <c r="C252" t="s">
        <v>2061</v>
      </c>
      <c r="D252" t="s">
        <v>2062</v>
      </c>
      <c r="E252" t="s">
        <v>1458</v>
      </c>
      <c r="F252" t="s">
        <v>2062</v>
      </c>
      <c r="G252" t="s">
        <v>1273</v>
      </c>
    </row>
    <row r="253" spans="2:7" x14ac:dyDescent="0.25">
      <c r="B253" t="s">
        <v>1460</v>
      </c>
      <c r="C253">
        <v>0</v>
      </c>
      <c r="E253">
        <v>0</v>
      </c>
      <c r="G253" t="s">
        <v>1743</v>
      </c>
    </row>
    <row r="254" spans="2:7" x14ac:dyDescent="0.25">
      <c r="B254" t="s">
        <v>1460</v>
      </c>
      <c r="C254">
        <v>0</v>
      </c>
      <c r="E254">
        <v>0</v>
      </c>
      <c r="G254" t="s">
        <v>1743</v>
      </c>
    </row>
    <row r="255" spans="2:7" x14ac:dyDescent="0.25">
      <c r="B255" t="s">
        <v>1460</v>
      </c>
      <c r="C255">
        <v>0</v>
      </c>
      <c r="E255">
        <v>0</v>
      </c>
      <c r="G255" t="s">
        <v>1743</v>
      </c>
    </row>
    <row r="256" spans="2:7" x14ac:dyDescent="0.25">
      <c r="B256" t="s">
        <v>1460</v>
      </c>
      <c r="C256">
        <v>0</v>
      </c>
      <c r="E256">
        <v>0</v>
      </c>
      <c r="G256" t="s">
        <v>1743</v>
      </c>
    </row>
    <row r="257" spans="2:7" x14ac:dyDescent="0.25">
      <c r="B257" t="s">
        <v>1460</v>
      </c>
      <c r="C257">
        <v>0</v>
      </c>
      <c r="E257">
        <v>0</v>
      </c>
      <c r="G257" t="s">
        <v>1743</v>
      </c>
    </row>
    <row r="258" spans="2:7" x14ac:dyDescent="0.25">
      <c r="B258" t="s">
        <v>1460</v>
      </c>
      <c r="C258">
        <v>0</v>
      </c>
      <c r="E258">
        <v>0</v>
      </c>
      <c r="G258" t="s">
        <v>1743</v>
      </c>
    </row>
    <row r="259" spans="2:7" x14ac:dyDescent="0.25">
      <c r="B259" t="s">
        <v>1460</v>
      </c>
      <c r="C259">
        <v>0</v>
      </c>
      <c r="E259">
        <v>0</v>
      </c>
      <c r="G259" t="s">
        <v>1743</v>
      </c>
    </row>
    <row r="260" spans="2:7" x14ac:dyDescent="0.25">
      <c r="B260" t="s">
        <v>1460</v>
      </c>
      <c r="C260">
        <v>0</v>
      </c>
      <c r="E260">
        <v>0</v>
      </c>
      <c r="G260" t="s">
        <v>1743</v>
      </c>
    </row>
    <row r="262" spans="2:7" x14ac:dyDescent="0.25">
      <c r="C262" t="s">
        <v>2061</v>
      </c>
      <c r="D262" t="s">
        <v>2062</v>
      </c>
      <c r="E262" t="s">
        <v>1458</v>
      </c>
      <c r="F262" t="s">
        <v>2062</v>
      </c>
      <c r="G262" t="s">
        <v>1273</v>
      </c>
    </row>
    <row r="263" spans="2:7" x14ac:dyDescent="0.25">
      <c r="B263" t="s">
        <v>1461</v>
      </c>
      <c r="C263">
        <v>0</v>
      </c>
      <c r="E263">
        <v>0</v>
      </c>
    </row>
    <row r="264" spans="2:7" x14ac:dyDescent="0.25">
      <c r="B264" t="s">
        <v>1461</v>
      </c>
      <c r="C264">
        <v>0</v>
      </c>
      <c r="E264">
        <v>0</v>
      </c>
    </row>
    <row r="265" spans="2:7" x14ac:dyDescent="0.25">
      <c r="B265" t="s">
        <v>1461</v>
      </c>
      <c r="C265">
        <v>0</v>
      </c>
      <c r="E265">
        <v>0</v>
      </c>
    </row>
    <row r="266" spans="2:7" x14ac:dyDescent="0.25">
      <c r="B266" t="s">
        <v>1461</v>
      </c>
      <c r="C266">
        <v>0</v>
      </c>
      <c r="E266">
        <v>0</v>
      </c>
    </row>
    <row r="267" spans="2:7" x14ac:dyDescent="0.25">
      <c r="B267" t="s">
        <v>1461</v>
      </c>
      <c r="C267">
        <v>0</v>
      </c>
      <c r="E267">
        <v>0</v>
      </c>
    </row>
    <row r="268" spans="2:7" x14ac:dyDescent="0.25">
      <c r="B268" t="s">
        <v>1461</v>
      </c>
      <c r="C268">
        <v>0</v>
      </c>
      <c r="E268">
        <v>0</v>
      </c>
    </row>
    <row r="269" spans="2:7" x14ac:dyDescent="0.25">
      <c r="B269" t="s">
        <v>1461</v>
      </c>
      <c r="C269">
        <v>0</v>
      </c>
      <c r="E269">
        <v>0</v>
      </c>
    </row>
    <row r="270" spans="2:7" x14ac:dyDescent="0.25">
      <c r="B270" t="s">
        <v>1461</v>
      </c>
      <c r="C270">
        <v>0</v>
      </c>
      <c r="E270">
        <v>0</v>
      </c>
    </row>
    <row r="275" spans="1:6" x14ac:dyDescent="0.25">
      <c r="D275" t="s">
        <v>1945</v>
      </c>
      <c r="E275" t="s">
        <v>1479</v>
      </c>
    </row>
    <row r="276" spans="1:6" x14ac:dyDescent="0.25">
      <c r="D276" t="s">
        <v>1456</v>
      </c>
      <c r="E276">
        <v>0</v>
      </c>
    </row>
    <row r="277" spans="1:6" x14ac:dyDescent="0.25">
      <c r="D277" t="s">
        <v>1457</v>
      </c>
      <c r="E277">
        <v>0</v>
      </c>
    </row>
    <row r="278" spans="1:6" x14ac:dyDescent="0.25">
      <c r="D278" t="s">
        <v>1460</v>
      </c>
      <c r="E278">
        <v>0</v>
      </c>
    </row>
    <row r="279" spans="1:6" x14ac:dyDescent="0.25">
      <c r="D279" t="s">
        <v>103</v>
      </c>
      <c r="E279">
        <v>0</v>
      </c>
    </row>
    <row r="280" spans="1:6" x14ac:dyDescent="0.25">
      <c r="D280" t="s">
        <v>312</v>
      </c>
      <c r="E280">
        <v>0</v>
      </c>
    </row>
    <row r="282" spans="1:6" x14ac:dyDescent="0.25">
      <c r="A282" t="s">
        <v>406</v>
      </c>
    </row>
    <row r="283" spans="1:6" x14ac:dyDescent="0.25">
      <c r="B283" t="s">
        <v>407</v>
      </c>
    </row>
    <row r="284" spans="1:6" x14ac:dyDescent="0.25">
      <c r="B284" t="s">
        <v>928</v>
      </c>
      <c r="D284" t="s">
        <v>1383</v>
      </c>
    </row>
    <row r="285" spans="1:6" x14ac:dyDescent="0.25">
      <c r="B285" t="s">
        <v>926</v>
      </c>
      <c r="D285" t="s">
        <v>1383</v>
      </c>
    </row>
    <row r="286" spans="1:6" x14ac:dyDescent="0.25">
      <c r="B286" t="s">
        <v>924</v>
      </c>
      <c r="D286" t="s">
        <v>1383</v>
      </c>
    </row>
    <row r="288" spans="1:6" x14ac:dyDescent="0.25">
      <c r="B288" t="s">
        <v>714</v>
      </c>
      <c r="D288" t="s">
        <v>483</v>
      </c>
      <c r="E288" t="s">
        <v>593</v>
      </c>
      <c r="F288" t="s">
        <v>594</v>
      </c>
    </row>
    <row r="289" spans="1:16" x14ac:dyDescent="0.25">
      <c r="B289" t="s">
        <v>799</v>
      </c>
      <c r="D289" t="s">
        <v>366</v>
      </c>
      <c r="E289">
        <v>0</v>
      </c>
      <c r="F289">
        <v>0</v>
      </c>
    </row>
    <row r="290" spans="1:16" x14ac:dyDescent="0.25">
      <c r="B290" t="s">
        <v>920</v>
      </c>
      <c r="D290" t="s">
        <v>366</v>
      </c>
      <c r="E290">
        <v>0</v>
      </c>
      <c r="F290">
        <v>0</v>
      </c>
    </row>
    <row r="291" spans="1:16" x14ac:dyDescent="0.25">
      <c r="B291" t="s">
        <v>700</v>
      </c>
      <c r="D291" t="s">
        <v>366</v>
      </c>
      <c r="E291">
        <v>0</v>
      </c>
      <c r="F291">
        <v>0</v>
      </c>
    </row>
    <row r="292" spans="1:16" x14ac:dyDescent="0.25">
      <c r="B292" t="s">
        <v>701</v>
      </c>
      <c r="D292" t="s">
        <v>366</v>
      </c>
      <c r="E292">
        <v>0</v>
      </c>
      <c r="F292">
        <v>0</v>
      </c>
    </row>
    <row r="294" spans="1:16" x14ac:dyDescent="0.25">
      <c r="A294" t="s">
        <v>600</v>
      </c>
    </row>
    <row r="295" spans="1:16" x14ac:dyDescent="0.25">
      <c r="B295" t="s">
        <v>715</v>
      </c>
      <c r="C295" t="s">
        <v>837</v>
      </c>
      <c r="D295" t="s">
        <v>499</v>
      </c>
    </row>
    <row r="296" spans="1:16" x14ac:dyDescent="0.25">
      <c r="C296" t="s">
        <v>842</v>
      </c>
      <c r="D296" t="s">
        <v>1946</v>
      </c>
    </row>
    <row r="297" spans="1:16" x14ac:dyDescent="0.25">
      <c r="C297" t="s">
        <v>848</v>
      </c>
    </row>
    <row r="298" spans="1:16" x14ac:dyDescent="0.25">
      <c r="C298" t="s">
        <v>705</v>
      </c>
      <c r="E298" t="s">
        <v>706</v>
      </c>
      <c r="F298" t="s">
        <v>708</v>
      </c>
      <c r="G298" t="s">
        <v>709</v>
      </c>
      <c r="H298" t="s">
        <v>1107</v>
      </c>
      <c r="I298" t="s">
        <v>735</v>
      </c>
      <c r="J298" t="s">
        <v>736</v>
      </c>
      <c r="K298" t="s">
        <v>1107</v>
      </c>
      <c r="L298" t="s">
        <v>735</v>
      </c>
      <c r="M298" t="s">
        <v>736</v>
      </c>
      <c r="N298" t="s">
        <v>1107</v>
      </c>
      <c r="O298" t="s">
        <v>735</v>
      </c>
      <c r="P298" t="s">
        <v>736</v>
      </c>
    </row>
    <row r="299" spans="1:16" x14ac:dyDescent="0.25">
      <c r="C299" t="s">
        <v>838</v>
      </c>
      <c r="D299">
        <v>0</v>
      </c>
      <c r="E299">
        <v>0</v>
      </c>
      <c r="F299" t="s">
        <v>1946</v>
      </c>
      <c r="G299" t="s">
        <v>1946</v>
      </c>
      <c r="H299" t="s">
        <v>1946</v>
      </c>
      <c r="I299">
        <v>0</v>
      </c>
      <c r="J299">
        <v>0</v>
      </c>
      <c r="K299" t="s">
        <v>1946</v>
      </c>
      <c r="L299">
        <v>0</v>
      </c>
      <c r="M299">
        <v>0</v>
      </c>
      <c r="N299" t="s">
        <v>1946</v>
      </c>
      <c r="O299">
        <v>0</v>
      </c>
      <c r="P299">
        <v>0</v>
      </c>
    </row>
    <row r="300" spans="1:16" x14ac:dyDescent="0.25">
      <c r="C300" t="s">
        <v>839</v>
      </c>
      <c r="D300">
        <v>0</v>
      </c>
      <c r="E300">
        <v>0</v>
      </c>
      <c r="F300" t="s">
        <v>1946</v>
      </c>
      <c r="G300" t="s">
        <v>1946</v>
      </c>
      <c r="H300" t="s">
        <v>1946</v>
      </c>
      <c r="I300">
        <v>0</v>
      </c>
      <c r="J300">
        <v>0</v>
      </c>
      <c r="K300" t="s">
        <v>1946</v>
      </c>
      <c r="L300">
        <v>0</v>
      </c>
      <c r="M300">
        <v>0</v>
      </c>
      <c r="N300" t="s">
        <v>1946</v>
      </c>
      <c r="O300">
        <v>0</v>
      </c>
      <c r="P300">
        <v>0</v>
      </c>
    </row>
    <row r="301" spans="1:16" x14ac:dyDescent="0.25">
      <c r="C301" t="s">
        <v>704</v>
      </c>
      <c r="D301">
        <v>0</v>
      </c>
      <c r="E301">
        <v>0</v>
      </c>
      <c r="F301" t="s">
        <v>1946</v>
      </c>
      <c r="G301" t="s">
        <v>1946</v>
      </c>
      <c r="H301" t="s">
        <v>1946</v>
      </c>
      <c r="I301">
        <v>0</v>
      </c>
      <c r="J301">
        <v>0</v>
      </c>
      <c r="K301" t="s">
        <v>1946</v>
      </c>
      <c r="L301">
        <v>0</v>
      </c>
      <c r="M301">
        <v>0</v>
      </c>
      <c r="N301" t="s">
        <v>1946</v>
      </c>
      <c r="O301">
        <v>0</v>
      </c>
      <c r="P301">
        <v>0</v>
      </c>
    </row>
    <row r="303" spans="1:16" x14ac:dyDescent="0.25">
      <c r="B303" t="s">
        <v>716</v>
      </c>
      <c r="C303" t="s">
        <v>838</v>
      </c>
      <c r="D303" t="s">
        <v>717</v>
      </c>
    </row>
    <row r="304" spans="1:16" x14ac:dyDescent="0.25">
      <c r="D304" t="s">
        <v>1302</v>
      </c>
      <c r="E304" t="s">
        <v>948</v>
      </c>
      <c r="F304" t="s">
        <v>718</v>
      </c>
      <c r="G304">
        <v>0</v>
      </c>
    </row>
    <row r="305" spans="3:7" x14ac:dyDescent="0.25">
      <c r="D305" t="s">
        <v>1302</v>
      </c>
      <c r="E305" t="s">
        <v>948</v>
      </c>
      <c r="F305" t="s">
        <v>718</v>
      </c>
      <c r="G305">
        <v>0</v>
      </c>
    </row>
    <row r="306" spans="3:7" x14ac:dyDescent="0.25">
      <c r="D306" t="s">
        <v>1302</v>
      </c>
      <c r="E306" t="s">
        <v>948</v>
      </c>
      <c r="F306" t="s">
        <v>718</v>
      </c>
      <c r="G306">
        <v>0</v>
      </c>
    </row>
    <row r="307" spans="3:7" x14ac:dyDescent="0.25">
      <c r="D307" t="s">
        <v>1302</v>
      </c>
      <c r="E307" t="s">
        <v>948</v>
      </c>
      <c r="F307" t="s">
        <v>718</v>
      </c>
      <c r="G307">
        <v>0</v>
      </c>
    </row>
    <row r="308" spans="3:7" x14ac:dyDescent="0.25">
      <c r="D308" t="s">
        <v>1302</v>
      </c>
      <c r="E308" t="s">
        <v>948</v>
      </c>
      <c r="F308" t="s">
        <v>718</v>
      </c>
      <c r="G308">
        <v>0</v>
      </c>
    </row>
    <row r="309" spans="3:7" x14ac:dyDescent="0.25">
      <c r="D309" t="s">
        <v>1302</v>
      </c>
      <c r="E309" t="s">
        <v>948</v>
      </c>
      <c r="F309" t="s">
        <v>718</v>
      </c>
      <c r="G309">
        <v>0</v>
      </c>
    </row>
    <row r="310" spans="3:7" x14ac:dyDescent="0.25">
      <c r="D310" t="s">
        <v>1302</v>
      </c>
      <c r="E310" t="s">
        <v>948</v>
      </c>
      <c r="F310" t="s">
        <v>718</v>
      </c>
      <c r="G310">
        <v>0</v>
      </c>
    </row>
    <row r="311" spans="3:7" x14ac:dyDescent="0.25">
      <c r="D311" t="s">
        <v>1302</v>
      </c>
      <c r="E311" t="s">
        <v>948</v>
      </c>
      <c r="F311" t="s">
        <v>718</v>
      </c>
      <c r="G311">
        <v>0</v>
      </c>
    </row>
    <row r="312" spans="3:7" x14ac:dyDescent="0.25">
      <c r="D312" t="s">
        <v>1302</v>
      </c>
      <c r="E312" t="s">
        <v>948</v>
      </c>
      <c r="F312" t="s">
        <v>718</v>
      </c>
      <c r="G312">
        <v>0</v>
      </c>
    </row>
    <row r="313" spans="3:7" x14ac:dyDescent="0.25">
      <c r="D313" t="s">
        <v>1302</v>
      </c>
      <c r="E313" t="s">
        <v>948</v>
      </c>
      <c r="F313" t="s">
        <v>718</v>
      </c>
      <c r="G313">
        <v>0</v>
      </c>
    </row>
    <row r="315" spans="3:7" x14ac:dyDescent="0.25">
      <c r="C315" t="s">
        <v>839</v>
      </c>
      <c r="D315" t="s">
        <v>717</v>
      </c>
    </row>
    <row r="316" spans="3:7" x14ac:dyDescent="0.25">
      <c r="D316" t="s">
        <v>1302</v>
      </c>
      <c r="E316" t="s">
        <v>948</v>
      </c>
      <c r="F316" t="s">
        <v>718</v>
      </c>
      <c r="G316">
        <v>0</v>
      </c>
    </row>
    <row r="317" spans="3:7" x14ac:dyDescent="0.25">
      <c r="D317" t="s">
        <v>1302</v>
      </c>
      <c r="E317" t="s">
        <v>948</v>
      </c>
      <c r="F317" t="s">
        <v>718</v>
      </c>
      <c r="G317">
        <v>0</v>
      </c>
    </row>
    <row r="318" spans="3:7" x14ac:dyDescent="0.25">
      <c r="D318" t="s">
        <v>1302</v>
      </c>
      <c r="E318" t="s">
        <v>948</v>
      </c>
      <c r="F318" t="s">
        <v>718</v>
      </c>
      <c r="G318">
        <v>0</v>
      </c>
    </row>
    <row r="319" spans="3:7" x14ac:dyDescent="0.25">
      <c r="D319" t="s">
        <v>1302</v>
      </c>
      <c r="E319" t="s">
        <v>948</v>
      </c>
      <c r="F319" t="s">
        <v>718</v>
      </c>
      <c r="G319">
        <v>0</v>
      </c>
    </row>
    <row r="320" spans="3:7" x14ac:dyDescent="0.25">
      <c r="D320" t="s">
        <v>1302</v>
      </c>
      <c r="E320" t="s">
        <v>948</v>
      </c>
      <c r="F320" t="s">
        <v>718</v>
      </c>
      <c r="G320">
        <v>0</v>
      </c>
    </row>
    <row r="321" spans="4:8" x14ac:dyDescent="0.25">
      <c r="D321" t="s">
        <v>1302</v>
      </c>
      <c r="E321" t="s">
        <v>948</v>
      </c>
      <c r="F321" t="s">
        <v>718</v>
      </c>
      <c r="G321">
        <v>0</v>
      </c>
    </row>
    <row r="322" spans="4:8" x14ac:dyDescent="0.25">
      <c r="D322" t="s">
        <v>1302</v>
      </c>
      <c r="E322" t="s">
        <v>948</v>
      </c>
      <c r="F322" t="s">
        <v>718</v>
      </c>
      <c r="G322">
        <v>0</v>
      </c>
    </row>
    <row r="323" spans="4:8" x14ac:dyDescent="0.25">
      <c r="D323" t="s">
        <v>1302</v>
      </c>
      <c r="E323" t="s">
        <v>948</v>
      </c>
      <c r="F323" t="s">
        <v>718</v>
      </c>
      <c r="G323">
        <v>0</v>
      </c>
    </row>
    <row r="324" spans="4:8" x14ac:dyDescent="0.25">
      <c r="D324" t="s">
        <v>1302</v>
      </c>
      <c r="E324" t="s">
        <v>948</v>
      </c>
      <c r="F324" t="s">
        <v>718</v>
      </c>
      <c r="G324">
        <v>0</v>
      </c>
    </row>
    <row r="325" spans="4:8" x14ac:dyDescent="0.25">
      <c r="D325" t="s">
        <v>1302</v>
      </c>
      <c r="E325" t="s">
        <v>948</v>
      </c>
      <c r="F325" t="s">
        <v>718</v>
      </c>
      <c r="G325">
        <v>0</v>
      </c>
    </row>
    <row r="326" spans="4:8" x14ac:dyDescent="0.25">
      <c r="D326" t="s">
        <v>843</v>
      </c>
      <c r="E326" t="s">
        <v>844</v>
      </c>
      <c r="F326">
        <v>0</v>
      </c>
      <c r="G326" t="s">
        <v>530</v>
      </c>
      <c r="H326">
        <v>0</v>
      </c>
    </row>
    <row r="327" spans="4:8" x14ac:dyDescent="0.25">
      <c r="D327" t="s">
        <v>846</v>
      </c>
      <c r="E327">
        <v>0</v>
      </c>
    </row>
    <row r="328" spans="4:8" x14ac:dyDescent="0.25">
      <c r="D328" t="s">
        <v>847</v>
      </c>
      <c r="E328">
        <v>0</v>
      </c>
    </row>
    <row r="329" spans="4:8" x14ac:dyDescent="0.25">
      <c r="D329" t="s">
        <v>601</v>
      </c>
      <c r="E329">
        <v>0</v>
      </c>
      <c r="F329" t="s">
        <v>1945</v>
      </c>
    </row>
    <row r="331" spans="4:8" x14ac:dyDescent="0.25">
      <c r="D331" t="s">
        <v>717</v>
      </c>
    </row>
    <row r="332" spans="4:8" x14ac:dyDescent="0.25">
      <c r="D332" t="s">
        <v>1302</v>
      </c>
      <c r="E332" t="s">
        <v>948</v>
      </c>
      <c r="F332" t="s">
        <v>718</v>
      </c>
      <c r="G332">
        <v>0</v>
      </c>
    </row>
    <row r="333" spans="4:8" x14ac:dyDescent="0.25">
      <c r="D333" t="s">
        <v>1302</v>
      </c>
      <c r="E333" t="s">
        <v>948</v>
      </c>
      <c r="F333" t="s">
        <v>718</v>
      </c>
      <c r="G333">
        <v>0</v>
      </c>
    </row>
    <row r="334" spans="4:8" x14ac:dyDescent="0.25">
      <c r="D334" t="s">
        <v>1302</v>
      </c>
      <c r="E334" t="s">
        <v>948</v>
      </c>
      <c r="F334" t="s">
        <v>718</v>
      </c>
      <c r="G334">
        <v>0</v>
      </c>
    </row>
    <row r="335" spans="4:8" x14ac:dyDescent="0.25">
      <c r="D335" t="s">
        <v>1302</v>
      </c>
      <c r="E335" t="s">
        <v>948</v>
      </c>
      <c r="F335" t="s">
        <v>718</v>
      </c>
      <c r="G335">
        <v>0</v>
      </c>
    </row>
    <row r="336" spans="4:8" x14ac:dyDescent="0.25">
      <c r="D336" t="s">
        <v>1302</v>
      </c>
      <c r="E336" t="s">
        <v>948</v>
      </c>
      <c r="F336" t="s">
        <v>718</v>
      </c>
      <c r="G336">
        <v>0</v>
      </c>
    </row>
    <row r="337" spans="1:8" x14ac:dyDescent="0.25">
      <c r="D337" t="s">
        <v>1302</v>
      </c>
      <c r="E337" t="s">
        <v>948</v>
      </c>
      <c r="F337" t="s">
        <v>718</v>
      </c>
      <c r="G337">
        <v>0</v>
      </c>
    </row>
    <row r="338" spans="1:8" x14ac:dyDescent="0.25">
      <c r="D338" t="s">
        <v>1302</v>
      </c>
      <c r="E338" t="s">
        <v>948</v>
      </c>
      <c r="F338" t="s">
        <v>718</v>
      </c>
      <c r="G338">
        <v>0</v>
      </c>
    </row>
    <row r="339" spans="1:8" x14ac:dyDescent="0.25">
      <c r="D339" t="s">
        <v>1302</v>
      </c>
      <c r="E339" t="s">
        <v>948</v>
      </c>
      <c r="F339" t="s">
        <v>718</v>
      </c>
      <c r="G339">
        <v>0</v>
      </c>
    </row>
    <row r="340" spans="1:8" x14ac:dyDescent="0.25">
      <c r="D340" t="s">
        <v>1302</v>
      </c>
      <c r="E340" t="s">
        <v>948</v>
      </c>
      <c r="F340" t="s">
        <v>718</v>
      </c>
      <c r="G340">
        <v>0</v>
      </c>
    </row>
    <row r="341" spans="1:8" x14ac:dyDescent="0.25">
      <c r="D341" t="s">
        <v>1302</v>
      </c>
      <c r="E341" t="s">
        <v>948</v>
      </c>
      <c r="F341" t="s">
        <v>718</v>
      </c>
      <c r="G341">
        <v>0</v>
      </c>
    </row>
    <row r="343" spans="1:8" x14ac:dyDescent="0.25">
      <c r="A343" t="s">
        <v>975</v>
      </c>
      <c r="C343" t="s">
        <v>1621</v>
      </c>
      <c r="D343" t="s">
        <v>1622</v>
      </c>
      <c r="E343" t="s">
        <v>1623</v>
      </c>
      <c r="F343" t="s">
        <v>1624</v>
      </c>
      <c r="G343" t="s">
        <v>1625</v>
      </c>
      <c r="H343" t="s">
        <v>1479</v>
      </c>
    </row>
    <row r="344" spans="1:8" x14ac:dyDescent="0.25">
      <c r="B344" t="s">
        <v>226</v>
      </c>
      <c r="C344">
        <v>0</v>
      </c>
      <c r="D344">
        <v>0</v>
      </c>
      <c r="E344">
        <v>0</v>
      </c>
      <c r="F344">
        <v>0</v>
      </c>
      <c r="G344">
        <v>0</v>
      </c>
      <c r="H344">
        <v>0</v>
      </c>
    </row>
    <row r="345" spans="1:8" x14ac:dyDescent="0.25">
      <c r="B345" t="s">
        <v>648</v>
      </c>
      <c r="C345">
        <v>0</v>
      </c>
      <c r="D345">
        <v>0</v>
      </c>
      <c r="E345">
        <v>0</v>
      </c>
      <c r="F345">
        <v>0</v>
      </c>
      <c r="G345">
        <v>0</v>
      </c>
      <c r="H345">
        <v>0</v>
      </c>
    </row>
    <row r="346" spans="1:8" x14ac:dyDescent="0.25">
      <c r="B346" t="s">
        <v>504</v>
      </c>
      <c r="C346">
        <v>0</v>
      </c>
      <c r="D346">
        <v>0</v>
      </c>
      <c r="E346">
        <v>0</v>
      </c>
      <c r="F346">
        <v>0</v>
      </c>
      <c r="G346">
        <v>0</v>
      </c>
      <c r="H346">
        <v>0</v>
      </c>
    </row>
    <row r="347" spans="1:8" x14ac:dyDescent="0.25">
      <c r="B347" t="s">
        <v>1914</v>
      </c>
      <c r="C347">
        <v>0</v>
      </c>
      <c r="D347">
        <v>0</v>
      </c>
      <c r="E347">
        <v>0</v>
      </c>
      <c r="F347">
        <v>0</v>
      </c>
      <c r="G347">
        <v>0</v>
      </c>
      <c r="H347">
        <v>0</v>
      </c>
    </row>
    <row r="350" spans="1:8" x14ac:dyDescent="0.25">
      <c r="A350" t="s">
        <v>690</v>
      </c>
      <c r="B350">
        <v>1.0327999999999999</v>
      </c>
    </row>
    <row r="351" spans="1:8" x14ac:dyDescent="0.25">
      <c r="A351" t="s">
        <v>691</v>
      </c>
      <c r="B351">
        <v>1.1000000000000001</v>
      </c>
    </row>
    <row r="352" spans="1:8" x14ac:dyDescent="0.25">
      <c r="A352" t="s">
        <v>1078</v>
      </c>
      <c r="B352" t="s">
        <v>1079</v>
      </c>
      <c r="C352" t="s">
        <v>1529</v>
      </c>
    </row>
    <row r="353" spans="1:8" x14ac:dyDescent="0.25">
      <c r="B353" t="s">
        <v>1080</v>
      </c>
    </row>
    <row r="354" spans="1:8" x14ac:dyDescent="0.25">
      <c r="B354" t="s">
        <v>1076</v>
      </c>
      <c r="H354" t="s">
        <v>1300</v>
      </c>
    </row>
    <row r="355" spans="1:8" x14ac:dyDescent="0.25">
      <c r="B355" t="s">
        <v>1077</v>
      </c>
    </row>
    <row r="356" spans="1:8" x14ac:dyDescent="0.25">
      <c r="B356" t="s">
        <v>1081</v>
      </c>
    </row>
    <row r="357" spans="1:8" x14ac:dyDescent="0.25">
      <c r="B357" t="s">
        <v>1082</v>
      </c>
    </row>
    <row r="358" spans="1:8" x14ac:dyDescent="0.25">
      <c r="B358" t="s">
        <v>1083</v>
      </c>
    </row>
    <row r="359" spans="1:8" x14ac:dyDescent="0.25">
      <c r="B359" t="s">
        <v>1084</v>
      </c>
    </row>
    <row r="361" spans="1:8" x14ac:dyDescent="0.25">
      <c r="A361" t="s">
        <v>102</v>
      </c>
      <c r="B361" t="s">
        <v>1303</v>
      </c>
      <c r="C361" t="s">
        <v>1304</v>
      </c>
      <c r="D361" t="s">
        <v>1529</v>
      </c>
    </row>
    <row r="362" spans="1:8" x14ac:dyDescent="0.25">
      <c r="B362" t="s">
        <v>1305</v>
      </c>
      <c r="C362" t="s">
        <v>1304</v>
      </c>
      <c r="D362" t="s">
        <v>1529</v>
      </c>
    </row>
    <row r="363" spans="1:8" x14ac:dyDescent="0.25">
      <c r="B363" t="s">
        <v>1307</v>
      </c>
      <c r="C363" t="s">
        <v>1304</v>
      </c>
      <c r="D363" t="s">
        <v>1529</v>
      </c>
    </row>
    <row r="364" spans="1:8" x14ac:dyDescent="0.25">
      <c r="B364" t="s">
        <v>1308</v>
      </c>
      <c r="C364" t="s">
        <v>1304</v>
      </c>
      <c r="D364" t="s">
        <v>1529</v>
      </c>
    </row>
    <row r="366" spans="1:8" x14ac:dyDescent="0.25">
      <c r="A366" t="s">
        <v>239</v>
      </c>
      <c r="B366" t="s">
        <v>240</v>
      </c>
      <c r="C366" t="s">
        <v>1309</v>
      </c>
    </row>
    <row r="367" spans="1:8" x14ac:dyDescent="0.25">
      <c r="B367" t="s">
        <v>1763</v>
      </c>
      <c r="C367" t="s">
        <v>1309</v>
      </c>
    </row>
    <row r="368" spans="1:8" x14ac:dyDescent="0.25">
      <c r="B368" t="s">
        <v>241</v>
      </c>
      <c r="C368" t="s">
        <v>1309</v>
      </c>
    </row>
    <row r="369" spans="1:5" x14ac:dyDescent="0.25">
      <c r="C369" t="s">
        <v>1296</v>
      </c>
    </row>
    <row r="370" spans="1:5" x14ac:dyDescent="0.25">
      <c r="A370" s="1410" t="s">
        <v>1295</v>
      </c>
      <c r="B370" s="1410">
        <v>0</v>
      </c>
      <c r="C370" s="1410">
        <v>0</v>
      </c>
    </row>
    <row r="371" spans="1:5" x14ac:dyDescent="0.25">
      <c r="A371" s="1410" t="s">
        <v>1577</v>
      </c>
      <c r="B371" s="1410">
        <v>0</v>
      </c>
      <c r="C371" s="1410">
        <v>0</v>
      </c>
    </row>
    <row r="372" spans="1:5" x14ac:dyDescent="0.25">
      <c r="A372" s="1410" t="s">
        <v>497</v>
      </c>
      <c r="B372" s="1410">
        <v>0</v>
      </c>
      <c r="C372" s="1410">
        <v>0</v>
      </c>
    </row>
    <row r="377" spans="1:5" x14ac:dyDescent="0.25">
      <c r="A377" t="s">
        <v>944</v>
      </c>
      <c r="D377" t="s">
        <v>1945</v>
      </c>
    </row>
    <row r="378" spans="1:5" x14ac:dyDescent="0.25">
      <c r="B378" t="s">
        <v>674</v>
      </c>
      <c r="C378">
        <v>0</v>
      </c>
    </row>
    <row r="379" spans="1:5" x14ac:dyDescent="0.25">
      <c r="B379" t="s">
        <v>788</v>
      </c>
      <c r="C379">
        <v>0</v>
      </c>
    </row>
    <row r="380" spans="1:5" x14ac:dyDescent="0.25">
      <c r="B380" t="s">
        <v>811</v>
      </c>
      <c r="C380">
        <v>0</v>
      </c>
    </row>
    <row r="381" spans="1:5" x14ac:dyDescent="0.25">
      <c r="B381" t="s">
        <v>677</v>
      </c>
      <c r="C381">
        <v>0</v>
      </c>
    </row>
    <row r="382" spans="1:5" x14ac:dyDescent="0.25">
      <c r="B382" t="s">
        <v>678</v>
      </c>
      <c r="C382">
        <v>0</v>
      </c>
    </row>
    <row r="383" spans="1:5" x14ac:dyDescent="0.25">
      <c r="B383" s="60" t="s">
        <v>67</v>
      </c>
      <c r="C383">
        <v>0</v>
      </c>
    </row>
    <row r="384" spans="1:5" x14ac:dyDescent="0.25">
      <c r="B384" t="s">
        <v>1297</v>
      </c>
      <c r="C384" t="s">
        <v>1298</v>
      </c>
      <c r="D384" t="s">
        <v>1969</v>
      </c>
      <c r="E384" t="s">
        <v>1584</v>
      </c>
    </row>
    <row r="385" spans="1:5" x14ac:dyDescent="0.25">
      <c r="A385" t="s">
        <v>229</v>
      </c>
      <c r="B385">
        <v>0</v>
      </c>
      <c r="C385">
        <v>0</v>
      </c>
      <c r="D385">
        <v>0</v>
      </c>
      <c r="E385" t="e">
        <v>#DIV/0!</v>
      </c>
    </row>
    <row r="386" spans="1:5" x14ac:dyDescent="0.25">
      <c r="A386" t="s">
        <v>230</v>
      </c>
      <c r="B386">
        <v>0</v>
      </c>
      <c r="C386">
        <v>0</v>
      </c>
      <c r="D386">
        <v>0</v>
      </c>
      <c r="E386" t="e">
        <v>#DIV/0!</v>
      </c>
    </row>
    <row r="387" spans="1:5" x14ac:dyDescent="0.25">
      <c r="A387" t="s">
        <v>246</v>
      </c>
      <c r="B387">
        <v>0</v>
      </c>
      <c r="C387">
        <v>0</v>
      </c>
      <c r="D387">
        <v>0</v>
      </c>
      <c r="E387" t="e">
        <v>#DIV/0!</v>
      </c>
    </row>
    <row r="388" spans="1:5" x14ac:dyDescent="0.25">
      <c r="A388" t="s">
        <v>247</v>
      </c>
      <c r="B388">
        <v>0</v>
      </c>
      <c r="C388">
        <v>0</v>
      </c>
      <c r="D388">
        <v>0</v>
      </c>
      <c r="E388" t="e">
        <v>#DIV/0!</v>
      </c>
    </row>
    <row r="389" spans="1:5" x14ac:dyDescent="0.25">
      <c r="A389" t="s">
        <v>248</v>
      </c>
      <c r="B389">
        <v>0</v>
      </c>
      <c r="C389">
        <v>0</v>
      </c>
      <c r="D389">
        <v>0</v>
      </c>
      <c r="E389" t="e">
        <v>#DIV/0!</v>
      </c>
    </row>
    <row r="390" spans="1:5" x14ac:dyDescent="0.25">
      <c r="A390" t="s">
        <v>249</v>
      </c>
      <c r="B390">
        <v>0</v>
      </c>
      <c r="C390">
        <v>0</v>
      </c>
      <c r="D390">
        <v>0</v>
      </c>
      <c r="E390" t="e">
        <v>#DIV/0!</v>
      </c>
    </row>
    <row r="395" spans="1:5" x14ac:dyDescent="0.25">
      <c r="A395" t="s">
        <v>1343</v>
      </c>
      <c r="B395" t="s">
        <v>1344</v>
      </c>
      <c r="C395" t="s">
        <v>488</v>
      </c>
      <c r="D395" t="s">
        <v>1802</v>
      </c>
      <c r="E395" t="s">
        <v>1803</v>
      </c>
    </row>
    <row r="396" spans="1:5" x14ac:dyDescent="0.25">
      <c r="C396">
        <v>0</v>
      </c>
      <c r="D396">
        <v>0</v>
      </c>
      <c r="E396">
        <v>0</v>
      </c>
    </row>
    <row r="397" spans="1:5" x14ac:dyDescent="0.25">
      <c r="C397">
        <v>0</v>
      </c>
      <c r="D397">
        <v>0</v>
      </c>
      <c r="E397">
        <v>0</v>
      </c>
    </row>
    <row r="398" spans="1:5" x14ac:dyDescent="0.25">
      <c r="C398">
        <v>0</v>
      </c>
      <c r="D398">
        <v>0</v>
      </c>
      <c r="E398">
        <v>0</v>
      </c>
    </row>
    <row r="399" spans="1:5" x14ac:dyDescent="0.25">
      <c r="C399">
        <v>0</v>
      </c>
      <c r="D399">
        <v>0</v>
      </c>
      <c r="E399">
        <v>0</v>
      </c>
    </row>
    <row r="401" spans="1:7" x14ac:dyDescent="0.25">
      <c r="A401" s="60" t="s">
        <v>58</v>
      </c>
    </row>
    <row r="406" spans="1:7" x14ac:dyDescent="0.25">
      <c r="A406" t="s">
        <v>895</v>
      </c>
      <c r="B406" t="s">
        <v>2061</v>
      </c>
      <c r="C406" t="s">
        <v>2062</v>
      </c>
      <c r="D406" t="s">
        <v>1458</v>
      </c>
      <c r="E406" t="s">
        <v>896</v>
      </c>
      <c r="F406" t="s">
        <v>897</v>
      </c>
      <c r="G406" t="s">
        <v>494</v>
      </c>
    </row>
    <row r="407" spans="1:7" x14ac:dyDescent="0.25">
      <c r="A407" t="s">
        <v>1456</v>
      </c>
      <c r="B407">
        <v>0</v>
      </c>
      <c r="C407" t="s">
        <v>1946</v>
      </c>
      <c r="D407">
        <v>0</v>
      </c>
      <c r="E407" t="s">
        <v>1946</v>
      </c>
      <c r="F407">
        <v>0</v>
      </c>
      <c r="G407" t="s">
        <v>480</v>
      </c>
    </row>
    <row r="408" spans="1:7" x14ac:dyDescent="0.25">
      <c r="B408">
        <v>0</v>
      </c>
      <c r="C408" t="s">
        <v>1946</v>
      </c>
      <c r="D408">
        <v>0</v>
      </c>
      <c r="E408" t="s">
        <v>1946</v>
      </c>
      <c r="F408">
        <v>0</v>
      </c>
      <c r="G408" t="s">
        <v>480</v>
      </c>
    </row>
    <row r="409" spans="1:7" x14ac:dyDescent="0.25">
      <c r="B409">
        <v>0</v>
      </c>
      <c r="C409" t="s">
        <v>1946</v>
      </c>
      <c r="D409">
        <v>0</v>
      </c>
      <c r="E409" t="s">
        <v>1946</v>
      </c>
      <c r="F409">
        <v>0</v>
      </c>
      <c r="G409" t="s">
        <v>480</v>
      </c>
    </row>
    <row r="410" spans="1:7" x14ac:dyDescent="0.25">
      <c r="B410">
        <v>0</v>
      </c>
      <c r="C410" t="s">
        <v>1946</v>
      </c>
      <c r="D410">
        <v>0</v>
      </c>
      <c r="E410" t="s">
        <v>1946</v>
      </c>
      <c r="F410">
        <v>0</v>
      </c>
      <c r="G410" t="s">
        <v>480</v>
      </c>
    </row>
    <row r="411" spans="1:7" x14ac:dyDescent="0.25">
      <c r="B411">
        <v>0</v>
      </c>
      <c r="C411" t="s">
        <v>1946</v>
      </c>
      <c r="D411">
        <v>0</v>
      </c>
      <c r="E411" t="s">
        <v>1946</v>
      </c>
      <c r="F411">
        <v>0</v>
      </c>
      <c r="G411" t="s">
        <v>480</v>
      </c>
    </row>
    <row r="412" spans="1:7" x14ac:dyDescent="0.25">
      <c r="B412">
        <v>0</v>
      </c>
      <c r="C412" t="s">
        <v>1946</v>
      </c>
      <c r="D412">
        <v>0</v>
      </c>
      <c r="E412" t="s">
        <v>1946</v>
      </c>
      <c r="F412">
        <v>0</v>
      </c>
      <c r="G412" t="s">
        <v>480</v>
      </c>
    </row>
    <row r="413" spans="1:7" x14ac:dyDescent="0.25">
      <c r="B413">
        <v>0</v>
      </c>
      <c r="C413" t="s">
        <v>1946</v>
      </c>
      <c r="D413">
        <v>0</v>
      </c>
      <c r="E413" t="s">
        <v>1946</v>
      </c>
      <c r="F413">
        <v>0</v>
      </c>
      <c r="G413" t="s">
        <v>480</v>
      </c>
    </row>
    <row r="414" spans="1:7" x14ac:dyDescent="0.25">
      <c r="B414">
        <v>0</v>
      </c>
      <c r="C414" t="s">
        <v>1946</v>
      </c>
      <c r="D414">
        <v>0</v>
      </c>
      <c r="E414" t="s">
        <v>1946</v>
      </c>
      <c r="F414">
        <v>0</v>
      </c>
      <c r="G414" t="s">
        <v>480</v>
      </c>
    </row>
    <row r="415" spans="1:7" x14ac:dyDescent="0.25">
      <c r="B415">
        <v>0</v>
      </c>
      <c r="C415" t="s">
        <v>1946</v>
      </c>
      <c r="D415">
        <v>0</v>
      </c>
      <c r="E415" t="s">
        <v>1946</v>
      </c>
      <c r="F415">
        <v>0</v>
      </c>
      <c r="G415" t="s">
        <v>480</v>
      </c>
    </row>
    <row r="416" spans="1:7" x14ac:dyDescent="0.25">
      <c r="B416">
        <v>0</v>
      </c>
      <c r="C416" t="s">
        <v>1946</v>
      </c>
      <c r="D416">
        <v>0</v>
      </c>
      <c r="E416" t="s">
        <v>1946</v>
      </c>
      <c r="F416">
        <v>0</v>
      </c>
      <c r="G416" t="s">
        <v>480</v>
      </c>
    </row>
    <row r="417" spans="1:7" x14ac:dyDescent="0.25">
      <c r="B417">
        <v>0</v>
      </c>
      <c r="C417" t="s">
        <v>1946</v>
      </c>
      <c r="D417">
        <v>0</v>
      </c>
      <c r="E417" t="s">
        <v>1946</v>
      </c>
      <c r="F417">
        <v>0</v>
      </c>
      <c r="G417" t="s">
        <v>480</v>
      </c>
    </row>
    <row r="418" spans="1:7" x14ac:dyDescent="0.25">
      <c r="B418">
        <v>0</v>
      </c>
      <c r="C418" t="s">
        <v>1946</v>
      </c>
      <c r="D418">
        <v>0</v>
      </c>
      <c r="E418" t="s">
        <v>1946</v>
      </c>
      <c r="F418">
        <v>0</v>
      </c>
      <c r="G418" t="s">
        <v>480</v>
      </c>
    </row>
    <row r="419" spans="1:7" x14ac:dyDescent="0.25">
      <c r="B419">
        <v>0</v>
      </c>
      <c r="C419" t="s">
        <v>1946</v>
      </c>
      <c r="D419">
        <v>0</v>
      </c>
      <c r="E419" t="s">
        <v>1946</v>
      </c>
      <c r="F419">
        <v>0</v>
      </c>
      <c r="G419" t="s">
        <v>480</v>
      </c>
    </row>
    <row r="420" spans="1:7" x14ac:dyDescent="0.25">
      <c r="B420">
        <v>0</v>
      </c>
      <c r="C420" t="s">
        <v>1946</v>
      </c>
      <c r="D420">
        <v>0</v>
      </c>
      <c r="E420" t="s">
        <v>1946</v>
      </c>
      <c r="F420">
        <v>0</v>
      </c>
      <c r="G420" t="s">
        <v>480</v>
      </c>
    </row>
    <row r="421" spans="1:7" x14ac:dyDescent="0.25">
      <c r="B421">
        <v>0</v>
      </c>
      <c r="C421" t="s">
        <v>1946</v>
      </c>
      <c r="D421">
        <v>0</v>
      </c>
      <c r="E421" t="s">
        <v>1946</v>
      </c>
      <c r="F421">
        <v>0</v>
      </c>
      <c r="G421" t="s">
        <v>480</v>
      </c>
    </row>
    <row r="422" spans="1:7" x14ac:dyDescent="0.25">
      <c r="B422">
        <v>0</v>
      </c>
      <c r="C422" t="s">
        <v>1946</v>
      </c>
      <c r="D422">
        <v>0</v>
      </c>
      <c r="E422" t="s">
        <v>1946</v>
      </c>
      <c r="F422">
        <v>0</v>
      </c>
      <c r="G422" t="s">
        <v>480</v>
      </c>
    </row>
    <row r="423" spans="1:7" x14ac:dyDescent="0.25">
      <c r="B423">
        <v>0</v>
      </c>
      <c r="C423" t="s">
        <v>1946</v>
      </c>
      <c r="D423">
        <v>0</v>
      </c>
      <c r="E423" t="s">
        <v>1946</v>
      </c>
      <c r="F423">
        <v>0</v>
      </c>
      <c r="G423" t="s">
        <v>480</v>
      </c>
    </row>
    <row r="424" spans="1:7" x14ac:dyDescent="0.25">
      <c r="B424">
        <v>0</v>
      </c>
      <c r="C424" t="s">
        <v>1946</v>
      </c>
      <c r="D424">
        <v>0</v>
      </c>
      <c r="E424" t="s">
        <v>1946</v>
      </c>
      <c r="F424">
        <v>0</v>
      </c>
      <c r="G424" t="s">
        <v>480</v>
      </c>
    </row>
    <row r="425" spans="1:7" x14ac:dyDescent="0.25">
      <c r="B425">
        <v>0</v>
      </c>
      <c r="C425" t="s">
        <v>1946</v>
      </c>
      <c r="D425">
        <v>0</v>
      </c>
      <c r="E425" t="s">
        <v>1946</v>
      </c>
      <c r="F425">
        <v>0</v>
      </c>
      <c r="G425" t="s">
        <v>480</v>
      </c>
    </row>
    <row r="426" spans="1:7" x14ac:dyDescent="0.25">
      <c r="B426">
        <v>0</v>
      </c>
      <c r="C426" t="s">
        <v>1946</v>
      </c>
      <c r="D426">
        <v>0</v>
      </c>
      <c r="E426" t="s">
        <v>1946</v>
      </c>
      <c r="F426">
        <v>0</v>
      </c>
      <c r="G426" t="s">
        <v>480</v>
      </c>
    </row>
    <row r="428" spans="1:7" x14ac:dyDescent="0.25">
      <c r="A428" t="s">
        <v>898</v>
      </c>
      <c r="B428" t="s">
        <v>2061</v>
      </c>
      <c r="C428" t="s">
        <v>2062</v>
      </c>
      <c r="D428" t="s">
        <v>1458</v>
      </c>
      <c r="E428" t="s">
        <v>2062</v>
      </c>
    </row>
    <row r="429" spans="1:7" x14ac:dyDescent="0.25">
      <c r="B429">
        <v>0</v>
      </c>
      <c r="C429" t="s">
        <v>1946</v>
      </c>
      <c r="D429">
        <v>0</v>
      </c>
      <c r="E429" t="s">
        <v>1946</v>
      </c>
    </row>
    <row r="430" spans="1:7" x14ac:dyDescent="0.25">
      <c r="B430">
        <v>0</v>
      </c>
      <c r="C430" t="s">
        <v>1946</v>
      </c>
      <c r="D430">
        <v>0</v>
      </c>
      <c r="E430" t="s">
        <v>1946</v>
      </c>
    </row>
    <row r="431" spans="1:7" x14ac:dyDescent="0.25">
      <c r="B431">
        <v>0</v>
      </c>
      <c r="C431" t="s">
        <v>1946</v>
      </c>
      <c r="D431">
        <v>0</v>
      </c>
      <c r="E431" t="s">
        <v>1946</v>
      </c>
    </row>
    <row r="432" spans="1:7" x14ac:dyDescent="0.25">
      <c r="B432">
        <v>0</v>
      </c>
      <c r="C432" t="s">
        <v>1946</v>
      </c>
      <c r="D432">
        <v>0</v>
      </c>
      <c r="E432" t="s">
        <v>1946</v>
      </c>
    </row>
    <row r="433" spans="2:5" x14ac:dyDescent="0.25">
      <c r="B433">
        <v>0</v>
      </c>
      <c r="C433" t="s">
        <v>1946</v>
      </c>
      <c r="D433">
        <v>0</v>
      </c>
      <c r="E433" t="s">
        <v>1946</v>
      </c>
    </row>
    <row r="434" spans="2:5" x14ac:dyDescent="0.25">
      <c r="B434">
        <v>0</v>
      </c>
      <c r="C434" t="s">
        <v>1946</v>
      </c>
      <c r="D434">
        <v>0</v>
      </c>
      <c r="E434" t="s">
        <v>1946</v>
      </c>
    </row>
    <row r="435" spans="2:5" x14ac:dyDescent="0.25">
      <c r="B435">
        <v>0</v>
      </c>
      <c r="C435" t="s">
        <v>1946</v>
      </c>
      <c r="D435">
        <v>0</v>
      </c>
      <c r="E435" t="s">
        <v>1946</v>
      </c>
    </row>
    <row r="436" spans="2:5" x14ac:dyDescent="0.25">
      <c r="B436">
        <v>0</v>
      </c>
      <c r="C436" t="s">
        <v>1946</v>
      </c>
      <c r="D436">
        <v>0</v>
      </c>
      <c r="E436" t="s">
        <v>1946</v>
      </c>
    </row>
    <row r="437" spans="2:5" x14ac:dyDescent="0.25">
      <c r="B437">
        <v>0</v>
      </c>
      <c r="C437" t="s">
        <v>1946</v>
      </c>
      <c r="D437">
        <v>0</v>
      </c>
      <c r="E437" t="s">
        <v>1946</v>
      </c>
    </row>
    <row r="438" spans="2:5" x14ac:dyDescent="0.25">
      <c r="B438">
        <v>0</v>
      </c>
      <c r="C438" t="s">
        <v>1946</v>
      </c>
      <c r="D438">
        <v>0</v>
      </c>
      <c r="E438" t="s">
        <v>1946</v>
      </c>
    </row>
    <row r="439" spans="2:5" x14ac:dyDescent="0.25">
      <c r="B439">
        <v>0</v>
      </c>
      <c r="C439" t="s">
        <v>1946</v>
      </c>
      <c r="D439">
        <v>0</v>
      </c>
      <c r="E439" t="s">
        <v>1946</v>
      </c>
    </row>
    <row r="440" spans="2:5" x14ac:dyDescent="0.25">
      <c r="B440">
        <v>0</v>
      </c>
      <c r="C440" t="s">
        <v>1946</v>
      </c>
      <c r="D440">
        <v>0</v>
      </c>
      <c r="E440" t="s">
        <v>1946</v>
      </c>
    </row>
    <row r="441" spans="2:5" x14ac:dyDescent="0.25">
      <c r="B441">
        <v>0</v>
      </c>
      <c r="C441" t="s">
        <v>1946</v>
      </c>
      <c r="D441">
        <v>0</v>
      </c>
      <c r="E441" t="s">
        <v>1946</v>
      </c>
    </row>
    <row r="442" spans="2:5" x14ac:dyDescent="0.25">
      <c r="B442">
        <v>0</v>
      </c>
      <c r="C442" t="s">
        <v>1946</v>
      </c>
      <c r="D442">
        <v>0</v>
      </c>
      <c r="E442" t="s">
        <v>1946</v>
      </c>
    </row>
    <row r="443" spans="2:5" x14ac:dyDescent="0.25">
      <c r="B443">
        <v>0</v>
      </c>
      <c r="C443" t="s">
        <v>1946</v>
      </c>
      <c r="D443">
        <v>0</v>
      </c>
      <c r="E443" t="s">
        <v>1946</v>
      </c>
    </row>
    <row r="444" spans="2:5" x14ac:dyDescent="0.25">
      <c r="B444">
        <v>0</v>
      </c>
      <c r="C444" t="s">
        <v>1946</v>
      </c>
      <c r="D444">
        <v>0</v>
      </c>
      <c r="E444" t="s">
        <v>1946</v>
      </c>
    </row>
    <row r="445" spans="2:5" x14ac:dyDescent="0.25">
      <c r="B445">
        <v>0</v>
      </c>
      <c r="C445" t="s">
        <v>1946</v>
      </c>
      <c r="D445">
        <v>0</v>
      </c>
      <c r="E445" t="s">
        <v>1946</v>
      </c>
    </row>
    <row r="446" spans="2:5" x14ac:dyDescent="0.25">
      <c r="B446">
        <v>0</v>
      </c>
      <c r="C446" t="s">
        <v>1946</v>
      </c>
      <c r="D446">
        <v>0</v>
      </c>
      <c r="E446" t="s">
        <v>1946</v>
      </c>
    </row>
    <row r="447" spans="2:5" x14ac:dyDescent="0.25">
      <c r="B447">
        <v>0</v>
      </c>
      <c r="C447" t="s">
        <v>1946</v>
      </c>
      <c r="D447">
        <v>0</v>
      </c>
      <c r="E447" t="s">
        <v>1946</v>
      </c>
    </row>
    <row r="448" spans="2:5" x14ac:dyDescent="0.25">
      <c r="B448">
        <v>0</v>
      </c>
      <c r="C448" t="s">
        <v>1946</v>
      </c>
      <c r="D448">
        <v>0</v>
      </c>
      <c r="E448" t="s">
        <v>1946</v>
      </c>
    </row>
    <row r="450" spans="1:6" x14ac:dyDescent="0.25">
      <c r="A450" t="s">
        <v>899</v>
      </c>
      <c r="B450" t="s">
        <v>2061</v>
      </c>
      <c r="C450" t="s">
        <v>2062</v>
      </c>
      <c r="D450" t="s">
        <v>1458</v>
      </c>
      <c r="E450" t="s">
        <v>2062</v>
      </c>
      <c r="F450" t="s">
        <v>1273</v>
      </c>
    </row>
    <row r="451" spans="1:6" x14ac:dyDescent="0.25">
      <c r="B451">
        <v>0</v>
      </c>
      <c r="C451" t="s">
        <v>1946</v>
      </c>
      <c r="D451">
        <v>0</v>
      </c>
      <c r="E451" t="s">
        <v>1946</v>
      </c>
    </row>
    <row r="452" spans="1:6" x14ac:dyDescent="0.25">
      <c r="B452">
        <v>0</v>
      </c>
      <c r="C452" t="s">
        <v>1946</v>
      </c>
      <c r="D452">
        <v>0</v>
      </c>
      <c r="E452" t="s">
        <v>1946</v>
      </c>
    </row>
    <row r="453" spans="1:6" x14ac:dyDescent="0.25">
      <c r="B453">
        <v>0</v>
      </c>
      <c r="C453" t="s">
        <v>1946</v>
      </c>
      <c r="D453">
        <v>0</v>
      </c>
      <c r="E453" t="s">
        <v>1946</v>
      </c>
    </row>
    <row r="454" spans="1:6" x14ac:dyDescent="0.25">
      <c r="B454">
        <v>0</v>
      </c>
      <c r="C454" t="s">
        <v>1946</v>
      </c>
      <c r="D454">
        <v>0</v>
      </c>
      <c r="E454" t="s">
        <v>1946</v>
      </c>
    </row>
    <row r="455" spans="1:6" x14ac:dyDescent="0.25">
      <c r="B455">
        <v>0</v>
      </c>
      <c r="C455" t="s">
        <v>1946</v>
      </c>
      <c r="D455">
        <v>0</v>
      </c>
      <c r="E455" t="s">
        <v>1946</v>
      </c>
    </row>
    <row r="456" spans="1:6" x14ac:dyDescent="0.25">
      <c r="B456">
        <v>0</v>
      </c>
      <c r="C456" t="s">
        <v>1946</v>
      </c>
      <c r="D456">
        <v>0</v>
      </c>
      <c r="E456" t="s">
        <v>1946</v>
      </c>
    </row>
    <row r="457" spans="1:6" x14ac:dyDescent="0.25">
      <c r="B457">
        <v>0</v>
      </c>
      <c r="C457" t="s">
        <v>1946</v>
      </c>
      <c r="D457">
        <v>0</v>
      </c>
      <c r="E457" t="s">
        <v>1946</v>
      </c>
    </row>
    <row r="458" spans="1:6" x14ac:dyDescent="0.25">
      <c r="B458">
        <v>0</v>
      </c>
      <c r="C458" t="s">
        <v>1946</v>
      </c>
      <c r="D458">
        <v>0</v>
      </c>
      <c r="E458" t="s">
        <v>1946</v>
      </c>
    </row>
    <row r="459" spans="1:6" x14ac:dyDescent="0.25">
      <c r="B459">
        <v>0</v>
      </c>
      <c r="C459" t="s">
        <v>1946</v>
      </c>
      <c r="D459">
        <v>0</v>
      </c>
      <c r="E459" t="s">
        <v>1946</v>
      </c>
    </row>
    <row r="460" spans="1:6" x14ac:dyDescent="0.25">
      <c r="B460">
        <v>0</v>
      </c>
      <c r="C460" t="s">
        <v>1946</v>
      </c>
      <c r="D460">
        <v>0</v>
      </c>
      <c r="E460" t="s">
        <v>1946</v>
      </c>
    </row>
    <row r="461" spans="1:6" x14ac:dyDescent="0.25">
      <c r="B461">
        <v>0</v>
      </c>
      <c r="C461" t="s">
        <v>1946</v>
      </c>
      <c r="D461">
        <v>0</v>
      </c>
      <c r="E461" t="s">
        <v>1946</v>
      </c>
    </row>
    <row r="462" spans="1:6" x14ac:dyDescent="0.25">
      <c r="B462">
        <v>0</v>
      </c>
      <c r="C462" t="s">
        <v>1946</v>
      </c>
      <c r="D462">
        <v>0</v>
      </c>
      <c r="E462" t="s">
        <v>1946</v>
      </c>
    </row>
    <row r="463" spans="1:6" x14ac:dyDescent="0.25">
      <c r="B463">
        <v>0</v>
      </c>
      <c r="C463" t="s">
        <v>1946</v>
      </c>
      <c r="D463">
        <v>0</v>
      </c>
      <c r="E463" t="s">
        <v>1946</v>
      </c>
    </row>
    <row r="464" spans="1:6" x14ac:dyDescent="0.25">
      <c r="B464">
        <v>0</v>
      </c>
      <c r="C464" t="s">
        <v>1946</v>
      </c>
      <c r="D464">
        <v>0</v>
      </c>
      <c r="E464" t="s">
        <v>1946</v>
      </c>
    </row>
    <row r="465" spans="1:6" x14ac:dyDescent="0.25">
      <c r="B465">
        <v>0</v>
      </c>
      <c r="C465" t="s">
        <v>1946</v>
      </c>
      <c r="D465">
        <v>0</v>
      </c>
      <c r="E465" t="s">
        <v>1946</v>
      </c>
    </row>
    <row r="466" spans="1:6" x14ac:dyDescent="0.25">
      <c r="B466">
        <v>0</v>
      </c>
      <c r="C466" t="s">
        <v>1946</v>
      </c>
      <c r="D466">
        <v>0</v>
      </c>
      <c r="E466" t="s">
        <v>1946</v>
      </c>
    </row>
    <row r="467" spans="1:6" x14ac:dyDescent="0.25">
      <c r="B467">
        <v>0</v>
      </c>
      <c r="C467" t="s">
        <v>1946</v>
      </c>
      <c r="D467">
        <v>0</v>
      </c>
      <c r="E467" t="s">
        <v>1946</v>
      </c>
    </row>
    <row r="468" spans="1:6" x14ac:dyDescent="0.25">
      <c r="B468">
        <v>0</v>
      </c>
      <c r="C468" t="s">
        <v>1946</v>
      </c>
      <c r="D468">
        <v>0</v>
      </c>
      <c r="E468" t="s">
        <v>1946</v>
      </c>
    </row>
    <row r="469" spans="1:6" x14ac:dyDescent="0.25">
      <c r="B469">
        <v>0</v>
      </c>
      <c r="C469" t="s">
        <v>1946</v>
      </c>
      <c r="D469">
        <v>0</v>
      </c>
      <c r="E469" t="s">
        <v>1946</v>
      </c>
    </row>
    <row r="470" spans="1:6" x14ac:dyDescent="0.25">
      <c r="B470">
        <v>0</v>
      </c>
      <c r="C470" t="s">
        <v>1946</v>
      </c>
      <c r="D470">
        <v>0</v>
      </c>
      <c r="E470" t="s">
        <v>1946</v>
      </c>
    </row>
    <row r="472" spans="1:6" x14ac:dyDescent="0.25">
      <c r="A472" t="s">
        <v>900</v>
      </c>
      <c r="B472" t="s">
        <v>2061</v>
      </c>
      <c r="C472" t="s">
        <v>2062</v>
      </c>
      <c r="D472" t="s">
        <v>1458</v>
      </c>
      <c r="E472" t="s">
        <v>2062</v>
      </c>
      <c r="F472" t="s">
        <v>1273</v>
      </c>
    </row>
    <row r="473" spans="1:6" x14ac:dyDescent="0.25">
      <c r="B473">
        <v>0</v>
      </c>
      <c r="C473" t="s">
        <v>1946</v>
      </c>
      <c r="D473">
        <v>0</v>
      </c>
      <c r="E473" t="s">
        <v>1946</v>
      </c>
      <c r="F473">
        <v>0</v>
      </c>
    </row>
    <row r="474" spans="1:6" x14ac:dyDescent="0.25">
      <c r="B474">
        <v>0</v>
      </c>
      <c r="C474" t="s">
        <v>1946</v>
      </c>
      <c r="D474">
        <v>0</v>
      </c>
      <c r="E474" t="s">
        <v>1946</v>
      </c>
      <c r="F474">
        <v>0</v>
      </c>
    </row>
    <row r="475" spans="1:6" x14ac:dyDescent="0.25">
      <c r="B475">
        <v>0</v>
      </c>
      <c r="C475" t="s">
        <v>1946</v>
      </c>
      <c r="D475">
        <v>0</v>
      </c>
      <c r="E475" t="s">
        <v>1946</v>
      </c>
      <c r="F475">
        <v>0</v>
      </c>
    </row>
    <row r="476" spans="1:6" x14ac:dyDescent="0.25">
      <c r="B476">
        <v>0</v>
      </c>
      <c r="C476" t="s">
        <v>1946</v>
      </c>
      <c r="D476">
        <v>0</v>
      </c>
      <c r="E476" t="s">
        <v>1946</v>
      </c>
      <c r="F476">
        <v>0</v>
      </c>
    </row>
    <row r="477" spans="1:6" x14ac:dyDescent="0.25">
      <c r="B477">
        <v>0</v>
      </c>
      <c r="C477" t="s">
        <v>1946</v>
      </c>
      <c r="D477">
        <v>0</v>
      </c>
      <c r="E477" t="s">
        <v>1946</v>
      </c>
      <c r="F477">
        <v>0</v>
      </c>
    </row>
    <row r="478" spans="1:6" x14ac:dyDescent="0.25">
      <c r="B478">
        <v>0</v>
      </c>
      <c r="C478" t="s">
        <v>1946</v>
      </c>
      <c r="D478">
        <v>0</v>
      </c>
      <c r="E478" t="s">
        <v>1946</v>
      </c>
      <c r="F478">
        <v>0</v>
      </c>
    </row>
    <row r="479" spans="1:6" x14ac:dyDescent="0.25">
      <c r="B479">
        <v>0</v>
      </c>
      <c r="C479" t="s">
        <v>1946</v>
      </c>
      <c r="D479">
        <v>0</v>
      </c>
      <c r="E479" t="s">
        <v>1946</v>
      </c>
      <c r="F479">
        <v>0</v>
      </c>
    </row>
    <row r="480" spans="1:6" x14ac:dyDescent="0.25">
      <c r="B480">
        <v>0</v>
      </c>
      <c r="C480" t="s">
        <v>1946</v>
      </c>
      <c r="D480">
        <v>0</v>
      </c>
      <c r="E480" t="s">
        <v>1946</v>
      </c>
      <c r="F480">
        <v>0</v>
      </c>
    </row>
    <row r="481" spans="2:6" x14ac:dyDescent="0.25">
      <c r="B481">
        <v>0</v>
      </c>
      <c r="C481" t="s">
        <v>1946</v>
      </c>
      <c r="D481">
        <v>0</v>
      </c>
      <c r="E481" t="s">
        <v>1946</v>
      </c>
      <c r="F481">
        <v>0</v>
      </c>
    </row>
    <row r="482" spans="2:6" x14ac:dyDescent="0.25">
      <c r="B482">
        <v>0</v>
      </c>
      <c r="C482" t="s">
        <v>1946</v>
      </c>
      <c r="D482">
        <v>0</v>
      </c>
      <c r="E482" t="s">
        <v>1946</v>
      </c>
      <c r="F482">
        <v>0</v>
      </c>
    </row>
    <row r="483" spans="2:6" x14ac:dyDescent="0.25">
      <c r="B483">
        <v>0</v>
      </c>
      <c r="C483" t="s">
        <v>1946</v>
      </c>
      <c r="D483">
        <v>0</v>
      </c>
      <c r="E483" t="s">
        <v>1946</v>
      </c>
      <c r="F483">
        <v>0</v>
      </c>
    </row>
    <row r="484" spans="2:6" x14ac:dyDescent="0.25">
      <c r="B484">
        <v>0</v>
      </c>
      <c r="C484" t="s">
        <v>1946</v>
      </c>
      <c r="D484">
        <v>0</v>
      </c>
      <c r="E484" t="s">
        <v>1946</v>
      </c>
      <c r="F484">
        <v>0</v>
      </c>
    </row>
    <row r="485" spans="2:6" x14ac:dyDescent="0.25">
      <c r="B485">
        <v>0</v>
      </c>
      <c r="C485" t="s">
        <v>1946</v>
      </c>
      <c r="D485">
        <v>0</v>
      </c>
      <c r="E485" t="s">
        <v>1946</v>
      </c>
      <c r="F485">
        <v>0</v>
      </c>
    </row>
    <row r="486" spans="2:6" x14ac:dyDescent="0.25">
      <c r="B486">
        <v>0</v>
      </c>
      <c r="C486" t="s">
        <v>1946</v>
      </c>
      <c r="D486">
        <v>0</v>
      </c>
      <c r="E486" t="s">
        <v>1946</v>
      </c>
      <c r="F486">
        <v>0</v>
      </c>
    </row>
    <row r="487" spans="2:6" x14ac:dyDescent="0.25">
      <c r="B487">
        <v>0</v>
      </c>
      <c r="C487" t="s">
        <v>1946</v>
      </c>
      <c r="D487">
        <v>0</v>
      </c>
      <c r="E487" t="s">
        <v>1946</v>
      </c>
      <c r="F487">
        <v>0</v>
      </c>
    </row>
    <row r="488" spans="2:6" x14ac:dyDescent="0.25">
      <c r="B488">
        <v>0</v>
      </c>
      <c r="C488" t="s">
        <v>1946</v>
      </c>
      <c r="D488">
        <v>0</v>
      </c>
      <c r="E488" t="s">
        <v>1946</v>
      </c>
      <c r="F488">
        <v>0</v>
      </c>
    </row>
    <row r="489" spans="2:6" x14ac:dyDescent="0.25">
      <c r="B489">
        <v>0</v>
      </c>
      <c r="C489" t="s">
        <v>1946</v>
      </c>
      <c r="D489">
        <v>0</v>
      </c>
      <c r="E489" t="s">
        <v>1946</v>
      </c>
      <c r="F489">
        <v>0</v>
      </c>
    </row>
    <row r="490" spans="2:6" x14ac:dyDescent="0.25">
      <c r="B490">
        <v>0</v>
      </c>
      <c r="C490" t="s">
        <v>1946</v>
      </c>
      <c r="D490">
        <v>0</v>
      </c>
      <c r="E490" t="s">
        <v>1946</v>
      </c>
      <c r="F490">
        <v>0</v>
      </c>
    </row>
    <row r="491" spans="2:6" x14ac:dyDescent="0.25">
      <c r="B491">
        <v>0</v>
      </c>
      <c r="C491" t="s">
        <v>1946</v>
      </c>
      <c r="D491">
        <v>0</v>
      </c>
      <c r="E491" t="s">
        <v>1946</v>
      </c>
      <c r="F491">
        <v>0</v>
      </c>
    </row>
    <row r="492" spans="2:6" x14ac:dyDescent="0.25">
      <c r="B492">
        <v>0</v>
      </c>
      <c r="C492" t="s">
        <v>1946</v>
      </c>
      <c r="D492">
        <v>0</v>
      </c>
      <c r="E492" t="s">
        <v>1946</v>
      </c>
      <c r="F492">
        <v>0</v>
      </c>
    </row>
    <row r="503" spans="1:5" ht="63.4" x14ac:dyDescent="0.25">
      <c r="A503" s="1145" t="s">
        <v>2024</v>
      </c>
      <c r="B503" s="1154"/>
      <c r="C503" s="1153" t="s">
        <v>597</v>
      </c>
      <c r="D503" s="1154" t="s">
        <v>598</v>
      </c>
      <c r="E503" s="1154" t="s">
        <v>599</v>
      </c>
    </row>
    <row r="504" spans="1:5" x14ac:dyDescent="0.25">
      <c r="A504" s="1576" t="s">
        <v>501</v>
      </c>
      <c r="B504" s="1154">
        <v>0</v>
      </c>
      <c r="C504" s="1154">
        <v>0</v>
      </c>
      <c r="D504" s="1154" t="str">
        <f>'1.GeneralInfo'!M12</f>
        <v/>
      </c>
      <c r="E504" s="1153" t="str">
        <f>'1.GeneralInfo'!N12</f>
        <v/>
      </c>
    </row>
    <row r="505" spans="1:5" x14ac:dyDescent="0.25">
      <c r="A505" s="1577" t="s">
        <v>502</v>
      </c>
      <c r="B505" s="1154">
        <v>0</v>
      </c>
      <c r="C505" s="1154">
        <v>0</v>
      </c>
      <c r="D505" s="1154" t="str">
        <f>'1.GeneralInfo'!M13</f>
        <v/>
      </c>
      <c r="E505" s="1153" t="str">
        <f>'1.GeneralInfo'!N13</f>
        <v/>
      </c>
    </row>
    <row r="506" spans="1:5" x14ac:dyDescent="0.25">
      <c r="A506" s="1577" t="s">
        <v>503</v>
      </c>
      <c r="B506" s="1154">
        <v>0</v>
      </c>
      <c r="C506" s="1154">
        <v>0</v>
      </c>
      <c r="D506" s="1154" t="str">
        <f>'1.GeneralInfo'!M14</f>
        <v/>
      </c>
      <c r="E506" s="1153" t="str">
        <f>'1.GeneralInfo'!N14</f>
        <v/>
      </c>
    </row>
    <row r="507" spans="1:5" x14ac:dyDescent="0.25">
      <c r="A507" s="1577" t="s">
        <v>1722</v>
      </c>
      <c r="B507" s="1154">
        <v>0</v>
      </c>
      <c r="C507" s="1154">
        <v>0</v>
      </c>
      <c r="D507" s="1154" t="str">
        <f>'1.GeneralInfo'!M15</f>
        <v/>
      </c>
      <c r="E507" s="1153" t="str">
        <f>'1.GeneralInfo'!N15</f>
        <v/>
      </c>
    </row>
  </sheetData>
  <phoneticPr fontId="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0.Usage,Licence,Disclaimer</vt:lpstr>
      <vt:lpstr>1.GeneralInfo</vt:lpstr>
      <vt:lpstr>2.CropManagement</vt:lpstr>
      <vt:lpstr>3.Sequestration</vt:lpstr>
      <vt:lpstr>4.Livestock</vt:lpstr>
      <vt:lpstr>5.FieldEnergyUse</vt:lpstr>
      <vt:lpstr>6.PrimaryProcessing</vt:lpstr>
      <vt:lpstr>7.Transport</vt:lpstr>
      <vt:lpstr>8.ResultsGraphs</vt:lpstr>
      <vt:lpstr>8a.CoProductResults</vt:lpstr>
      <vt:lpstr>9.DefaultFactors</vt:lpstr>
      <vt:lpstr>A1. Submodels &amp; data</vt:lpstr>
      <vt:lpstr>A2. Livestockdata</vt:lpstr>
      <vt:lpstr>A3. UnitConversions</vt:lpstr>
      <vt:lpstr>A4. Default crop lookup</vt:lpstr>
      <vt:lpstr>A5. User-defined fertilisers</vt:lpstr>
      <vt:lpstr>Export</vt:lpstr>
      <vt:lpstr>Import</vt:lpstr>
      <vt:lpstr>'5.FieldEnergyUse'!Print_Area</vt:lpstr>
      <vt:lpstr>'6.PrimaryProcessing'!Print_Area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DLH</dc:creator>
  <cp:lastModifiedBy>Alexa Varah</cp:lastModifiedBy>
  <cp:lastPrinted>2010-03-08T15:39:51Z</cp:lastPrinted>
  <dcterms:created xsi:type="dcterms:W3CDTF">2009-02-16T11:20:46Z</dcterms:created>
  <dcterms:modified xsi:type="dcterms:W3CDTF">2020-04-28T10:08:11Z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